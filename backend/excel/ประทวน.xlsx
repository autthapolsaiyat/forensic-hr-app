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\\Mac\Home\Downloads\Police-manpower\Testrun\"/>
    </mc:Choice>
  </mc:AlternateContent>
  <xr:revisionPtr revIDLastSave="0" documentId="13_ncr:1_{48F2990C-7C8D-4B25-A3D8-135C449992D5}" xr6:coauthVersionLast="47" xr6:coauthVersionMax="47" xr10:uidLastSave="{00000000-0000-0000-0000-000000000000}"/>
  <bookViews>
    <workbookView xWindow="-98" yWindow="-98" windowWidth="22875" windowHeight="13650" tabRatio="796" xr2:uid="{00000000-000D-0000-FFFF-FFFF00000000}"/>
  </bookViews>
  <sheets>
    <sheet name="ประทวน" sheetId="2" r:id="rId1"/>
  </sheets>
  <definedNames>
    <definedName name="_xlnm._FilterDatabase" localSheetId="0" hidden="1">ประทวน!$A$1:$Y$2549</definedName>
    <definedName name="_xlnm.Print_Titles" localSheetId="0">ประทวน!$1:$1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549" i="2" l="1" a="1"/>
  <c r="W2549" i="2" s="1"/>
  <c r="W2548" i="2" a="1"/>
  <c r="W2548" i="2" s="1"/>
  <c r="W2547" i="2" a="1"/>
  <c r="W2547" i="2" s="1"/>
  <c r="W2546" i="2" a="1"/>
  <c r="W2546" i="2" s="1"/>
  <c r="W2545" i="2" a="1"/>
  <c r="W2545" i="2" s="1"/>
  <c r="W2544" i="2" a="1"/>
  <c r="W2544" i="2" s="1"/>
  <c r="W2543" i="2" a="1"/>
  <c r="W2543" i="2" s="1"/>
  <c r="W2542" i="2" a="1"/>
  <c r="W2542" i="2" s="1"/>
  <c r="W2541" i="2" a="1"/>
  <c r="W2541" i="2" s="1"/>
  <c r="W2540" i="2" a="1"/>
  <c r="W2540" i="2" s="1"/>
  <c r="W2539" i="2" a="1"/>
  <c r="W2539" i="2" s="1"/>
  <c r="W2538" i="2" a="1"/>
  <c r="W2538" i="2" s="1"/>
  <c r="W2537" i="2" a="1"/>
  <c r="W2537" i="2" s="1"/>
  <c r="W2536" i="2" a="1"/>
  <c r="W2536" i="2" s="1"/>
  <c r="W2535" i="2" a="1"/>
  <c r="W2535" i="2" s="1"/>
  <c r="W2534" i="2" a="1"/>
  <c r="W2534" i="2" s="1"/>
  <c r="W2533" i="2" a="1"/>
  <c r="W2533" i="2" s="1"/>
  <c r="W2532" i="2" a="1"/>
  <c r="W2532" i="2" s="1"/>
  <c r="W2531" i="2" a="1"/>
  <c r="W2531" i="2" s="1"/>
  <c r="W2530" i="2" a="1"/>
  <c r="W2530" i="2" s="1"/>
  <c r="W2529" i="2" a="1"/>
  <c r="W2529" i="2" s="1"/>
  <c r="W2528" i="2" a="1"/>
  <c r="W2528" i="2" s="1"/>
  <c r="W2527" i="2" a="1"/>
  <c r="W2527" i="2" s="1"/>
  <c r="W2526" i="2" a="1"/>
  <c r="W2526" i="2" s="1"/>
  <c r="W2525" i="2" a="1"/>
  <c r="W2525" i="2" s="1"/>
  <c r="W2524" i="2" a="1"/>
  <c r="W2524" i="2" s="1"/>
  <c r="W2523" i="2" a="1"/>
  <c r="W2523" i="2" s="1"/>
  <c r="W2522" i="2" a="1"/>
  <c r="W2522" i="2" s="1"/>
  <c r="W2521" i="2" a="1"/>
  <c r="W2521" i="2" s="1"/>
  <c r="W2520" i="2" a="1"/>
  <c r="W2520" i="2" s="1"/>
  <c r="W2519" i="2" a="1"/>
  <c r="W2519" i="2" s="1"/>
  <c r="W2518" i="2" a="1"/>
  <c r="W2518" i="2" s="1"/>
  <c r="W2517" i="2" a="1"/>
  <c r="W2517" i="2" s="1"/>
  <c r="W2516" i="2" a="1"/>
  <c r="W2516" i="2" s="1"/>
  <c r="W2515" i="2" a="1"/>
  <c r="W2515" i="2" s="1"/>
  <c r="W2514" i="2" a="1"/>
  <c r="W2514" i="2" s="1"/>
  <c r="W2513" i="2" a="1"/>
  <c r="W2513" i="2" s="1"/>
  <c r="W2512" i="2" a="1"/>
  <c r="W2512" i="2" s="1"/>
  <c r="W2511" i="2" a="1"/>
  <c r="W2511" i="2" s="1"/>
  <c r="W2510" i="2" a="1"/>
  <c r="W2510" i="2" s="1"/>
  <c r="W2509" i="2" a="1"/>
  <c r="W2509" i="2" s="1"/>
  <c r="W2508" i="2" a="1"/>
  <c r="W2508" i="2" s="1"/>
  <c r="W2507" i="2" a="1"/>
  <c r="W2507" i="2" s="1"/>
  <c r="W2506" i="2" a="1"/>
  <c r="W2506" i="2" s="1"/>
  <c r="W2505" i="2" a="1"/>
  <c r="W2505" i="2" s="1"/>
  <c r="W2504" i="2" a="1"/>
  <c r="W2504" i="2" s="1"/>
  <c r="W2503" i="2" a="1"/>
  <c r="W2503" i="2" s="1"/>
  <c r="W2502" i="2" a="1"/>
  <c r="W2502" i="2" s="1"/>
  <c r="W2501" i="2" a="1"/>
  <c r="W2501" i="2" s="1"/>
  <c r="W2500" i="2" a="1"/>
  <c r="W2500" i="2" s="1"/>
  <c r="W2499" i="2" a="1"/>
  <c r="W2499" i="2" s="1"/>
  <c r="W2498" i="2" a="1"/>
  <c r="W2498" i="2" s="1"/>
  <c r="W2497" i="2" a="1"/>
  <c r="W2497" i="2" s="1"/>
  <c r="W2496" i="2" a="1"/>
  <c r="W2496" i="2" s="1"/>
  <c r="W2495" i="2" a="1"/>
  <c r="W2495" i="2" s="1"/>
  <c r="W2494" i="2" a="1"/>
  <c r="W2494" i="2" s="1"/>
  <c r="W2493" i="2" a="1"/>
  <c r="W2493" i="2" s="1"/>
  <c r="W2492" i="2" a="1"/>
  <c r="W2492" i="2" s="1"/>
  <c r="W2491" i="2" a="1"/>
  <c r="W2491" i="2" s="1"/>
  <c r="W2490" i="2" a="1"/>
  <c r="W2490" i="2" s="1"/>
  <c r="W2489" i="2" a="1"/>
  <c r="W2489" i="2" s="1"/>
  <c r="W2488" i="2" a="1"/>
  <c r="W2488" i="2" s="1"/>
  <c r="W2487" i="2" a="1"/>
  <c r="W2487" i="2" s="1"/>
  <c r="W2486" i="2" a="1"/>
  <c r="W2486" i="2" s="1"/>
  <c r="W2485" i="2" a="1"/>
  <c r="W2485" i="2" s="1"/>
  <c r="W2484" i="2" a="1"/>
  <c r="W2484" i="2" s="1"/>
  <c r="W2483" i="2" a="1"/>
  <c r="W2483" i="2" s="1"/>
  <c r="W2482" i="2" a="1"/>
  <c r="W2482" i="2" s="1"/>
  <c r="W2481" i="2" a="1"/>
  <c r="W2481" i="2" s="1"/>
  <c r="W2480" i="2" a="1"/>
  <c r="W2480" i="2" s="1"/>
  <c r="W2479" i="2" a="1"/>
  <c r="W2479" i="2" s="1"/>
  <c r="W2478" i="2" a="1"/>
  <c r="W2478" i="2" s="1"/>
  <c r="W2477" i="2" a="1"/>
  <c r="W2477" i="2" s="1"/>
  <c r="W2476" i="2" a="1"/>
  <c r="W2476" i="2" s="1"/>
  <c r="W2475" i="2" a="1"/>
  <c r="W2475" i="2" s="1"/>
  <c r="W2474" i="2" a="1"/>
  <c r="W2474" i="2" s="1"/>
  <c r="W2473" i="2" a="1"/>
  <c r="W2473" i="2" s="1"/>
  <c r="W2472" i="2" a="1"/>
  <c r="W2472" i="2" s="1"/>
  <c r="W2471" i="2" a="1"/>
  <c r="W2471" i="2" s="1"/>
  <c r="W2470" i="2" a="1"/>
  <c r="W2470" i="2" s="1"/>
  <c r="W2469" i="2" a="1"/>
  <c r="W2469" i="2" s="1"/>
  <c r="W2468" i="2" a="1"/>
  <c r="W2468" i="2" s="1"/>
  <c r="W2467" i="2" a="1"/>
  <c r="W2467" i="2" s="1"/>
  <c r="W2466" i="2" a="1"/>
  <c r="W2466" i="2" s="1"/>
  <c r="W2465" i="2" a="1"/>
  <c r="W2465" i="2" s="1"/>
  <c r="W2464" i="2" a="1"/>
  <c r="W2464" i="2" s="1"/>
  <c r="W2463" i="2" a="1"/>
  <c r="W2463" i="2" s="1"/>
  <c r="W2462" i="2" a="1"/>
  <c r="W2462" i="2" s="1"/>
  <c r="W2461" i="2" a="1"/>
  <c r="W2461" i="2" s="1"/>
  <c r="W2460" i="2" a="1"/>
  <c r="W2460" i="2" s="1"/>
  <c r="W2459" i="2" a="1"/>
  <c r="W2459" i="2" s="1"/>
  <c r="W2458" i="2" a="1"/>
  <c r="W2458" i="2" s="1"/>
  <c r="W2457" i="2" a="1"/>
  <c r="W2457" i="2" s="1"/>
  <c r="W2456" i="2" a="1"/>
  <c r="W2456" i="2" s="1"/>
  <c r="W2455" i="2" a="1"/>
  <c r="W2455" i="2" s="1"/>
  <c r="W2454" i="2" a="1"/>
  <c r="W2454" i="2" s="1"/>
  <c r="W2453" i="2" a="1"/>
  <c r="W2453" i="2" s="1"/>
  <c r="W2452" i="2" a="1"/>
  <c r="W2452" i="2" s="1"/>
  <c r="W2451" i="2" a="1"/>
  <c r="W2451" i="2" s="1"/>
  <c r="W2450" i="2" a="1"/>
  <c r="W2450" i="2" s="1"/>
  <c r="W2449" i="2" a="1"/>
  <c r="W2449" i="2" s="1"/>
  <c r="W2448" i="2" a="1"/>
  <c r="W2448" i="2" s="1"/>
  <c r="W2447" i="2" a="1"/>
  <c r="W2447" i="2" s="1"/>
  <c r="W2446" i="2" a="1"/>
  <c r="W2446" i="2" s="1"/>
  <c r="W2445" i="2" a="1"/>
  <c r="W2445" i="2" s="1"/>
  <c r="W2444" i="2" a="1"/>
  <c r="W2444" i="2" s="1"/>
  <c r="W2443" i="2" a="1"/>
  <c r="W2443" i="2" s="1"/>
  <c r="W2442" i="2" a="1"/>
  <c r="W2442" i="2" s="1"/>
  <c r="W2440" i="2" a="1"/>
  <c r="W2440" i="2" s="1"/>
  <c r="W2439" i="2" a="1"/>
  <c r="W2439" i="2" s="1"/>
  <c r="W2438" i="2" a="1"/>
  <c r="W2438" i="2" s="1"/>
  <c r="W2437" i="2" a="1"/>
  <c r="W2437" i="2" s="1"/>
  <c r="W2436" i="2" a="1"/>
  <c r="W2436" i="2" s="1"/>
  <c r="W2435" i="2" a="1"/>
  <c r="W2435" i="2" s="1"/>
  <c r="W2434" i="2" a="1"/>
  <c r="W2434" i="2" s="1"/>
  <c r="W2433" i="2" a="1"/>
  <c r="W2433" i="2" s="1"/>
  <c r="W2432" i="2" a="1"/>
  <c r="W2432" i="2" s="1"/>
  <c r="W2431" i="2" a="1"/>
  <c r="W2431" i="2" s="1"/>
  <c r="W2430" i="2" a="1"/>
  <c r="W2430" i="2" s="1"/>
  <c r="W2429" i="2" a="1"/>
  <c r="W2429" i="2" s="1"/>
  <c r="W2428" i="2" a="1"/>
  <c r="W2428" i="2" s="1"/>
  <c r="W2427" i="2" a="1"/>
  <c r="W2427" i="2" s="1"/>
  <c r="W2426" i="2" a="1"/>
  <c r="W2426" i="2" s="1"/>
  <c r="W2425" i="2" a="1"/>
  <c r="W2425" i="2" s="1"/>
  <c r="W2424" i="2" a="1"/>
  <c r="W2424" i="2" s="1"/>
  <c r="W2423" i="2" a="1"/>
  <c r="W2423" i="2" s="1"/>
  <c r="W2422" i="2" a="1"/>
  <c r="W2422" i="2" s="1"/>
  <c r="W2421" i="2" a="1"/>
  <c r="W2421" i="2" s="1"/>
  <c r="W2420" i="2" a="1"/>
  <c r="W2420" i="2" s="1"/>
  <c r="W2419" i="2" a="1"/>
  <c r="W2419" i="2" s="1"/>
  <c r="W2418" i="2" a="1"/>
  <c r="W2418" i="2" s="1"/>
  <c r="W2417" i="2" a="1"/>
  <c r="W2417" i="2" s="1"/>
  <c r="W2416" i="2" a="1"/>
  <c r="W2416" i="2" s="1"/>
  <c r="W2415" i="2" a="1"/>
  <c r="W2415" i="2" s="1"/>
  <c r="W2414" i="2" a="1"/>
  <c r="W2414" i="2" s="1"/>
  <c r="W2413" i="2" a="1"/>
  <c r="W2413" i="2" s="1"/>
  <c r="W2412" i="2" a="1"/>
  <c r="W2412" i="2" s="1"/>
  <c r="W2411" i="2" a="1"/>
  <c r="W2411" i="2" s="1"/>
  <c r="W2410" i="2" a="1"/>
  <c r="W2410" i="2" s="1"/>
  <c r="W2409" i="2" a="1"/>
  <c r="W2409" i="2" s="1"/>
  <c r="W2408" i="2" a="1"/>
  <c r="W2408" i="2" s="1"/>
  <c r="W2407" i="2" a="1"/>
  <c r="W2407" i="2" s="1"/>
  <c r="W2406" i="2" a="1"/>
  <c r="W2406" i="2" s="1"/>
  <c r="W2405" i="2" a="1"/>
  <c r="W2405" i="2" s="1"/>
  <c r="W2404" i="2" a="1"/>
  <c r="W2404" i="2" s="1"/>
  <c r="W2403" i="2" a="1"/>
  <c r="W2403" i="2" s="1"/>
  <c r="W2402" i="2" a="1"/>
  <c r="W2402" i="2" s="1"/>
  <c r="W2401" i="2" a="1"/>
  <c r="W2401" i="2" s="1"/>
  <c r="W2400" i="2" a="1"/>
  <c r="W2400" i="2" s="1"/>
  <c r="W2399" i="2" a="1"/>
  <c r="W2399" i="2" s="1"/>
  <c r="W2398" i="2" a="1"/>
  <c r="W2398" i="2" s="1"/>
  <c r="W2397" i="2" a="1"/>
  <c r="W2397" i="2" s="1"/>
  <c r="W2396" i="2" a="1"/>
  <c r="W2396" i="2" s="1"/>
  <c r="W2395" i="2" a="1"/>
  <c r="W2395" i="2" s="1"/>
  <c r="W2394" i="2" a="1"/>
  <c r="W2394" i="2" s="1"/>
  <c r="W2393" i="2" a="1"/>
  <c r="W2393" i="2" s="1"/>
  <c r="W2392" i="2" a="1"/>
  <c r="W2392" i="2" s="1"/>
  <c r="W2391" i="2" a="1"/>
  <c r="W2391" i="2" s="1"/>
  <c r="W2390" i="2" a="1"/>
  <c r="W2390" i="2" s="1"/>
  <c r="W2389" i="2" a="1"/>
  <c r="W2389" i="2" s="1"/>
  <c r="W2388" i="2" a="1"/>
  <c r="W2388" i="2" s="1"/>
  <c r="W2387" i="2" a="1"/>
  <c r="W2387" i="2" s="1"/>
  <c r="W2386" i="2" a="1"/>
  <c r="W2386" i="2" s="1"/>
  <c r="W2385" i="2" a="1"/>
  <c r="W2385" i="2" s="1"/>
  <c r="W2384" i="2" a="1"/>
  <c r="W2384" i="2" s="1"/>
  <c r="W2383" i="2" a="1"/>
  <c r="W2383" i="2" s="1"/>
  <c r="W2382" i="2" a="1"/>
  <c r="W2382" i="2" s="1"/>
  <c r="W2381" i="2" a="1"/>
  <c r="W2381" i="2" s="1"/>
  <c r="W2380" i="2" a="1"/>
  <c r="W2380" i="2" s="1"/>
  <c r="W2379" i="2" a="1"/>
  <c r="W2379" i="2" s="1"/>
  <c r="W2378" i="2" a="1"/>
  <c r="W2378" i="2" s="1"/>
  <c r="W2377" i="2" a="1"/>
  <c r="W2377" i="2" s="1"/>
  <c r="W2376" i="2" a="1"/>
  <c r="W2376" i="2" s="1"/>
  <c r="W2375" i="2" a="1"/>
  <c r="W2375" i="2" s="1"/>
  <c r="W2374" i="2" a="1"/>
  <c r="W2374" i="2" s="1"/>
  <c r="W2373" i="2" a="1"/>
  <c r="W2373" i="2" s="1"/>
  <c r="W2372" i="2" a="1"/>
  <c r="W2372" i="2" s="1"/>
  <c r="W2371" i="2" a="1"/>
  <c r="W2371" i="2" s="1"/>
  <c r="W2370" i="2" a="1"/>
  <c r="W2370" i="2" s="1"/>
  <c r="W2369" i="2" a="1"/>
  <c r="W2369" i="2" s="1"/>
  <c r="W2368" i="2" a="1"/>
  <c r="W2368" i="2" s="1"/>
  <c r="W2367" i="2" a="1"/>
  <c r="W2367" i="2" s="1"/>
  <c r="W2366" i="2" a="1"/>
  <c r="W2366" i="2" s="1"/>
  <c r="W2365" i="2" a="1"/>
  <c r="W2365" i="2" s="1"/>
  <c r="W2364" i="2" a="1"/>
  <c r="W2364" i="2" s="1"/>
  <c r="W2363" i="2" a="1"/>
  <c r="W2363" i="2" s="1"/>
  <c r="W2362" i="2" a="1"/>
  <c r="W2362" i="2" s="1"/>
  <c r="W2361" i="2" a="1"/>
  <c r="W2361" i="2" s="1"/>
  <c r="W2360" i="2" a="1"/>
  <c r="W2360" i="2" s="1"/>
  <c r="W2359" i="2" a="1"/>
  <c r="W2359" i="2" s="1"/>
  <c r="W2358" i="2" a="1"/>
  <c r="W2358" i="2" s="1"/>
  <c r="W2357" i="2" a="1"/>
  <c r="W2357" i="2" s="1"/>
  <c r="W2356" i="2" a="1"/>
  <c r="W2356" i="2" s="1"/>
  <c r="W2355" i="2" a="1"/>
  <c r="W2355" i="2" s="1"/>
  <c r="W2354" i="2" a="1"/>
  <c r="W2354" i="2" s="1"/>
  <c r="W2353" i="2" a="1"/>
  <c r="W2353" i="2" s="1"/>
  <c r="W2352" i="2" a="1"/>
  <c r="W2352" i="2" s="1"/>
  <c r="W2351" i="2" a="1"/>
  <c r="W2351" i="2" s="1"/>
  <c r="W2350" i="2" a="1"/>
  <c r="W2350" i="2" s="1"/>
  <c r="W2349" i="2" a="1"/>
  <c r="W2349" i="2" s="1"/>
  <c r="W2348" i="2" a="1"/>
  <c r="W2348" i="2" s="1"/>
  <c r="W2347" i="2" a="1"/>
  <c r="W2347" i="2" s="1"/>
  <c r="W2346" i="2" a="1"/>
  <c r="W2346" i="2" s="1"/>
  <c r="W2345" i="2" a="1"/>
  <c r="W2345" i="2" s="1"/>
  <c r="W2344" i="2" a="1"/>
  <c r="W2344" i="2" s="1"/>
  <c r="W2343" i="2" a="1"/>
  <c r="W2343" i="2" s="1"/>
  <c r="W2342" i="2" a="1"/>
  <c r="W2342" i="2" s="1"/>
  <c r="W2341" i="2" a="1"/>
  <c r="W2341" i="2" s="1"/>
  <c r="W2340" i="2" a="1"/>
  <c r="W2340" i="2" s="1"/>
  <c r="W2339" i="2" a="1"/>
  <c r="W2339" i="2" s="1"/>
  <c r="W2338" i="2" a="1"/>
  <c r="W2338" i="2" s="1"/>
  <c r="W2337" i="2" a="1"/>
  <c r="W2337" i="2" s="1"/>
  <c r="W2336" i="2" a="1"/>
  <c r="W2336" i="2" s="1"/>
  <c r="W2335" i="2" a="1"/>
  <c r="W2335" i="2" s="1"/>
  <c r="W2334" i="2" a="1"/>
  <c r="W2334" i="2" s="1"/>
  <c r="W2333" i="2" a="1"/>
  <c r="W2333" i="2" s="1"/>
  <c r="W2332" i="2" a="1"/>
  <c r="W2332" i="2" s="1"/>
  <c r="W2331" i="2" a="1"/>
  <c r="W2331" i="2" s="1"/>
  <c r="W2330" i="2" a="1"/>
  <c r="W2330" i="2" s="1"/>
  <c r="W2329" i="2" a="1"/>
  <c r="W2329" i="2" s="1"/>
  <c r="W2327" i="2" a="1"/>
  <c r="W2327" i="2" s="1"/>
  <c r="W2326" i="2" a="1"/>
  <c r="W2326" i="2" s="1"/>
  <c r="W2325" i="2" a="1"/>
  <c r="W2325" i="2" s="1"/>
  <c r="W2324" i="2" a="1"/>
  <c r="W2324" i="2" s="1"/>
  <c r="W2323" i="2" a="1"/>
  <c r="W2323" i="2" s="1"/>
  <c r="W2322" i="2" a="1"/>
  <c r="W2322" i="2" s="1"/>
  <c r="W2321" i="2" a="1"/>
  <c r="W2321" i="2" s="1"/>
  <c r="W2320" i="2" a="1"/>
  <c r="W2320" i="2" s="1"/>
  <c r="W2319" i="2" a="1"/>
  <c r="W2319" i="2" s="1"/>
  <c r="W2318" i="2" a="1"/>
  <c r="W2318" i="2" s="1"/>
  <c r="W2317" i="2" a="1"/>
  <c r="W2317" i="2" s="1"/>
  <c r="W2316" i="2" a="1"/>
  <c r="W2316" i="2" s="1"/>
  <c r="W2315" i="2" a="1"/>
  <c r="W2315" i="2" s="1"/>
  <c r="W2314" i="2" a="1"/>
  <c r="W2314" i="2" s="1"/>
  <c r="W2313" i="2" a="1"/>
  <c r="W2313" i="2" s="1"/>
  <c r="W2312" i="2" a="1"/>
  <c r="W2312" i="2" s="1"/>
  <c r="W2311" i="2" a="1"/>
  <c r="W2311" i="2" s="1"/>
  <c r="W2310" i="2" a="1"/>
  <c r="W2310" i="2" s="1"/>
  <c r="W2309" i="2" a="1"/>
  <c r="W2309" i="2" s="1"/>
  <c r="W2308" i="2" a="1"/>
  <c r="W2308" i="2" s="1"/>
  <c r="W2307" i="2" a="1"/>
  <c r="W2307" i="2" s="1"/>
  <c r="W2306" i="2" a="1"/>
  <c r="W2306" i="2" s="1"/>
  <c r="W2305" i="2" a="1"/>
  <c r="W2305" i="2" s="1"/>
  <c r="W2304" i="2" a="1"/>
  <c r="W2304" i="2" s="1"/>
  <c r="W2303" i="2" a="1"/>
  <c r="W2303" i="2" s="1"/>
  <c r="W2302" i="2" a="1"/>
  <c r="W2302" i="2" s="1"/>
  <c r="W2301" i="2" a="1"/>
  <c r="W2301" i="2" s="1"/>
  <c r="W2300" i="2" a="1"/>
  <c r="W2300" i="2" s="1"/>
  <c r="W2299" i="2" a="1"/>
  <c r="W2299" i="2" s="1"/>
  <c r="W2298" i="2" a="1"/>
  <c r="W2298" i="2" s="1"/>
  <c r="W2297" i="2" a="1"/>
  <c r="W2297" i="2" s="1"/>
  <c r="W2296" i="2" a="1"/>
  <c r="W2296" i="2" s="1"/>
  <c r="W2295" i="2" a="1"/>
  <c r="W2295" i="2" s="1"/>
  <c r="W2294" i="2" a="1"/>
  <c r="W2294" i="2" s="1"/>
  <c r="W2293" i="2" a="1"/>
  <c r="W2293" i="2" s="1"/>
  <c r="W2292" i="2" a="1"/>
  <c r="W2292" i="2" s="1"/>
  <c r="W2291" i="2" a="1"/>
  <c r="W2291" i="2" s="1"/>
  <c r="W2290" i="2" a="1"/>
  <c r="W2290" i="2" s="1"/>
  <c r="W2289" i="2" a="1"/>
  <c r="W2289" i="2" s="1"/>
  <c r="W2288" i="2" a="1"/>
  <c r="W2288" i="2" s="1"/>
  <c r="W2287" i="2" a="1"/>
  <c r="W2287" i="2" s="1"/>
  <c r="W2286" i="2" a="1"/>
  <c r="W2286" i="2" s="1"/>
  <c r="W2285" i="2" a="1"/>
  <c r="W2285" i="2" s="1"/>
  <c r="W2284" i="2" a="1"/>
  <c r="W2284" i="2" s="1"/>
  <c r="W2283" i="2" a="1"/>
  <c r="W2283" i="2" s="1"/>
  <c r="W2282" i="2" a="1"/>
  <c r="W2282" i="2" s="1"/>
  <c r="W2281" i="2" a="1"/>
  <c r="W2281" i="2" s="1"/>
  <c r="W2280" i="2" a="1"/>
  <c r="W2280" i="2" s="1"/>
  <c r="W2279" i="2" a="1"/>
  <c r="W2279" i="2" s="1"/>
  <c r="W2278" i="2" a="1"/>
  <c r="W2278" i="2" s="1"/>
  <c r="W2277" i="2" a="1"/>
  <c r="W2277" i="2" s="1"/>
  <c r="W2276" i="2" a="1"/>
  <c r="W2276" i="2" s="1"/>
  <c r="W2275" i="2" a="1"/>
  <c r="W2275" i="2" s="1"/>
  <c r="W2274" i="2" a="1"/>
  <c r="W2274" i="2" s="1"/>
  <c r="W2273" i="2" a="1"/>
  <c r="W2273" i="2" s="1"/>
  <c r="W2272" i="2" a="1"/>
  <c r="W2272" i="2" s="1"/>
  <c r="W2271" i="2" a="1"/>
  <c r="W2271" i="2" s="1"/>
  <c r="W2270" i="2" a="1"/>
  <c r="W2270" i="2" s="1"/>
  <c r="W2269" i="2" a="1"/>
  <c r="W2269" i="2" s="1"/>
  <c r="W2268" i="2" a="1"/>
  <c r="W2268" i="2" s="1"/>
  <c r="W2267" i="2" a="1"/>
  <c r="W2267" i="2" s="1"/>
  <c r="W2266" i="2" a="1"/>
  <c r="W2266" i="2" s="1"/>
  <c r="W2265" i="2" a="1"/>
  <c r="W2265" i="2" s="1"/>
  <c r="W2264" i="2" a="1"/>
  <c r="W2264" i="2" s="1"/>
  <c r="W2263" i="2" a="1"/>
  <c r="W2263" i="2" s="1"/>
  <c r="W2262" i="2" a="1"/>
  <c r="W2262" i="2" s="1"/>
  <c r="W2261" i="2" a="1"/>
  <c r="W2261" i="2" s="1"/>
  <c r="W2260" i="2" a="1"/>
  <c r="W2260" i="2" s="1"/>
  <c r="W2259" i="2" a="1"/>
  <c r="W2259" i="2" s="1"/>
  <c r="W2258" i="2" a="1"/>
  <c r="W2258" i="2" s="1"/>
  <c r="W2257" i="2" a="1"/>
  <c r="W2257" i="2" s="1"/>
  <c r="W2256" i="2" a="1"/>
  <c r="W2256" i="2" s="1"/>
  <c r="W2255" i="2" a="1"/>
  <c r="W2255" i="2" s="1"/>
  <c r="W2254" i="2" a="1"/>
  <c r="W2254" i="2" s="1"/>
  <c r="W2253" i="2" a="1"/>
  <c r="W2253" i="2" s="1"/>
  <c r="W2252" i="2" a="1"/>
  <c r="W2252" i="2" s="1"/>
  <c r="W2251" i="2" a="1"/>
  <c r="W2251" i="2" s="1"/>
  <c r="W2250" i="2" a="1"/>
  <c r="W2250" i="2" s="1"/>
  <c r="W2249" i="2" a="1"/>
  <c r="W2249" i="2" s="1"/>
  <c r="W2248" i="2" a="1"/>
  <c r="W2248" i="2" s="1"/>
  <c r="W2247" i="2" a="1"/>
  <c r="W2247" i="2" s="1"/>
  <c r="W2246" i="2" a="1"/>
  <c r="W2246" i="2" s="1"/>
  <c r="W2245" i="2" a="1"/>
  <c r="W2245" i="2" s="1"/>
  <c r="W2244" i="2" a="1"/>
  <c r="W2244" i="2" s="1"/>
  <c r="W2243" i="2" a="1"/>
  <c r="W2243" i="2" s="1"/>
  <c r="W2242" i="2" a="1"/>
  <c r="W2242" i="2" s="1"/>
  <c r="W2241" i="2" a="1"/>
  <c r="W2241" i="2" s="1"/>
  <c r="W2240" i="2" a="1"/>
  <c r="W2240" i="2" s="1"/>
  <c r="W2239" i="2" a="1"/>
  <c r="W2239" i="2" s="1"/>
  <c r="W2238" i="2" a="1"/>
  <c r="W2238" i="2" s="1"/>
  <c r="W2237" i="2" a="1"/>
  <c r="W2237" i="2" s="1"/>
  <c r="W2236" i="2" a="1"/>
  <c r="W2236" i="2" s="1"/>
  <c r="W2235" i="2" a="1"/>
  <c r="W2235" i="2" s="1"/>
  <c r="W2234" i="2" a="1"/>
  <c r="W2234" i="2" s="1"/>
  <c r="W2233" i="2" a="1"/>
  <c r="W2233" i="2" s="1"/>
  <c r="W2232" i="2" a="1"/>
  <c r="W2232" i="2" s="1"/>
  <c r="W2231" i="2" a="1"/>
  <c r="W2231" i="2" s="1"/>
  <c r="W2230" i="2" a="1"/>
  <c r="W2230" i="2" s="1"/>
  <c r="W2229" i="2" a="1"/>
  <c r="W2229" i="2" s="1"/>
  <c r="W2228" i="2" a="1"/>
  <c r="W2228" i="2" s="1"/>
  <c r="W2227" i="2" a="1"/>
  <c r="W2227" i="2" s="1"/>
  <c r="W2226" i="2" a="1"/>
  <c r="W2226" i="2" s="1"/>
  <c r="W2225" i="2" a="1"/>
  <c r="W2225" i="2" s="1"/>
  <c r="W2224" i="2" a="1"/>
  <c r="W2224" i="2" s="1"/>
  <c r="W2223" i="2" a="1"/>
  <c r="W2223" i="2" s="1"/>
  <c r="W2222" i="2" a="1"/>
  <c r="W2222" i="2" s="1"/>
  <c r="W2221" i="2" a="1"/>
  <c r="W2221" i="2" s="1"/>
  <c r="W2220" i="2" a="1"/>
  <c r="W2220" i="2" s="1"/>
  <c r="W2219" i="2" a="1"/>
  <c r="W2219" i="2" s="1"/>
  <c r="W2218" i="2" a="1"/>
  <c r="W2218" i="2" s="1"/>
  <c r="W2217" i="2" a="1"/>
  <c r="W2217" i="2" s="1"/>
  <c r="W2216" i="2" a="1"/>
  <c r="W2216" i="2" s="1"/>
  <c r="W2215" i="2" a="1"/>
  <c r="W2215" i="2" s="1"/>
  <c r="W2214" i="2" a="1"/>
  <c r="W2214" i="2" s="1"/>
  <c r="W2213" i="2" a="1"/>
  <c r="W2213" i="2" s="1"/>
  <c r="W2212" i="2" a="1"/>
  <c r="W2212" i="2" s="1"/>
  <c r="W2211" i="2" a="1"/>
  <c r="W2211" i="2" s="1"/>
  <c r="W2210" i="2" a="1"/>
  <c r="W2210" i="2" s="1"/>
  <c r="W2209" i="2" a="1"/>
  <c r="W2209" i="2" s="1"/>
  <c r="W2208" i="2" a="1"/>
  <c r="W2208" i="2" s="1"/>
  <c r="W2207" i="2" a="1"/>
  <c r="W2207" i="2" s="1"/>
  <c r="W2206" i="2" a="1"/>
  <c r="W2206" i="2" s="1"/>
  <c r="W2205" i="2" a="1"/>
  <c r="W2205" i="2" s="1"/>
  <c r="W2204" i="2" a="1"/>
  <c r="W2204" i="2" s="1"/>
  <c r="W2203" i="2" a="1"/>
  <c r="W2203" i="2" s="1"/>
  <c r="W2202" i="2" a="1"/>
  <c r="W2202" i="2" s="1"/>
  <c r="W2201" i="2" a="1"/>
  <c r="W2201" i="2" s="1"/>
  <c r="W2200" i="2" a="1"/>
  <c r="W2200" i="2" s="1"/>
  <c r="W2199" i="2" a="1"/>
  <c r="W2199" i="2" s="1"/>
  <c r="W2198" i="2" a="1"/>
  <c r="W2198" i="2" s="1"/>
  <c r="W2197" i="2" a="1"/>
  <c r="W2197" i="2" s="1"/>
  <c r="W2196" i="2" a="1"/>
  <c r="W2196" i="2" s="1"/>
  <c r="W2195" i="2" a="1"/>
  <c r="W2195" i="2" s="1"/>
  <c r="W2194" i="2" a="1"/>
  <c r="W2194" i="2" s="1"/>
  <c r="W2193" i="2" a="1"/>
  <c r="W2193" i="2" s="1"/>
  <c r="W2192" i="2" a="1"/>
  <c r="W2192" i="2" s="1"/>
  <c r="W2191" i="2" a="1"/>
  <c r="W2191" i="2" s="1"/>
  <c r="W2190" i="2" a="1"/>
  <c r="W2190" i="2" s="1"/>
  <c r="W2189" i="2" a="1"/>
  <c r="W2189" i="2" s="1"/>
  <c r="W2188" i="2" a="1"/>
  <c r="W2188" i="2" s="1"/>
  <c r="W2187" i="2" a="1"/>
  <c r="W2187" i="2" s="1"/>
  <c r="W2186" i="2" a="1"/>
  <c r="W2186" i="2" s="1"/>
  <c r="W2185" i="2" a="1"/>
  <c r="W2185" i="2" s="1"/>
  <c r="W2184" i="2" a="1"/>
  <c r="W2184" i="2" s="1"/>
  <c r="W2183" i="2" a="1"/>
  <c r="W2183" i="2" s="1"/>
  <c r="W2182" i="2" a="1"/>
  <c r="W2182" i="2" s="1"/>
  <c r="W2181" i="2" a="1"/>
  <c r="W2181" i="2" s="1"/>
  <c r="W2180" i="2" a="1"/>
  <c r="W2180" i="2" s="1"/>
  <c r="W2179" i="2" a="1"/>
  <c r="W2179" i="2" s="1"/>
  <c r="W2178" i="2" a="1"/>
  <c r="W2178" i="2" s="1"/>
  <c r="W2177" i="2" a="1"/>
  <c r="W2177" i="2" s="1"/>
  <c r="W2176" i="2" a="1"/>
  <c r="W2176" i="2" s="1"/>
  <c r="W2175" i="2" a="1"/>
  <c r="W2175" i="2" s="1"/>
  <c r="W2174" i="2" a="1"/>
  <c r="W2174" i="2" s="1"/>
  <c r="W2173" i="2" a="1"/>
  <c r="W2173" i="2" s="1"/>
  <c r="W2172" i="2" a="1"/>
  <c r="W2172" i="2" s="1"/>
  <c r="W2171" i="2" a="1"/>
  <c r="W2171" i="2" s="1"/>
  <c r="W2170" i="2" a="1"/>
  <c r="W2170" i="2" s="1"/>
  <c r="W2169" i="2" a="1"/>
  <c r="W2169" i="2" s="1"/>
  <c r="W2168" i="2" a="1"/>
  <c r="W2168" i="2" s="1"/>
  <c r="W2167" i="2" a="1"/>
  <c r="W2167" i="2" s="1"/>
  <c r="W2166" i="2" a="1"/>
  <c r="W2166" i="2" s="1"/>
  <c r="W2164" i="2" a="1"/>
  <c r="W2164" i="2" s="1"/>
  <c r="W2163" i="2" a="1"/>
  <c r="W2163" i="2" s="1"/>
  <c r="W2162" i="2" a="1"/>
  <c r="W2162" i="2" s="1"/>
  <c r="W2161" i="2" a="1"/>
  <c r="W2161" i="2" s="1"/>
  <c r="W2160" i="2" a="1"/>
  <c r="W2160" i="2" s="1"/>
  <c r="W2159" i="2" a="1"/>
  <c r="W2159" i="2" s="1"/>
  <c r="W2158" i="2" a="1"/>
  <c r="W2158" i="2" s="1"/>
  <c r="W2157" i="2" a="1"/>
  <c r="W2157" i="2" s="1"/>
  <c r="W2156" i="2" a="1"/>
  <c r="W2156" i="2" s="1"/>
  <c r="W2155" i="2" a="1"/>
  <c r="W2155" i="2" s="1"/>
  <c r="W2154" i="2" a="1"/>
  <c r="W2154" i="2" s="1"/>
  <c r="W2153" i="2" a="1"/>
  <c r="W2153" i="2" s="1"/>
  <c r="W2152" i="2" a="1"/>
  <c r="W2152" i="2" s="1"/>
  <c r="W2151" i="2" a="1"/>
  <c r="W2151" i="2" s="1"/>
  <c r="W2150" i="2" a="1"/>
  <c r="W2150" i="2" s="1"/>
  <c r="W2149" i="2" a="1"/>
  <c r="W2149" i="2" s="1"/>
  <c r="W2148" i="2" a="1"/>
  <c r="W2148" i="2" s="1"/>
  <c r="W2147" i="2" a="1"/>
  <c r="W2147" i="2" s="1"/>
  <c r="W2146" i="2" a="1"/>
  <c r="W2146" i="2" s="1"/>
  <c r="W2145" i="2" a="1"/>
  <c r="W2145" i="2" s="1"/>
  <c r="W2144" i="2" a="1"/>
  <c r="W2144" i="2" s="1"/>
  <c r="W2143" i="2" a="1"/>
  <c r="W2143" i="2" s="1"/>
  <c r="W2142" i="2" a="1"/>
  <c r="W2142" i="2" s="1"/>
  <c r="W2141" i="2" a="1"/>
  <c r="W2141" i="2" s="1"/>
  <c r="W2140" i="2" a="1"/>
  <c r="W2140" i="2" s="1"/>
  <c r="W2139" i="2" a="1"/>
  <c r="W2139" i="2" s="1"/>
  <c r="W2138" i="2" a="1"/>
  <c r="W2138" i="2" s="1"/>
  <c r="W2137" i="2" a="1"/>
  <c r="W2137" i="2" s="1"/>
  <c r="W2136" i="2" a="1"/>
  <c r="W2136" i="2" s="1"/>
  <c r="W2135" i="2" a="1"/>
  <c r="W2135" i="2" s="1"/>
  <c r="W2134" i="2" a="1"/>
  <c r="W2134" i="2" s="1"/>
  <c r="W2133" i="2" a="1"/>
  <c r="W2133" i="2" s="1"/>
  <c r="W2132" i="2" a="1"/>
  <c r="W2132" i="2" s="1"/>
  <c r="W2131" i="2" a="1"/>
  <c r="W2131" i="2" s="1"/>
  <c r="W2130" i="2" a="1"/>
  <c r="W2130" i="2" s="1"/>
  <c r="W2129" i="2" a="1"/>
  <c r="W2129" i="2" s="1"/>
  <c r="W2128" i="2" a="1"/>
  <c r="W2128" i="2" s="1"/>
  <c r="W2127" i="2" a="1"/>
  <c r="W2127" i="2" s="1"/>
  <c r="W2126" i="2" a="1"/>
  <c r="W2126" i="2" s="1"/>
  <c r="W2125" i="2" a="1"/>
  <c r="W2125" i="2" s="1"/>
  <c r="W2124" i="2" a="1"/>
  <c r="W2124" i="2" s="1"/>
  <c r="W2123" i="2" a="1"/>
  <c r="W2123" i="2" s="1"/>
  <c r="W2122" i="2" a="1"/>
  <c r="W2122" i="2" s="1"/>
  <c r="W2121" i="2" a="1"/>
  <c r="W2121" i="2" s="1"/>
  <c r="W2120" i="2" a="1"/>
  <c r="W2120" i="2" s="1"/>
  <c r="W2119" i="2" a="1"/>
  <c r="W2119" i="2" s="1"/>
  <c r="W2118" i="2" a="1"/>
  <c r="W2118" i="2" s="1"/>
  <c r="W2117" i="2" a="1"/>
  <c r="W2117" i="2" s="1"/>
  <c r="W2116" i="2" a="1"/>
  <c r="W2116" i="2" s="1"/>
  <c r="W2115" i="2" a="1"/>
  <c r="W2115" i="2" s="1"/>
  <c r="W2114" i="2" a="1"/>
  <c r="W2114" i="2" s="1"/>
  <c r="W2113" i="2" a="1"/>
  <c r="W2113" i="2" s="1"/>
  <c r="W2112" i="2" a="1"/>
  <c r="W2112" i="2" s="1"/>
  <c r="W2111" i="2" a="1"/>
  <c r="W2111" i="2" s="1"/>
  <c r="W2110" i="2" a="1"/>
  <c r="W2110" i="2" s="1"/>
  <c r="W2109" i="2" a="1"/>
  <c r="W2109" i="2" s="1"/>
  <c r="W2108" i="2" a="1"/>
  <c r="W2108" i="2" s="1"/>
  <c r="W2107" i="2" a="1"/>
  <c r="W2107" i="2" s="1"/>
  <c r="W2106" i="2" a="1"/>
  <c r="W2106" i="2" s="1"/>
  <c r="W2105" i="2" a="1"/>
  <c r="W2105" i="2" s="1"/>
  <c r="W2104" i="2" a="1"/>
  <c r="W2104" i="2" s="1"/>
  <c r="W2103" i="2" a="1"/>
  <c r="W2103" i="2" s="1"/>
  <c r="W2102" i="2" a="1"/>
  <c r="W2102" i="2" s="1"/>
  <c r="W2101" i="2" a="1"/>
  <c r="W2101" i="2" s="1"/>
  <c r="W2100" i="2" a="1"/>
  <c r="W2100" i="2" s="1"/>
  <c r="W2099" i="2" a="1"/>
  <c r="W2099" i="2" s="1"/>
  <c r="W2098" i="2" a="1"/>
  <c r="W2098" i="2" s="1"/>
  <c r="W2097" i="2" a="1"/>
  <c r="W2097" i="2" s="1"/>
  <c r="W2096" i="2" a="1"/>
  <c r="W2096" i="2" s="1"/>
  <c r="W2095" i="2" a="1"/>
  <c r="W2095" i="2" s="1"/>
  <c r="W2094" i="2" a="1"/>
  <c r="W2094" i="2" s="1"/>
  <c r="W2093" i="2" a="1"/>
  <c r="W2093" i="2" s="1"/>
  <c r="W2092" i="2" a="1"/>
  <c r="W2092" i="2" s="1"/>
  <c r="W2091" i="2" a="1"/>
  <c r="W2091" i="2" s="1"/>
  <c r="W2090" i="2" a="1"/>
  <c r="W2090" i="2" s="1"/>
  <c r="W2089" i="2" a="1"/>
  <c r="W2089" i="2" s="1"/>
  <c r="W2088" i="2" a="1"/>
  <c r="W2088" i="2" s="1"/>
  <c r="W2087" i="2" a="1"/>
  <c r="W2087" i="2" s="1"/>
  <c r="W2086" i="2" a="1"/>
  <c r="W2086" i="2" s="1"/>
  <c r="W2085" i="2" a="1"/>
  <c r="W2085" i="2" s="1"/>
  <c r="W2084" i="2" a="1"/>
  <c r="W2084" i="2" s="1"/>
  <c r="W2083" i="2" a="1"/>
  <c r="W2083" i="2" s="1"/>
  <c r="W2082" i="2" a="1"/>
  <c r="W2082" i="2" s="1"/>
  <c r="W2081" i="2" a="1"/>
  <c r="W2081" i="2" s="1"/>
  <c r="W2080" i="2" a="1"/>
  <c r="W2080" i="2" s="1"/>
  <c r="W2079" i="2" a="1"/>
  <c r="W2079" i="2" s="1"/>
  <c r="W2078" i="2" a="1"/>
  <c r="W2078" i="2" s="1"/>
  <c r="W2077" i="2" a="1"/>
  <c r="W2077" i="2" s="1"/>
  <c r="W2076" i="2" a="1"/>
  <c r="W2076" i="2" s="1"/>
  <c r="W2075" i="2" a="1"/>
  <c r="W2075" i="2" s="1"/>
  <c r="W2074" i="2" a="1"/>
  <c r="W2074" i="2" s="1"/>
  <c r="W2073" i="2" a="1"/>
  <c r="W2073" i="2" s="1"/>
  <c r="W2072" i="2" a="1"/>
  <c r="W2072" i="2" s="1"/>
  <c r="W2071" i="2" a="1"/>
  <c r="W2071" i="2" s="1"/>
  <c r="W2070" i="2" a="1"/>
  <c r="W2070" i="2" s="1"/>
  <c r="W2069" i="2" a="1"/>
  <c r="W2069" i="2" s="1"/>
  <c r="W2068" i="2" a="1"/>
  <c r="W2068" i="2" s="1"/>
  <c r="W2067" i="2" a="1"/>
  <c r="W2067" i="2" s="1"/>
  <c r="W2066" i="2" a="1"/>
  <c r="W2066" i="2" s="1"/>
  <c r="W2065" i="2" a="1"/>
  <c r="W2065" i="2" s="1"/>
  <c r="W2064" i="2" a="1"/>
  <c r="W2064" i="2" s="1"/>
  <c r="W2063" i="2" a="1"/>
  <c r="W2063" i="2" s="1"/>
  <c r="W2062" i="2" a="1"/>
  <c r="W2062" i="2" s="1"/>
  <c r="W2061" i="2" a="1"/>
  <c r="W2061" i="2" s="1"/>
  <c r="W2060" i="2" a="1"/>
  <c r="W2060" i="2" s="1"/>
  <c r="W2059" i="2" a="1"/>
  <c r="W2059" i="2" s="1"/>
  <c r="W2058" i="2" a="1"/>
  <c r="W2058" i="2" s="1"/>
  <c r="W2057" i="2" a="1"/>
  <c r="W2057" i="2" s="1"/>
  <c r="W2056" i="2" a="1"/>
  <c r="W2056" i="2" s="1"/>
  <c r="W2055" i="2" a="1"/>
  <c r="W2055" i="2" s="1"/>
  <c r="W2054" i="2" a="1"/>
  <c r="W2054" i="2" s="1"/>
  <c r="W2053" i="2" a="1"/>
  <c r="W2053" i="2" s="1"/>
  <c r="W2052" i="2" a="1"/>
  <c r="W2052" i="2" s="1"/>
  <c r="W2051" i="2" a="1"/>
  <c r="W2051" i="2" s="1"/>
  <c r="W2050" i="2" a="1"/>
  <c r="W2050" i="2" s="1"/>
  <c r="W2049" i="2" a="1"/>
  <c r="W2049" i="2" s="1"/>
  <c r="W2048" i="2" a="1"/>
  <c r="W2048" i="2" s="1"/>
  <c r="W2047" i="2" a="1"/>
  <c r="W2047" i="2" s="1"/>
  <c r="W2046" i="2" a="1"/>
  <c r="W2046" i="2" s="1"/>
  <c r="W2045" i="2" a="1"/>
  <c r="W2045" i="2" s="1"/>
  <c r="W2044" i="2" a="1"/>
  <c r="W2044" i="2" s="1"/>
  <c r="W2043" i="2" a="1"/>
  <c r="W2043" i="2" s="1"/>
  <c r="W2042" i="2" a="1"/>
  <c r="W2042" i="2" s="1"/>
  <c r="W2041" i="2" a="1"/>
  <c r="W2041" i="2" s="1"/>
  <c r="W2040" i="2" a="1"/>
  <c r="W2040" i="2" s="1"/>
  <c r="W2039" i="2" a="1"/>
  <c r="W2039" i="2" s="1"/>
  <c r="W2038" i="2" a="1"/>
  <c r="W2038" i="2" s="1"/>
  <c r="W2037" i="2" a="1"/>
  <c r="W2037" i="2" s="1"/>
  <c r="W2036" i="2" a="1"/>
  <c r="W2036" i="2" s="1"/>
  <c r="W2035" i="2" a="1"/>
  <c r="W2035" i="2" s="1"/>
  <c r="W2034" i="2" a="1"/>
  <c r="W2034" i="2" s="1"/>
  <c r="W2033" i="2" a="1"/>
  <c r="W2033" i="2" s="1"/>
  <c r="W2032" i="2" a="1"/>
  <c r="W2032" i="2" s="1"/>
  <c r="W2031" i="2" a="1"/>
  <c r="W2031" i="2" s="1"/>
  <c r="W2030" i="2" a="1"/>
  <c r="W2030" i="2" s="1"/>
  <c r="W2029" i="2" a="1"/>
  <c r="W2029" i="2" s="1"/>
  <c r="W2028" i="2" a="1"/>
  <c r="W2028" i="2" s="1"/>
  <c r="W2027" i="2" a="1"/>
  <c r="W2027" i="2" s="1"/>
  <c r="W2026" i="2" a="1"/>
  <c r="W2026" i="2" s="1"/>
  <c r="W2025" i="2" a="1"/>
  <c r="W2025" i="2" s="1"/>
  <c r="W2024" i="2" a="1"/>
  <c r="W2024" i="2" s="1"/>
  <c r="W2023" i="2" a="1"/>
  <c r="W2023" i="2" s="1"/>
  <c r="W2022" i="2" a="1"/>
  <c r="W2022" i="2" s="1"/>
  <c r="W2021" i="2" a="1"/>
  <c r="W2021" i="2" s="1"/>
  <c r="W2020" i="2" a="1"/>
  <c r="W2020" i="2" s="1"/>
  <c r="W2019" i="2" a="1"/>
  <c r="W2019" i="2" s="1"/>
  <c r="W2018" i="2" a="1"/>
  <c r="W2018" i="2" s="1"/>
  <c r="W2017" i="2" a="1"/>
  <c r="W2017" i="2" s="1"/>
  <c r="W2016" i="2" a="1"/>
  <c r="W2016" i="2" s="1"/>
  <c r="W2015" i="2" a="1"/>
  <c r="W2015" i="2" s="1"/>
  <c r="W2014" i="2" a="1"/>
  <c r="W2014" i="2" s="1"/>
  <c r="W2013" i="2" a="1"/>
  <c r="W2013" i="2" s="1"/>
  <c r="W2012" i="2" a="1"/>
  <c r="W2012" i="2" s="1"/>
  <c r="W2011" i="2" a="1"/>
  <c r="W2011" i="2" s="1"/>
  <c r="W2010" i="2" a="1"/>
  <c r="W2010" i="2" s="1"/>
  <c r="W2009" i="2" a="1"/>
  <c r="W2009" i="2" s="1"/>
  <c r="W2008" i="2" a="1"/>
  <c r="W2008" i="2" s="1"/>
  <c r="W2007" i="2" a="1"/>
  <c r="W2007" i="2" s="1"/>
  <c r="W2006" i="2" a="1"/>
  <c r="W2006" i="2" s="1"/>
  <c r="W2005" i="2" a="1"/>
  <c r="W2005" i="2" s="1"/>
  <c r="W2004" i="2" a="1"/>
  <c r="W2004" i="2" s="1"/>
  <c r="W2003" i="2" a="1"/>
  <c r="W2003" i="2" s="1"/>
  <c r="W2002" i="2" a="1"/>
  <c r="W2002" i="2" s="1"/>
  <c r="W2001" i="2" a="1"/>
  <c r="W2001" i="2" s="1"/>
  <c r="W2000" i="2" a="1"/>
  <c r="W2000" i="2" s="1"/>
  <c r="W1999" i="2" a="1"/>
  <c r="W1999" i="2" s="1"/>
  <c r="W1998" i="2" a="1"/>
  <c r="W1998" i="2" s="1"/>
  <c r="W1997" i="2" a="1"/>
  <c r="W1997" i="2" s="1"/>
  <c r="W1996" i="2" a="1"/>
  <c r="W1996" i="2" s="1"/>
  <c r="W1995" i="2" a="1"/>
  <c r="W1995" i="2" s="1"/>
  <c r="W1994" i="2" a="1"/>
  <c r="W1994" i="2" s="1"/>
  <c r="W1993" i="2" a="1"/>
  <c r="W1993" i="2" s="1"/>
  <c r="W1992" i="2" a="1"/>
  <c r="W1992" i="2" s="1"/>
  <c r="W1991" i="2" a="1"/>
  <c r="W1991" i="2" s="1"/>
  <c r="W1990" i="2" a="1"/>
  <c r="W1990" i="2" s="1"/>
  <c r="W1989" i="2" a="1"/>
  <c r="W1989" i="2" s="1"/>
  <c r="W1987" i="2" a="1"/>
  <c r="W1987" i="2" s="1"/>
  <c r="W1986" i="2" a="1"/>
  <c r="W1986" i="2" s="1"/>
  <c r="W1985" i="2" a="1"/>
  <c r="W1985" i="2" s="1"/>
  <c r="W1984" i="2" a="1"/>
  <c r="W1984" i="2" s="1"/>
  <c r="W1983" i="2" a="1"/>
  <c r="W1983" i="2" s="1"/>
  <c r="W1982" i="2" a="1"/>
  <c r="W1982" i="2" s="1"/>
  <c r="W1981" i="2" a="1"/>
  <c r="W1981" i="2" s="1"/>
  <c r="W1980" i="2" a="1"/>
  <c r="W1980" i="2" s="1"/>
  <c r="W1979" i="2" a="1"/>
  <c r="W1979" i="2" s="1"/>
  <c r="W1978" i="2" a="1"/>
  <c r="W1978" i="2" s="1"/>
  <c r="W1977" i="2" a="1"/>
  <c r="W1977" i="2" s="1"/>
  <c r="W1976" i="2" a="1"/>
  <c r="W1976" i="2" s="1"/>
  <c r="W1975" i="2" a="1"/>
  <c r="W1975" i="2" s="1"/>
  <c r="W1974" i="2" a="1"/>
  <c r="W1974" i="2" s="1"/>
  <c r="W1973" i="2" a="1"/>
  <c r="W1973" i="2" s="1"/>
  <c r="W1972" i="2" a="1"/>
  <c r="W1972" i="2" s="1"/>
  <c r="W1971" i="2" a="1"/>
  <c r="W1971" i="2" s="1"/>
  <c r="W1970" i="2" a="1"/>
  <c r="W1970" i="2" s="1"/>
  <c r="W1969" i="2" a="1"/>
  <c r="W1969" i="2" s="1"/>
  <c r="W1968" i="2" a="1"/>
  <c r="W1968" i="2" s="1"/>
  <c r="W1967" i="2" a="1"/>
  <c r="W1967" i="2" s="1"/>
  <c r="W1966" i="2" a="1"/>
  <c r="W1966" i="2" s="1"/>
  <c r="W1965" i="2" a="1"/>
  <c r="W1965" i="2" s="1"/>
  <c r="W1964" i="2" a="1"/>
  <c r="W1964" i="2" s="1"/>
  <c r="W1963" i="2" a="1"/>
  <c r="W1963" i="2" s="1"/>
  <c r="W1962" i="2" a="1"/>
  <c r="W1962" i="2" s="1"/>
  <c r="W1961" i="2" a="1"/>
  <c r="W1961" i="2" s="1"/>
  <c r="W1960" i="2" a="1"/>
  <c r="W1960" i="2" s="1"/>
  <c r="W1959" i="2" a="1"/>
  <c r="W1959" i="2" s="1"/>
  <c r="W1958" i="2" a="1"/>
  <c r="W1958" i="2" s="1"/>
  <c r="W1957" i="2" a="1"/>
  <c r="W1957" i="2" s="1"/>
  <c r="W1956" i="2" a="1"/>
  <c r="W1956" i="2" s="1"/>
  <c r="W1955" i="2" a="1"/>
  <c r="W1955" i="2" s="1"/>
  <c r="W1954" i="2" a="1"/>
  <c r="W1954" i="2" s="1"/>
  <c r="W1953" i="2" a="1"/>
  <c r="W1953" i="2" s="1"/>
  <c r="W1952" i="2" a="1"/>
  <c r="W1952" i="2" s="1"/>
  <c r="W1951" i="2" a="1"/>
  <c r="W1951" i="2" s="1"/>
  <c r="W1950" i="2" a="1"/>
  <c r="W1950" i="2" s="1"/>
  <c r="W1949" i="2" a="1"/>
  <c r="W1949" i="2" s="1"/>
  <c r="W1948" i="2" a="1"/>
  <c r="W1948" i="2" s="1"/>
  <c r="W1947" i="2" a="1"/>
  <c r="W1947" i="2" s="1"/>
  <c r="W1946" i="2" a="1"/>
  <c r="W1946" i="2" s="1"/>
  <c r="W1945" i="2" a="1"/>
  <c r="W1945" i="2" s="1"/>
  <c r="W1944" i="2" a="1"/>
  <c r="W1944" i="2" s="1"/>
  <c r="W1943" i="2" a="1"/>
  <c r="W1943" i="2" s="1"/>
  <c r="W1942" i="2" a="1"/>
  <c r="W1942" i="2" s="1"/>
  <c r="W1941" i="2" a="1"/>
  <c r="W1941" i="2" s="1"/>
  <c r="W1940" i="2" a="1"/>
  <c r="W1940" i="2" s="1"/>
  <c r="W1939" i="2" a="1"/>
  <c r="W1939" i="2" s="1"/>
  <c r="W1938" i="2" a="1"/>
  <c r="W1938" i="2" s="1"/>
  <c r="W1937" i="2" a="1"/>
  <c r="W1937" i="2" s="1"/>
  <c r="W1936" i="2" a="1"/>
  <c r="W1936" i="2" s="1"/>
  <c r="W1935" i="2" a="1"/>
  <c r="W1935" i="2" s="1"/>
  <c r="W1934" i="2" a="1"/>
  <c r="W1934" i="2" s="1"/>
  <c r="W1933" i="2" a="1"/>
  <c r="W1933" i="2" s="1"/>
  <c r="W1932" i="2" a="1"/>
  <c r="W1932" i="2" s="1"/>
  <c r="W1931" i="2" a="1"/>
  <c r="W1931" i="2" s="1"/>
  <c r="W1930" i="2" a="1"/>
  <c r="W1930" i="2" s="1"/>
  <c r="W1929" i="2" a="1"/>
  <c r="W1929" i="2" s="1"/>
  <c r="W1928" i="2" a="1"/>
  <c r="W1928" i="2" s="1"/>
  <c r="W1927" i="2" a="1"/>
  <c r="W1927" i="2" s="1"/>
  <c r="W1926" i="2" a="1"/>
  <c r="W1926" i="2" s="1"/>
  <c r="W1925" i="2" a="1"/>
  <c r="W1925" i="2" s="1"/>
  <c r="W1924" i="2" a="1"/>
  <c r="W1924" i="2" s="1"/>
  <c r="W1923" i="2" a="1"/>
  <c r="W1923" i="2" s="1"/>
  <c r="W1922" i="2" a="1"/>
  <c r="W1922" i="2" s="1"/>
  <c r="W1921" i="2" a="1"/>
  <c r="W1921" i="2" s="1"/>
  <c r="W1920" i="2" a="1"/>
  <c r="W1920" i="2" s="1"/>
  <c r="W1919" i="2" a="1"/>
  <c r="W1919" i="2" s="1"/>
  <c r="W1918" i="2" a="1"/>
  <c r="W1918" i="2" s="1"/>
  <c r="W1917" i="2" a="1"/>
  <c r="W1917" i="2" s="1"/>
  <c r="W1916" i="2" a="1"/>
  <c r="W1916" i="2" s="1"/>
  <c r="W1915" i="2" a="1"/>
  <c r="W1915" i="2" s="1"/>
  <c r="W1914" i="2" a="1"/>
  <c r="W1914" i="2" s="1"/>
  <c r="W1913" i="2" a="1"/>
  <c r="W1913" i="2" s="1"/>
  <c r="W1912" i="2" a="1"/>
  <c r="W1912" i="2" s="1"/>
  <c r="W1911" i="2" a="1"/>
  <c r="W1911" i="2" s="1"/>
  <c r="W1910" i="2" a="1"/>
  <c r="W1910" i="2" s="1"/>
  <c r="W1909" i="2" a="1"/>
  <c r="W1909" i="2" s="1"/>
  <c r="W1908" i="2" a="1"/>
  <c r="W1908" i="2" s="1"/>
  <c r="W1907" i="2" a="1"/>
  <c r="W1907" i="2" s="1"/>
  <c r="W1906" i="2" a="1"/>
  <c r="W1906" i="2" s="1"/>
  <c r="W1905" i="2" a="1"/>
  <c r="W1905" i="2" s="1"/>
  <c r="W1904" i="2" a="1"/>
  <c r="W1904" i="2" s="1"/>
  <c r="W1903" i="2" a="1"/>
  <c r="W1903" i="2" s="1"/>
  <c r="W1902" i="2" a="1"/>
  <c r="W1902" i="2" s="1"/>
  <c r="W1901" i="2" a="1"/>
  <c r="W1901" i="2" s="1"/>
  <c r="W1900" i="2" a="1"/>
  <c r="W1900" i="2" s="1"/>
  <c r="W1899" i="2" a="1"/>
  <c r="W1899" i="2" s="1"/>
  <c r="W1898" i="2" a="1"/>
  <c r="W1898" i="2" s="1"/>
  <c r="W1897" i="2" a="1"/>
  <c r="W1897" i="2" s="1"/>
  <c r="W1896" i="2" a="1"/>
  <c r="W1896" i="2" s="1"/>
  <c r="W1895" i="2" a="1"/>
  <c r="W1895" i="2" s="1"/>
  <c r="W1894" i="2" a="1"/>
  <c r="W1894" i="2" s="1"/>
  <c r="W1893" i="2" a="1"/>
  <c r="W1893" i="2" s="1"/>
  <c r="W1892" i="2" a="1"/>
  <c r="W1892" i="2" s="1"/>
  <c r="W1891" i="2" a="1"/>
  <c r="W1891" i="2" s="1"/>
  <c r="W1890" i="2" a="1"/>
  <c r="W1890" i="2" s="1"/>
  <c r="W1889" i="2" a="1"/>
  <c r="W1889" i="2" s="1"/>
  <c r="W1888" i="2" a="1"/>
  <c r="W1888" i="2" s="1"/>
  <c r="W1887" i="2" a="1"/>
  <c r="W1887" i="2" s="1"/>
  <c r="W1886" i="2" a="1"/>
  <c r="W1886" i="2" s="1"/>
  <c r="W1885" i="2" a="1"/>
  <c r="W1885" i="2" s="1"/>
  <c r="W1884" i="2" a="1"/>
  <c r="W1884" i="2" s="1"/>
  <c r="W1883" i="2" a="1"/>
  <c r="W1883" i="2" s="1"/>
  <c r="W1882" i="2" a="1"/>
  <c r="W1882" i="2" s="1"/>
  <c r="W1881" i="2" a="1"/>
  <c r="W1881" i="2" s="1"/>
  <c r="W1880" i="2" a="1"/>
  <c r="W1880" i="2" s="1"/>
  <c r="W1879" i="2" a="1"/>
  <c r="W1879" i="2" s="1"/>
  <c r="W1878" i="2" a="1"/>
  <c r="W1878" i="2" s="1"/>
  <c r="W1877" i="2" a="1"/>
  <c r="W1877" i="2" s="1"/>
  <c r="W1876" i="2" a="1"/>
  <c r="W1876" i="2" s="1"/>
  <c r="W1875" i="2" a="1"/>
  <c r="W1875" i="2" s="1"/>
  <c r="W1874" i="2" a="1"/>
  <c r="W1874" i="2" s="1"/>
  <c r="W1873" i="2" a="1"/>
  <c r="W1873" i="2" s="1"/>
  <c r="W1872" i="2" a="1"/>
  <c r="W1872" i="2" s="1"/>
  <c r="W1871" i="2" a="1"/>
  <c r="W1871" i="2" s="1"/>
  <c r="W1870" i="2" a="1"/>
  <c r="W1870" i="2" s="1"/>
  <c r="W1869" i="2" a="1"/>
  <c r="W1869" i="2" s="1"/>
  <c r="W1868" i="2" a="1"/>
  <c r="W1868" i="2" s="1"/>
  <c r="W1867" i="2" a="1"/>
  <c r="W1867" i="2" s="1"/>
  <c r="W1866" i="2" a="1"/>
  <c r="W1866" i="2" s="1"/>
  <c r="W1865" i="2" a="1"/>
  <c r="W1865" i="2" s="1"/>
  <c r="W1864" i="2" a="1"/>
  <c r="W1864" i="2" s="1"/>
  <c r="W1863" i="2" a="1"/>
  <c r="W1863" i="2" s="1"/>
  <c r="W1862" i="2" a="1"/>
  <c r="W1862" i="2" s="1"/>
  <c r="W1861" i="2" a="1"/>
  <c r="W1861" i="2" s="1"/>
  <c r="W1860" i="2" a="1"/>
  <c r="W1860" i="2" s="1"/>
  <c r="W1859" i="2" a="1"/>
  <c r="W1859" i="2" s="1"/>
  <c r="W1858" i="2" a="1"/>
  <c r="W1858" i="2" s="1"/>
  <c r="W1857" i="2" a="1"/>
  <c r="W1857" i="2" s="1"/>
  <c r="W1856" i="2" a="1"/>
  <c r="W1856" i="2" s="1"/>
  <c r="W1855" i="2" a="1"/>
  <c r="W1855" i="2" s="1"/>
  <c r="W1854" i="2" a="1"/>
  <c r="W1854" i="2" s="1"/>
  <c r="W1853" i="2" a="1"/>
  <c r="W1853" i="2" s="1"/>
  <c r="W1852" i="2" a="1"/>
  <c r="W1852" i="2" s="1"/>
  <c r="W1851" i="2" a="1"/>
  <c r="W1851" i="2" s="1"/>
  <c r="W1850" i="2" a="1"/>
  <c r="W1850" i="2" s="1"/>
  <c r="W1849" i="2" a="1"/>
  <c r="W1849" i="2" s="1"/>
  <c r="W1848" i="2" a="1"/>
  <c r="W1848" i="2" s="1"/>
  <c r="W1847" i="2" a="1"/>
  <c r="W1847" i="2" s="1"/>
  <c r="W1846" i="2" a="1"/>
  <c r="W1846" i="2" s="1"/>
  <c r="W1845" i="2" a="1"/>
  <c r="W1845" i="2" s="1"/>
  <c r="W1844" i="2" a="1"/>
  <c r="W1844" i="2" s="1"/>
  <c r="W1843" i="2" a="1"/>
  <c r="W1843" i="2" s="1"/>
  <c r="W1842" i="2" a="1"/>
  <c r="W1842" i="2" s="1"/>
  <c r="W1841" i="2" a="1"/>
  <c r="W1841" i="2" s="1"/>
  <c r="W1840" i="2" a="1"/>
  <c r="W1840" i="2" s="1"/>
  <c r="W1839" i="2" a="1"/>
  <c r="W1839" i="2" s="1"/>
  <c r="W1838" i="2" a="1"/>
  <c r="W1838" i="2" s="1"/>
  <c r="W1837" i="2" a="1"/>
  <c r="W1837" i="2" s="1"/>
  <c r="W1836" i="2" a="1"/>
  <c r="W1836" i="2" s="1"/>
  <c r="W1835" i="2" a="1"/>
  <c r="W1835" i="2" s="1"/>
  <c r="W1834" i="2" a="1"/>
  <c r="W1834" i="2" s="1"/>
  <c r="W1833" i="2" a="1"/>
  <c r="W1833" i="2" s="1"/>
  <c r="W1832" i="2" a="1"/>
  <c r="W1832" i="2" s="1"/>
  <c r="W1831" i="2" a="1"/>
  <c r="W1831" i="2" s="1"/>
  <c r="W1830" i="2" a="1"/>
  <c r="W1830" i="2" s="1"/>
  <c r="W1829" i="2" a="1"/>
  <c r="W1829" i="2" s="1"/>
  <c r="W1828" i="2" a="1"/>
  <c r="W1828" i="2" s="1"/>
  <c r="W1827" i="2" a="1"/>
  <c r="W1827" i="2" s="1"/>
  <c r="W1826" i="2" a="1"/>
  <c r="W1826" i="2" s="1"/>
  <c r="W1825" i="2" a="1"/>
  <c r="W1825" i="2" s="1"/>
  <c r="W1824" i="2" a="1"/>
  <c r="W1824" i="2" s="1"/>
  <c r="W1823" i="2" a="1"/>
  <c r="W1823" i="2" s="1"/>
  <c r="W1822" i="2" a="1"/>
  <c r="W1822" i="2" s="1"/>
  <c r="W1821" i="2" a="1"/>
  <c r="W1821" i="2" s="1"/>
  <c r="W1820" i="2" a="1"/>
  <c r="W1820" i="2" s="1"/>
  <c r="W1819" i="2" a="1"/>
  <c r="W1819" i="2" s="1"/>
  <c r="W1818" i="2" a="1"/>
  <c r="W1818" i="2" s="1"/>
  <c r="W1817" i="2" a="1"/>
  <c r="W1817" i="2" s="1"/>
  <c r="W1816" i="2" a="1"/>
  <c r="W1816" i="2" s="1"/>
  <c r="W1815" i="2" a="1"/>
  <c r="W1815" i="2" s="1"/>
  <c r="W1814" i="2" a="1"/>
  <c r="W1814" i="2" s="1"/>
  <c r="W1813" i="2" a="1"/>
  <c r="W1813" i="2" s="1"/>
  <c r="W1812" i="2" a="1"/>
  <c r="W1812" i="2" s="1"/>
  <c r="W1811" i="2" a="1"/>
  <c r="W1811" i="2" s="1"/>
  <c r="W1810" i="2" a="1"/>
  <c r="W1810" i="2" s="1"/>
  <c r="W1809" i="2" a="1"/>
  <c r="W1809" i="2" s="1"/>
  <c r="W1808" i="2" a="1"/>
  <c r="W1808" i="2" s="1"/>
  <c r="W1807" i="2" a="1"/>
  <c r="W1807" i="2" s="1"/>
  <c r="W1806" i="2" a="1"/>
  <c r="W1806" i="2" s="1"/>
  <c r="W1805" i="2" a="1"/>
  <c r="W1805" i="2" s="1"/>
  <c r="W1804" i="2" a="1"/>
  <c r="W1804" i="2" s="1"/>
  <c r="W1803" i="2" a="1"/>
  <c r="W1803" i="2" s="1"/>
  <c r="W1802" i="2" a="1"/>
  <c r="W1802" i="2" s="1"/>
  <c r="W1801" i="2" a="1"/>
  <c r="W1801" i="2" s="1"/>
  <c r="W1799" i="2" a="1"/>
  <c r="W1799" i="2" s="1"/>
  <c r="W1798" i="2" a="1"/>
  <c r="W1798" i="2" s="1"/>
  <c r="W1797" i="2" a="1"/>
  <c r="W1797" i="2" s="1"/>
  <c r="W1796" i="2" a="1"/>
  <c r="W1796" i="2" s="1"/>
  <c r="W1795" i="2" a="1"/>
  <c r="W1795" i="2" s="1"/>
  <c r="W1794" i="2" a="1"/>
  <c r="W1794" i="2" s="1"/>
  <c r="W1793" i="2" a="1"/>
  <c r="W1793" i="2" s="1"/>
  <c r="W1792" i="2" a="1"/>
  <c r="W1792" i="2" s="1"/>
  <c r="W1791" i="2" a="1"/>
  <c r="W1791" i="2" s="1"/>
  <c r="W1790" i="2" a="1"/>
  <c r="W1790" i="2" s="1"/>
  <c r="W1789" i="2" a="1"/>
  <c r="W1789" i="2" s="1"/>
  <c r="W1788" i="2" a="1"/>
  <c r="W1788" i="2" s="1"/>
  <c r="W1787" i="2" a="1"/>
  <c r="W1787" i="2" s="1"/>
  <c r="W1786" i="2" a="1"/>
  <c r="W1786" i="2" s="1"/>
  <c r="W1785" i="2" a="1"/>
  <c r="W1785" i="2" s="1"/>
  <c r="W1784" i="2" a="1"/>
  <c r="W1784" i="2" s="1"/>
  <c r="W1783" i="2" a="1"/>
  <c r="W1783" i="2" s="1"/>
  <c r="W1782" i="2" a="1"/>
  <c r="W1782" i="2" s="1"/>
  <c r="W1781" i="2" a="1"/>
  <c r="W1781" i="2" s="1"/>
  <c r="W1780" i="2" a="1"/>
  <c r="W1780" i="2" s="1"/>
  <c r="W1779" i="2" a="1"/>
  <c r="W1779" i="2" s="1"/>
  <c r="W1778" i="2" a="1"/>
  <c r="W1778" i="2" s="1"/>
  <c r="W1777" i="2" a="1"/>
  <c r="W1777" i="2" s="1"/>
  <c r="W1776" i="2" a="1"/>
  <c r="W1776" i="2" s="1"/>
  <c r="W1775" i="2" a="1"/>
  <c r="W1775" i="2" s="1"/>
  <c r="W1774" i="2" a="1"/>
  <c r="W1774" i="2" s="1"/>
  <c r="W1773" i="2" a="1"/>
  <c r="W1773" i="2" s="1"/>
  <c r="W1772" i="2" a="1"/>
  <c r="W1772" i="2" s="1"/>
  <c r="W1771" i="2" a="1"/>
  <c r="W1771" i="2" s="1"/>
  <c r="W1770" i="2" a="1"/>
  <c r="W1770" i="2" s="1"/>
  <c r="W1769" i="2" a="1"/>
  <c r="W1769" i="2" s="1"/>
  <c r="W1768" i="2" a="1"/>
  <c r="W1768" i="2" s="1"/>
  <c r="W1767" i="2" a="1"/>
  <c r="W1767" i="2" s="1"/>
  <c r="W1766" i="2" a="1"/>
  <c r="W1766" i="2" s="1"/>
  <c r="W1765" i="2" a="1"/>
  <c r="W1765" i="2" s="1"/>
  <c r="W1764" i="2" a="1"/>
  <c r="W1764" i="2" s="1"/>
  <c r="W1763" i="2" a="1"/>
  <c r="W1763" i="2" s="1"/>
  <c r="W1762" i="2" a="1"/>
  <c r="W1762" i="2" s="1"/>
  <c r="W1761" i="2" a="1"/>
  <c r="W1761" i="2" s="1"/>
  <c r="W1760" i="2" a="1"/>
  <c r="W1760" i="2" s="1"/>
  <c r="W1759" i="2" a="1"/>
  <c r="W1759" i="2" s="1"/>
  <c r="W1758" i="2" a="1"/>
  <c r="W1758" i="2" s="1"/>
  <c r="W1757" i="2" a="1"/>
  <c r="W1757" i="2" s="1"/>
  <c r="W1756" i="2" a="1"/>
  <c r="W1756" i="2" s="1"/>
  <c r="W1755" i="2" a="1"/>
  <c r="W1755" i="2" s="1"/>
  <c r="W1754" i="2" a="1"/>
  <c r="W1754" i="2" s="1"/>
  <c r="W1753" i="2" a="1"/>
  <c r="W1753" i="2" s="1"/>
  <c r="W1752" i="2" a="1"/>
  <c r="W1752" i="2" s="1"/>
  <c r="W1751" i="2" a="1"/>
  <c r="W1751" i="2" s="1"/>
  <c r="W1750" i="2" a="1"/>
  <c r="W1750" i="2" s="1"/>
  <c r="W1749" i="2" a="1"/>
  <c r="W1749" i="2" s="1"/>
  <c r="W1748" i="2" a="1"/>
  <c r="W1748" i="2" s="1"/>
  <c r="W1747" i="2" a="1"/>
  <c r="W1747" i="2" s="1"/>
  <c r="W1746" i="2" a="1"/>
  <c r="W1746" i="2" s="1"/>
  <c r="W1745" i="2" a="1"/>
  <c r="W1745" i="2" s="1"/>
  <c r="W1744" i="2" a="1"/>
  <c r="W1744" i="2" s="1"/>
  <c r="W1743" i="2" a="1"/>
  <c r="W1743" i="2" s="1"/>
  <c r="W1742" i="2" a="1"/>
  <c r="W1742" i="2" s="1"/>
  <c r="W1741" i="2" a="1"/>
  <c r="W1741" i="2" s="1"/>
  <c r="W1740" i="2" a="1"/>
  <c r="W1740" i="2" s="1"/>
  <c r="W1739" i="2" a="1"/>
  <c r="W1739" i="2" s="1"/>
  <c r="W1738" i="2" a="1"/>
  <c r="W1738" i="2" s="1"/>
  <c r="W1737" i="2" a="1"/>
  <c r="W1737" i="2" s="1"/>
  <c r="W1736" i="2" a="1"/>
  <c r="W1736" i="2" s="1"/>
  <c r="W1735" i="2" a="1"/>
  <c r="W1735" i="2" s="1"/>
  <c r="W1734" i="2" a="1"/>
  <c r="W1734" i="2" s="1"/>
  <c r="W1733" i="2" a="1"/>
  <c r="W1733" i="2" s="1"/>
  <c r="W1732" i="2" a="1"/>
  <c r="W1732" i="2" s="1"/>
  <c r="W1731" i="2" a="1"/>
  <c r="W1731" i="2" s="1"/>
  <c r="W1730" i="2" a="1"/>
  <c r="W1730" i="2" s="1"/>
  <c r="W1729" i="2" a="1"/>
  <c r="W1729" i="2" s="1"/>
  <c r="W1728" i="2" a="1"/>
  <c r="W1728" i="2" s="1"/>
  <c r="W1727" i="2" a="1"/>
  <c r="W1727" i="2" s="1"/>
  <c r="W1726" i="2" a="1"/>
  <c r="W1726" i="2" s="1"/>
  <c r="W1725" i="2" a="1"/>
  <c r="W1725" i="2" s="1"/>
  <c r="W1724" i="2" a="1"/>
  <c r="W1724" i="2" s="1"/>
  <c r="W1723" i="2" a="1"/>
  <c r="W1723" i="2" s="1"/>
  <c r="W1722" i="2" a="1"/>
  <c r="W1722" i="2" s="1"/>
  <c r="W1721" i="2" a="1"/>
  <c r="W1721" i="2" s="1"/>
  <c r="W1720" i="2" a="1"/>
  <c r="W1720" i="2" s="1"/>
  <c r="W1719" i="2" a="1"/>
  <c r="W1719" i="2" s="1"/>
  <c r="W1718" i="2" a="1"/>
  <c r="W1718" i="2" s="1"/>
  <c r="W1717" i="2" a="1"/>
  <c r="W1717" i="2" s="1"/>
  <c r="W1716" i="2" a="1"/>
  <c r="W1716" i="2" s="1"/>
  <c r="W1715" i="2" a="1"/>
  <c r="W1715" i="2" s="1"/>
  <c r="W1714" i="2" a="1"/>
  <c r="W1714" i="2" s="1"/>
  <c r="W1713" i="2" a="1"/>
  <c r="W1713" i="2" s="1"/>
  <c r="W1712" i="2" a="1"/>
  <c r="W1712" i="2" s="1"/>
  <c r="W1711" i="2" a="1"/>
  <c r="W1711" i="2" s="1"/>
  <c r="W1710" i="2" a="1"/>
  <c r="W1710" i="2" s="1"/>
  <c r="W1709" i="2" a="1"/>
  <c r="W1709" i="2" s="1"/>
  <c r="W1708" i="2" a="1"/>
  <c r="W1708" i="2" s="1"/>
  <c r="W1707" i="2" a="1"/>
  <c r="W1707" i="2" s="1"/>
  <c r="W1706" i="2" a="1"/>
  <c r="W1706" i="2" s="1"/>
  <c r="W1705" i="2" a="1"/>
  <c r="W1705" i="2" s="1"/>
  <c r="W1704" i="2" a="1"/>
  <c r="W1704" i="2" s="1"/>
  <c r="W1703" i="2" a="1"/>
  <c r="W1703" i="2" s="1"/>
  <c r="W1702" i="2" a="1"/>
  <c r="W1702" i="2" s="1"/>
  <c r="W1701" i="2" a="1"/>
  <c r="W1701" i="2" s="1"/>
  <c r="W1700" i="2" a="1"/>
  <c r="W1700" i="2" s="1"/>
  <c r="W1699" i="2" a="1"/>
  <c r="W1699" i="2" s="1"/>
  <c r="W1698" i="2" a="1"/>
  <c r="W1698" i="2" s="1"/>
  <c r="W1697" i="2" a="1"/>
  <c r="W1697" i="2" s="1"/>
  <c r="W1696" i="2" a="1"/>
  <c r="W1696" i="2" s="1"/>
  <c r="W1695" i="2" a="1"/>
  <c r="W1695" i="2" s="1"/>
  <c r="W1694" i="2" a="1"/>
  <c r="W1694" i="2" s="1"/>
  <c r="W1693" i="2" a="1"/>
  <c r="W1693" i="2" s="1"/>
  <c r="W1692" i="2" a="1"/>
  <c r="W1692" i="2" s="1"/>
  <c r="W1691" i="2" a="1"/>
  <c r="W1691" i="2" s="1"/>
  <c r="W1690" i="2" a="1"/>
  <c r="W1690" i="2" s="1"/>
  <c r="W1689" i="2" a="1"/>
  <c r="W1689" i="2" s="1"/>
  <c r="W1688" i="2" a="1"/>
  <c r="W1688" i="2" s="1"/>
  <c r="W1687" i="2" a="1"/>
  <c r="W1687" i="2" s="1"/>
  <c r="W1686" i="2" a="1"/>
  <c r="W1686" i="2" s="1"/>
  <c r="W1685" i="2" a="1"/>
  <c r="W1685" i="2" s="1"/>
  <c r="W1684" i="2" a="1"/>
  <c r="W1684" i="2" s="1"/>
  <c r="W1683" i="2" a="1"/>
  <c r="W1683" i="2" s="1"/>
  <c r="W1682" i="2" a="1"/>
  <c r="W1682" i="2" s="1"/>
  <c r="W1681" i="2" a="1"/>
  <c r="W1681" i="2" s="1"/>
  <c r="W1680" i="2" a="1"/>
  <c r="W1680" i="2" s="1"/>
  <c r="W1679" i="2" a="1"/>
  <c r="W1679" i="2" s="1"/>
  <c r="W1678" i="2" a="1"/>
  <c r="W1678" i="2" s="1"/>
  <c r="W1677" i="2" a="1"/>
  <c r="W1677" i="2" s="1"/>
  <c r="W1676" i="2" a="1"/>
  <c r="W1676" i="2" s="1"/>
  <c r="W1675" i="2" a="1"/>
  <c r="W1675" i="2" s="1"/>
  <c r="W1674" i="2" a="1"/>
  <c r="W1674" i="2" s="1"/>
  <c r="W1673" i="2" a="1"/>
  <c r="W1673" i="2" s="1"/>
  <c r="W1672" i="2" a="1"/>
  <c r="W1672" i="2" s="1"/>
  <c r="W1671" i="2" a="1"/>
  <c r="W1671" i="2" s="1"/>
  <c r="W1670" i="2" a="1"/>
  <c r="W1670" i="2" s="1"/>
  <c r="W1669" i="2" a="1"/>
  <c r="W1669" i="2" s="1"/>
  <c r="W1668" i="2" a="1"/>
  <c r="W1668" i="2" s="1"/>
  <c r="W1667" i="2" a="1"/>
  <c r="W1667" i="2" s="1"/>
  <c r="W1666" i="2" a="1"/>
  <c r="W1666" i="2" s="1"/>
  <c r="W1665" i="2" a="1"/>
  <c r="W1665" i="2" s="1"/>
  <c r="W1664" i="2" a="1"/>
  <c r="W1664" i="2" s="1"/>
  <c r="W1663" i="2" a="1"/>
  <c r="W1663" i="2" s="1"/>
  <c r="W1662" i="2" a="1"/>
  <c r="W1662" i="2" s="1"/>
  <c r="W1661" i="2" a="1"/>
  <c r="W1661" i="2" s="1"/>
  <c r="W1660" i="2" a="1"/>
  <c r="W1660" i="2" s="1"/>
  <c r="W1659" i="2" a="1"/>
  <c r="W1659" i="2" s="1"/>
  <c r="W1658" i="2" a="1"/>
  <c r="W1658" i="2" s="1"/>
  <c r="W1657" i="2" a="1"/>
  <c r="W1657" i="2" s="1"/>
  <c r="W1656" i="2" a="1"/>
  <c r="W1656" i="2" s="1"/>
  <c r="W1655" i="2" a="1"/>
  <c r="W1655" i="2" s="1"/>
  <c r="W1654" i="2" a="1"/>
  <c r="W1654" i="2" s="1"/>
  <c r="W1653" i="2" a="1"/>
  <c r="W1653" i="2" s="1"/>
  <c r="W1652" i="2" a="1"/>
  <c r="W1652" i="2" s="1"/>
  <c r="W1651" i="2" a="1"/>
  <c r="W1651" i="2" s="1"/>
  <c r="W1650" i="2" a="1"/>
  <c r="W1650" i="2" s="1"/>
  <c r="W1649" i="2" a="1"/>
  <c r="W1649" i="2" s="1"/>
  <c r="W1648" i="2" a="1"/>
  <c r="W1648" i="2" s="1"/>
  <c r="W1647" i="2" a="1"/>
  <c r="W1647" i="2" s="1"/>
  <c r="W1646" i="2" a="1"/>
  <c r="W1646" i="2" s="1"/>
  <c r="W1645" i="2" a="1"/>
  <c r="W1645" i="2" s="1"/>
  <c r="W1644" i="2" a="1"/>
  <c r="W1644" i="2" s="1"/>
  <c r="W1643" i="2" a="1"/>
  <c r="W1643" i="2" s="1"/>
  <c r="W1642" i="2" a="1"/>
  <c r="W1642" i="2" s="1"/>
  <c r="W1641" i="2" a="1"/>
  <c r="W1641" i="2" s="1"/>
  <c r="W1640" i="2" a="1"/>
  <c r="W1640" i="2" s="1"/>
  <c r="W1639" i="2" a="1"/>
  <c r="W1639" i="2" s="1"/>
  <c r="W1638" i="2" a="1"/>
  <c r="W1638" i="2" s="1"/>
  <c r="W1637" i="2" a="1"/>
  <c r="W1637" i="2" s="1"/>
  <c r="W1636" i="2" a="1"/>
  <c r="W1636" i="2" s="1"/>
  <c r="W1635" i="2" a="1"/>
  <c r="W1635" i="2" s="1"/>
  <c r="W1634" i="2" a="1"/>
  <c r="W1634" i="2" s="1"/>
  <c r="W1633" i="2" a="1"/>
  <c r="W1633" i="2" s="1"/>
  <c r="W1632" i="2" a="1"/>
  <c r="W1632" i="2" s="1"/>
  <c r="W1631" i="2" a="1"/>
  <c r="W1631" i="2" s="1"/>
  <c r="W1630" i="2" a="1"/>
  <c r="W1630" i="2" s="1"/>
  <c r="W1629" i="2" a="1"/>
  <c r="W1629" i="2" s="1"/>
  <c r="W1627" i="2" a="1"/>
  <c r="W1627" i="2" s="1"/>
  <c r="W1626" i="2" a="1"/>
  <c r="W1626" i="2" s="1"/>
  <c r="W1625" i="2" a="1"/>
  <c r="W1625" i="2" s="1"/>
  <c r="W1624" i="2" a="1"/>
  <c r="W1624" i="2" s="1"/>
  <c r="W1623" i="2" a="1"/>
  <c r="W1623" i="2" s="1"/>
  <c r="W1622" i="2" a="1"/>
  <c r="W1622" i="2" s="1"/>
  <c r="W1621" i="2" a="1"/>
  <c r="W1621" i="2" s="1"/>
  <c r="W1620" i="2" a="1"/>
  <c r="W1620" i="2" s="1"/>
  <c r="W1619" i="2" a="1"/>
  <c r="W1619" i="2" s="1"/>
  <c r="W1618" i="2" a="1"/>
  <c r="W1618" i="2" s="1"/>
  <c r="W1617" i="2" a="1"/>
  <c r="W1617" i="2" s="1"/>
  <c r="W1616" i="2" a="1"/>
  <c r="W1616" i="2" s="1"/>
  <c r="W1615" i="2" a="1"/>
  <c r="W1615" i="2" s="1"/>
  <c r="W1614" i="2" a="1"/>
  <c r="W1614" i="2" s="1"/>
  <c r="W1613" i="2" a="1"/>
  <c r="W1613" i="2" s="1"/>
  <c r="W1612" i="2" a="1"/>
  <c r="W1612" i="2" s="1"/>
  <c r="W1611" i="2" a="1"/>
  <c r="W1611" i="2" s="1"/>
  <c r="W1610" i="2" a="1"/>
  <c r="W1610" i="2" s="1"/>
  <c r="W1609" i="2" a="1"/>
  <c r="W1609" i="2" s="1"/>
  <c r="W1608" i="2" a="1"/>
  <c r="W1608" i="2" s="1"/>
  <c r="W1607" i="2" a="1"/>
  <c r="W1607" i="2" s="1"/>
  <c r="W1606" i="2" a="1"/>
  <c r="W1606" i="2" s="1"/>
  <c r="W1605" i="2" a="1"/>
  <c r="W1605" i="2" s="1"/>
  <c r="W1604" i="2" a="1"/>
  <c r="W1604" i="2" s="1"/>
  <c r="W1603" i="2" a="1"/>
  <c r="W1603" i="2" s="1"/>
  <c r="W1602" i="2" a="1"/>
  <c r="W1602" i="2" s="1"/>
  <c r="W1601" i="2" a="1"/>
  <c r="W1601" i="2" s="1"/>
  <c r="W1600" i="2" a="1"/>
  <c r="W1600" i="2" s="1"/>
  <c r="W1599" i="2" a="1"/>
  <c r="W1599" i="2" s="1"/>
  <c r="W1598" i="2" a="1"/>
  <c r="W1598" i="2" s="1"/>
  <c r="W1597" i="2" a="1"/>
  <c r="W1597" i="2" s="1"/>
  <c r="W1596" i="2" a="1"/>
  <c r="W1596" i="2" s="1"/>
  <c r="W1595" i="2" a="1"/>
  <c r="W1595" i="2" s="1"/>
  <c r="W1594" i="2" a="1"/>
  <c r="W1594" i="2" s="1"/>
  <c r="W1593" i="2" a="1"/>
  <c r="W1593" i="2" s="1"/>
  <c r="W1592" i="2" a="1"/>
  <c r="W1592" i="2" s="1"/>
  <c r="W1591" i="2" a="1"/>
  <c r="W1591" i="2" s="1"/>
  <c r="W1590" i="2" a="1"/>
  <c r="W1590" i="2" s="1"/>
  <c r="W1589" i="2" a="1"/>
  <c r="W1589" i="2" s="1"/>
  <c r="W1588" i="2" a="1"/>
  <c r="W1588" i="2" s="1"/>
  <c r="W1587" i="2" a="1"/>
  <c r="W1587" i="2" s="1"/>
  <c r="W1586" i="2" a="1"/>
  <c r="W1586" i="2" s="1"/>
  <c r="W1585" i="2" a="1"/>
  <c r="W1585" i="2" s="1"/>
  <c r="W1584" i="2" a="1"/>
  <c r="W1584" i="2" s="1"/>
  <c r="W1583" i="2" a="1"/>
  <c r="W1583" i="2" s="1"/>
  <c r="W1582" i="2" a="1"/>
  <c r="W1582" i="2" s="1"/>
  <c r="W1581" i="2" a="1"/>
  <c r="W1581" i="2" s="1"/>
  <c r="W1580" i="2" a="1"/>
  <c r="W1580" i="2" s="1"/>
  <c r="W1579" i="2" a="1"/>
  <c r="W1579" i="2" s="1"/>
  <c r="W1578" i="2" a="1"/>
  <c r="W1578" i="2" s="1"/>
  <c r="W1577" i="2" a="1"/>
  <c r="W1577" i="2" s="1"/>
  <c r="W1576" i="2" a="1"/>
  <c r="W1576" i="2" s="1"/>
  <c r="W1575" i="2" a="1"/>
  <c r="W1575" i="2" s="1"/>
  <c r="W1574" i="2" a="1"/>
  <c r="W1574" i="2" s="1"/>
  <c r="W1573" i="2" a="1"/>
  <c r="W1573" i="2" s="1"/>
  <c r="W1572" i="2" a="1"/>
  <c r="W1572" i="2" s="1"/>
  <c r="W1571" i="2" a="1"/>
  <c r="W1571" i="2" s="1"/>
  <c r="W1570" i="2" a="1"/>
  <c r="W1570" i="2" s="1"/>
  <c r="W1569" i="2" a="1"/>
  <c r="W1569" i="2" s="1"/>
  <c r="W1568" i="2" a="1"/>
  <c r="W1568" i="2" s="1"/>
  <c r="W1567" i="2" a="1"/>
  <c r="W1567" i="2" s="1"/>
  <c r="W1566" i="2" a="1"/>
  <c r="W1566" i="2" s="1"/>
  <c r="W1565" i="2" a="1"/>
  <c r="W1565" i="2" s="1"/>
  <c r="W1564" i="2" a="1"/>
  <c r="W1564" i="2" s="1"/>
  <c r="W1563" i="2" a="1"/>
  <c r="W1563" i="2" s="1"/>
  <c r="W1562" i="2" a="1"/>
  <c r="W1562" i="2" s="1"/>
  <c r="W1561" i="2" a="1"/>
  <c r="W1561" i="2" s="1"/>
  <c r="W1560" i="2" a="1"/>
  <c r="W1560" i="2" s="1"/>
  <c r="W1559" i="2" a="1"/>
  <c r="W1559" i="2" s="1"/>
  <c r="W1558" i="2" a="1"/>
  <c r="W1558" i="2" s="1"/>
  <c r="W1557" i="2" a="1"/>
  <c r="W1557" i="2" s="1"/>
  <c r="W1556" i="2" a="1"/>
  <c r="W1556" i="2" s="1"/>
  <c r="W1555" i="2" a="1"/>
  <c r="W1555" i="2" s="1"/>
  <c r="W1554" i="2" a="1"/>
  <c r="W1554" i="2" s="1"/>
  <c r="W1553" i="2" a="1"/>
  <c r="W1553" i="2" s="1"/>
  <c r="W1552" i="2" a="1"/>
  <c r="W1552" i="2" s="1"/>
  <c r="W1551" i="2" a="1"/>
  <c r="W1551" i="2" s="1"/>
  <c r="W1550" i="2" a="1"/>
  <c r="W1550" i="2" s="1"/>
  <c r="W1549" i="2" a="1"/>
  <c r="W1549" i="2" s="1"/>
  <c r="W1548" i="2" a="1"/>
  <c r="W1548" i="2" s="1"/>
  <c r="W1547" i="2" a="1"/>
  <c r="W1547" i="2" s="1"/>
  <c r="W1546" i="2" a="1"/>
  <c r="W1546" i="2" s="1"/>
  <c r="W1545" i="2" a="1"/>
  <c r="W1545" i="2" s="1"/>
  <c r="W1544" i="2" a="1"/>
  <c r="W1544" i="2" s="1"/>
  <c r="W1543" i="2" a="1"/>
  <c r="W1543" i="2" s="1"/>
  <c r="W1542" i="2" a="1"/>
  <c r="W1542" i="2" s="1"/>
  <c r="W1541" i="2" a="1"/>
  <c r="W1541" i="2" s="1"/>
  <c r="W1540" i="2" a="1"/>
  <c r="W1540" i="2" s="1"/>
  <c r="W1539" i="2" a="1"/>
  <c r="W1539" i="2" s="1"/>
  <c r="W1538" i="2" a="1"/>
  <c r="W1538" i="2" s="1"/>
  <c r="W1537" i="2" a="1"/>
  <c r="W1537" i="2" s="1"/>
  <c r="W1536" i="2" a="1"/>
  <c r="W1536" i="2" s="1"/>
  <c r="W1535" i="2" a="1"/>
  <c r="W1535" i="2" s="1"/>
  <c r="W1534" i="2" a="1"/>
  <c r="W1534" i="2" s="1"/>
  <c r="W1533" i="2" a="1"/>
  <c r="W1533" i="2" s="1"/>
  <c r="W1532" i="2" a="1"/>
  <c r="W1532" i="2" s="1"/>
  <c r="W1531" i="2" a="1"/>
  <c r="W1531" i="2" s="1"/>
  <c r="W1530" i="2" a="1"/>
  <c r="W1530" i="2" s="1"/>
  <c r="W1529" i="2" a="1"/>
  <c r="W1529" i="2" s="1"/>
  <c r="W1528" i="2" a="1"/>
  <c r="W1528" i="2" s="1"/>
  <c r="W1527" i="2" a="1"/>
  <c r="W1527" i="2" s="1"/>
  <c r="W1526" i="2" a="1"/>
  <c r="W1526" i="2" s="1"/>
  <c r="W1525" i="2" a="1"/>
  <c r="W1525" i="2" s="1"/>
  <c r="W1524" i="2" a="1"/>
  <c r="W1524" i="2" s="1"/>
  <c r="W1523" i="2" a="1"/>
  <c r="W1523" i="2" s="1"/>
  <c r="W1522" i="2" a="1"/>
  <c r="W1522" i="2" s="1"/>
  <c r="W1521" i="2" a="1"/>
  <c r="W1521" i="2" s="1"/>
  <c r="W1520" i="2" a="1"/>
  <c r="W1520" i="2" s="1"/>
  <c r="W1519" i="2" a="1"/>
  <c r="W1519" i="2" s="1"/>
  <c r="W1518" i="2" a="1"/>
  <c r="W1518" i="2" s="1"/>
  <c r="W1517" i="2" a="1"/>
  <c r="W1517" i="2" s="1"/>
  <c r="W1516" i="2" a="1"/>
  <c r="W1516" i="2" s="1"/>
  <c r="W1515" i="2" a="1"/>
  <c r="W1515" i="2" s="1"/>
  <c r="W1514" i="2" a="1"/>
  <c r="W1514" i="2" s="1"/>
  <c r="W1513" i="2" a="1"/>
  <c r="W1513" i="2" s="1"/>
  <c r="W1512" i="2" a="1"/>
  <c r="W1512" i="2" s="1"/>
  <c r="W1511" i="2" a="1"/>
  <c r="W1511" i="2" s="1"/>
  <c r="W1510" i="2" a="1"/>
  <c r="W1510" i="2" s="1"/>
  <c r="W1509" i="2" a="1"/>
  <c r="W1509" i="2" s="1"/>
  <c r="W1508" i="2" a="1"/>
  <c r="W1508" i="2" s="1"/>
  <c r="W1507" i="2" a="1"/>
  <c r="W1507" i="2" s="1"/>
  <c r="W1506" i="2" a="1"/>
  <c r="W1506" i="2" s="1"/>
  <c r="W1505" i="2" a="1"/>
  <c r="W1505" i="2" s="1"/>
  <c r="W1504" i="2" a="1"/>
  <c r="W1504" i="2" s="1"/>
  <c r="W1503" i="2" a="1"/>
  <c r="W1503" i="2" s="1"/>
  <c r="W1502" i="2" a="1"/>
  <c r="W1502" i="2" s="1"/>
  <c r="W1501" i="2" a="1"/>
  <c r="W1501" i="2" s="1"/>
  <c r="W1500" i="2" a="1"/>
  <c r="W1500" i="2" s="1"/>
  <c r="W1499" i="2" a="1"/>
  <c r="W1499" i="2" s="1"/>
  <c r="W1498" i="2" a="1"/>
  <c r="W1498" i="2" s="1"/>
  <c r="W1497" i="2" a="1"/>
  <c r="W1497" i="2" s="1"/>
  <c r="W1496" i="2" a="1"/>
  <c r="W1496" i="2" s="1"/>
  <c r="W1495" i="2" a="1"/>
  <c r="W1495" i="2" s="1"/>
  <c r="W1494" i="2" a="1"/>
  <c r="W1494" i="2" s="1"/>
  <c r="W1493" i="2" a="1"/>
  <c r="W1493" i="2" s="1"/>
  <c r="W1492" i="2" a="1"/>
  <c r="W1492" i="2" s="1"/>
  <c r="W1491" i="2" a="1"/>
  <c r="W1491" i="2" s="1"/>
  <c r="W1490" i="2" a="1"/>
  <c r="W1490" i="2" s="1"/>
  <c r="W1489" i="2" a="1"/>
  <c r="W1489" i="2" s="1"/>
  <c r="W1488" i="2" a="1"/>
  <c r="W1488" i="2" s="1"/>
  <c r="W1487" i="2" a="1"/>
  <c r="W1487" i="2" s="1"/>
  <c r="W1486" i="2" a="1"/>
  <c r="W1486" i="2" s="1"/>
  <c r="W1485" i="2" a="1"/>
  <c r="W1485" i="2" s="1"/>
  <c r="W1484" i="2" a="1"/>
  <c r="W1484" i="2" s="1"/>
  <c r="W1483" i="2" a="1"/>
  <c r="W1483" i="2" s="1"/>
  <c r="W1482" i="2" a="1"/>
  <c r="W1482" i="2" s="1"/>
  <c r="W1481" i="2" a="1"/>
  <c r="W1481" i="2" s="1"/>
  <c r="W1480" i="2" a="1"/>
  <c r="W1480" i="2" s="1"/>
  <c r="W1479" i="2" a="1"/>
  <c r="W1479" i="2" s="1"/>
  <c r="W1478" i="2" a="1"/>
  <c r="W1478" i="2" s="1"/>
  <c r="W1477" i="2" a="1"/>
  <c r="W1477" i="2" s="1"/>
  <c r="W1476" i="2" a="1"/>
  <c r="W1476" i="2" s="1"/>
  <c r="W1475" i="2" a="1"/>
  <c r="W1475" i="2" s="1"/>
  <c r="W1474" i="2" a="1"/>
  <c r="W1474" i="2" s="1"/>
  <c r="W1473" i="2" a="1"/>
  <c r="W1473" i="2" s="1"/>
  <c r="W1472" i="2" a="1"/>
  <c r="W1472" i="2" s="1"/>
  <c r="W1471" i="2" a="1"/>
  <c r="W1471" i="2" s="1"/>
  <c r="W1470" i="2" a="1"/>
  <c r="W1470" i="2" s="1"/>
  <c r="W1469" i="2" a="1"/>
  <c r="W1469" i="2" s="1"/>
  <c r="W1468" i="2" a="1"/>
  <c r="W1468" i="2" s="1"/>
  <c r="W1467" i="2" a="1"/>
  <c r="W1467" i="2" s="1"/>
  <c r="W1466" i="2" a="1"/>
  <c r="W1466" i="2" s="1"/>
  <c r="W1465" i="2" a="1"/>
  <c r="W1465" i="2" s="1"/>
  <c r="W1464" i="2" a="1"/>
  <c r="W1464" i="2" s="1"/>
  <c r="W1463" i="2" a="1"/>
  <c r="W1463" i="2" s="1"/>
  <c r="W1462" i="2" a="1"/>
  <c r="W1462" i="2" s="1"/>
  <c r="W1461" i="2" a="1"/>
  <c r="W1461" i="2" s="1"/>
  <c r="W1460" i="2" a="1"/>
  <c r="W1460" i="2" s="1"/>
  <c r="W1459" i="2" a="1"/>
  <c r="W1459" i="2" s="1"/>
  <c r="W1458" i="2" a="1"/>
  <c r="W1458" i="2" s="1"/>
  <c r="W1457" i="2" a="1"/>
  <c r="W1457" i="2" s="1"/>
  <c r="W1456" i="2" a="1"/>
  <c r="W1456" i="2" s="1"/>
  <c r="W1455" i="2" a="1"/>
  <c r="W1455" i="2" s="1"/>
  <c r="W1454" i="2" a="1"/>
  <c r="W1454" i="2" s="1"/>
  <c r="W1453" i="2" a="1"/>
  <c r="W1453" i="2" s="1"/>
  <c r="W1452" i="2" a="1"/>
  <c r="W1452" i="2" s="1"/>
  <c r="W1451" i="2" a="1"/>
  <c r="W1451" i="2" s="1"/>
  <c r="W1450" i="2" a="1"/>
  <c r="W1450" i="2" s="1"/>
  <c r="W1449" i="2" a="1"/>
  <c r="W1449" i="2" s="1"/>
  <c r="W1448" i="2" a="1"/>
  <c r="W1448" i="2" s="1"/>
  <c r="W1447" i="2" a="1"/>
  <c r="W1447" i="2" s="1"/>
  <c r="W1446" i="2" a="1"/>
  <c r="W1446" i="2" s="1"/>
  <c r="W1445" i="2" a="1"/>
  <c r="W1445" i="2" s="1"/>
  <c r="W1444" i="2" a="1"/>
  <c r="W1444" i="2" s="1"/>
  <c r="W1443" i="2" a="1"/>
  <c r="W1443" i="2" s="1"/>
  <c r="W1442" i="2" a="1"/>
  <c r="W1442" i="2" s="1"/>
  <c r="W1441" i="2" a="1"/>
  <c r="W1441" i="2" s="1"/>
  <c r="W1440" i="2" a="1"/>
  <c r="W1440" i="2" s="1"/>
  <c r="W1439" i="2" a="1"/>
  <c r="W1439" i="2" s="1"/>
  <c r="W1438" i="2" a="1"/>
  <c r="W1438" i="2" s="1"/>
  <c r="W1437" i="2" a="1"/>
  <c r="W1437" i="2" s="1"/>
  <c r="W1436" i="2" a="1"/>
  <c r="W1436" i="2" s="1"/>
  <c r="W1435" i="2" a="1"/>
  <c r="W1435" i="2" s="1"/>
  <c r="W1434" i="2" a="1"/>
  <c r="W1434" i="2" s="1"/>
  <c r="W1433" i="2" a="1"/>
  <c r="W1433" i="2" s="1"/>
  <c r="W1432" i="2" a="1"/>
  <c r="W1432" i="2" s="1"/>
  <c r="W1431" i="2" a="1"/>
  <c r="W1431" i="2" s="1"/>
  <c r="W1430" i="2" a="1"/>
  <c r="W1430" i="2" s="1"/>
  <c r="W1429" i="2" a="1"/>
  <c r="W1429" i="2" s="1"/>
  <c r="W1428" i="2" a="1"/>
  <c r="W1428" i="2" s="1"/>
  <c r="W1427" i="2" a="1"/>
  <c r="W1427" i="2" s="1"/>
  <c r="W1426" i="2" a="1"/>
  <c r="W1426" i="2" s="1"/>
  <c r="W1425" i="2" a="1"/>
  <c r="W1425" i="2" s="1"/>
  <c r="W1424" i="2" a="1"/>
  <c r="W1424" i="2" s="1"/>
  <c r="W1423" i="2" a="1"/>
  <c r="W1423" i="2" s="1"/>
  <c r="W1422" i="2" a="1"/>
  <c r="W1422" i="2" s="1"/>
  <c r="W1421" i="2" a="1"/>
  <c r="W1421" i="2" s="1"/>
  <c r="W1420" i="2" a="1"/>
  <c r="W1420" i="2" s="1"/>
  <c r="W1419" i="2" a="1"/>
  <c r="W1419" i="2" s="1"/>
  <c r="W1418" i="2" a="1"/>
  <c r="W1418" i="2" s="1"/>
  <c r="W1417" i="2" a="1"/>
  <c r="W1417" i="2" s="1"/>
  <c r="W1416" i="2" a="1"/>
  <c r="W1416" i="2" s="1"/>
  <c r="W1415" i="2" a="1"/>
  <c r="W1415" i="2" s="1"/>
  <c r="W1414" i="2" a="1"/>
  <c r="W1414" i="2" s="1"/>
  <c r="W1413" i="2" a="1"/>
  <c r="W1413" i="2" s="1"/>
  <c r="W1412" i="2" a="1"/>
  <c r="W1412" i="2" s="1"/>
  <c r="W1411" i="2" a="1"/>
  <c r="W1411" i="2" s="1"/>
  <c r="W1410" i="2" a="1"/>
  <c r="W1410" i="2" s="1"/>
  <c r="W1409" i="2" a="1"/>
  <c r="W1409" i="2" s="1"/>
  <c r="W1408" i="2" a="1"/>
  <c r="W1408" i="2" s="1"/>
  <c r="W1407" i="2" a="1"/>
  <c r="W1407" i="2" s="1"/>
  <c r="W1406" i="2" a="1"/>
  <c r="W1406" i="2" s="1"/>
  <c r="W1405" i="2" a="1"/>
  <c r="W1405" i="2" s="1"/>
  <c r="W1404" i="2" a="1"/>
  <c r="W1404" i="2" s="1"/>
  <c r="W1403" i="2" a="1"/>
  <c r="W1403" i="2" s="1"/>
  <c r="W1402" i="2" a="1"/>
  <c r="W1402" i="2" s="1"/>
  <c r="W1401" i="2" a="1"/>
  <c r="W1401" i="2" s="1"/>
  <c r="W1400" i="2" a="1"/>
  <c r="W1400" i="2" s="1"/>
  <c r="W1399" i="2" a="1"/>
  <c r="W1399" i="2" s="1"/>
  <c r="W1398" i="2" a="1"/>
  <c r="W1398" i="2" s="1"/>
  <c r="W1397" i="2" a="1"/>
  <c r="W1397" i="2" s="1"/>
  <c r="W1396" i="2" a="1"/>
  <c r="W1396" i="2" s="1"/>
  <c r="W1395" i="2" a="1"/>
  <c r="W1395" i="2" s="1"/>
  <c r="W1394" i="2" a="1"/>
  <c r="W1394" i="2" s="1"/>
  <c r="W1393" i="2" a="1"/>
  <c r="W1393" i="2" s="1"/>
  <c r="W1391" i="2" a="1"/>
  <c r="W1391" i="2" s="1"/>
  <c r="W1390" i="2" a="1"/>
  <c r="W1390" i="2" s="1"/>
  <c r="W1389" i="2" a="1"/>
  <c r="W1389" i="2" s="1"/>
  <c r="W1388" i="2" a="1"/>
  <c r="W1388" i="2" s="1"/>
  <c r="W1387" i="2" a="1"/>
  <c r="W1387" i="2" s="1"/>
  <c r="W1386" i="2" a="1"/>
  <c r="W1386" i="2" s="1"/>
  <c r="W1385" i="2" a="1"/>
  <c r="W1385" i="2" s="1"/>
  <c r="W1384" i="2" a="1"/>
  <c r="W1384" i="2" s="1"/>
  <c r="W1383" i="2" a="1"/>
  <c r="W1383" i="2" s="1"/>
  <c r="W1382" i="2" a="1"/>
  <c r="W1382" i="2" s="1"/>
  <c r="W1381" i="2" a="1"/>
  <c r="W1381" i="2" s="1"/>
  <c r="W1380" i="2" a="1"/>
  <c r="W1380" i="2" s="1"/>
  <c r="W1379" i="2" a="1"/>
  <c r="W1379" i="2" s="1"/>
  <c r="W1378" i="2" a="1"/>
  <c r="W1378" i="2" s="1"/>
  <c r="W1377" i="2" a="1"/>
  <c r="W1377" i="2" s="1"/>
  <c r="W1376" i="2" a="1"/>
  <c r="W1376" i="2" s="1"/>
  <c r="W1375" i="2" a="1"/>
  <c r="W1375" i="2" s="1"/>
  <c r="W1374" i="2" a="1"/>
  <c r="W1374" i="2" s="1"/>
  <c r="W1373" i="2" a="1"/>
  <c r="W1373" i="2" s="1"/>
  <c r="W1372" i="2" a="1"/>
  <c r="W1372" i="2" s="1"/>
  <c r="W1371" i="2" a="1"/>
  <c r="W1371" i="2" s="1"/>
  <c r="W1370" i="2" a="1"/>
  <c r="W1370" i="2" s="1"/>
  <c r="W1369" i="2" a="1"/>
  <c r="W1369" i="2" s="1"/>
  <c r="W1368" i="2" a="1"/>
  <c r="W1368" i="2" s="1"/>
  <c r="W1367" i="2" a="1"/>
  <c r="W1367" i="2" s="1"/>
  <c r="W1366" i="2" a="1"/>
  <c r="W1366" i="2" s="1"/>
  <c r="W1365" i="2" a="1"/>
  <c r="W1365" i="2" s="1"/>
  <c r="W1364" i="2" a="1"/>
  <c r="W1364" i="2" s="1"/>
  <c r="W1363" i="2" a="1"/>
  <c r="W1363" i="2" s="1"/>
  <c r="W1362" i="2" a="1"/>
  <c r="W1362" i="2" s="1"/>
  <c r="W1361" i="2" a="1"/>
  <c r="W1361" i="2" s="1"/>
  <c r="W1360" i="2" a="1"/>
  <c r="W1360" i="2" s="1"/>
  <c r="W1359" i="2" a="1"/>
  <c r="W1359" i="2" s="1"/>
  <c r="W1358" i="2" a="1"/>
  <c r="W1358" i="2" s="1"/>
  <c r="W1357" i="2" a="1"/>
  <c r="W1357" i="2" s="1"/>
  <c r="W1356" i="2" a="1"/>
  <c r="W1356" i="2" s="1"/>
  <c r="W1355" i="2" a="1"/>
  <c r="W1355" i="2" s="1"/>
  <c r="W1354" i="2" a="1"/>
  <c r="W1354" i="2" s="1"/>
  <c r="W1353" i="2" a="1"/>
  <c r="W1353" i="2" s="1"/>
  <c r="W1352" i="2" a="1"/>
  <c r="W1352" i="2" s="1"/>
  <c r="W1351" i="2" a="1"/>
  <c r="W1351" i="2" s="1"/>
  <c r="W1350" i="2" a="1"/>
  <c r="W1350" i="2" s="1"/>
  <c r="W1349" i="2" a="1"/>
  <c r="W1349" i="2" s="1"/>
  <c r="W1348" i="2" a="1"/>
  <c r="W1348" i="2" s="1"/>
  <c r="W1347" i="2" a="1"/>
  <c r="W1347" i="2" s="1"/>
  <c r="W1346" i="2" a="1"/>
  <c r="W1346" i="2" s="1"/>
  <c r="W1345" i="2" a="1"/>
  <c r="W1345" i="2" s="1"/>
  <c r="W1344" i="2" a="1"/>
  <c r="W1344" i="2" s="1"/>
  <c r="W1343" i="2" a="1"/>
  <c r="W1343" i="2" s="1"/>
  <c r="W1342" i="2" a="1"/>
  <c r="W1342" i="2" s="1"/>
  <c r="W1341" i="2" a="1"/>
  <c r="W1341" i="2" s="1"/>
  <c r="W1340" i="2" a="1"/>
  <c r="W1340" i="2" s="1"/>
  <c r="W1339" i="2" a="1"/>
  <c r="W1339" i="2" s="1"/>
  <c r="W1338" i="2" a="1"/>
  <c r="W1338" i="2" s="1"/>
  <c r="W1337" i="2" a="1"/>
  <c r="W1337" i="2" s="1"/>
  <c r="W1336" i="2" a="1"/>
  <c r="W1336" i="2" s="1"/>
  <c r="W1335" i="2" a="1"/>
  <c r="W1335" i="2" s="1"/>
  <c r="W1334" i="2" a="1"/>
  <c r="W1334" i="2" s="1"/>
  <c r="W1333" i="2" a="1"/>
  <c r="W1333" i="2" s="1"/>
  <c r="W1332" i="2" a="1"/>
  <c r="W1332" i="2" s="1"/>
  <c r="W1331" i="2" a="1"/>
  <c r="W1331" i="2" s="1"/>
  <c r="W1330" i="2" a="1"/>
  <c r="W1330" i="2" s="1"/>
  <c r="W1329" i="2" a="1"/>
  <c r="W1329" i="2" s="1"/>
  <c r="W1328" i="2" a="1"/>
  <c r="W1328" i="2" s="1"/>
  <c r="W1327" i="2" a="1"/>
  <c r="W1327" i="2" s="1"/>
  <c r="W1326" i="2" a="1"/>
  <c r="W1326" i="2" s="1"/>
  <c r="W1325" i="2" a="1"/>
  <c r="W1325" i="2" s="1"/>
  <c r="W1324" i="2" a="1"/>
  <c r="W1324" i="2" s="1"/>
  <c r="W1323" i="2" a="1"/>
  <c r="W1323" i="2" s="1"/>
  <c r="W1322" i="2" a="1"/>
  <c r="W1322" i="2" s="1"/>
  <c r="W1321" i="2" a="1"/>
  <c r="W1321" i="2" s="1"/>
  <c r="W1320" i="2" a="1"/>
  <c r="W1320" i="2" s="1"/>
  <c r="W1319" i="2" a="1"/>
  <c r="W1319" i="2" s="1"/>
  <c r="W1318" i="2" a="1"/>
  <c r="W1318" i="2" s="1"/>
  <c r="W1317" i="2" a="1"/>
  <c r="W1317" i="2" s="1"/>
  <c r="W1316" i="2" a="1"/>
  <c r="W1316" i="2" s="1"/>
  <c r="W1315" i="2" a="1"/>
  <c r="W1315" i="2" s="1"/>
  <c r="W1314" i="2" a="1"/>
  <c r="W1314" i="2" s="1"/>
  <c r="W1313" i="2" a="1"/>
  <c r="W1313" i="2" s="1"/>
  <c r="W1312" i="2" a="1"/>
  <c r="W1312" i="2" s="1"/>
  <c r="W1311" i="2" a="1"/>
  <c r="W1311" i="2" s="1"/>
  <c r="W1310" i="2" a="1"/>
  <c r="W1310" i="2" s="1"/>
  <c r="W1309" i="2" a="1"/>
  <c r="W1309" i="2" s="1"/>
  <c r="W1308" i="2" a="1"/>
  <c r="W1308" i="2" s="1"/>
  <c r="W1307" i="2" a="1"/>
  <c r="W1307" i="2" s="1"/>
  <c r="W1306" i="2" a="1"/>
  <c r="W1306" i="2" s="1"/>
  <c r="W1305" i="2" a="1"/>
  <c r="W1305" i="2" s="1"/>
  <c r="W1304" i="2" a="1"/>
  <c r="W1304" i="2" s="1"/>
  <c r="W1303" i="2" a="1"/>
  <c r="W1303" i="2" s="1"/>
  <c r="W1302" i="2" a="1"/>
  <c r="W1302" i="2" s="1"/>
  <c r="W1301" i="2" a="1"/>
  <c r="W1301" i="2" s="1"/>
  <c r="W1300" i="2" a="1"/>
  <c r="W1300" i="2" s="1"/>
  <c r="W1299" i="2" a="1"/>
  <c r="W1299" i="2" s="1"/>
  <c r="W1298" i="2" a="1"/>
  <c r="W1298" i="2" s="1"/>
  <c r="W1297" i="2" a="1"/>
  <c r="W1297" i="2" s="1"/>
  <c r="W1296" i="2" a="1"/>
  <c r="W1296" i="2" s="1"/>
  <c r="W1295" i="2" a="1"/>
  <c r="W1295" i="2" s="1"/>
  <c r="W1294" i="2" a="1"/>
  <c r="W1294" i="2" s="1"/>
  <c r="W1293" i="2" a="1"/>
  <c r="W1293" i="2" s="1"/>
  <c r="W1292" i="2" a="1"/>
  <c r="W1292" i="2" s="1"/>
  <c r="W1291" i="2" a="1"/>
  <c r="W1291" i="2" s="1"/>
  <c r="W1290" i="2" a="1"/>
  <c r="W1290" i="2" s="1"/>
  <c r="W1289" i="2" a="1"/>
  <c r="W1289" i="2" s="1"/>
  <c r="W1288" i="2" a="1"/>
  <c r="W1288" i="2" s="1"/>
  <c r="W1287" i="2" a="1"/>
  <c r="W1287" i="2" s="1"/>
  <c r="W1286" i="2" a="1"/>
  <c r="W1286" i="2" s="1"/>
  <c r="W1285" i="2" a="1"/>
  <c r="W1285" i="2" s="1"/>
  <c r="W1284" i="2" a="1"/>
  <c r="W1284" i="2" s="1"/>
  <c r="W1283" i="2" a="1"/>
  <c r="W1283" i="2" s="1"/>
  <c r="W1282" i="2" a="1"/>
  <c r="W1282" i="2" s="1"/>
  <c r="W1281" i="2" a="1"/>
  <c r="W1281" i="2" s="1"/>
  <c r="W1280" i="2" a="1"/>
  <c r="W1280" i="2" s="1"/>
  <c r="W1279" i="2" a="1"/>
  <c r="W1279" i="2" s="1"/>
  <c r="W1278" i="2" a="1"/>
  <c r="W1278" i="2" s="1"/>
  <c r="W1277" i="2" a="1"/>
  <c r="W1277" i="2" s="1"/>
  <c r="W1276" i="2" a="1"/>
  <c r="W1276" i="2" s="1"/>
  <c r="W1275" i="2" a="1"/>
  <c r="W1275" i="2" s="1"/>
  <c r="W1274" i="2" a="1"/>
  <c r="W1274" i="2" s="1"/>
  <c r="W1273" i="2" a="1"/>
  <c r="W1273" i="2" s="1"/>
  <c r="W1272" i="2" a="1"/>
  <c r="W1272" i="2" s="1"/>
  <c r="W1271" i="2" a="1"/>
  <c r="W1271" i="2" s="1"/>
  <c r="W1270" i="2" a="1"/>
  <c r="W1270" i="2" s="1"/>
  <c r="W1269" i="2" a="1"/>
  <c r="W1269" i="2" s="1"/>
  <c r="W1268" i="2" a="1"/>
  <c r="W1268" i="2" s="1"/>
  <c r="W1267" i="2" a="1"/>
  <c r="W1267" i="2" s="1"/>
  <c r="W1266" i="2" a="1"/>
  <c r="W1266" i="2" s="1"/>
  <c r="W1265" i="2" a="1"/>
  <c r="W1265" i="2" s="1"/>
  <c r="W1264" i="2" a="1"/>
  <c r="W1264" i="2" s="1"/>
  <c r="W1263" i="2" a="1"/>
  <c r="W1263" i="2" s="1"/>
  <c r="W1262" i="2" a="1"/>
  <c r="W1262" i="2" s="1"/>
  <c r="W1261" i="2" a="1"/>
  <c r="W1261" i="2" s="1"/>
  <c r="W1260" i="2" a="1"/>
  <c r="W1260" i="2" s="1"/>
  <c r="W1259" i="2" a="1"/>
  <c r="W1259" i="2" s="1"/>
  <c r="W1258" i="2" a="1"/>
  <c r="W1258" i="2" s="1"/>
  <c r="W1257" i="2" a="1"/>
  <c r="W1257" i="2" s="1"/>
  <c r="W1256" i="2" a="1"/>
  <c r="W1256" i="2" s="1"/>
  <c r="W1255" i="2" a="1"/>
  <c r="W1255" i="2" s="1"/>
  <c r="W1254" i="2" a="1"/>
  <c r="W1254" i="2" s="1"/>
  <c r="W1253" i="2" a="1"/>
  <c r="W1253" i="2" s="1"/>
  <c r="W1252" i="2" a="1"/>
  <c r="W1252" i="2" s="1"/>
  <c r="W1251" i="2" a="1"/>
  <c r="W1251" i="2" s="1"/>
  <c r="W1250" i="2" a="1"/>
  <c r="W1250" i="2" s="1"/>
  <c r="W1249" i="2" a="1"/>
  <c r="W1249" i="2" s="1"/>
  <c r="W1248" i="2" a="1"/>
  <c r="W1248" i="2" s="1"/>
  <c r="W1247" i="2" a="1"/>
  <c r="W1247" i="2" s="1"/>
  <c r="W1246" i="2" a="1"/>
  <c r="W1246" i="2" s="1"/>
  <c r="W1245" i="2" a="1"/>
  <c r="W1245" i="2" s="1"/>
  <c r="W1244" i="2" a="1"/>
  <c r="W1244" i="2" s="1"/>
  <c r="W1243" i="2" a="1"/>
  <c r="W1243" i="2" s="1"/>
  <c r="W1242" i="2" a="1"/>
  <c r="W1242" i="2" s="1"/>
  <c r="W1241" i="2" a="1"/>
  <c r="W1241" i="2" s="1"/>
  <c r="W1240" i="2" a="1"/>
  <c r="W1240" i="2" s="1"/>
  <c r="W1239" i="2" a="1"/>
  <c r="W1239" i="2" s="1"/>
  <c r="W1238" i="2" a="1"/>
  <c r="W1238" i="2" s="1"/>
  <c r="W1237" i="2" a="1"/>
  <c r="W1237" i="2" s="1"/>
  <c r="W1236" i="2" a="1"/>
  <c r="W1236" i="2" s="1"/>
  <c r="W1235" i="2" a="1"/>
  <c r="W1235" i="2" s="1"/>
  <c r="W1234" i="2" a="1"/>
  <c r="W1234" i="2" s="1"/>
  <c r="W1233" i="2" a="1"/>
  <c r="W1233" i="2" s="1"/>
  <c r="W1232" i="2" a="1"/>
  <c r="W1232" i="2" s="1"/>
  <c r="W1231" i="2" a="1"/>
  <c r="W1231" i="2" s="1"/>
  <c r="W1230" i="2" a="1"/>
  <c r="W1230" i="2" s="1"/>
  <c r="W1229" i="2" a="1"/>
  <c r="W1229" i="2" s="1"/>
  <c r="W1228" i="2" a="1"/>
  <c r="W1228" i="2" s="1"/>
  <c r="W1227" i="2" a="1"/>
  <c r="W1227" i="2" s="1"/>
  <c r="W1226" i="2" a="1"/>
  <c r="W1226" i="2" s="1"/>
  <c r="W1225" i="2" a="1"/>
  <c r="W1225" i="2" s="1"/>
  <c r="W1224" i="2" a="1"/>
  <c r="W1224" i="2" s="1"/>
  <c r="W1223" i="2" a="1"/>
  <c r="W1223" i="2" s="1"/>
  <c r="W1222" i="2" a="1"/>
  <c r="W1222" i="2" s="1"/>
  <c r="W1221" i="2" a="1"/>
  <c r="W1221" i="2" s="1"/>
  <c r="W1220" i="2" a="1"/>
  <c r="W1220" i="2" s="1"/>
  <c r="W1219" i="2" a="1"/>
  <c r="W1219" i="2" s="1"/>
  <c r="W1218" i="2" a="1"/>
  <c r="W1218" i="2" s="1"/>
  <c r="W1217" i="2" a="1"/>
  <c r="W1217" i="2" s="1"/>
  <c r="W1216" i="2" a="1"/>
  <c r="W1216" i="2" s="1"/>
  <c r="W1215" i="2" a="1"/>
  <c r="W1215" i="2" s="1"/>
  <c r="W1214" i="2" a="1"/>
  <c r="W1214" i="2" s="1"/>
  <c r="W1213" i="2" a="1"/>
  <c r="W1213" i="2" s="1"/>
  <c r="W1212" i="2" a="1"/>
  <c r="W1212" i="2" s="1"/>
  <c r="W1210" i="2" a="1"/>
  <c r="W1210" i="2" s="1"/>
  <c r="W1209" i="2" a="1"/>
  <c r="W1209" i="2" s="1"/>
  <c r="W1208" i="2" a="1"/>
  <c r="W1208" i="2" s="1"/>
  <c r="W1207" i="2" a="1"/>
  <c r="W1207" i="2" s="1"/>
  <c r="W1206" i="2" a="1"/>
  <c r="W1206" i="2" s="1"/>
  <c r="W1205" i="2" a="1"/>
  <c r="W1205" i="2" s="1"/>
  <c r="W1204" i="2" a="1"/>
  <c r="W1204" i="2" s="1"/>
  <c r="W1203" i="2" a="1"/>
  <c r="W1203" i="2" s="1"/>
  <c r="W1202" i="2" a="1"/>
  <c r="W1202" i="2" s="1"/>
  <c r="W1201" i="2" a="1"/>
  <c r="W1201" i="2" s="1"/>
  <c r="W1200" i="2" a="1"/>
  <c r="W1200" i="2" s="1"/>
  <c r="W1199" i="2" a="1"/>
  <c r="W1199" i="2" s="1"/>
  <c r="W1198" i="2" a="1"/>
  <c r="W1198" i="2" s="1"/>
  <c r="W1197" i="2" a="1"/>
  <c r="W1197" i="2" s="1"/>
  <c r="W1196" i="2" a="1"/>
  <c r="W1196" i="2" s="1"/>
  <c r="W1195" i="2" a="1"/>
  <c r="W1195" i="2" s="1"/>
  <c r="W1194" i="2" a="1"/>
  <c r="W1194" i="2" s="1"/>
  <c r="W1193" i="2" a="1"/>
  <c r="W1193" i="2" s="1"/>
  <c r="W1192" i="2" a="1"/>
  <c r="W1192" i="2" s="1"/>
  <c r="W1191" i="2" a="1"/>
  <c r="W1191" i="2" s="1"/>
  <c r="W1190" i="2" a="1"/>
  <c r="W1190" i="2" s="1"/>
  <c r="W1189" i="2" a="1"/>
  <c r="W1189" i="2" s="1"/>
  <c r="W1188" i="2" a="1"/>
  <c r="W1188" i="2" s="1"/>
  <c r="W1187" i="2" a="1"/>
  <c r="W1187" i="2" s="1"/>
  <c r="W1186" i="2" a="1"/>
  <c r="W1186" i="2" s="1"/>
  <c r="W1185" i="2" a="1"/>
  <c r="W1185" i="2" s="1"/>
  <c r="W1184" i="2" a="1"/>
  <c r="W1184" i="2" s="1"/>
  <c r="W1183" i="2" a="1"/>
  <c r="W1183" i="2" s="1"/>
  <c r="W1182" i="2" a="1"/>
  <c r="W1182" i="2" s="1"/>
  <c r="W1181" i="2" a="1"/>
  <c r="W1181" i="2" s="1"/>
  <c r="W1180" i="2" a="1"/>
  <c r="W1180" i="2" s="1"/>
  <c r="W1179" i="2" a="1"/>
  <c r="W1179" i="2" s="1"/>
  <c r="W1178" i="2" a="1"/>
  <c r="W1178" i="2" s="1"/>
  <c r="W1177" i="2" a="1"/>
  <c r="W1177" i="2" s="1"/>
  <c r="W1176" i="2" a="1"/>
  <c r="W1176" i="2" s="1"/>
  <c r="W1175" i="2" a="1"/>
  <c r="W1175" i="2" s="1"/>
  <c r="W1174" i="2" a="1"/>
  <c r="W1174" i="2" s="1"/>
  <c r="W1173" i="2" a="1"/>
  <c r="W1173" i="2" s="1"/>
  <c r="W1172" i="2" a="1"/>
  <c r="W1172" i="2" s="1"/>
  <c r="W1171" i="2" a="1"/>
  <c r="W1171" i="2" s="1"/>
  <c r="W1170" i="2" a="1"/>
  <c r="W1170" i="2" s="1"/>
  <c r="W1169" i="2" a="1"/>
  <c r="W1169" i="2" s="1"/>
  <c r="W1168" i="2" a="1"/>
  <c r="W1168" i="2" s="1"/>
  <c r="W1167" i="2" a="1"/>
  <c r="W1167" i="2" s="1"/>
  <c r="W1166" i="2" a="1"/>
  <c r="W1166" i="2" s="1"/>
  <c r="W1165" i="2" a="1"/>
  <c r="W1165" i="2" s="1"/>
  <c r="W1164" i="2" a="1"/>
  <c r="W1164" i="2" s="1"/>
  <c r="W1163" i="2" a="1"/>
  <c r="W1163" i="2" s="1"/>
  <c r="W1162" i="2" a="1"/>
  <c r="W1162" i="2" s="1"/>
  <c r="W1161" i="2" a="1"/>
  <c r="W1161" i="2" s="1"/>
  <c r="W1160" i="2" a="1"/>
  <c r="W1160" i="2" s="1"/>
  <c r="W1159" i="2" a="1"/>
  <c r="W1159" i="2" s="1"/>
  <c r="W1158" i="2" a="1"/>
  <c r="W1158" i="2" s="1"/>
  <c r="W1157" i="2" a="1"/>
  <c r="W1157" i="2" s="1"/>
  <c r="W1156" i="2" a="1"/>
  <c r="W1156" i="2" s="1"/>
  <c r="W1155" i="2" a="1"/>
  <c r="W1155" i="2" s="1"/>
  <c r="W1154" i="2" a="1"/>
  <c r="W1154" i="2" s="1"/>
  <c r="W1153" i="2" a="1"/>
  <c r="W1153" i="2" s="1"/>
  <c r="W1152" i="2" a="1"/>
  <c r="W1152" i="2" s="1"/>
  <c r="W1151" i="2" a="1"/>
  <c r="W1151" i="2" s="1"/>
  <c r="W1150" i="2" a="1"/>
  <c r="W1150" i="2" s="1"/>
  <c r="W1149" i="2" a="1"/>
  <c r="W1149" i="2" s="1"/>
  <c r="W1148" i="2" a="1"/>
  <c r="W1148" i="2" s="1"/>
  <c r="W1147" i="2" a="1"/>
  <c r="W1147" i="2" s="1"/>
  <c r="W1146" i="2" a="1"/>
  <c r="W1146" i="2" s="1"/>
  <c r="W1145" i="2" a="1"/>
  <c r="W1145" i="2" s="1"/>
  <c r="W1144" i="2" a="1"/>
  <c r="W1144" i="2" s="1"/>
  <c r="W1143" i="2" a="1"/>
  <c r="W1143" i="2" s="1"/>
  <c r="W1142" i="2" a="1"/>
  <c r="W1142" i="2" s="1"/>
  <c r="W1141" i="2" a="1"/>
  <c r="W1141" i="2" s="1"/>
  <c r="W1140" i="2" a="1"/>
  <c r="W1140" i="2" s="1"/>
  <c r="W1139" i="2" a="1"/>
  <c r="W1139" i="2" s="1"/>
  <c r="W1138" i="2" a="1"/>
  <c r="W1138" i="2" s="1"/>
  <c r="W1137" i="2" a="1"/>
  <c r="W1137" i="2" s="1"/>
  <c r="W1136" i="2" a="1"/>
  <c r="W1136" i="2" s="1"/>
  <c r="W1135" i="2" a="1"/>
  <c r="W1135" i="2" s="1"/>
  <c r="W1134" i="2" a="1"/>
  <c r="W1134" i="2" s="1"/>
  <c r="W1133" i="2" a="1"/>
  <c r="W1133" i="2" s="1"/>
  <c r="W1132" i="2" a="1"/>
  <c r="W1132" i="2" s="1"/>
  <c r="W1131" i="2" a="1"/>
  <c r="W1131" i="2" s="1"/>
  <c r="W1130" i="2" a="1"/>
  <c r="W1130" i="2" s="1"/>
  <c r="W1129" i="2" a="1"/>
  <c r="W1129" i="2" s="1"/>
  <c r="W1128" i="2" a="1"/>
  <c r="W1128" i="2" s="1"/>
  <c r="W1127" i="2" a="1"/>
  <c r="W1127" i="2" s="1"/>
  <c r="W1126" i="2" a="1"/>
  <c r="W1126" i="2" s="1"/>
  <c r="W1125" i="2" a="1"/>
  <c r="W1125" i="2" s="1"/>
  <c r="W1124" i="2" a="1"/>
  <c r="W1124" i="2" s="1"/>
  <c r="W1123" i="2" a="1"/>
  <c r="W1123" i="2" s="1"/>
  <c r="W1122" i="2" a="1"/>
  <c r="W1122" i="2" s="1"/>
  <c r="W1121" i="2" a="1"/>
  <c r="W1121" i="2" s="1"/>
  <c r="W1120" i="2" a="1"/>
  <c r="W1120" i="2" s="1"/>
  <c r="W1119" i="2" a="1"/>
  <c r="W1119" i="2" s="1"/>
  <c r="W1118" i="2" a="1"/>
  <c r="W1118" i="2" s="1"/>
  <c r="W1117" i="2" a="1"/>
  <c r="W1117" i="2" s="1"/>
  <c r="W1116" i="2" a="1"/>
  <c r="W1116" i="2" s="1"/>
  <c r="W1115" i="2" a="1"/>
  <c r="W1115" i="2" s="1"/>
  <c r="W1114" i="2" a="1"/>
  <c r="W1114" i="2" s="1"/>
  <c r="W1113" i="2" a="1"/>
  <c r="W1113" i="2" s="1"/>
  <c r="W1112" i="2" a="1"/>
  <c r="W1112" i="2" s="1"/>
  <c r="W1111" i="2" a="1"/>
  <c r="W1111" i="2" s="1"/>
  <c r="W1110" i="2" a="1"/>
  <c r="W1110" i="2" s="1"/>
  <c r="W1109" i="2" a="1"/>
  <c r="W1109" i="2" s="1"/>
  <c r="W1108" i="2" a="1"/>
  <c r="W1108" i="2" s="1"/>
  <c r="W1107" i="2" a="1"/>
  <c r="W1107" i="2" s="1"/>
  <c r="W1106" i="2" a="1"/>
  <c r="W1106" i="2" s="1"/>
  <c r="W1105" i="2" a="1"/>
  <c r="W1105" i="2" s="1"/>
  <c r="W1104" i="2" a="1"/>
  <c r="W1104" i="2" s="1"/>
  <c r="W1103" i="2" a="1"/>
  <c r="W1103" i="2" s="1"/>
  <c r="W1102" i="2" a="1"/>
  <c r="W1102" i="2" s="1"/>
  <c r="W1101" i="2" a="1"/>
  <c r="W1101" i="2" s="1"/>
  <c r="W1100" i="2" a="1"/>
  <c r="W1100" i="2" s="1"/>
  <c r="W1099" i="2" a="1"/>
  <c r="W1099" i="2" s="1"/>
  <c r="W1098" i="2" a="1"/>
  <c r="W1098" i="2" s="1"/>
  <c r="W1097" i="2" a="1"/>
  <c r="W1097" i="2" s="1"/>
  <c r="W1096" i="2" a="1"/>
  <c r="W1096" i="2" s="1"/>
  <c r="W1095" i="2" a="1"/>
  <c r="W1095" i="2" s="1"/>
  <c r="W1094" i="2" a="1"/>
  <c r="W1094" i="2" s="1"/>
  <c r="W1093" i="2" a="1"/>
  <c r="W1093" i="2" s="1"/>
  <c r="W1092" i="2" a="1"/>
  <c r="W1092" i="2" s="1"/>
  <c r="W1091" i="2" a="1"/>
  <c r="W1091" i="2" s="1"/>
  <c r="W1090" i="2" a="1"/>
  <c r="W1090" i="2" s="1"/>
  <c r="W1089" i="2" a="1"/>
  <c r="W1089" i="2" s="1"/>
  <c r="W1088" i="2" a="1"/>
  <c r="W1088" i="2" s="1"/>
  <c r="W1087" i="2" a="1"/>
  <c r="W1087" i="2" s="1"/>
  <c r="W1086" i="2" a="1"/>
  <c r="W1086" i="2" s="1"/>
  <c r="W1085" i="2" a="1"/>
  <c r="W1085" i="2" s="1"/>
  <c r="W1084" i="2" a="1"/>
  <c r="W1084" i="2" s="1"/>
  <c r="W1083" i="2" a="1"/>
  <c r="W1083" i="2" s="1"/>
  <c r="W1082" i="2" a="1"/>
  <c r="W1082" i="2" s="1"/>
  <c r="W1081" i="2" a="1"/>
  <c r="W1081" i="2" s="1"/>
  <c r="W1080" i="2" a="1"/>
  <c r="W1080" i="2" s="1"/>
  <c r="W1079" i="2" a="1"/>
  <c r="W1079" i="2" s="1"/>
  <c r="W1078" i="2" a="1"/>
  <c r="W1078" i="2" s="1"/>
  <c r="W1077" i="2" a="1"/>
  <c r="W1077" i="2" s="1"/>
  <c r="W1076" i="2" a="1"/>
  <c r="W1076" i="2" s="1"/>
  <c r="W1075" i="2" a="1"/>
  <c r="W1075" i="2" s="1"/>
  <c r="W1074" i="2" a="1"/>
  <c r="W1074" i="2" s="1"/>
  <c r="W1073" i="2" a="1"/>
  <c r="W1073" i="2" s="1"/>
  <c r="W1072" i="2" a="1"/>
  <c r="W1072" i="2" s="1"/>
  <c r="W1071" i="2" a="1"/>
  <c r="W1071" i="2" s="1"/>
  <c r="W1070" i="2" a="1"/>
  <c r="W1070" i="2" s="1"/>
  <c r="W1069" i="2" a="1"/>
  <c r="W1069" i="2" s="1"/>
  <c r="W1068" i="2" a="1"/>
  <c r="W1068" i="2" s="1"/>
  <c r="W1067" i="2" a="1"/>
  <c r="W1067" i="2" s="1"/>
  <c r="W1066" i="2" a="1"/>
  <c r="W1066" i="2" s="1"/>
  <c r="W1065" i="2" a="1"/>
  <c r="W1065" i="2" s="1"/>
  <c r="W1064" i="2" a="1"/>
  <c r="W1064" i="2" s="1"/>
  <c r="W1063" i="2" a="1"/>
  <c r="W1063" i="2" s="1"/>
  <c r="W1062" i="2" a="1"/>
  <c r="W1062" i="2" s="1"/>
  <c r="W1061" i="2" a="1"/>
  <c r="W1061" i="2" s="1"/>
  <c r="W1060" i="2" a="1"/>
  <c r="W1060" i="2" s="1"/>
  <c r="W1059" i="2" a="1"/>
  <c r="W1059" i="2" s="1"/>
  <c r="W1058" i="2" a="1"/>
  <c r="W1058" i="2" s="1"/>
  <c r="W1057" i="2" a="1"/>
  <c r="W1057" i="2" s="1"/>
  <c r="W1056" i="2" a="1"/>
  <c r="W1056" i="2" s="1"/>
  <c r="W1055" i="2" a="1"/>
  <c r="W1055" i="2" s="1"/>
  <c r="W1054" i="2" a="1"/>
  <c r="W1054" i="2" s="1"/>
  <c r="W1053" i="2" a="1"/>
  <c r="W1053" i="2" s="1"/>
  <c r="W1052" i="2" a="1"/>
  <c r="W1052" i="2" s="1"/>
  <c r="W1051" i="2" a="1"/>
  <c r="W1051" i="2" s="1"/>
  <c r="W1050" i="2" a="1"/>
  <c r="W1050" i="2" s="1"/>
  <c r="W1049" i="2" a="1"/>
  <c r="W1049" i="2" s="1"/>
  <c r="W1048" i="2" a="1"/>
  <c r="W1048" i="2" s="1"/>
  <c r="W1047" i="2" a="1"/>
  <c r="W1047" i="2" s="1"/>
  <c r="W1046" i="2" a="1"/>
  <c r="W1046" i="2" s="1"/>
  <c r="W1045" i="2" a="1"/>
  <c r="W1045" i="2" s="1"/>
  <c r="W1044" i="2" a="1"/>
  <c r="W1044" i="2" s="1"/>
  <c r="W1043" i="2" a="1"/>
  <c r="W1043" i="2" s="1"/>
  <c r="W1042" i="2" a="1"/>
  <c r="W1042" i="2" s="1"/>
  <c r="W1041" i="2" a="1"/>
  <c r="W1041" i="2" s="1"/>
  <c r="W1040" i="2" a="1"/>
  <c r="W1040" i="2" s="1"/>
  <c r="W1039" i="2" a="1"/>
  <c r="W1039" i="2" s="1"/>
  <c r="W1038" i="2" a="1"/>
  <c r="W1038" i="2" s="1"/>
  <c r="W1037" i="2" a="1"/>
  <c r="W1037" i="2" s="1"/>
  <c r="W1035" i="2" a="1"/>
  <c r="W1035" i="2" s="1"/>
  <c r="W1034" i="2" a="1"/>
  <c r="W1034" i="2" s="1"/>
  <c r="W1033" i="2" a="1"/>
  <c r="W1033" i="2" s="1"/>
  <c r="W1032" i="2" a="1"/>
  <c r="W1032" i="2" s="1"/>
  <c r="W1031" i="2" a="1"/>
  <c r="W1031" i="2" s="1"/>
  <c r="W1030" i="2" a="1"/>
  <c r="W1030" i="2" s="1"/>
  <c r="W1029" i="2" a="1"/>
  <c r="W1029" i="2" s="1"/>
  <c r="W1028" i="2" a="1"/>
  <c r="W1028" i="2" s="1"/>
  <c r="W1027" i="2" a="1"/>
  <c r="W1027" i="2" s="1"/>
  <c r="W1026" i="2" a="1"/>
  <c r="W1026" i="2" s="1"/>
  <c r="W1025" i="2" a="1"/>
  <c r="W1025" i="2" s="1"/>
  <c r="W1024" i="2" a="1"/>
  <c r="W1024" i="2" s="1"/>
  <c r="W1023" i="2" a="1"/>
  <c r="W1023" i="2" s="1"/>
  <c r="W1022" i="2" a="1"/>
  <c r="W1022" i="2" s="1"/>
  <c r="W1021" i="2" a="1"/>
  <c r="W1021" i="2" s="1"/>
  <c r="W1020" i="2" a="1"/>
  <c r="W1020" i="2" s="1"/>
  <c r="W1019" i="2" a="1"/>
  <c r="W1019" i="2" s="1"/>
  <c r="W1018" i="2" a="1"/>
  <c r="W1018" i="2" s="1"/>
  <c r="W1017" i="2" a="1"/>
  <c r="W1017" i="2" s="1"/>
  <c r="W1016" i="2" a="1"/>
  <c r="W1016" i="2" s="1"/>
  <c r="W1015" i="2" a="1"/>
  <c r="W1015" i="2" s="1"/>
  <c r="W1014" i="2" a="1"/>
  <c r="W1014" i="2" s="1"/>
  <c r="W1013" i="2" a="1"/>
  <c r="W1013" i="2" s="1"/>
  <c r="W1012" i="2" a="1"/>
  <c r="W1012" i="2" s="1"/>
  <c r="W1011" i="2" a="1"/>
  <c r="W1011" i="2" s="1"/>
  <c r="W1010" i="2" a="1"/>
  <c r="W1010" i="2" s="1"/>
  <c r="W1009" i="2" a="1"/>
  <c r="W1009" i="2" s="1"/>
  <c r="W1008" i="2" a="1"/>
  <c r="W1008" i="2" s="1"/>
  <c r="W1007" i="2" a="1"/>
  <c r="W1007" i="2" s="1"/>
  <c r="W1006" i="2" a="1"/>
  <c r="W1006" i="2" s="1"/>
  <c r="W1005" i="2" a="1"/>
  <c r="W1005" i="2" s="1"/>
  <c r="W1004" i="2" a="1"/>
  <c r="W1004" i="2" s="1"/>
  <c r="W1003" i="2" a="1"/>
  <c r="W1003" i="2" s="1"/>
  <c r="W1002" i="2" a="1"/>
  <c r="W1002" i="2" s="1"/>
  <c r="W1001" i="2" a="1"/>
  <c r="W1001" i="2" s="1"/>
  <c r="W1000" i="2" a="1"/>
  <c r="W1000" i="2" s="1"/>
  <c r="W999" i="2" a="1"/>
  <c r="W999" i="2" s="1"/>
  <c r="W998" i="2" a="1"/>
  <c r="W998" i="2" s="1"/>
  <c r="W997" i="2" a="1"/>
  <c r="W997" i="2" s="1"/>
  <c r="W996" i="2" a="1"/>
  <c r="W996" i="2" s="1"/>
  <c r="W995" i="2" a="1"/>
  <c r="W995" i="2" s="1"/>
  <c r="W994" i="2" a="1"/>
  <c r="W994" i="2" s="1"/>
  <c r="W993" i="2" a="1"/>
  <c r="W993" i="2" s="1"/>
  <c r="W992" i="2" a="1"/>
  <c r="W992" i="2" s="1"/>
  <c r="W991" i="2" a="1"/>
  <c r="W991" i="2" s="1"/>
  <c r="W990" i="2" a="1"/>
  <c r="W990" i="2" s="1"/>
  <c r="W989" i="2" a="1"/>
  <c r="W989" i="2" s="1"/>
  <c r="W988" i="2" a="1"/>
  <c r="W988" i="2" s="1"/>
  <c r="W987" i="2" a="1"/>
  <c r="W987" i="2" s="1"/>
  <c r="W986" i="2" a="1"/>
  <c r="W986" i="2" s="1"/>
  <c r="W985" i="2" a="1"/>
  <c r="W985" i="2" s="1"/>
  <c r="W984" i="2" a="1"/>
  <c r="W984" i="2" s="1"/>
  <c r="W983" i="2" a="1"/>
  <c r="W983" i="2" s="1"/>
  <c r="W982" i="2" a="1"/>
  <c r="W982" i="2" s="1"/>
  <c r="W981" i="2" a="1"/>
  <c r="W981" i="2" s="1"/>
  <c r="W980" i="2" a="1"/>
  <c r="W980" i="2" s="1"/>
  <c r="W979" i="2" a="1"/>
  <c r="W979" i="2" s="1"/>
  <c r="W978" i="2" a="1"/>
  <c r="W978" i="2" s="1"/>
  <c r="W977" i="2" a="1"/>
  <c r="W977" i="2" s="1"/>
  <c r="W976" i="2" a="1"/>
  <c r="W976" i="2" s="1"/>
  <c r="W975" i="2" a="1"/>
  <c r="W975" i="2" s="1"/>
  <c r="W974" i="2" a="1"/>
  <c r="W974" i="2" s="1"/>
  <c r="W973" i="2" a="1"/>
  <c r="W973" i="2" s="1"/>
  <c r="W972" i="2" a="1"/>
  <c r="W972" i="2" s="1"/>
  <c r="W971" i="2" a="1"/>
  <c r="W971" i="2" s="1"/>
  <c r="W970" i="2" a="1"/>
  <c r="W970" i="2" s="1"/>
  <c r="W969" i="2" a="1"/>
  <c r="W969" i="2" s="1"/>
  <c r="W968" i="2" a="1"/>
  <c r="W968" i="2" s="1"/>
  <c r="W967" i="2" a="1"/>
  <c r="W967" i="2" s="1"/>
  <c r="W966" i="2" a="1"/>
  <c r="W966" i="2" s="1"/>
  <c r="W965" i="2" a="1"/>
  <c r="W965" i="2" s="1"/>
  <c r="W964" i="2" a="1"/>
  <c r="W964" i="2" s="1"/>
  <c r="W963" i="2" a="1"/>
  <c r="W963" i="2" s="1"/>
  <c r="W962" i="2" a="1"/>
  <c r="W962" i="2" s="1"/>
  <c r="W961" i="2" a="1"/>
  <c r="W961" i="2" s="1"/>
  <c r="W960" i="2" a="1"/>
  <c r="W960" i="2" s="1"/>
  <c r="W959" i="2" a="1"/>
  <c r="W959" i="2" s="1"/>
  <c r="W958" i="2" a="1"/>
  <c r="W958" i="2" s="1"/>
  <c r="W957" i="2" a="1"/>
  <c r="W957" i="2" s="1"/>
  <c r="W956" i="2" a="1"/>
  <c r="W956" i="2" s="1"/>
  <c r="W955" i="2" a="1"/>
  <c r="W955" i="2" s="1"/>
  <c r="W954" i="2" a="1"/>
  <c r="W954" i="2" s="1"/>
  <c r="W953" i="2" a="1"/>
  <c r="W953" i="2" s="1"/>
  <c r="W952" i="2" a="1"/>
  <c r="W952" i="2" s="1"/>
  <c r="W951" i="2" a="1"/>
  <c r="W951" i="2" s="1"/>
  <c r="W950" i="2" a="1"/>
  <c r="W950" i="2" s="1"/>
  <c r="W949" i="2" a="1"/>
  <c r="W949" i="2" s="1"/>
  <c r="W948" i="2" a="1"/>
  <c r="W948" i="2" s="1"/>
  <c r="W947" i="2" a="1"/>
  <c r="W947" i="2" s="1"/>
  <c r="W946" i="2" a="1"/>
  <c r="W946" i="2" s="1"/>
  <c r="W945" i="2" a="1"/>
  <c r="W945" i="2" s="1"/>
  <c r="W944" i="2" a="1"/>
  <c r="W944" i="2" s="1"/>
  <c r="W943" i="2" a="1"/>
  <c r="W943" i="2" s="1"/>
  <c r="W942" i="2" a="1"/>
  <c r="W942" i="2" s="1"/>
  <c r="W941" i="2" a="1"/>
  <c r="W941" i="2" s="1"/>
  <c r="W940" i="2" a="1"/>
  <c r="W940" i="2" s="1"/>
  <c r="W939" i="2" a="1"/>
  <c r="W939" i="2" s="1"/>
  <c r="W938" i="2" a="1"/>
  <c r="W938" i="2" s="1"/>
  <c r="W937" i="2" a="1"/>
  <c r="W937" i="2" s="1"/>
  <c r="W936" i="2" a="1"/>
  <c r="W936" i="2" s="1"/>
  <c r="W935" i="2" a="1"/>
  <c r="W935" i="2" s="1"/>
  <c r="W934" i="2" a="1"/>
  <c r="W934" i="2" s="1"/>
  <c r="W933" i="2" a="1"/>
  <c r="W933" i="2" s="1"/>
  <c r="W932" i="2" a="1"/>
  <c r="W932" i="2" s="1"/>
  <c r="W931" i="2" a="1"/>
  <c r="W931" i="2" s="1"/>
  <c r="W930" i="2" a="1"/>
  <c r="W930" i="2" s="1"/>
  <c r="W929" i="2" a="1"/>
  <c r="W929" i="2" s="1"/>
  <c r="W928" i="2" a="1"/>
  <c r="W928" i="2" s="1"/>
  <c r="W927" i="2" a="1"/>
  <c r="W927" i="2" s="1"/>
  <c r="W926" i="2" a="1"/>
  <c r="W926" i="2" s="1"/>
  <c r="W925" i="2" a="1"/>
  <c r="W925" i="2" s="1"/>
  <c r="W924" i="2" a="1"/>
  <c r="W924" i="2" s="1"/>
  <c r="W923" i="2" a="1"/>
  <c r="W923" i="2" s="1"/>
  <c r="W922" i="2" a="1"/>
  <c r="W922" i="2" s="1"/>
  <c r="W921" i="2" a="1"/>
  <c r="W921" i="2" s="1"/>
  <c r="W920" i="2" a="1"/>
  <c r="W920" i="2" s="1"/>
  <c r="W919" i="2" a="1"/>
  <c r="W919" i="2" s="1"/>
  <c r="W918" i="2" a="1"/>
  <c r="W918" i="2" s="1"/>
  <c r="W917" i="2" a="1"/>
  <c r="W917" i="2" s="1"/>
  <c r="W916" i="2" a="1"/>
  <c r="W916" i="2" s="1"/>
  <c r="W915" i="2" a="1"/>
  <c r="W915" i="2" s="1"/>
  <c r="W914" i="2" a="1"/>
  <c r="W914" i="2" s="1"/>
  <c r="W913" i="2" a="1"/>
  <c r="W913" i="2" s="1"/>
  <c r="W912" i="2" a="1"/>
  <c r="W912" i="2" s="1"/>
  <c r="W911" i="2" a="1"/>
  <c r="W911" i="2" s="1"/>
  <c r="W910" i="2" a="1"/>
  <c r="W910" i="2" s="1"/>
  <c r="W909" i="2" a="1"/>
  <c r="W909" i="2" s="1"/>
  <c r="W908" i="2" a="1"/>
  <c r="W908" i="2" s="1"/>
  <c r="W907" i="2" a="1"/>
  <c r="W907" i="2" s="1"/>
  <c r="W906" i="2" a="1"/>
  <c r="W906" i="2" s="1"/>
  <c r="W905" i="2" a="1"/>
  <c r="W905" i="2" s="1"/>
  <c r="W904" i="2" a="1"/>
  <c r="W904" i="2" s="1"/>
  <c r="W903" i="2" a="1"/>
  <c r="W903" i="2" s="1"/>
  <c r="W902" i="2" a="1"/>
  <c r="W902" i="2" s="1"/>
  <c r="W901" i="2" a="1"/>
  <c r="W901" i="2" s="1"/>
  <c r="W900" i="2" a="1"/>
  <c r="W900" i="2" s="1"/>
  <c r="W899" i="2" a="1"/>
  <c r="W899" i="2" s="1"/>
  <c r="W898" i="2" a="1"/>
  <c r="W898" i="2" s="1"/>
  <c r="W897" i="2" a="1"/>
  <c r="W897" i="2" s="1"/>
  <c r="W896" i="2" a="1"/>
  <c r="W896" i="2" s="1"/>
  <c r="W895" i="2" a="1"/>
  <c r="W895" i="2" s="1"/>
  <c r="W894" i="2" a="1"/>
  <c r="W894" i="2" s="1"/>
  <c r="W893" i="2" a="1"/>
  <c r="W893" i="2" s="1"/>
  <c r="W892" i="2" a="1"/>
  <c r="W892" i="2" s="1"/>
  <c r="W891" i="2" a="1"/>
  <c r="W891" i="2" s="1"/>
  <c r="W890" i="2" a="1"/>
  <c r="W890" i="2" s="1"/>
  <c r="W889" i="2" a="1"/>
  <c r="W889" i="2" s="1"/>
  <c r="W888" i="2" a="1"/>
  <c r="W888" i="2" s="1"/>
  <c r="W887" i="2" a="1"/>
  <c r="W887" i="2" s="1"/>
  <c r="W886" i="2" a="1"/>
  <c r="W886" i="2" s="1"/>
  <c r="W885" i="2" a="1"/>
  <c r="W885" i="2" s="1"/>
  <c r="W884" i="2" a="1"/>
  <c r="W884" i="2" s="1"/>
  <c r="W883" i="2" a="1"/>
  <c r="W883" i="2" s="1"/>
  <c r="W882" i="2" a="1"/>
  <c r="W882" i="2" s="1"/>
  <c r="W881" i="2" a="1"/>
  <c r="W881" i="2" s="1"/>
  <c r="W880" i="2" a="1"/>
  <c r="W880" i="2" s="1"/>
  <c r="W879" i="2" a="1"/>
  <c r="W879" i="2" s="1"/>
  <c r="W878" i="2" a="1"/>
  <c r="W878" i="2" s="1"/>
  <c r="W877" i="2" a="1"/>
  <c r="W877" i="2" s="1"/>
  <c r="W876" i="2" a="1"/>
  <c r="W876" i="2" s="1"/>
  <c r="W875" i="2" a="1"/>
  <c r="W875" i="2" s="1"/>
  <c r="W874" i="2" a="1"/>
  <c r="W874" i="2" s="1"/>
  <c r="W873" i="2" a="1"/>
  <c r="W873" i="2" s="1"/>
  <c r="W872" i="2" a="1"/>
  <c r="W872" i="2" s="1"/>
  <c r="W871" i="2" a="1"/>
  <c r="W871" i="2" s="1"/>
  <c r="W870" i="2" a="1"/>
  <c r="W870" i="2" s="1"/>
  <c r="W869" i="2" a="1"/>
  <c r="W869" i="2" s="1"/>
  <c r="W868" i="2" a="1"/>
  <c r="W868" i="2" s="1"/>
  <c r="W867" i="2" a="1"/>
  <c r="W867" i="2" s="1"/>
  <c r="W866" i="2" a="1"/>
  <c r="W866" i="2" s="1"/>
  <c r="W865" i="2" a="1"/>
  <c r="W865" i="2" s="1"/>
  <c r="W864" i="2" a="1"/>
  <c r="W864" i="2" s="1"/>
  <c r="W863" i="2" a="1"/>
  <c r="W863" i="2" s="1"/>
  <c r="W862" i="2" a="1"/>
  <c r="W862" i="2" s="1"/>
  <c r="W861" i="2" a="1"/>
  <c r="W861" i="2" s="1"/>
  <c r="W860" i="2" a="1"/>
  <c r="W860" i="2" s="1"/>
  <c r="W859" i="2" a="1"/>
  <c r="W859" i="2" s="1"/>
  <c r="W858" i="2" a="1"/>
  <c r="W858" i="2" s="1"/>
  <c r="W857" i="2" a="1"/>
  <c r="W857" i="2" s="1"/>
  <c r="W856" i="2" a="1"/>
  <c r="W856" i="2" s="1"/>
  <c r="W855" i="2" a="1"/>
  <c r="W855" i="2" s="1"/>
  <c r="W854" i="2" a="1"/>
  <c r="W854" i="2" s="1"/>
  <c r="W853" i="2" a="1"/>
  <c r="W853" i="2" s="1"/>
  <c r="W852" i="2" a="1"/>
  <c r="W852" i="2" s="1"/>
  <c r="W851" i="2" a="1"/>
  <c r="W851" i="2" s="1"/>
  <c r="W850" i="2" a="1"/>
  <c r="W850" i="2" s="1"/>
  <c r="W849" i="2" a="1"/>
  <c r="W849" i="2" s="1"/>
  <c r="W848" i="2" a="1"/>
  <c r="W848" i="2" s="1"/>
  <c r="W847" i="2" a="1"/>
  <c r="W847" i="2" s="1"/>
  <c r="W846" i="2" a="1"/>
  <c r="W846" i="2" s="1"/>
  <c r="W844" i="2" a="1"/>
  <c r="W844" i="2" s="1"/>
  <c r="W843" i="2" a="1"/>
  <c r="W843" i="2" s="1"/>
  <c r="W842" i="2" a="1"/>
  <c r="W842" i="2" s="1"/>
  <c r="W841" i="2" a="1"/>
  <c r="W841" i="2" s="1"/>
  <c r="W840" i="2" a="1"/>
  <c r="W840" i="2" s="1"/>
  <c r="W839" i="2" a="1"/>
  <c r="W839" i="2" s="1"/>
  <c r="W838" i="2" a="1"/>
  <c r="W838" i="2" s="1"/>
  <c r="W837" i="2" a="1"/>
  <c r="W837" i="2" s="1"/>
  <c r="W836" i="2" a="1"/>
  <c r="W836" i="2" s="1"/>
  <c r="W835" i="2" a="1"/>
  <c r="W835" i="2" s="1"/>
  <c r="W834" i="2" a="1"/>
  <c r="W834" i="2" s="1"/>
  <c r="W833" i="2" a="1"/>
  <c r="W833" i="2" s="1"/>
  <c r="W832" i="2" a="1"/>
  <c r="W832" i="2" s="1"/>
  <c r="W831" i="2" a="1"/>
  <c r="W831" i="2" s="1"/>
  <c r="W830" i="2" a="1"/>
  <c r="W830" i="2" s="1"/>
  <c r="W829" i="2" a="1"/>
  <c r="W829" i="2" s="1"/>
  <c r="W828" i="2" a="1"/>
  <c r="W828" i="2" s="1"/>
  <c r="W827" i="2" a="1"/>
  <c r="W827" i="2" s="1"/>
  <c r="W826" i="2" a="1"/>
  <c r="W826" i="2" s="1"/>
  <c r="W825" i="2" a="1"/>
  <c r="W825" i="2" s="1"/>
  <c r="W824" i="2" a="1"/>
  <c r="W824" i="2" s="1"/>
  <c r="W823" i="2" a="1"/>
  <c r="W823" i="2" s="1"/>
  <c r="W822" i="2" a="1"/>
  <c r="W822" i="2" s="1"/>
  <c r="W821" i="2" a="1"/>
  <c r="W821" i="2" s="1"/>
  <c r="W820" i="2" a="1"/>
  <c r="W820" i="2" s="1"/>
  <c r="W819" i="2" a="1"/>
  <c r="W819" i="2" s="1"/>
  <c r="W818" i="2" a="1"/>
  <c r="W818" i="2" s="1"/>
  <c r="W817" i="2" a="1"/>
  <c r="W817" i="2" s="1"/>
  <c r="W816" i="2" a="1"/>
  <c r="W816" i="2" s="1"/>
  <c r="W815" i="2" a="1"/>
  <c r="W815" i="2" s="1"/>
  <c r="W814" i="2" a="1"/>
  <c r="W814" i="2" s="1"/>
  <c r="W813" i="2" a="1"/>
  <c r="W813" i="2" s="1"/>
  <c r="W812" i="2" a="1"/>
  <c r="W812" i="2" s="1"/>
  <c r="W811" i="2" a="1"/>
  <c r="W811" i="2" s="1"/>
  <c r="W810" i="2" a="1"/>
  <c r="W810" i="2" s="1"/>
  <c r="W809" i="2" a="1"/>
  <c r="W809" i="2" s="1"/>
  <c r="W808" i="2" a="1"/>
  <c r="W808" i="2" s="1"/>
  <c r="W807" i="2" a="1"/>
  <c r="W807" i="2" s="1"/>
  <c r="W806" i="2" a="1"/>
  <c r="W806" i="2" s="1"/>
  <c r="W805" i="2" a="1"/>
  <c r="W805" i="2" s="1"/>
  <c r="W804" i="2" a="1"/>
  <c r="W804" i="2" s="1"/>
  <c r="W803" i="2" a="1"/>
  <c r="W803" i="2" s="1"/>
  <c r="W802" i="2" a="1"/>
  <c r="W802" i="2" s="1"/>
  <c r="W801" i="2" a="1"/>
  <c r="W801" i="2" s="1"/>
  <c r="W800" i="2" a="1"/>
  <c r="W800" i="2" s="1"/>
  <c r="W799" i="2" a="1"/>
  <c r="W799" i="2" s="1"/>
  <c r="W798" i="2" a="1"/>
  <c r="W798" i="2" s="1"/>
  <c r="W797" i="2" a="1"/>
  <c r="W797" i="2" s="1"/>
  <c r="W796" i="2" a="1"/>
  <c r="W796" i="2" s="1"/>
  <c r="W795" i="2" a="1"/>
  <c r="W795" i="2" s="1"/>
  <c r="W794" i="2" a="1"/>
  <c r="W794" i="2" s="1"/>
  <c r="W793" i="2" a="1"/>
  <c r="W793" i="2" s="1"/>
  <c r="W792" i="2" a="1"/>
  <c r="W792" i="2" s="1"/>
  <c r="W791" i="2" a="1"/>
  <c r="W791" i="2" s="1"/>
  <c r="W790" i="2" a="1"/>
  <c r="W790" i="2" s="1"/>
  <c r="W789" i="2" a="1"/>
  <c r="W789" i="2" s="1"/>
  <c r="W788" i="2" a="1"/>
  <c r="W788" i="2" s="1"/>
  <c r="W787" i="2" a="1"/>
  <c r="W787" i="2" s="1"/>
  <c r="W786" i="2" a="1"/>
  <c r="W786" i="2" s="1"/>
  <c r="W785" i="2" a="1"/>
  <c r="W785" i="2" s="1"/>
  <c r="W784" i="2" a="1"/>
  <c r="W784" i="2" s="1"/>
  <c r="W782" i="2" a="1"/>
  <c r="W782" i="2" s="1"/>
  <c r="W781" i="2" a="1"/>
  <c r="W781" i="2" s="1"/>
  <c r="W780" i="2" a="1"/>
  <c r="W780" i="2" s="1"/>
  <c r="W779" i="2" a="1"/>
  <c r="W779" i="2" s="1"/>
  <c r="W778" i="2" a="1"/>
  <c r="W778" i="2" s="1"/>
  <c r="W777" i="2" a="1"/>
  <c r="W777" i="2" s="1"/>
  <c r="W776" i="2" a="1"/>
  <c r="W776" i="2" s="1"/>
  <c r="W775" i="2" a="1"/>
  <c r="W775" i="2" s="1"/>
  <c r="W774" i="2" a="1"/>
  <c r="W774" i="2" s="1"/>
  <c r="W773" i="2" a="1"/>
  <c r="W773" i="2" s="1"/>
  <c r="W772" i="2" a="1"/>
  <c r="W772" i="2" s="1"/>
  <c r="W771" i="2" a="1"/>
  <c r="W771" i="2" s="1"/>
  <c r="W770" i="2" a="1"/>
  <c r="W770" i="2" s="1"/>
  <c r="W769" i="2" a="1"/>
  <c r="W769" i="2" s="1"/>
  <c r="W768" i="2" a="1"/>
  <c r="W768" i="2" s="1"/>
  <c r="W767" i="2" a="1"/>
  <c r="W767" i="2" s="1"/>
  <c r="W766" i="2" a="1"/>
  <c r="W766" i="2" s="1"/>
  <c r="W765" i="2" a="1"/>
  <c r="W765" i="2" s="1"/>
  <c r="W764" i="2" a="1"/>
  <c r="W764" i="2" s="1"/>
  <c r="W763" i="2" a="1"/>
  <c r="W763" i="2" s="1"/>
  <c r="W762" i="2" a="1"/>
  <c r="W762" i="2" s="1"/>
  <c r="W761" i="2" a="1"/>
  <c r="W761" i="2" s="1"/>
  <c r="W760" i="2" a="1"/>
  <c r="W760" i="2" s="1"/>
  <c r="W759" i="2" a="1"/>
  <c r="W759" i="2" s="1"/>
  <c r="W758" i="2" a="1"/>
  <c r="W758" i="2" s="1"/>
  <c r="W757" i="2" a="1"/>
  <c r="W757" i="2" s="1"/>
  <c r="W756" i="2" a="1"/>
  <c r="W756" i="2" s="1"/>
  <c r="W755" i="2" a="1"/>
  <c r="W755" i="2" s="1"/>
  <c r="W754" i="2" a="1"/>
  <c r="W754" i="2" s="1"/>
  <c r="W753" i="2" a="1"/>
  <c r="W753" i="2" s="1"/>
  <c r="W752" i="2" a="1"/>
  <c r="W752" i="2" s="1"/>
  <c r="W751" i="2" a="1"/>
  <c r="W751" i="2" s="1"/>
  <c r="W750" i="2" a="1"/>
  <c r="W750" i="2" s="1"/>
  <c r="W749" i="2" a="1"/>
  <c r="W749" i="2" s="1"/>
  <c r="W748" i="2" a="1"/>
  <c r="W748" i="2" s="1"/>
  <c r="W747" i="2" a="1"/>
  <c r="W747" i="2" s="1"/>
  <c r="W746" i="2" a="1"/>
  <c r="W746" i="2" s="1"/>
  <c r="W745" i="2" a="1"/>
  <c r="W745" i="2" s="1"/>
  <c r="W744" i="2" a="1"/>
  <c r="W744" i="2" s="1"/>
  <c r="W743" i="2" a="1"/>
  <c r="W743" i="2" s="1"/>
  <c r="W742" i="2" a="1"/>
  <c r="W742" i="2" s="1"/>
  <c r="W741" i="2" a="1"/>
  <c r="W741" i="2" s="1"/>
  <c r="W740" i="2" a="1"/>
  <c r="W740" i="2" s="1"/>
  <c r="W739" i="2" a="1"/>
  <c r="W739" i="2" s="1"/>
  <c r="W738" i="2" a="1"/>
  <c r="W738" i="2" s="1"/>
  <c r="W737" i="2" a="1"/>
  <c r="W737" i="2" s="1"/>
  <c r="W736" i="2" a="1"/>
  <c r="W736" i="2" s="1"/>
  <c r="W735" i="2" a="1"/>
  <c r="W735" i="2" s="1"/>
  <c r="W734" i="2" a="1"/>
  <c r="W734" i="2" s="1"/>
  <c r="W733" i="2" a="1"/>
  <c r="W733" i="2" s="1"/>
  <c r="W732" i="2" a="1"/>
  <c r="W732" i="2" s="1"/>
  <c r="W731" i="2" a="1"/>
  <c r="W731" i="2" s="1"/>
  <c r="W730" i="2" a="1"/>
  <c r="W730" i="2" s="1"/>
  <c r="W729" i="2" a="1"/>
  <c r="W729" i="2" s="1"/>
  <c r="W728" i="2" a="1"/>
  <c r="W728" i="2" s="1"/>
  <c r="W727" i="2" a="1"/>
  <c r="W727" i="2" s="1"/>
  <c r="W726" i="2" a="1"/>
  <c r="W726" i="2" s="1"/>
  <c r="W725" i="2" a="1"/>
  <c r="W725" i="2" s="1"/>
  <c r="W724" i="2" a="1"/>
  <c r="W724" i="2" s="1"/>
  <c r="W723" i="2" a="1"/>
  <c r="W723" i="2" s="1"/>
  <c r="W722" i="2" a="1"/>
  <c r="W722" i="2" s="1"/>
  <c r="W721" i="2" a="1"/>
  <c r="W721" i="2" s="1"/>
  <c r="W720" i="2" a="1"/>
  <c r="W720" i="2" s="1"/>
  <c r="W719" i="2" a="1"/>
  <c r="W719" i="2" s="1"/>
  <c r="W718" i="2" a="1"/>
  <c r="W718" i="2" s="1"/>
  <c r="W717" i="2" a="1"/>
  <c r="W717" i="2" s="1"/>
  <c r="W716" i="2" a="1"/>
  <c r="W716" i="2" s="1"/>
  <c r="W715" i="2" a="1"/>
  <c r="W715" i="2" s="1"/>
  <c r="W714" i="2" a="1"/>
  <c r="W714" i="2" s="1"/>
  <c r="W713" i="2" a="1"/>
  <c r="W713" i="2" s="1"/>
  <c r="W712" i="2" a="1"/>
  <c r="W712" i="2" s="1"/>
  <c r="W711" i="2" a="1"/>
  <c r="W711" i="2" s="1"/>
  <c r="W710" i="2" a="1"/>
  <c r="W710" i="2" s="1"/>
  <c r="W709" i="2" a="1"/>
  <c r="W709" i="2" s="1"/>
  <c r="W708" i="2" a="1"/>
  <c r="W708" i="2" s="1"/>
  <c r="W707" i="2" a="1"/>
  <c r="W707" i="2" s="1"/>
  <c r="W706" i="2" a="1"/>
  <c r="W706" i="2" s="1"/>
  <c r="W705" i="2" a="1"/>
  <c r="W705" i="2" s="1"/>
  <c r="W704" i="2" a="1"/>
  <c r="W704" i="2" s="1"/>
  <c r="W703" i="2" a="1"/>
  <c r="W703" i="2" s="1"/>
  <c r="W702" i="2" a="1"/>
  <c r="W702" i="2" s="1"/>
  <c r="W701" i="2" a="1"/>
  <c r="W701" i="2" s="1"/>
  <c r="W700" i="2" a="1"/>
  <c r="W700" i="2" s="1"/>
  <c r="W699" i="2" a="1"/>
  <c r="W699" i="2" s="1"/>
  <c r="W698" i="2" a="1"/>
  <c r="W698" i="2" s="1"/>
  <c r="W697" i="2" a="1"/>
  <c r="W697" i="2" s="1"/>
  <c r="W696" i="2" a="1"/>
  <c r="W696" i="2" s="1"/>
  <c r="W695" i="2" a="1"/>
  <c r="W695" i="2" s="1"/>
  <c r="W694" i="2" a="1"/>
  <c r="W694" i="2" s="1"/>
  <c r="W693" i="2" a="1"/>
  <c r="W693" i="2" s="1"/>
  <c r="W692" i="2" a="1"/>
  <c r="W692" i="2" s="1"/>
  <c r="W691" i="2" a="1"/>
  <c r="W691" i="2" s="1"/>
  <c r="W690" i="2" a="1"/>
  <c r="W690" i="2" s="1"/>
  <c r="W689" i="2" a="1"/>
  <c r="W689" i="2" s="1"/>
  <c r="W688" i="2" a="1"/>
  <c r="W688" i="2" s="1"/>
  <c r="W687" i="2" a="1"/>
  <c r="W687" i="2" s="1"/>
  <c r="W686" i="2" a="1"/>
  <c r="W686" i="2" s="1"/>
  <c r="W685" i="2" a="1"/>
  <c r="W685" i="2" s="1"/>
  <c r="W684" i="2" a="1"/>
  <c r="W684" i="2" s="1"/>
  <c r="W683" i="2" a="1"/>
  <c r="W683" i="2" s="1"/>
  <c r="W682" i="2" a="1"/>
  <c r="W682" i="2" s="1"/>
  <c r="W681" i="2" a="1"/>
  <c r="W681" i="2" s="1"/>
  <c r="W680" i="2" a="1"/>
  <c r="W680" i="2" s="1"/>
  <c r="W679" i="2" a="1"/>
  <c r="W679" i="2" s="1"/>
  <c r="W678" i="2" a="1"/>
  <c r="W678" i="2" s="1"/>
  <c r="W677" i="2" a="1"/>
  <c r="W677" i="2" s="1"/>
  <c r="W676" i="2" a="1"/>
  <c r="W676" i="2" s="1"/>
  <c r="W675" i="2" a="1"/>
  <c r="W675" i="2" s="1"/>
  <c r="W674" i="2" a="1"/>
  <c r="W674" i="2" s="1"/>
  <c r="W673" i="2" a="1"/>
  <c r="W673" i="2" s="1"/>
  <c r="W672" i="2" a="1"/>
  <c r="W672" i="2" s="1"/>
  <c r="W671" i="2" a="1"/>
  <c r="W671" i="2" s="1"/>
  <c r="W670" i="2" a="1"/>
  <c r="W670" i="2" s="1"/>
  <c r="W669" i="2" a="1"/>
  <c r="W669" i="2" s="1"/>
  <c r="W668" i="2" a="1"/>
  <c r="W668" i="2" s="1"/>
  <c r="W667" i="2" a="1"/>
  <c r="W667" i="2" s="1"/>
  <c r="W666" i="2" a="1"/>
  <c r="W666" i="2" s="1"/>
  <c r="W665" i="2" a="1"/>
  <c r="W665" i="2" s="1"/>
  <c r="W664" i="2" a="1"/>
  <c r="W664" i="2" s="1"/>
  <c r="W663" i="2" a="1"/>
  <c r="W663" i="2" s="1"/>
  <c r="W662" i="2" a="1"/>
  <c r="W662" i="2" s="1"/>
  <c r="W661" i="2" a="1"/>
  <c r="W661" i="2" s="1"/>
  <c r="W660" i="2" a="1"/>
  <c r="W660" i="2" s="1"/>
  <c r="W659" i="2" a="1"/>
  <c r="W659" i="2" s="1"/>
  <c r="W658" i="2" a="1"/>
  <c r="W658" i="2" s="1"/>
  <c r="W657" i="2" a="1"/>
  <c r="W657" i="2" s="1"/>
  <c r="W656" i="2" a="1"/>
  <c r="W656" i="2" s="1"/>
  <c r="W655" i="2" a="1"/>
  <c r="W655" i="2" s="1"/>
  <c r="W654" i="2" a="1"/>
  <c r="W654" i="2" s="1"/>
  <c r="W653" i="2" a="1"/>
  <c r="W653" i="2" s="1"/>
  <c r="W652" i="2" a="1"/>
  <c r="W652" i="2" s="1"/>
  <c r="W651" i="2" a="1"/>
  <c r="W651" i="2" s="1"/>
  <c r="W650" i="2" a="1"/>
  <c r="W650" i="2" s="1"/>
  <c r="W649" i="2" a="1"/>
  <c r="W649" i="2" s="1"/>
  <c r="W648" i="2" a="1"/>
  <c r="W648" i="2" s="1"/>
  <c r="W647" i="2" a="1"/>
  <c r="W647" i="2" s="1"/>
  <c r="W646" i="2" a="1"/>
  <c r="W646" i="2" s="1"/>
  <c r="W645" i="2" a="1"/>
  <c r="W645" i="2" s="1"/>
  <c r="W644" i="2" a="1"/>
  <c r="W644" i="2" s="1"/>
  <c r="W643" i="2" a="1"/>
  <c r="W643" i="2" s="1"/>
  <c r="W642" i="2" a="1"/>
  <c r="W642" i="2" s="1"/>
  <c r="W641" i="2" a="1"/>
  <c r="W641" i="2" s="1"/>
  <c r="W640" i="2" a="1"/>
  <c r="W640" i="2" s="1"/>
  <c r="W639" i="2" a="1"/>
  <c r="W639" i="2" s="1"/>
  <c r="W638" i="2" a="1"/>
  <c r="W638" i="2" s="1"/>
  <c r="W637" i="2" a="1"/>
  <c r="W637" i="2" s="1"/>
  <c r="W636" i="2" a="1"/>
  <c r="W636" i="2" s="1"/>
  <c r="W635" i="2" a="1"/>
  <c r="W635" i="2" s="1"/>
  <c r="W634" i="2" a="1"/>
  <c r="W634" i="2" s="1"/>
  <c r="W633" i="2" a="1"/>
  <c r="W633" i="2" s="1"/>
  <c r="W632" i="2" a="1"/>
  <c r="W632" i="2" s="1"/>
  <c r="W631" i="2" a="1"/>
  <c r="W631" i="2" s="1"/>
  <c r="W630" i="2" a="1"/>
  <c r="W630" i="2" s="1"/>
  <c r="W629" i="2" a="1"/>
  <c r="W629" i="2" s="1"/>
  <c r="W628" i="2" a="1"/>
  <c r="W628" i="2" s="1"/>
  <c r="W627" i="2" a="1"/>
  <c r="W627" i="2" s="1"/>
  <c r="W626" i="2" a="1"/>
  <c r="W626" i="2" s="1"/>
  <c r="W625" i="2" a="1"/>
  <c r="W625" i="2" s="1"/>
  <c r="W624" i="2" a="1"/>
  <c r="W624" i="2" s="1"/>
  <c r="W623" i="2" a="1"/>
  <c r="W623" i="2" s="1"/>
  <c r="W622" i="2" a="1"/>
  <c r="W622" i="2" s="1"/>
  <c r="W621" i="2" a="1"/>
  <c r="W621" i="2" s="1"/>
  <c r="W620" i="2" a="1"/>
  <c r="W620" i="2" s="1"/>
  <c r="W619" i="2" a="1"/>
  <c r="W619" i="2" s="1"/>
  <c r="W618" i="2" a="1"/>
  <c r="W618" i="2" s="1"/>
  <c r="W617" i="2" a="1"/>
  <c r="W617" i="2" s="1"/>
  <c r="W616" i="2" a="1"/>
  <c r="W616" i="2" s="1"/>
  <c r="W615" i="2" a="1"/>
  <c r="W615" i="2" s="1"/>
  <c r="W614" i="2" a="1"/>
  <c r="W614" i="2" s="1"/>
  <c r="W613" i="2" a="1"/>
  <c r="W613" i="2" s="1"/>
  <c r="W612" i="2" a="1"/>
  <c r="W612" i="2" s="1"/>
  <c r="W611" i="2" a="1"/>
  <c r="W611" i="2" s="1"/>
  <c r="W610" i="2" a="1"/>
  <c r="W610" i="2" s="1"/>
  <c r="W609" i="2" a="1"/>
  <c r="W609" i="2" s="1"/>
  <c r="W608" i="2" a="1"/>
  <c r="W608" i="2" s="1"/>
  <c r="W607" i="2" a="1"/>
  <c r="W607" i="2" s="1"/>
  <c r="W606" i="2" a="1"/>
  <c r="W606" i="2" s="1"/>
  <c r="W605" i="2" a="1"/>
  <c r="W605" i="2" s="1"/>
  <c r="W604" i="2" a="1"/>
  <c r="W604" i="2" s="1"/>
  <c r="W603" i="2" a="1"/>
  <c r="W603" i="2" s="1"/>
  <c r="W602" i="2" a="1"/>
  <c r="W602" i="2" s="1"/>
  <c r="W601" i="2" a="1"/>
  <c r="W601" i="2" s="1"/>
  <c r="W600" i="2" a="1"/>
  <c r="W600" i="2" s="1"/>
  <c r="W599" i="2" a="1"/>
  <c r="W599" i="2" s="1"/>
  <c r="W598" i="2" a="1"/>
  <c r="W598" i="2" s="1"/>
  <c r="W597" i="2" a="1"/>
  <c r="W597" i="2" s="1"/>
  <c r="W596" i="2" a="1"/>
  <c r="W596" i="2" s="1"/>
  <c r="W595" i="2" a="1"/>
  <c r="W595" i="2" s="1"/>
  <c r="W594" i="2" a="1"/>
  <c r="W594" i="2" s="1"/>
  <c r="W593" i="2" a="1"/>
  <c r="W593" i="2" s="1"/>
  <c r="W592" i="2" a="1"/>
  <c r="W592" i="2" s="1"/>
  <c r="W591" i="2" a="1"/>
  <c r="W591" i="2" s="1"/>
  <c r="W590" i="2" a="1"/>
  <c r="W590" i="2" s="1"/>
  <c r="W589" i="2" a="1"/>
  <c r="W589" i="2" s="1"/>
  <c r="W588" i="2" a="1"/>
  <c r="W588" i="2" s="1"/>
  <c r="W587" i="2" a="1"/>
  <c r="W587" i="2" s="1"/>
  <c r="W586" i="2" a="1"/>
  <c r="W586" i="2" s="1"/>
  <c r="W585" i="2" a="1"/>
  <c r="W585" i="2" s="1"/>
  <c r="W584" i="2" a="1"/>
  <c r="W584" i="2" s="1"/>
  <c r="W583" i="2" a="1"/>
  <c r="W583" i="2" s="1"/>
  <c r="W582" i="2" a="1"/>
  <c r="W582" i="2" s="1"/>
  <c r="W581" i="2" a="1"/>
  <c r="W581" i="2" s="1"/>
  <c r="W580" i="2" a="1"/>
  <c r="W580" i="2" s="1"/>
  <c r="W579" i="2" a="1"/>
  <c r="W579" i="2" s="1"/>
  <c r="W578" i="2" a="1"/>
  <c r="W578" i="2" s="1"/>
  <c r="W577" i="2" a="1"/>
  <c r="W577" i="2" s="1"/>
  <c r="W576" i="2" a="1"/>
  <c r="W576" i="2" s="1"/>
  <c r="W575" i="2" a="1"/>
  <c r="W575" i="2" s="1"/>
  <c r="W574" i="2" a="1"/>
  <c r="W574" i="2" s="1"/>
  <c r="W573" i="2" a="1"/>
  <c r="W573" i="2" s="1"/>
  <c r="W572" i="2" a="1"/>
  <c r="W572" i="2" s="1"/>
  <c r="W571" i="2" a="1"/>
  <c r="W571" i="2" s="1"/>
  <c r="W570" i="2" a="1"/>
  <c r="W570" i="2" s="1"/>
  <c r="W569" i="2" a="1"/>
  <c r="W569" i="2" s="1"/>
  <c r="W568" i="2" a="1"/>
  <c r="W568" i="2" s="1"/>
  <c r="W567" i="2" a="1"/>
  <c r="W567" i="2" s="1"/>
  <c r="W566" i="2" a="1"/>
  <c r="W566" i="2" s="1"/>
  <c r="W565" i="2" a="1"/>
  <c r="W565" i="2" s="1"/>
  <c r="W564" i="2" a="1"/>
  <c r="W564" i="2" s="1"/>
  <c r="W563" i="2" a="1"/>
  <c r="W563" i="2" s="1"/>
  <c r="W562" i="2" a="1"/>
  <c r="W562" i="2" s="1"/>
  <c r="W561" i="2" a="1"/>
  <c r="W561" i="2" s="1"/>
  <c r="W560" i="2" a="1"/>
  <c r="W560" i="2" s="1"/>
  <c r="W559" i="2" a="1"/>
  <c r="W559" i="2" s="1"/>
  <c r="W558" i="2" a="1"/>
  <c r="W558" i="2" s="1"/>
  <c r="W557" i="2" a="1"/>
  <c r="W557" i="2" s="1"/>
  <c r="W556" i="2" a="1"/>
  <c r="W556" i="2" s="1"/>
  <c r="W555" i="2" a="1"/>
  <c r="W555" i="2" s="1"/>
  <c r="W554" i="2" a="1"/>
  <c r="W554" i="2" s="1"/>
  <c r="W553" i="2" a="1"/>
  <c r="W553" i="2" s="1"/>
  <c r="W552" i="2" a="1"/>
  <c r="W552" i="2" s="1"/>
  <c r="W551" i="2" a="1"/>
  <c r="W551" i="2" s="1"/>
  <c r="W550" i="2" a="1"/>
  <c r="W550" i="2" s="1"/>
  <c r="W549" i="2" a="1"/>
  <c r="W549" i="2" s="1"/>
  <c r="W548" i="2" a="1"/>
  <c r="W548" i="2" s="1"/>
  <c r="W547" i="2" a="1"/>
  <c r="W547" i="2" s="1"/>
  <c r="W546" i="2" a="1"/>
  <c r="W546" i="2" s="1"/>
  <c r="W545" i="2" a="1"/>
  <c r="W545" i="2" s="1"/>
  <c r="W544" i="2" a="1"/>
  <c r="W544" i="2" s="1"/>
  <c r="W543" i="2" a="1"/>
  <c r="W543" i="2" s="1"/>
  <c r="W542" i="2" a="1"/>
  <c r="W542" i="2" s="1"/>
  <c r="W541" i="2" a="1"/>
  <c r="W541" i="2" s="1"/>
  <c r="W540" i="2" a="1"/>
  <c r="W540" i="2" s="1"/>
  <c r="W539" i="2" a="1"/>
  <c r="W539" i="2" s="1"/>
  <c r="W538" i="2" a="1"/>
  <c r="W538" i="2" s="1"/>
  <c r="W537" i="2" a="1"/>
  <c r="W537" i="2" s="1"/>
  <c r="W536" i="2" a="1"/>
  <c r="W536" i="2" s="1"/>
  <c r="W535" i="2" a="1"/>
  <c r="W535" i="2" s="1"/>
  <c r="W534" i="2" a="1"/>
  <c r="W534" i="2" s="1"/>
  <c r="W533" i="2" a="1"/>
  <c r="W533" i="2" s="1"/>
  <c r="W532" i="2" a="1"/>
  <c r="W532" i="2" s="1"/>
  <c r="W531" i="2" a="1"/>
  <c r="W531" i="2" s="1"/>
  <c r="W530" i="2" a="1"/>
  <c r="W530" i="2" s="1"/>
  <c r="W529" i="2" a="1"/>
  <c r="W529" i="2" s="1"/>
  <c r="W528" i="2" a="1"/>
  <c r="W528" i="2" s="1"/>
  <c r="W527" i="2" a="1"/>
  <c r="W527" i="2" s="1"/>
  <c r="W526" i="2" a="1"/>
  <c r="W526" i="2" s="1"/>
  <c r="W525" i="2" a="1"/>
  <c r="W525" i="2" s="1"/>
  <c r="W524" i="2" a="1"/>
  <c r="W524" i="2" s="1"/>
  <c r="W523" i="2" a="1"/>
  <c r="W523" i="2" s="1"/>
  <c r="W522" i="2" a="1"/>
  <c r="W522" i="2" s="1"/>
  <c r="W521" i="2" a="1"/>
  <c r="W521" i="2" s="1"/>
  <c r="W520" i="2" a="1"/>
  <c r="W520" i="2" s="1"/>
  <c r="W519" i="2" a="1"/>
  <c r="W519" i="2" s="1"/>
  <c r="W518" i="2" a="1"/>
  <c r="W518" i="2" s="1"/>
  <c r="W517" i="2" a="1"/>
  <c r="W517" i="2" s="1"/>
  <c r="W516" i="2" a="1"/>
  <c r="W516" i="2" s="1"/>
  <c r="W515" i="2" a="1"/>
  <c r="W515" i="2" s="1"/>
  <c r="W514" i="2" a="1"/>
  <c r="W514" i="2" s="1"/>
  <c r="W513" i="2" a="1"/>
  <c r="W513" i="2" s="1"/>
  <c r="W512" i="2" a="1"/>
  <c r="W512" i="2" s="1"/>
  <c r="W511" i="2" a="1"/>
  <c r="W511" i="2" s="1"/>
  <c r="W510" i="2" a="1"/>
  <c r="W510" i="2" s="1"/>
  <c r="W509" i="2" a="1"/>
  <c r="W509" i="2" s="1"/>
  <c r="W508" i="2" a="1"/>
  <c r="W508" i="2" s="1"/>
  <c r="W507" i="2" a="1"/>
  <c r="W507" i="2" s="1"/>
  <c r="W506" i="2" a="1"/>
  <c r="W506" i="2" s="1"/>
  <c r="W505" i="2" a="1"/>
  <c r="W505" i="2" s="1"/>
  <c r="W504" i="2" a="1"/>
  <c r="W504" i="2" s="1"/>
  <c r="W503" i="2" a="1"/>
  <c r="W503" i="2" s="1"/>
  <c r="W502" i="2" a="1"/>
  <c r="W502" i="2" s="1"/>
  <c r="W501" i="2" a="1"/>
  <c r="W501" i="2" s="1"/>
  <c r="W500" i="2" a="1"/>
  <c r="W500" i="2" s="1"/>
  <c r="W499" i="2" a="1"/>
  <c r="W499" i="2" s="1"/>
  <c r="W498" i="2" a="1"/>
  <c r="W498" i="2" s="1"/>
  <c r="W497" i="2" a="1"/>
  <c r="W497" i="2" s="1"/>
  <c r="W496" i="2" a="1"/>
  <c r="W496" i="2" s="1"/>
  <c r="W495" i="2" a="1"/>
  <c r="W495" i="2" s="1"/>
  <c r="W494" i="2" a="1"/>
  <c r="W494" i="2" s="1"/>
  <c r="W493" i="2" a="1"/>
  <c r="W493" i="2" s="1"/>
  <c r="W492" i="2" a="1"/>
  <c r="W492" i="2" s="1"/>
  <c r="W491" i="2" a="1"/>
  <c r="W491" i="2" s="1"/>
  <c r="W490" i="2" a="1"/>
  <c r="W490" i="2" s="1"/>
  <c r="W489" i="2" a="1"/>
  <c r="W489" i="2" s="1"/>
  <c r="W488" i="2" a="1"/>
  <c r="W488" i="2" s="1"/>
  <c r="W487" i="2" a="1"/>
  <c r="W487" i="2" s="1"/>
  <c r="W486" i="2" a="1"/>
  <c r="W486" i="2" s="1"/>
  <c r="W485" i="2" a="1"/>
  <c r="W485" i="2" s="1"/>
  <c r="W484" i="2" a="1"/>
  <c r="W484" i="2" s="1"/>
  <c r="W483" i="2" a="1"/>
  <c r="W483" i="2" s="1"/>
  <c r="W482" i="2" a="1"/>
  <c r="W482" i="2" s="1"/>
  <c r="W481" i="2" a="1"/>
  <c r="W481" i="2" s="1"/>
  <c r="W480" i="2" a="1"/>
  <c r="W480" i="2" s="1"/>
  <c r="W479" i="2" a="1"/>
  <c r="W479" i="2" s="1"/>
  <c r="W478" i="2" a="1"/>
  <c r="W478" i="2" s="1"/>
  <c r="W477" i="2" a="1"/>
  <c r="W477" i="2" s="1"/>
  <c r="W476" i="2" a="1"/>
  <c r="W476" i="2" s="1"/>
  <c r="W475" i="2" a="1"/>
  <c r="W475" i="2" s="1"/>
  <c r="W474" i="2" a="1"/>
  <c r="W474" i="2" s="1"/>
  <c r="W473" i="2" a="1"/>
  <c r="W473" i="2" s="1"/>
  <c r="W472" i="2" a="1"/>
  <c r="W472" i="2" s="1"/>
  <c r="W471" i="2" a="1"/>
  <c r="W471" i="2" s="1"/>
  <c r="W470" i="2" a="1"/>
  <c r="W470" i="2" s="1"/>
  <c r="W469" i="2" a="1"/>
  <c r="W469" i="2" s="1"/>
  <c r="W468" i="2" a="1"/>
  <c r="W468" i="2" s="1"/>
  <c r="W467" i="2" a="1"/>
  <c r="W467" i="2" s="1"/>
  <c r="W466" i="2" a="1"/>
  <c r="W466" i="2" s="1"/>
  <c r="W465" i="2" a="1"/>
  <c r="W465" i="2" s="1"/>
  <c r="W464" i="2" a="1"/>
  <c r="W464" i="2" s="1"/>
  <c r="W463" i="2" a="1"/>
  <c r="W463" i="2" s="1"/>
  <c r="W462" i="2" a="1"/>
  <c r="W462" i="2" s="1"/>
  <c r="W461" i="2" a="1"/>
  <c r="W461" i="2" s="1"/>
  <c r="W460" i="2" a="1"/>
  <c r="W460" i="2" s="1"/>
  <c r="W459" i="2" a="1"/>
  <c r="W459" i="2" s="1"/>
  <c r="W458" i="2" a="1"/>
  <c r="W458" i="2" s="1"/>
  <c r="W457" i="2" a="1"/>
  <c r="W457" i="2" s="1"/>
  <c r="W456" i="2" a="1"/>
  <c r="W456" i="2" s="1"/>
  <c r="W455" i="2" a="1"/>
  <c r="W455" i="2" s="1"/>
  <c r="W454" i="2" a="1"/>
  <c r="W454" i="2" s="1"/>
  <c r="W453" i="2" a="1"/>
  <c r="W453" i="2" s="1"/>
  <c r="W452" i="2" a="1"/>
  <c r="W452" i="2" s="1"/>
  <c r="W451" i="2" a="1"/>
  <c r="W451" i="2" s="1"/>
  <c r="W450" i="2" a="1"/>
  <c r="W450" i="2" s="1"/>
  <c r="W449" i="2" a="1"/>
  <c r="W449" i="2" s="1"/>
  <c r="W448" i="2" a="1"/>
  <c r="W448" i="2" s="1"/>
  <c r="W447" i="2" a="1"/>
  <c r="W447" i="2" s="1"/>
  <c r="W446" i="2" a="1"/>
  <c r="W446" i="2" s="1"/>
  <c r="W445" i="2" a="1"/>
  <c r="W445" i="2" s="1"/>
  <c r="W444" i="2" a="1"/>
  <c r="W444" i="2" s="1"/>
  <c r="W443" i="2" a="1"/>
  <c r="W443" i="2" s="1"/>
  <c r="W442" i="2" a="1"/>
  <c r="W442" i="2" s="1"/>
  <c r="W441" i="2" a="1"/>
  <c r="W441" i="2" s="1"/>
  <c r="W440" i="2" a="1"/>
  <c r="W440" i="2" s="1"/>
  <c r="W439" i="2" a="1"/>
  <c r="W439" i="2" s="1"/>
  <c r="W438" i="2" a="1"/>
  <c r="W438" i="2" s="1"/>
  <c r="W437" i="2" a="1"/>
  <c r="W437" i="2" s="1"/>
  <c r="W436" i="2" a="1"/>
  <c r="W436" i="2" s="1"/>
  <c r="W435" i="2" a="1"/>
  <c r="W435" i="2" s="1"/>
  <c r="W434" i="2" a="1"/>
  <c r="W434" i="2" s="1"/>
  <c r="W433" i="2" a="1"/>
  <c r="W433" i="2" s="1"/>
  <c r="W432" i="2" a="1"/>
  <c r="W432" i="2" s="1"/>
  <c r="W431" i="2" a="1"/>
  <c r="W431" i="2" s="1"/>
  <c r="W430" i="2" a="1"/>
  <c r="W430" i="2" s="1"/>
  <c r="W429" i="2" a="1"/>
  <c r="W429" i="2" s="1"/>
  <c r="W428" i="2" a="1"/>
  <c r="W428" i="2" s="1"/>
  <c r="W427" i="2" a="1"/>
  <c r="W427" i="2" s="1"/>
  <c r="W426" i="2" a="1"/>
  <c r="W426" i="2" s="1"/>
  <c r="W425" i="2" a="1"/>
  <c r="W425" i="2" s="1"/>
  <c r="W424" i="2" a="1"/>
  <c r="W424" i="2" s="1"/>
  <c r="W423" i="2" a="1"/>
  <c r="W423" i="2" s="1"/>
  <c r="W422" i="2" a="1"/>
  <c r="W422" i="2" s="1"/>
  <c r="W421" i="2" a="1"/>
  <c r="W421" i="2" s="1"/>
  <c r="W420" i="2" a="1"/>
  <c r="W420" i="2" s="1"/>
  <c r="W419" i="2" a="1"/>
  <c r="W419" i="2" s="1"/>
  <c r="W418" i="2" a="1"/>
  <c r="W418" i="2" s="1"/>
  <c r="W417" i="2" a="1"/>
  <c r="W417" i="2" s="1"/>
  <c r="W416" i="2" a="1"/>
  <c r="W416" i="2" s="1"/>
  <c r="W415" i="2" a="1"/>
  <c r="W415" i="2" s="1"/>
  <c r="W414" i="2" a="1"/>
  <c r="W414" i="2" s="1"/>
  <c r="W413" i="2" a="1"/>
  <c r="W413" i="2" s="1"/>
  <c r="W412" i="2" a="1"/>
  <c r="W412" i="2" s="1"/>
  <c r="W411" i="2" a="1"/>
  <c r="W411" i="2" s="1"/>
  <c r="W410" i="2" a="1"/>
  <c r="W410" i="2" s="1"/>
  <c r="W409" i="2" a="1"/>
  <c r="W409" i="2" s="1"/>
  <c r="W408" i="2" a="1"/>
  <c r="W408" i="2" s="1"/>
  <c r="W407" i="2" a="1"/>
  <c r="W407" i="2" s="1"/>
  <c r="W406" i="2" a="1"/>
  <c r="W406" i="2" s="1"/>
  <c r="W405" i="2" a="1"/>
  <c r="W405" i="2" s="1"/>
  <c r="W404" i="2" a="1"/>
  <c r="W404" i="2" s="1"/>
  <c r="W403" i="2" a="1"/>
  <c r="W403" i="2" s="1"/>
  <c r="W402" i="2" a="1"/>
  <c r="W402" i="2" s="1"/>
  <c r="W401" i="2" a="1"/>
  <c r="W401" i="2" s="1"/>
  <c r="W400" i="2" a="1"/>
  <c r="W400" i="2" s="1"/>
  <c r="W399" i="2" a="1"/>
  <c r="W399" i="2" s="1"/>
  <c r="W398" i="2" a="1"/>
  <c r="W398" i="2" s="1"/>
  <c r="W397" i="2" a="1"/>
  <c r="W397" i="2" s="1"/>
  <c r="W396" i="2" a="1"/>
  <c r="W396" i="2" s="1"/>
  <c r="W395" i="2" a="1"/>
  <c r="W395" i="2" s="1"/>
  <c r="W394" i="2" a="1"/>
  <c r="W394" i="2" s="1"/>
  <c r="W393" i="2" a="1"/>
  <c r="W393" i="2" s="1"/>
  <c r="W392" i="2" a="1"/>
  <c r="W392" i="2" s="1"/>
  <c r="W391" i="2" a="1"/>
  <c r="W391" i="2" s="1"/>
  <c r="W389" i="2" a="1"/>
  <c r="W389" i="2" s="1"/>
  <c r="W388" i="2" a="1"/>
  <c r="W388" i="2" s="1"/>
  <c r="W387" i="2" a="1"/>
  <c r="W387" i="2" s="1"/>
  <c r="W386" i="2" a="1"/>
  <c r="W386" i="2" s="1"/>
  <c r="W385" i="2" a="1"/>
  <c r="W385" i="2" s="1"/>
  <c r="W384" i="2" a="1"/>
  <c r="W384" i="2" s="1"/>
  <c r="W383" i="2" a="1"/>
  <c r="W383" i="2" s="1"/>
  <c r="W382" i="2" a="1"/>
  <c r="W382" i="2" s="1"/>
  <c r="W381" i="2" a="1"/>
  <c r="W381" i="2" s="1"/>
  <c r="W380" i="2" a="1"/>
  <c r="W380" i="2" s="1"/>
  <c r="W379" i="2" a="1"/>
  <c r="W379" i="2" s="1"/>
  <c r="W378" i="2" a="1"/>
  <c r="W378" i="2" s="1"/>
  <c r="W377" i="2" a="1"/>
  <c r="W377" i="2" s="1"/>
  <c r="W376" i="2" a="1"/>
  <c r="W376" i="2" s="1"/>
  <c r="W375" i="2" a="1"/>
  <c r="W375" i="2" s="1"/>
  <c r="W374" i="2" a="1"/>
  <c r="W374" i="2" s="1"/>
  <c r="W373" i="2" a="1"/>
  <c r="W373" i="2" s="1"/>
  <c r="W372" i="2" a="1"/>
  <c r="W372" i="2" s="1"/>
  <c r="W371" i="2" a="1"/>
  <c r="W371" i="2" s="1"/>
  <c r="W370" i="2" a="1"/>
  <c r="W370" i="2" s="1"/>
  <c r="W369" i="2" a="1"/>
  <c r="W369" i="2" s="1"/>
  <c r="W368" i="2" a="1"/>
  <c r="W368" i="2" s="1"/>
  <c r="W367" i="2" a="1"/>
  <c r="W367" i="2" s="1"/>
  <c r="W366" i="2" a="1"/>
  <c r="W366" i="2" s="1"/>
  <c r="W365" i="2" a="1"/>
  <c r="W365" i="2" s="1"/>
  <c r="W364" i="2" a="1"/>
  <c r="W364" i="2" s="1"/>
  <c r="W363" i="2" a="1"/>
  <c r="W363" i="2" s="1"/>
  <c r="W362" i="2" a="1"/>
  <c r="W362" i="2" s="1"/>
  <c r="W361" i="2" a="1"/>
  <c r="W361" i="2" s="1"/>
  <c r="W360" i="2" a="1"/>
  <c r="W360" i="2" s="1"/>
  <c r="W359" i="2" a="1"/>
  <c r="W359" i="2" s="1"/>
  <c r="W358" i="2" a="1"/>
  <c r="W358" i="2" s="1"/>
  <c r="W357" i="2" a="1"/>
  <c r="W357" i="2" s="1"/>
  <c r="W356" i="2" a="1"/>
  <c r="W356" i="2" s="1"/>
  <c r="W355" i="2" a="1"/>
  <c r="W355" i="2" s="1"/>
  <c r="W354" i="2" a="1"/>
  <c r="W354" i="2" s="1"/>
  <c r="W353" i="2" a="1"/>
  <c r="W353" i="2" s="1"/>
  <c r="W352" i="2" a="1"/>
  <c r="W352" i="2" s="1"/>
  <c r="W351" i="2" a="1"/>
  <c r="W351" i="2" s="1"/>
  <c r="W350" i="2" a="1"/>
  <c r="W350" i="2" s="1"/>
  <c r="W349" i="2" a="1"/>
  <c r="W349" i="2" s="1"/>
  <c r="W348" i="2" a="1"/>
  <c r="W348" i="2" s="1"/>
  <c r="W347" i="2" a="1"/>
  <c r="W347" i="2" s="1"/>
  <c r="W346" i="2" a="1"/>
  <c r="W346" i="2" s="1"/>
  <c r="W345" i="2" a="1"/>
  <c r="W345" i="2" s="1"/>
  <c r="W344" i="2" a="1"/>
  <c r="W344" i="2" s="1"/>
  <c r="W343" i="2" a="1"/>
  <c r="W343" i="2" s="1"/>
  <c r="W342" i="2" a="1"/>
  <c r="W342" i="2" s="1"/>
  <c r="W341" i="2" a="1"/>
  <c r="W341" i="2" s="1"/>
  <c r="W340" i="2" a="1"/>
  <c r="W340" i="2" s="1"/>
  <c r="W339" i="2" a="1"/>
  <c r="W339" i="2" s="1"/>
  <c r="W338" i="2" a="1"/>
  <c r="W338" i="2" s="1"/>
  <c r="W337" i="2" a="1"/>
  <c r="W337" i="2" s="1"/>
  <c r="W336" i="2" a="1"/>
  <c r="W336" i="2" s="1"/>
  <c r="W335" i="2" a="1"/>
  <c r="W335" i="2" s="1"/>
  <c r="W334" i="2" a="1"/>
  <c r="W334" i="2" s="1"/>
  <c r="W333" i="2" a="1"/>
  <c r="W333" i="2" s="1"/>
  <c r="W332" i="2" a="1"/>
  <c r="W332" i="2" s="1"/>
  <c r="W331" i="2" a="1"/>
  <c r="W331" i="2" s="1"/>
  <c r="W330" i="2" a="1"/>
  <c r="W330" i="2" s="1"/>
  <c r="W329" i="2" a="1"/>
  <c r="W329" i="2" s="1"/>
  <c r="W328" i="2" a="1"/>
  <c r="W328" i="2" s="1"/>
  <c r="W327" i="2" a="1"/>
  <c r="W327" i="2" s="1"/>
  <c r="W326" i="2" a="1"/>
  <c r="W326" i="2" s="1"/>
  <c r="W325" i="2" a="1"/>
  <c r="W325" i="2" s="1"/>
  <c r="W324" i="2" a="1"/>
  <c r="W324" i="2" s="1"/>
  <c r="W323" i="2" a="1"/>
  <c r="W323" i="2" s="1"/>
  <c r="W322" i="2" a="1"/>
  <c r="W322" i="2" s="1"/>
  <c r="W321" i="2" a="1"/>
  <c r="W321" i="2" s="1"/>
  <c r="W320" i="2" a="1"/>
  <c r="W320" i="2" s="1"/>
  <c r="W319" i="2" a="1"/>
  <c r="W319" i="2" s="1"/>
  <c r="W318" i="2" a="1"/>
  <c r="W318" i="2" s="1"/>
  <c r="W317" i="2" a="1"/>
  <c r="W317" i="2" s="1"/>
  <c r="W316" i="2" a="1"/>
  <c r="W316" i="2" s="1"/>
  <c r="W315" i="2" a="1"/>
  <c r="W315" i="2" s="1"/>
  <c r="W314" i="2" a="1"/>
  <c r="W314" i="2" s="1"/>
  <c r="W313" i="2" a="1"/>
  <c r="W313" i="2" s="1"/>
  <c r="W312" i="2" a="1"/>
  <c r="W312" i="2" s="1"/>
  <c r="W311" i="2" a="1"/>
  <c r="W311" i="2" s="1"/>
  <c r="W310" i="2" a="1"/>
  <c r="W310" i="2" s="1"/>
  <c r="W309" i="2" a="1"/>
  <c r="W309" i="2" s="1"/>
  <c r="W308" i="2" a="1"/>
  <c r="W308" i="2" s="1"/>
  <c r="W307" i="2" a="1"/>
  <c r="W307" i="2" s="1"/>
  <c r="W306" i="2" a="1"/>
  <c r="W306" i="2" s="1"/>
  <c r="W305" i="2" a="1"/>
  <c r="W305" i="2" s="1"/>
  <c r="W304" i="2" a="1"/>
  <c r="W304" i="2" s="1"/>
  <c r="W303" i="2" a="1"/>
  <c r="W303" i="2" s="1"/>
  <c r="W302" i="2" a="1"/>
  <c r="W302" i="2" s="1"/>
  <c r="W301" i="2" a="1"/>
  <c r="W301" i="2" s="1"/>
  <c r="W300" i="2" a="1"/>
  <c r="W300" i="2" s="1"/>
  <c r="W299" i="2" a="1"/>
  <c r="W299" i="2" s="1"/>
  <c r="W298" i="2" a="1"/>
  <c r="W298" i="2" s="1"/>
  <c r="W297" i="2" a="1"/>
  <c r="W297" i="2" s="1"/>
  <c r="W296" i="2" a="1"/>
  <c r="W296" i="2" s="1"/>
  <c r="W295" i="2" a="1"/>
  <c r="W295" i="2" s="1"/>
  <c r="W294" i="2" a="1"/>
  <c r="W294" i="2" s="1"/>
  <c r="W293" i="2" a="1"/>
  <c r="W293" i="2" s="1"/>
  <c r="W292" i="2" a="1"/>
  <c r="W292" i="2" s="1"/>
  <c r="W291" i="2" a="1"/>
  <c r="W291" i="2" s="1"/>
  <c r="W290" i="2" a="1"/>
  <c r="W290" i="2" s="1"/>
  <c r="W289" i="2" a="1"/>
  <c r="W289" i="2" s="1"/>
  <c r="W288" i="2" a="1"/>
  <c r="W288" i="2" s="1"/>
  <c r="W287" i="2" a="1"/>
  <c r="W287" i="2" s="1"/>
  <c r="W286" i="2" a="1"/>
  <c r="W286" i="2" s="1"/>
  <c r="W285" i="2" a="1"/>
  <c r="W285" i="2" s="1"/>
  <c r="W284" i="2" a="1"/>
  <c r="W284" i="2" s="1"/>
  <c r="W283" i="2" a="1"/>
  <c r="W283" i="2" s="1"/>
  <c r="W282" i="2" a="1"/>
  <c r="W282" i="2" s="1"/>
  <c r="W281" i="2" a="1"/>
  <c r="W281" i="2" s="1"/>
  <c r="W280" i="2" a="1"/>
  <c r="W280" i="2" s="1"/>
  <c r="W279" i="2" a="1"/>
  <c r="W279" i="2" s="1"/>
  <c r="W278" i="2" a="1"/>
  <c r="W278" i="2" s="1"/>
  <c r="W277" i="2" a="1"/>
  <c r="W277" i="2" s="1"/>
  <c r="W276" i="2" a="1"/>
  <c r="W276" i="2" s="1"/>
  <c r="W275" i="2" a="1"/>
  <c r="W275" i="2" s="1"/>
  <c r="W274" i="2" a="1"/>
  <c r="W274" i="2" s="1"/>
  <c r="W273" i="2" a="1"/>
  <c r="W273" i="2" s="1"/>
  <c r="W272" i="2" a="1"/>
  <c r="W272" i="2" s="1"/>
  <c r="W271" i="2" a="1"/>
  <c r="W271" i="2" s="1"/>
  <c r="W270" i="2" a="1"/>
  <c r="W270" i="2" s="1"/>
  <c r="W269" i="2" a="1"/>
  <c r="W269" i="2" s="1"/>
  <c r="W268" i="2" a="1"/>
  <c r="W268" i="2" s="1"/>
  <c r="W267" i="2" a="1"/>
  <c r="W267" i="2" s="1"/>
  <c r="W266" i="2" a="1"/>
  <c r="W266" i="2" s="1"/>
  <c r="W265" i="2" a="1"/>
  <c r="W265" i="2" s="1"/>
  <c r="W264" i="2" a="1"/>
  <c r="W264" i="2" s="1"/>
  <c r="W263" i="2" a="1"/>
  <c r="W263" i="2" s="1"/>
  <c r="W262" i="2" a="1"/>
  <c r="W262" i="2" s="1"/>
  <c r="W261" i="2" a="1"/>
  <c r="W261" i="2" s="1"/>
  <c r="W260" i="2" a="1"/>
  <c r="W260" i="2" s="1"/>
  <c r="W259" i="2" a="1"/>
  <c r="W259" i="2" s="1"/>
  <c r="W258" i="2" a="1"/>
  <c r="W258" i="2" s="1"/>
  <c r="W257" i="2" a="1"/>
  <c r="W257" i="2" s="1"/>
  <c r="W256" i="2" a="1"/>
  <c r="W256" i="2" s="1"/>
  <c r="W255" i="2" a="1"/>
  <c r="W255" i="2" s="1"/>
  <c r="W254" i="2" a="1"/>
  <c r="W254" i="2" s="1"/>
  <c r="W253" i="2" a="1"/>
  <c r="W253" i="2" s="1"/>
  <c r="W252" i="2" a="1"/>
  <c r="W252" i="2" s="1"/>
  <c r="W251" i="2" a="1"/>
  <c r="W251" i="2" s="1"/>
  <c r="W250" i="2" a="1"/>
  <c r="W250" i="2" s="1"/>
  <c r="W249" i="2" a="1"/>
  <c r="W249" i="2" s="1"/>
  <c r="W248" i="2" a="1"/>
  <c r="W248" i="2" s="1"/>
  <c r="W247" i="2" a="1"/>
  <c r="W247" i="2" s="1"/>
  <c r="W246" i="2" a="1"/>
  <c r="W246" i="2" s="1"/>
  <c r="W245" i="2" a="1"/>
  <c r="W245" i="2" s="1"/>
  <c r="W244" i="2" a="1"/>
  <c r="W244" i="2" s="1"/>
  <c r="W243" i="2" a="1"/>
  <c r="W243" i="2" s="1"/>
  <c r="W242" i="2" a="1"/>
  <c r="W242" i="2" s="1"/>
  <c r="W241" i="2" a="1"/>
  <c r="W241" i="2" s="1"/>
  <c r="W240" i="2" a="1"/>
  <c r="W240" i="2" s="1"/>
  <c r="W239" i="2" a="1"/>
  <c r="W239" i="2" s="1"/>
  <c r="W238" i="2" a="1"/>
  <c r="W238" i="2" s="1"/>
  <c r="W237" i="2" a="1"/>
  <c r="W237" i="2" s="1"/>
  <c r="W236" i="2" a="1"/>
  <c r="W236" i="2" s="1"/>
  <c r="W235" i="2" a="1"/>
  <c r="W235" i="2" s="1"/>
  <c r="W234" i="2" a="1"/>
  <c r="W234" i="2" s="1"/>
  <c r="W233" i="2" a="1"/>
  <c r="W233" i="2" s="1"/>
  <c r="W232" i="2" a="1"/>
  <c r="W232" i="2" s="1"/>
  <c r="W231" i="2" a="1"/>
  <c r="W231" i="2" s="1"/>
  <c r="W230" i="2" a="1"/>
  <c r="W230" i="2" s="1"/>
  <c r="W229" i="2" a="1"/>
  <c r="W229" i="2" s="1"/>
  <c r="W228" i="2" a="1"/>
  <c r="W228" i="2" s="1"/>
  <c r="W227" i="2" a="1"/>
  <c r="W227" i="2" s="1"/>
  <c r="W226" i="2" a="1"/>
  <c r="W226" i="2" s="1"/>
  <c r="W225" i="2" a="1"/>
  <c r="W225" i="2" s="1"/>
  <c r="W224" i="2" a="1"/>
  <c r="W224" i="2" s="1"/>
  <c r="W223" i="2" a="1"/>
  <c r="W223" i="2" s="1"/>
  <c r="W222" i="2" a="1"/>
  <c r="W222" i="2" s="1"/>
  <c r="W221" i="2" a="1"/>
  <c r="W221" i="2" s="1"/>
  <c r="W220" i="2" a="1"/>
  <c r="W220" i="2" s="1"/>
  <c r="W219" i="2" a="1"/>
  <c r="W219" i="2" s="1"/>
  <c r="W218" i="2" a="1"/>
  <c r="W218" i="2" s="1"/>
  <c r="W217" i="2" a="1"/>
  <c r="W217" i="2" s="1"/>
  <c r="W216" i="2" a="1"/>
  <c r="W216" i="2" s="1"/>
  <c r="W215" i="2" a="1"/>
  <c r="W215" i="2" s="1"/>
  <c r="W214" i="2" a="1"/>
  <c r="W214" i="2" s="1"/>
  <c r="W213" i="2" a="1"/>
  <c r="W213" i="2" s="1"/>
  <c r="W212" i="2" a="1"/>
  <c r="W212" i="2" s="1"/>
  <c r="W211" i="2" a="1"/>
  <c r="W211" i="2" s="1"/>
  <c r="W210" i="2" a="1"/>
  <c r="W210" i="2" s="1"/>
  <c r="W209" i="2" a="1"/>
  <c r="W209" i="2" s="1"/>
  <c r="W208" i="2" a="1"/>
  <c r="W208" i="2" s="1"/>
  <c r="W207" i="2" a="1"/>
  <c r="W207" i="2" s="1"/>
  <c r="W206" i="2" a="1"/>
  <c r="W206" i="2" s="1"/>
  <c r="W205" i="2" a="1"/>
  <c r="W205" i="2" s="1"/>
  <c r="W204" i="2" a="1"/>
  <c r="W204" i="2" s="1"/>
  <c r="W203" i="2" a="1"/>
  <c r="W203" i="2" s="1"/>
  <c r="W202" i="2" a="1"/>
  <c r="W202" i="2" s="1"/>
  <c r="W201" i="2" a="1"/>
  <c r="W201" i="2" s="1"/>
  <c r="W200" i="2" a="1"/>
  <c r="W200" i="2" s="1"/>
  <c r="W199" i="2" a="1"/>
  <c r="W199" i="2" s="1"/>
  <c r="W198" i="2" a="1"/>
  <c r="W198" i="2" s="1"/>
  <c r="W197" i="2" a="1"/>
  <c r="W197" i="2" s="1"/>
  <c r="W196" i="2" a="1"/>
  <c r="W196" i="2" s="1"/>
  <c r="W195" i="2" a="1"/>
  <c r="W195" i="2" s="1"/>
  <c r="W194" i="2" a="1"/>
  <c r="W194" i="2" s="1"/>
  <c r="W193" i="2" a="1"/>
  <c r="W193" i="2" s="1"/>
  <c r="W192" i="2" a="1"/>
  <c r="W192" i="2" s="1"/>
  <c r="W191" i="2" a="1"/>
  <c r="W191" i="2" s="1"/>
  <c r="W190" i="2" a="1"/>
  <c r="W190" i="2" s="1"/>
  <c r="W189" i="2" a="1"/>
  <c r="W189" i="2" s="1"/>
  <c r="W188" i="2" a="1"/>
  <c r="W188" i="2" s="1"/>
  <c r="W187" i="2" a="1"/>
  <c r="W187" i="2" s="1"/>
  <c r="W186" i="2" a="1"/>
  <c r="W186" i="2" s="1"/>
  <c r="W185" i="2" a="1"/>
  <c r="W185" i="2" s="1"/>
  <c r="W184" i="2" a="1"/>
  <c r="W184" i="2" s="1"/>
  <c r="W183" i="2" a="1"/>
  <c r="W183" i="2" s="1"/>
  <c r="W182" i="2" a="1"/>
  <c r="W182" i="2" s="1"/>
  <c r="W181" i="2" a="1"/>
  <c r="W181" i="2" s="1"/>
  <c r="W180" i="2" a="1"/>
  <c r="W180" i="2" s="1"/>
  <c r="W179" i="2" a="1"/>
  <c r="W179" i="2" s="1"/>
  <c r="W178" i="2" a="1"/>
  <c r="W178" i="2" s="1"/>
  <c r="W177" i="2" a="1"/>
  <c r="W177" i="2" s="1"/>
  <c r="W176" i="2" a="1"/>
  <c r="W176" i="2" s="1"/>
  <c r="W175" i="2" a="1"/>
  <c r="W175" i="2" s="1"/>
  <c r="W174" i="2" a="1"/>
  <c r="W174" i="2" s="1"/>
  <c r="W173" i="2" a="1"/>
  <c r="W173" i="2" s="1"/>
  <c r="W172" i="2" a="1"/>
  <c r="W172" i="2" s="1"/>
  <c r="W171" i="2" a="1"/>
  <c r="W171" i="2" s="1"/>
  <c r="W170" i="2" a="1"/>
  <c r="W170" i="2" s="1"/>
  <c r="W169" i="2" a="1"/>
  <c r="W169" i="2" s="1"/>
  <c r="W168" i="2" a="1"/>
  <c r="W168" i="2" s="1"/>
  <c r="W167" i="2" a="1"/>
  <c r="W167" i="2" s="1"/>
  <c r="W166" i="2" a="1"/>
  <c r="W166" i="2" s="1"/>
  <c r="W165" i="2" a="1"/>
  <c r="W165" i="2" s="1"/>
  <c r="W164" i="2" a="1"/>
  <c r="W164" i="2" s="1"/>
  <c r="W163" i="2" a="1"/>
  <c r="W163" i="2" s="1"/>
  <c r="W162" i="2" a="1"/>
  <c r="W162" i="2" s="1"/>
  <c r="W161" i="2" a="1"/>
  <c r="W161" i="2" s="1"/>
  <c r="W160" i="2" a="1"/>
  <c r="W160" i="2" s="1"/>
  <c r="W159" i="2" a="1"/>
  <c r="W159" i="2" s="1"/>
  <c r="W158" i="2" a="1"/>
  <c r="W158" i="2" s="1"/>
  <c r="W157" i="2" a="1"/>
  <c r="W157" i="2" s="1"/>
  <c r="W156" i="2" a="1"/>
  <c r="W156" i="2" s="1"/>
  <c r="W154" i="2" a="1"/>
  <c r="W154" i="2" s="1"/>
  <c r="W153" i="2" a="1"/>
  <c r="W153" i="2" s="1"/>
  <c r="W152" i="2" a="1"/>
  <c r="W152" i="2" s="1"/>
  <c r="W151" i="2" a="1"/>
  <c r="W151" i="2" s="1"/>
  <c r="W150" i="2" a="1"/>
  <c r="W150" i="2" s="1"/>
  <c r="W149" i="2" a="1"/>
  <c r="W149" i="2" s="1"/>
  <c r="W148" i="2" a="1"/>
  <c r="W148" i="2" s="1"/>
  <c r="W147" i="2" a="1"/>
  <c r="W147" i="2" s="1"/>
  <c r="W146" i="2" a="1"/>
  <c r="W146" i="2" s="1"/>
  <c r="W145" i="2" a="1"/>
  <c r="W145" i="2" s="1"/>
  <c r="W144" i="2" a="1"/>
  <c r="W144" i="2" s="1"/>
  <c r="W143" i="2" a="1"/>
  <c r="W143" i="2" s="1"/>
  <c r="W142" i="2" a="1"/>
  <c r="W142" i="2" s="1"/>
  <c r="W141" i="2" a="1"/>
  <c r="W141" i="2" s="1"/>
  <c r="W140" i="2" a="1"/>
  <c r="W140" i="2" s="1"/>
  <c r="W139" i="2" a="1"/>
  <c r="W139" i="2" s="1"/>
  <c r="W138" i="2" a="1"/>
  <c r="W138" i="2" s="1"/>
  <c r="W137" i="2" a="1"/>
  <c r="W137" i="2" s="1"/>
  <c r="W136" i="2" a="1"/>
  <c r="W136" i="2" s="1"/>
  <c r="W135" i="2" a="1"/>
  <c r="W135" i="2" s="1"/>
  <c r="W134" i="2" a="1"/>
  <c r="W134" i="2" s="1"/>
  <c r="W133" i="2" a="1"/>
  <c r="W133" i="2" s="1"/>
  <c r="W132" i="2" a="1"/>
  <c r="W132" i="2" s="1"/>
  <c r="W131" i="2" a="1"/>
  <c r="W131" i="2" s="1"/>
  <c r="W130" i="2" a="1"/>
  <c r="W130" i="2" s="1"/>
  <c r="W129" i="2" a="1"/>
  <c r="W129" i="2" s="1"/>
  <c r="W128" i="2" a="1"/>
  <c r="W128" i="2" s="1"/>
  <c r="W127" i="2" a="1"/>
  <c r="W127" i="2" s="1"/>
  <c r="W126" i="2" a="1"/>
  <c r="W126" i="2" s="1"/>
  <c r="W125" i="2" a="1"/>
  <c r="W125" i="2" s="1"/>
  <c r="W124" i="2" a="1"/>
  <c r="W124" i="2" s="1"/>
  <c r="W123" i="2" a="1"/>
  <c r="W123" i="2" s="1"/>
  <c r="W122" i="2" a="1"/>
  <c r="W122" i="2" s="1"/>
  <c r="W121" i="2" a="1"/>
  <c r="W121" i="2" s="1"/>
  <c r="W120" i="2" a="1"/>
  <c r="W120" i="2" s="1"/>
  <c r="W119" i="2" a="1"/>
  <c r="W119" i="2" s="1"/>
  <c r="W118" i="2" a="1"/>
  <c r="W118" i="2" s="1"/>
  <c r="W117" i="2" a="1"/>
  <c r="W117" i="2" s="1"/>
  <c r="W116" i="2" a="1"/>
  <c r="W116" i="2" s="1"/>
  <c r="W115" i="2" a="1"/>
  <c r="W115" i="2" s="1"/>
  <c r="W114" i="2" a="1"/>
  <c r="W114" i="2" s="1"/>
  <c r="W113" i="2" a="1"/>
  <c r="W113" i="2" s="1"/>
  <c r="W112" i="2" a="1"/>
  <c r="W112" i="2" s="1"/>
  <c r="W111" i="2" a="1"/>
  <c r="W111" i="2" s="1"/>
  <c r="W110" i="2" a="1"/>
  <c r="W110" i="2" s="1"/>
  <c r="W109" i="2" a="1"/>
  <c r="W109" i="2" s="1"/>
  <c r="W108" i="2" a="1"/>
  <c r="W108" i="2" s="1"/>
  <c r="W107" i="2" a="1"/>
  <c r="W107" i="2" s="1"/>
  <c r="W106" i="2" a="1"/>
  <c r="W106" i="2" s="1"/>
  <c r="W105" i="2" a="1"/>
  <c r="W105" i="2" s="1"/>
  <c r="W104" i="2" a="1"/>
  <c r="W104" i="2" s="1"/>
  <c r="W103" i="2" a="1"/>
  <c r="W103" i="2" s="1"/>
  <c r="W102" i="2" a="1"/>
  <c r="W102" i="2" s="1"/>
  <c r="W101" i="2" a="1"/>
  <c r="W101" i="2" s="1"/>
  <c r="W100" i="2" a="1"/>
  <c r="W100" i="2" s="1"/>
  <c r="W99" i="2" a="1"/>
  <c r="W99" i="2" s="1"/>
  <c r="W98" i="2" a="1"/>
  <c r="W98" i="2" s="1"/>
  <c r="W97" i="2" a="1"/>
  <c r="W97" i="2" s="1"/>
  <c r="W96" i="2" a="1"/>
  <c r="W96" i="2" s="1"/>
  <c r="W95" i="2" a="1"/>
  <c r="W95" i="2" s="1"/>
  <c r="W94" i="2" a="1"/>
  <c r="W94" i="2" s="1"/>
  <c r="W93" i="2" a="1"/>
  <c r="W93" i="2" s="1"/>
  <c r="W92" i="2" a="1"/>
  <c r="W92" i="2" s="1"/>
  <c r="W91" i="2" a="1"/>
  <c r="W91" i="2" s="1"/>
  <c r="W90" i="2" a="1"/>
  <c r="W90" i="2" s="1"/>
  <c r="W89" i="2" a="1"/>
  <c r="W89" i="2" s="1"/>
  <c r="W88" i="2" a="1"/>
  <c r="W88" i="2" s="1"/>
  <c r="W87" i="2" a="1"/>
  <c r="W87" i="2" s="1"/>
  <c r="W86" i="2" a="1"/>
  <c r="W86" i="2" s="1"/>
  <c r="W85" i="2" a="1"/>
  <c r="W85" i="2" s="1"/>
  <c r="W84" i="2" a="1"/>
  <c r="W84" i="2" s="1"/>
  <c r="W83" i="2" a="1"/>
  <c r="W83" i="2" s="1"/>
  <c r="W82" i="2" a="1"/>
  <c r="W82" i="2" s="1"/>
  <c r="W81" i="2" a="1"/>
  <c r="W81" i="2" s="1"/>
  <c r="W80" i="2" a="1"/>
  <c r="W80" i="2" s="1"/>
  <c r="W79" i="2" a="1"/>
  <c r="W79" i="2" s="1"/>
  <c r="W78" i="2" a="1"/>
  <c r="W78" i="2" s="1"/>
  <c r="W77" i="2" a="1"/>
  <c r="W77" i="2" s="1"/>
  <c r="W76" i="2" a="1"/>
  <c r="W76" i="2" s="1"/>
  <c r="W75" i="2" a="1"/>
  <c r="W75" i="2" s="1"/>
  <c r="W74" i="2" a="1"/>
  <c r="W74" i="2" s="1"/>
  <c r="W73" i="2" a="1"/>
  <c r="W73" i="2" s="1"/>
  <c r="W72" i="2" a="1"/>
  <c r="W72" i="2" s="1"/>
  <c r="W71" i="2" a="1"/>
  <c r="W71" i="2" s="1"/>
  <c r="W70" i="2" a="1"/>
  <c r="W70" i="2" s="1"/>
  <c r="W69" i="2" a="1"/>
  <c r="W69" i="2" s="1"/>
  <c r="W68" i="2" a="1"/>
  <c r="W68" i="2" s="1"/>
  <c r="W67" i="2" a="1"/>
  <c r="W67" i="2" s="1"/>
  <c r="W66" i="2" a="1"/>
  <c r="W66" i="2" s="1"/>
  <c r="W65" i="2" a="1"/>
  <c r="W65" i="2" s="1"/>
  <c r="W64" i="2" a="1"/>
  <c r="W64" i="2" s="1"/>
  <c r="W63" i="2" a="1"/>
  <c r="W63" i="2" s="1"/>
  <c r="W62" i="2" a="1"/>
  <c r="W62" i="2" s="1"/>
  <c r="W61" i="2" a="1"/>
  <c r="W61" i="2" s="1"/>
  <c r="W60" i="2" a="1"/>
  <c r="W60" i="2" s="1"/>
  <c r="W59" i="2" a="1"/>
  <c r="W59" i="2" s="1"/>
  <c r="W57" i="2" a="1"/>
  <c r="W57" i="2" s="1"/>
  <c r="W56" i="2" a="1"/>
  <c r="W56" i="2" s="1"/>
  <c r="W55" i="2" a="1"/>
  <c r="W55" i="2" s="1"/>
  <c r="W54" i="2" a="1"/>
  <c r="W54" i="2" s="1"/>
  <c r="W53" i="2" a="1"/>
  <c r="W53" i="2" s="1"/>
  <c r="W52" i="2" a="1"/>
  <c r="W52" i="2" s="1"/>
  <c r="W51" i="2" a="1"/>
  <c r="W51" i="2" s="1"/>
  <c r="W50" i="2" a="1"/>
  <c r="W50" i="2" s="1"/>
  <c r="W49" i="2" a="1"/>
  <c r="W49" i="2" s="1"/>
  <c r="W48" i="2" a="1"/>
  <c r="W48" i="2" s="1"/>
  <c r="W47" i="2" a="1"/>
  <c r="W47" i="2" s="1"/>
  <c r="W46" i="2" a="1"/>
  <c r="W46" i="2" s="1"/>
  <c r="W45" i="2" a="1"/>
  <c r="W45" i="2" s="1"/>
  <c r="W44" i="2" a="1"/>
  <c r="W44" i="2" s="1"/>
  <c r="W43" i="2" a="1"/>
  <c r="W43" i="2" s="1"/>
  <c r="W42" i="2" a="1"/>
  <c r="W42" i="2" s="1"/>
  <c r="W41" i="2" a="1"/>
  <c r="W41" i="2" s="1"/>
  <c r="W40" i="2" a="1"/>
  <c r="W40" i="2" s="1"/>
  <c r="W39" i="2" a="1"/>
  <c r="W39" i="2" s="1"/>
  <c r="W37" i="2" a="1"/>
  <c r="W37" i="2" s="1"/>
  <c r="W36" i="2" a="1"/>
  <c r="W36" i="2" s="1"/>
  <c r="W35" i="2" a="1"/>
  <c r="W35" i="2" s="1"/>
  <c r="W34" i="2" a="1"/>
  <c r="W34" i="2" s="1"/>
  <c r="W33" i="2" a="1"/>
  <c r="W33" i="2" s="1"/>
  <c r="W32" i="2" a="1"/>
  <c r="W32" i="2" s="1"/>
  <c r="W31" i="2" a="1"/>
  <c r="W31" i="2" s="1"/>
  <c r="W30" i="2" a="1"/>
  <c r="W30" i="2" s="1"/>
  <c r="W29" i="2" a="1"/>
  <c r="W29" i="2" s="1"/>
  <c r="W28" i="2" a="1"/>
  <c r="W28" i="2" s="1"/>
  <c r="W27" i="2" a="1"/>
  <c r="W27" i="2" s="1"/>
  <c r="W26" i="2" a="1"/>
  <c r="W26" i="2" s="1"/>
  <c r="W25" i="2" a="1"/>
  <c r="W25" i="2" s="1"/>
  <c r="W24" i="2" a="1"/>
  <c r="W24" i="2" s="1"/>
  <c r="W23" i="2" a="1"/>
  <c r="W23" i="2" s="1"/>
  <c r="W22" i="2" a="1"/>
  <c r="W22" i="2" s="1"/>
  <c r="W21" i="2" a="1"/>
  <c r="W21" i="2" s="1"/>
  <c r="W20" i="2" a="1"/>
  <c r="W20" i="2" s="1"/>
  <c r="W19" i="2" a="1"/>
  <c r="W19" i="2" s="1"/>
  <c r="W18" i="2" a="1"/>
  <c r="W18" i="2" s="1"/>
  <c r="W17" i="2" a="1"/>
  <c r="W17" i="2" s="1"/>
  <c r="W16" i="2" a="1"/>
  <c r="W16" i="2" s="1"/>
  <c r="W15" i="2" a="1"/>
  <c r="W15" i="2" s="1"/>
  <c r="W14" i="2" a="1"/>
  <c r="W14" i="2" s="1"/>
  <c r="W13" i="2" a="1"/>
  <c r="W13" i="2" s="1"/>
  <c r="W12" i="2" a="1"/>
  <c r="W12" i="2" s="1"/>
  <c r="W11" i="2" a="1"/>
  <c r="W11" i="2" s="1"/>
  <c r="W10" i="2" a="1"/>
  <c r="W10" i="2" s="1"/>
  <c r="W9" i="2" a="1"/>
  <c r="W9" i="2" s="1"/>
  <c r="W8" i="2" a="1"/>
  <c r="W8" i="2" s="1"/>
  <c r="W7" i="2" a="1"/>
  <c r="W7" i="2" s="1"/>
  <c r="W5" i="2" a="1"/>
  <c r="W5" i="2" s="1"/>
  <c r="W4" i="2" a="1"/>
  <c r="W4" i="2" s="1"/>
  <c r="W3" i="2" a="1"/>
  <c r="W3" i="2" s="1"/>
  <c r="W2" i="2" a="1"/>
  <c r="W2" i="2" s="1"/>
  <c r="V120" i="2" a="1"/>
  <c r="V120" i="2" s="1"/>
  <c r="S1056" i="2" l="1"/>
  <c r="S1703" i="2"/>
  <c r="V3" i="2" l="1" a="1"/>
  <c r="V3" i="2" s="1"/>
  <c r="V4" i="2" a="1"/>
  <c r="V4" i="2" s="1"/>
  <c r="V5" i="2" a="1"/>
  <c r="V5" i="2" s="1"/>
  <c r="V58" i="2" a="1"/>
  <c r="V58" i="2" s="1"/>
  <c r="V59" i="2" a="1"/>
  <c r="V59" i="2" s="1"/>
  <c r="V60" i="2" a="1"/>
  <c r="V60" i="2" s="1"/>
  <c r="V61" i="2" a="1"/>
  <c r="V61" i="2" s="1"/>
  <c r="V62" i="2" a="1"/>
  <c r="V62" i="2" s="1"/>
  <c r="V63" i="2" a="1"/>
  <c r="V63" i="2" s="1"/>
  <c r="V64" i="2" a="1"/>
  <c r="V64" i="2" s="1"/>
  <c r="V65" i="2" a="1"/>
  <c r="V65" i="2" s="1"/>
  <c r="V66" i="2" a="1"/>
  <c r="V66" i="2" s="1"/>
  <c r="V67" i="2" a="1"/>
  <c r="V67" i="2" s="1"/>
  <c r="V68" i="2" a="1"/>
  <c r="V68" i="2" s="1"/>
  <c r="V69" i="2" a="1"/>
  <c r="V69" i="2" s="1"/>
  <c r="V70" i="2" a="1"/>
  <c r="V70" i="2" s="1"/>
  <c r="V71" i="2" a="1"/>
  <c r="V71" i="2" s="1"/>
  <c r="V72" i="2" a="1"/>
  <c r="V72" i="2" s="1"/>
  <c r="V73" i="2" a="1"/>
  <c r="V73" i="2" s="1"/>
  <c r="V74" i="2" a="1"/>
  <c r="V74" i="2" s="1"/>
  <c r="V75" i="2" a="1"/>
  <c r="V75" i="2" s="1"/>
  <c r="V76" i="2" a="1"/>
  <c r="V76" i="2" s="1"/>
  <c r="V77" i="2" a="1"/>
  <c r="V77" i="2" s="1"/>
  <c r="V78" i="2" a="1"/>
  <c r="V78" i="2" s="1"/>
  <c r="V79" i="2" a="1"/>
  <c r="V79" i="2" s="1"/>
  <c r="V80" i="2" a="1"/>
  <c r="V80" i="2" s="1"/>
  <c r="V81" i="2" a="1"/>
  <c r="V81" i="2" s="1"/>
  <c r="V82" i="2" a="1"/>
  <c r="V82" i="2" s="1"/>
  <c r="V83" i="2" a="1"/>
  <c r="V83" i="2" s="1"/>
  <c r="V84" i="2" a="1"/>
  <c r="V84" i="2" s="1"/>
  <c r="V85" i="2" a="1"/>
  <c r="V85" i="2" s="1"/>
  <c r="V86" i="2" a="1"/>
  <c r="V86" i="2" s="1"/>
  <c r="V87" i="2" a="1"/>
  <c r="V87" i="2" s="1"/>
  <c r="V88" i="2" a="1"/>
  <c r="V88" i="2" s="1"/>
  <c r="V89" i="2" a="1"/>
  <c r="V89" i="2" s="1"/>
  <c r="V90" i="2" a="1"/>
  <c r="V90" i="2" s="1"/>
  <c r="V91" i="2" a="1"/>
  <c r="V91" i="2" s="1"/>
  <c r="V92" i="2" a="1"/>
  <c r="V92" i="2" s="1"/>
  <c r="V93" i="2" a="1"/>
  <c r="V93" i="2" s="1"/>
  <c r="V94" i="2" a="1"/>
  <c r="V94" i="2" s="1"/>
  <c r="V95" i="2" a="1"/>
  <c r="V95" i="2" s="1"/>
  <c r="V96" i="2" a="1"/>
  <c r="V96" i="2" s="1"/>
  <c r="V97" i="2" a="1"/>
  <c r="V97" i="2" s="1"/>
  <c r="V98" i="2" a="1"/>
  <c r="V98" i="2" s="1"/>
  <c r="V99" i="2" a="1"/>
  <c r="V99" i="2" s="1"/>
  <c r="V100" i="2" a="1"/>
  <c r="V100" i="2" s="1"/>
  <c r="V101" i="2" a="1"/>
  <c r="V101" i="2" s="1"/>
  <c r="V102" i="2" a="1"/>
  <c r="V102" i="2" s="1"/>
  <c r="V103" i="2" a="1"/>
  <c r="V103" i="2" s="1"/>
  <c r="V104" i="2" a="1"/>
  <c r="V104" i="2" s="1"/>
  <c r="V105" i="2" a="1"/>
  <c r="V105" i="2" s="1"/>
  <c r="V106" i="2" a="1"/>
  <c r="V106" i="2" s="1"/>
  <c r="V107" i="2" a="1"/>
  <c r="V107" i="2" s="1"/>
  <c r="V108" i="2" a="1"/>
  <c r="V108" i="2" s="1"/>
  <c r="V109" i="2" a="1"/>
  <c r="V109" i="2" s="1"/>
  <c r="V110" i="2" a="1"/>
  <c r="V110" i="2" s="1"/>
  <c r="V111" i="2" a="1"/>
  <c r="V111" i="2" s="1"/>
  <c r="V112" i="2" a="1"/>
  <c r="V112" i="2" s="1"/>
  <c r="V113" i="2" a="1"/>
  <c r="V113" i="2" s="1"/>
  <c r="V114" i="2" a="1"/>
  <c r="V114" i="2" s="1"/>
  <c r="V115" i="2" a="1"/>
  <c r="V115" i="2" s="1"/>
  <c r="V116" i="2" a="1"/>
  <c r="V116" i="2" s="1"/>
  <c r="V117" i="2" a="1"/>
  <c r="V117" i="2" s="1"/>
  <c r="V118" i="2" a="1"/>
  <c r="V118" i="2" s="1"/>
  <c r="V119" i="2" a="1"/>
  <c r="V119" i="2" s="1"/>
  <c r="V132" i="2" a="1"/>
  <c r="V132" i="2" s="1"/>
  <c r="V121" i="2" a="1"/>
  <c r="V121" i="2" s="1"/>
  <c r="V122" i="2" a="1"/>
  <c r="V122" i="2" s="1"/>
  <c r="V123" i="2" a="1"/>
  <c r="V123" i="2" s="1"/>
  <c r="V124" i="2" a="1"/>
  <c r="V124" i="2" s="1"/>
  <c r="V125" i="2" a="1"/>
  <c r="V125" i="2" s="1"/>
  <c r="V126" i="2" a="1"/>
  <c r="V126" i="2" s="1"/>
  <c r="V127" i="2" a="1"/>
  <c r="V127" i="2" s="1"/>
  <c r="V128" i="2" a="1"/>
  <c r="V128" i="2" s="1"/>
  <c r="V129" i="2" a="1"/>
  <c r="V129" i="2" s="1"/>
  <c r="V130" i="2" a="1"/>
  <c r="V130" i="2" s="1"/>
  <c r="V131" i="2" a="1"/>
  <c r="V131" i="2" s="1"/>
  <c r="V133" i="2" a="1"/>
  <c r="V133" i="2" s="1"/>
  <c r="V134" i="2" a="1"/>
  <c r="V134" i="2" s="1"/>
  <c r="V135" i="2" a="1"/>
  <c r="V135" i="2" s="1"/>
  <c r="V136" i="2" a="1"/>
  <c r="V136" i="2" s="1"/>
  <c r="V137" i="2" a="1"/>
  <c r="V137" i="2" s="1"/>
  <c r="V138" i="2" a="1"/>
  <c r="V138" i="2" s="1"/>
  <c r="V139" i="2" a="1"/>
  <c r="V139" i="2" s="1"/>
  <c r="V140" i="2" a="1"/>
  <c r="V140" i="2" s="1"/>
  <c r="V141" i="2" a="1"/>
  <c r="V141" i="2" s="1"/>
  <c r="V142" i="2" a="1"/>
  <c r="V142" i="2" s="1"/>
  <c r="V143" i="2" a="1"/>
  <c r="V143" i="2" s="1"/>
  <c r="V144" i="2" a="1"/>
  <c r="V144" i="2" s="1"/>
  <c r="V145" i="2" a="1"/>
  <c r="V145" i="2" s="1"/>
  <c r="V146" i="2" a="1"/>
  <c r="V146" i="2" s="1"/>
  <c r="V147" i="2" a="1"/>
  <c r="V147" i="2" s="1"/>
  <c r="V148" i="2" a="1"/>
  <c r="V148" i="2" s="1"/>
  <c r="V149" i="2" a="1"/>
  <c r="V149" i="2" s="1"/>
  <c r="V150" i="2" a="1"/>
  <c r="V150" i="2" s="1"/>
  <c r="V151" i="2" a="1"/>
  <c r="V151" i="2" s="1"/>
  <c r="V152" i="2" a="1"/>
  <c r="V152" i="2" s="1"/>
  <c r="V153" i="2" a="1"/>
  <c r="V153" i="2" s="1"/>
  <c r="V154" i="2" a="1"/>
  <c r="V154" i="2" s="1"/>
  <c r="V6" i="2" a="1"/>
  <c r="V6" i="2" s="1"/>
  <c r="V7" i="2" a="1"/>
  <c r="V7" i="2" s="1"/>
  <c r="V8" i="2" a="1"/>
  <c r="V8" i="2" s="1"/>
  <c r="V9" i="2" a="1"/>
  <c r="V9" i="2" s="1"/>
  <c r="V10" i="2" a="1"/>
  <c r="V10" i="2" s="1"/>
  <c r="V11" i="2" a="1"/>
  <c r="V11" i="2" s="1"/>
  <c r="V12" i="2" a="1"/>
  <c r="V12" i="2" s="1"/>
  <c r="V13" i="2" a="1"/>
  <c r="V13" i="2" s="1"/>
  <c r="V14" i="2" a="1"/>
  <c r="V14" i="2" s="1"/>
  <c r="V15" i="2" a="1"/>
  <c r="V15" i="2" s="1"/>
  <c r="V16" i="2" a="1"/>
  <c r="V16" i="2" s="1"/>
  <c r="V17" i="2" a="1"/>
  <c r="V17" i="2" s="1"/>
  <c r="V18" i="2" a="1"/>
  <c r="V18" i="2" s="1"/>
  <c r="V19" i="2" a="1"/>
  <c r="V19" i="2" s="1"/>
  <c r="V20" i="2" a="1"/>
  <c r="V20" i="2" s="1"/>
  <c r="V21" i="2" a="1"/>
  <c r="V21" i="2" s="1"/>
  <c r="V22" i="2" a="1"/>
  <c r="V22" i="2" s="1"/>
  <c r="V23" i="2" a="1"/>
  <c r="V23" i="2" s="1"/>
  <c r="V24" i="2" a="1"/>
  <c r="V24" i="2" s="1"/>
  <c r="V25" i="2" a="1"/>
  <c r="V25" i="2" s="1"/>
  <c r="V26" i="2" a="1"/>
  <c r="V26" i="2" s="1"/>
  <c r="V27" i="2" a="1"/>
  <c r="V27" i="2" s="1"/>
  <c r="V28" i="2" a="1"/>
  <c r="V28" i="2" s="1"/>
  <c r="V29" i="2" a="1"/>
  <c r="V29" i="2" s="1"/>
  <c r="V30" i="2" a="1"/>
  <c r="V30" i="2" s="1"/>
  <c r="V31" i="2" a="1"/>
  <c r="V31" i="2" s="1"/>
  <c r="V32" i="2" a="1"/>
  <c r="V32" i="2" s="1"/>
  <c r="V33" i="2" a="1"/>
  <c r="V33" i="2" s="1"/>
  <c r="V34" i="2" a="1"/>
  <c r="V34" i="2" s="1"/>
  <c r="V35" i="2" a="1"/>
  <c r="V35" i="2" s="1"/>
  <c r="V36" i="2" a="1"/>
  <c r="V36" i="2" s="1"/>
  <c r="V37" i="2" a="1"/>
  <c r="V37" i="2" s="1"/>
  <c r="V38" i="2" a="1"/>
  <c r="V38" i="2" s="1"/>
  <c r="V43" i="2" a="1"/>
  <c r="V43" i="2" s="1"/>
  <c r="V44" i="2" a="1"/>
  <c r="V44" i="2" s="1"/>
  <c r="V45" i="2" a="1"/>
  <c r="V45" i="2" s="1"/>
  <c r="V46" i="2" a="1"/>
  <c r="V46" i="2" s="1"/>
  <c r="V47" i="2" a="1"/>
  <c r="V47" i="2" s="1"/>
  <c r="V48" i="2" a="1"/>
  <c r="V48" i="2" s="1"/>
  <c r="V49" i="2" a="1"/>
  <c r="V49" i="2" s="1"/>
  <c r="V50" i="2" a="1"/>
  <c r="V50" i="2" s="1"/>
  <c r="V51" i="2" a="1"/>
  <c r="V51" i="2" s="1"/>
  <c r="V39" i="2" a="1"/>
  <c r="V39" i="2" s="1"/>
  <c r="V40" i="2" a="1"/>
  <c r="V40" i="2" s="1"/>
  <c r="V41" i="2" a="1"/>
  <c r="V41" i="2" s="1"/>
  <c r="V42" i="2" a="1"/>
  <c r="V42" i="2" s="1"/>
  <c r="V52" i="2" a="1"/>
  <c r="V52" i="2" s="1"/>
  <c r="V53" i="2" a="1"/>
  <c r="V53" i="2" s="1"/>
  <c r="V54" i="2" a="1"/>
  <c r="V54" i="2" s="1"/>
  <c r="V55" i="2" a="1"/>
  <c r="V55" i="2" s="1"/>
  <c r="V56" i="2" a="1"/>
  <c r="V56" i="2" s="1"/>
  <c r="V57" i="2" a="1"/>
  <c r="V57" i="2" s="1"/>
  <c r="V390" i="2" a="1"/>
  <c r="V390" i="2" s="1"/>
  <c r="V391" i="2" a="1"/>
  <c r="V391" i="2" s="1"/>
  <c r="V392" i="2" a="1"/>
  <c r="V392" i="2" s="1"/>
  <c r="V393" i="2" a="1"/>
  <c r="V393" i="2" s="1"/>
  <c r="V394" i="2" a="1"/>
  <c r="V394" i="2" s="1"/>
  <c r="V395" i="2" a="1"/>
  <c r="V395" i="2" s="1"/>
  <c r="V396" i="2" a="1"/>
  <c r="V396" i="2" s="1"/>
  <c r="V397" i="2" a="1"/>
  <c r="V397" i="2" s="1"/>
  <c r="V398" i="2" a="1"/>
  <c r="V398" i="2" s="1"/>
  <c r="V399" i="2" a="1"/>
  <c r="V399" i="2" s="1"/>
  <c r="V400" i="2" a="1"/>
  <c r="V400" i="2" s="1"/>
  <c r="V401" i="2" a="1"/>
  <c r="V401" i="2" s="1"/>
  <c r="V402" i="2" a="1"/>
  <c r="V402" i="2" s="1"/>
  <c r="V403" i="2" a="1"/>
  <c r="V403" i="2" s="1"/>
  <c r="V404" i="2" a="1"/>
  <c r="V404" i="2" s="1"/>
  <c r="V405" i="2" a="1"/>
  <c r="V405" i="2" s="1"/>
  <c r="V406" i="2" a="1"/>
  <c r="V406" i="2" s="1"/>
  <c r="V407" i="2" a="1"/>
  <c r="V407" i="2" s="1"/>
  <c r="V408" i="2" a="1"/>
  <c r="V408" i="2" s="1"/>
  <c r="V409" i="2" a="1"/>
  <c r="V409" i="2" s="1"/>
  <c r="V410" i="2" a="1"/>
  <c r="V410" i="2" s="1"/>
  <c r="V411" i="2" a="1"/>
  <c r="V411" i="2" s="1"/>
  <c r="V412" i="2" a="1"/>
  <c r="V412" i="2" s="1"/>
  <c r="V413" i="2" a="1"/>
  <c r="V413" i="2" s="1"/>
  <c r="V414" i="2" a="1"/>
  <c r="V414" i="2" s="1"/>
  <c r="V415" i="2" a="1"/>
  <c r="V415" i="2" s="1"/>
  <c r="V416" i="2" a="1"/>
  <c r="V416" i="2" s="1"/>
  <c r="V417" i="2" a="1"/>
  <c r="V417" i="2" s="1"/>
  <c r="V418" i="2" a="1"/>
  <c r="V418" i="2" s="1"/>
  <c r="V419" i="2" a="1"/>
  <c r="V419" i="2" s="1"/>
  <c r="V420" i="2" a="1"/>
  <c r="V420" i="2" s="1"/>
  <c r="V421" i="2" a="1"/>
  <c r="V421" i="2" s="1"/>
  <c r="V422" i="2" a="1"/>
  <c r="V422" i="2" s="1"/>
  <c r="V423" i="2" a="1"/>
  <c r="V423" i="2" s="1"/>
  <c r="V424" i="2" a="1"/>
  <c r="V424" i="2" s="1"/>
  <c r="V425" i="2" a="1"/>
  <c r="V425" i="2" s="1"/>
  <c r="V426" i="2" a="1"/>
  <c r="V426" i="2" s="1"/>
  <c r="V427" i="2" a="1"/>
  <c r="V427" i="2" s="1"/>
  <c r="V428" i="2" a="1"/>
  <c r="V428" i="2" s="1"/>
  <c r="V429" i="2" a="1"/>
  <c r="V429" i="2" s="1"/>
  <c r="V430" i="2" a="1"/>
  <c r="V430" i="2" s="1"/>
  <c r="V431" i="2" a="1"/>
  <c r="V431" i="2" s="1"/>
  <c r="V432" i="2" a="1"/>
  <c r="V432" i="2" s="1"/>
  <c r="V433" i="2" a="1"/>
  <c r="V433" i="2" s="1"/>
  <c r="V434" i="2" a="1"/>
  <c r="V434" i="2" s="1"/>
  <c r="V435" i="2" a="1"/>
  <c r="V435" i="2" s="1"/>
  <c r="V436" i="2" a="1"/>
  <c r="V436" i="2" s="1"/>
  <c r="V437" i="2" a="1"/>
  <c r="V437" i="2" s="1"/>
  <c r="V438" i="2" a="1"/>
  <c r="V438" i="2" s="1"/>
  <c r="V439" i="2" a="1"/>
  <c r="V439" i="2" s="1"/>
  <c r="V440" i="2" a="1"/>
  <c r="V440" i="2" s="1"/>
  <c r="V441" i="2" a="1"/>
  <c r="V441" i="2" s="1"/>
  <c r="V442" i="2" a="1"/>
  <c r="V442" i="2" s="1"/>
  <c r="V443" i="2" a="1"/>
  <c r="V443" i="2" s="1"/>
  <c r="V444" i="2" a="1"/>
  <c r="V444" i="2" s="1"/>
  <c r="V445" i="2" a="1"/>
  <c r="V445" i="2" s="1"/>
  <c r="V446" i="2" a="1"/>
  <c r="V446" i="2" s="1"/>
  <c r="V447" i="2" a="1"/>
  <c r="V447" i="2" s="1"/>
  <c r="V448" i="2" a="1"/>
  <c r="V448" i="2" s="1"/>
  <c r="V449" i="2" a="1"/>
  <c r="V449" i="2" s="1"/>
  <c r="V450" i="2" a="1"/>
  <c r="V450" i="2" s="1"/>
  <c r="V451" i="2" a="1"/>
  <c r="V451" i="2" s="1"/>
  <c r="V452" i="2" a="1"/>
  <c r="V452" i="2" s="1"/>
  <c r="V453" i="2" a="1"/>
  <c r="V453" i="2" s="1"/>
  <c r="V454" i="2" a="1"/>
  <c r="V454" i="2" s="1"/>
  <c r="V455" i="2" a="1"/>
  <c r="V455" i="2" s="1"/>
  <c r="V456" i="2" a="1"/>
  <c r="V456" i="2" s="1"/>
  <c r="V457" i="2" a="1"/>
  <c r="V457" i="2" s="1"/>
  <c r="V458" i="2" a="1"/>
  <c r="V458" i="2" s="1"/>
  <c r="V459" i="2" a="1"/>
  <c r="V459" i="2" s="1"/>
  <c r="V460" i="2" a="1"/>
  <c r="V460" i="2" s="1"/>
  <c r="V461" i="2" a="1"/>
  <c r="V461" i="2" s="1"/>
  <c r="V462" i="2" a="1"/>
  <c r="V462" i="2" s="1"/>
  <c r="V463" i="2" a="1"/>
  <c r="V463" i="2" s="1"/>
  <c r="V464" i="2" a="1"/>
  <c r="V464" i="2" s="1"/>
  <c r="V465" i="2" a="1"/>
  <c r="V465" i="2" s="1"/>
  <c r="V466" i="2" a="1"/>
  <c r="V466" i="2" s="1"/>
  <c r="V467" i="2" a="1"/>
  <c r="V467" i="2" s="1"/>
  <c r="V468" i="2" a="1"/>
  <c r="V468" i="2" s="1"/>
  <c r="V469" i="2" a="1"/>
  <c r="V469" i="2" s="1"/>
  <c r="V470" i="2" a="1"/>
  <c r="V470" i="2" s="1"/>
  <c r="V471" i="2" a="1"/>
  <c r="V471" i="2" s="1"/>
  <c r="V472" i="2" a="1"/>
  <c r="V472" i="2" s="1"/>
  <c r="V473" i="2" a="1"/>
  <c r="V473" i="2" s="1"/>
  <c r="V474" i="2" a="1"/>
  <c r="V474" i="2" s="1"/>
  <c r="V475" i="2" a="1"/>
  <c r="V475" i="2" s="1"/>
  <c r="V476" i="2" a="1"/>
  <c r="V476" i="2" s="1"/>
  <c r="V477" i="2" a="1"/>
  <c r="V477" i="2" s="1"/>
  <c r="V478" i="2" a="1"/>
  <c r="V478" i="2" s="1"/>
  <c r="V479" i="2" a="1"/>
  <c r="V479" i="2" s="1"/>
  <c r="V480" i="2" a="1"/>
  <c r="V480" i="2" s="1"/>
  <c r="V481" i="2" a="1"/>
  <c r="V481" i="2" s="1"/>
  <c r="V482" i="2" a="1"/>
  <c r="V482" i="2" s="1"/>
  <c r="V483" i="2" a="1"/>
  <c r="V483" i="2" s="1"/>
  <c r="V484" i="2" a="1"/>
  <c r="V484" i="2" s="1"/>
  <c r="V485" i="2" a="1"/>
  <c r="V485" i="2" s="1"/>
  <c r="V486" i="2" a="1"/>
  <c r="V486" i="2" s="1"/>
  <c r="V487" i="2" a="1"/>
  <c r="V487" i="2" s="1"/>
  <c r="V488" i="2" a="1"/>
  <c r="V488" i="2" s="1"/>
  <c r="V489" i="2" a="1"/>
  <c r="V489" i="2" s="1"/>
  <c r="V490" i="2" a="1"/>
  <c r="V490" i="2" s="1"/>
  <c r="V491" i="2" a="1"/>
  <c r="V491" i="2" s="1"/>
  <c r="V492" i="2" a="1"/>
  <c r="V492" i="2" s="1"/>
  <c r="V493" i="2" a="1"/>
  <c r="V493" i="2" s="1"/>
  <c r="V494" i="2" a="1"/>
  <c r="V494" i="2" s="1"/>
  <c r="V495" i="2" a="1"/>
  <c r="V495" i="2" s="1"/>
  <c r="V496" i="2" a="1"/>
  <c r="V496" i="2" s="1"/>
  <c r="V497" i="2" a="1"/>
  <c r="V497" i="2" s="1"/>
  <c r="V498" i="2" a="1"/>
  <c r="V498" i="2" s="1"/>
  <c r="V499" i="2" a="1"/>
  <c r="V499" i="2" s="1"/>
  <c r="V500" i="2" a="1"/>
  <c r="V500" i="2" s="1"/>
  <c r="V501" i="2" a="1"/>
  <c r="V501" i="2" s="1"/>
  <c r="V502" i="2" a="1"/>
  <c r="V502" i="2" s="1"/>
  <c r="V503" i="2" a="1"/>
  <c r="V503" i="2" s="1"/>
  <c r="V504" i="2" a="1"/>
  <c r="V504" i="2" s="1"/>
  <c r="V505" i="2" a="1"/>
  <c r="V505" i="2" s="1"/>
  <c r="V506" i="2" a="1"/>
  <c r="V506" i="2" s="1"/>
  <c r="V507" i="2" a="1"/>
  <c r="V507" i="2" s="1"/>
  <c r="V508" i="2" a="1"/>
  <c r="V508" i="2" s="1"/>
  <c r="V509" i="2" a="1"/>
  <c r="V509" i="2" s="1"/>
  <c r="V510" i="2" a="1"/>
  <c r="V510" i="2" s="1"/>
  <c r="V511" i="2" a="1"/>
  <c r="V511" i="2" s="1"/>
  <c r="V512" i="2" a="1"/>
  <c r="V512" i="2" s="1"/>
  <c r="V513" i="2" a="1"/>
  <c r="V513" i="2" s="1"/>
  <c r="V514" i="2" a="1"/>
  <c r="V514" i="2" s="1"/>
  <c r="V515" i="2" a="1"/>
  <c r="V515" i="2" s="1"/>
  <c r="V516" i="2" a="1"/>
  <c r="V516" i="2" s="1"/>
  <c r="V517" i="2" a="1"/>
  <c r="V517" i="2" s="1"/>
  <c r="V518" i="2" a="1"/>
  <c r="V518" i="2" s="1"/>
  <c r="V519" i="2" a="1"/>
  <c r="V519" i="2" s="1"/>
  <c r="V520" i="2" a="1"/>
  <c r="V520" i="2" s="1"/>
  <c r="V521" i="2" a="1"/>
  <c r="V521" i="2" s="1"/>
  <c r="V522" i="2" a="1"/>
  <c r="V522" i="2" s="1"/>
  <c r="V523" i="2" a="1"/>
  <c r="V523" i="2" s="1"/>
  <c r="V524" i="2" a="1"/>
  <c r="V524" i="2" s="1"/>
  <c r="V525" i="2" a="1"/>
  <c r="V525" i="2" s="1"/>
  <c r="V526" i="2" a="1"/>
  <c r="V526" i="2" s="1"/>
  <c r="V527" i="2" a="1"/>
  <c r="V527" i="2" s="1"/>
  <c r="V528" i="2" a="1"/>
  <c r="V528" i="2" s="1"/>
  <c r="V529" i="2" a="1"/>
  <c r="V529" i="2" s="1"/>
  <c r="V530" i="2" a="1"/>
  <c r="V530" i="2" s="1"/>
  <c r="V531" i="2" a="1"/>
  <c r="V531" i="2" s="1"/>
  <c r="V532" i="2" a="1"/>
  <c r="V532" i="2" s="1"/>
  <c r="V533" i="2" a="1"/>
  <c r="V533" i="2" s="1"/>
  <c r="V534" i="2" a="1"/>
  <c r="V534" i="2" s="1"/>
  <c r="V535" i="2" a="1"/>
  <c r="V535" i="2" s="1"/>
  <c r="V536" i="2" a="1"/>
  <c r="V536" i="2" s="1"/>
  <c r="V537" i="2" a="1"/>
  <c r="V537" i="2" s="1"/>
  <c r="V538" i="2" a="1"/>
  <c r="V538" i="2" s="1"/>
  <c r="V539" i="2" a="1"/>
  <c r="V539" i="2" s="1"/>
  <c r="V540" i="2" a="1"/>
  <c r="V540" i="2" s="1"/>
  <c r="V541" i="2" a="1"/>
  <c r="V541" i="2" s="1"/>
  <c r="V542" i="2" a="1"/>
  <c r="V542" i="2" s="1"/>
  <c r="V543" i="2" a="1"/>
  <c r="V543" i="2" s="1"/>
  <c r="V544" i="2" a="1"/>
  <c r="V544" i="2" s="1"/>
  <c r="V545" i="2" a="1"/>
  <c r="V545" i="2" s="1"/>
  <c r="V546" i="2" a="1"/>
  <c r="V546" i="2" s="1"/>
  <c r="V547" i="2" a="1"/>
  <c r="V547" i="2" s="1"/>
  <c r="V548" i="2" a="1"/>
  <c r="V548" i="2" s="1"/>
  <c r="V549" i="2" a="1"/>
  <c r="V549" i="2" s="1"/>
  <c r="V550" i="2" a="1"/>
  <c r="V550" i="2" s="1"/>
  <c r="V551" i="2" a="1"/>
  <c r="V551" i="2" s="1"/>
  <c r="V552" i="2" a="1"/>
  <c r="V552" i="2" s="1"/>
  <c r="V553" i="2" a="1"/>
  <c r="V553" i="2" s="1"/>
  <c r="V554" i="2" a="1"/>
  <c r="V554" i="2" s="1"/>
  <c r="V555" i="2" a="1"/>
  <c r="V555" i="2" s="1"/>
  <c r="V556" i="2" a="1"/>
  <c r="V556" i="2" s="1"/>
  <c r="V557" i="2" a="1"/>
  <c r="V557" i="2" s="1"/>
  <c r="V558" i="2" a="1"/>
  <c r="V558" i="2" s="1"/>
  <c r="V559" i="2" a="1"/>
  <c r="V559" i="2" s="1"/>
  <c r="V560" i="2" a="1"/>
  <c r="V560" i="2" s="1"/>
  <c r="V561" i="2" a="1"/>
  <c r="V561" i="2" s="1"/>
  <c r="V562" i="2" a="1"/>
  <c r="V562" i="2" s="1"/>
  <c r="V563" i="2" a="1"/>
  <c r="V563" i="2" s="1"/>
  <c r="V564" i="2" a="1"/>
  <c r="V564" i="2" s="1"/>
  <c r="V565" i="2" a="1"/>
  <c r="V565" i="2" s="1"/>
  <c r="V566" i="2" a="1"/>
  <c r="V566" i="2" s="1"/>
  <c r="V567" i="2" a="1"/>
  <c r="V567" i="2" s="1"/>
  <c r="V568" i="2" a="1"/>
  <c r="V568" i="2" s="1"/>
  <c r="V569" i="2" a="1"/>
  <c r="V569" i="2" s="1"/>
  <c r="V570" i="2" a="1"/>
  <c r="V570" i="2" s="1"/>
  <c r="V571" i="2" a="1"/>
  <c r="V571" i="2" s="1"/>
  <c r="V572" i="2" a="1"/>
  <c r="V572" i="2" s="1"/>
  <c r="V573" i="2" a="1"/>
  <c r="V573" i="2" s="1"/>
  <c r="V574" i="2" a="1"/>
  <c r="V574" i="2" s="1"/>
  <c r="V575" i="2" a="1"/>
  <c r="V575" i="2" s="1"/>
  <c r="V576" i="2" a="1"/>
  <c r="V576" i="2" s="1"/>
  <c r="V577" i="2" a="1"/>
  <c r="V577" i="2" s="1"/>
  <c r="V578" i="2" a="1"/>
  <c r="V578" i="2" s="1"/>
  <c r="V579" i="2" a="1"/>
  <c r="V579" i="2" s="1"/>
  <c r="V580" i="2" a="1"/>
  <c r="V580" i="2" s="1"/>
  <c r="V581" i="2" a="1"/>
  <c r="V581" i="2" s="1"/>
  <c r="V582" i="2" a="1"/>
  <c r="V582" i="2" s="1"/>
  <c r="V583" i="2" a="1"/>
  <c r="V583" i="2" s="1"/>
  <c r="V584" i="2" a="1"/>
  <c r="V584" i="2" s="1"/>
  <c r="V585" i="2" a="1"/>
  <c r="V585" i="2" s="1"/>
  <c r="V586" i="2" a="1"/>
  <c r="V586" i="2" s="1"/>
  <c r="V587" i="2" a="1"/>
  <c r="V587" i="2" s="1"/>
  <c r="V588" i="2" a="1"/>
  <c r="V588" i="2" s="1"/>
  <c r="V589" i="2" a="1"/>
  <c r="V589" i="2" s="1"/>
  <c r="V590" i="2" a="1"/>
  <c r="V590" i="2" s="1"/>
  <c r="V591" i="2" a="1"/>
  <c r="V591" i="2" s="1"/>
  <c r="V592" i="2" a="1"/>
  <c r="V592" i="2" s="1"/>
  <c r="V593" i="2" a="1"/>
  <c r="V593" i="2" s="1"/>
  <c r="V594" i="2" a="1"/>
  <c r="V594" i="2" s="1"/>
  <c r="V595" i="2" a="1"/>
  <c r="V595" i="2" s="1"/>
  <c r="V596" i="2" a="1"/>
  <c r="V596" i="2" s="1"/>
  <c r="V597" i="2" a="1"/>
  <c r="V597" i="2" s="1"/>
  <c r="V598" i="2" a="1"/>
  <c r="V598" i="2" s="1"/>
  <c r="V599" i="2" a="1"/>
  <c r="V599" i="2" s="1"/>
  <c r="V600" i="2" a="1"/>
  <c r="V600" i="2" s="1"/>
  <c r="V601" i="2" a="1"/>
  <c r="V601" i="2" s="1"/>
  <c r="V602" i="2" a="1"/>
  <c r="V602" i="2" s="1"/>
  <c r="V603" i="2" a="1"/>
  <c r="V603" i="2" s="1"/>
  <c r="V604" i="2" a="1"/>
  <c r="V604" i="2" s="1"/>
  <c r="V605" i="2" a="1"/>
  <c r="V605" i="2" s="1"/>
  <c r="V606" i="2" a="1"/>
  <c r="V606" i="2" s="1"/>
  <c r="V607" i="2" a="1"/>
  <c r="V607" i="2" s="1"/>
  <c r="V608" i="2" a="1"/>
  <c r="V608" i="2" s="1"/>
  <c r="V609" i="2" a="1"/>
  <c r="V609" i="2" s="1"/>
  <c r="V610" i="2" a="1"/>
  <c r="V610" i="2" s="1"/>
  <c r="V611" i="2" a="1"/>
  <c r="V611" i="2" s="1"/>
  <c r="V612" i="2" a="1"/>
  <c r="V612" i="2" s="1"/>
  <c r="V613" i="2" a="1"/>
  <c r="V613" i="2" s="1"/>
  <c r="V614" i="2" a="1"/>
  <c r="V614" i="2" s="1"/>
  <c r="V615" i="2" a="1"/>
  <c r="V615" i="2" s="1"/>
  <c r="V616" i="2" a="1"/>
  <c r="V616" i="2" s="1"/>
  <c r="V617" i="2" a="1"/>
  <c r="V617" i="2" s="1"/>
  <c r="V618" i="2" a="1"/>
  <c r="V618" i="2" s="1"/>
  <c r="V619" i="2" a="1"/>
  <c r="V619" i="2" s="1"/>
  <c r="V620" i="2" a="1"/>
  <c r="V620" i="2" s="1"/>
  <c r="V621" i="2" a="1"/>
  <c r="V621" i="2" s="1"/>
  <c r="V622" i="2" a="1"/>
  <c r="V622" i="2" s="1"/>
  <c r="V623" i="2" a="1"/>
  <c r="V623" i="2" s="1"/>
  <c r="V624" i="2" a="1"/>
  <c r="V624" i="2" s="1"/>
  <c r="V625" i="2" a="1"/>
  <c r="V625" i="2" s="1"/>
  <c r="V626" i="2" a="1"/>
  <c r="V626" i="2" s="1"/>
  <c r="V627" i="2" a="1"/>
  <c r="V627" i="2" s="1"/>
  <c r="V628" i="2" a="1"/>
  <c r="V628" i="2" s="1"/>
  <c r="V629" i="2" a="1"/>
  <c r="V629" i="2" s="1"/>
  <c r="V630" i="2" a="1"/>
  <c r="V630" i="2" s="1"/>
  <c r="V631" i="2" a="1"/>
  <c r="V631" i="2" s="1"/>
  <c r="V632" i="2" a="1"/>
  <c r="V632" i="2" s="1"/>
  <c r="V633" i="2" a="1"/>
  <c r="V633" i="2" s="1"/>
  <c r="V634" i="2" a="1"/>
  <c r="V634" i="2" s="1"/>
  <c r="V635" i="2" a="1"/>
  <c r="V635" i="2" s="1"/>
  <c r="V636" i="2" a="1"/>
  <c r="V636" i="2" s="1"/>
  <c r="V637" i="2" a="1"/>
  <c r="V637" i="2" s="1"/>
  <c r="V638" i="2" a="1"/>
  <c r="V638" i="2" s="1"/>
  <c r="V639" i="2" a="1"/>
  <c r="V639" i="2" s="1"/>
  <c r="V640" i="2" a="1"/>
  <c r="V640" i="2" s="1"/>
  <c r="V641" i="2" a="1"/>
  <c r="V641" i="2" s="1"/>
  <c r="V642" i="2" a="1"/>
  <c r="V642" i="2" s="1"/>
  <c r="V643" i="2" a="1"/>
  <c r="V643" i="2" s="1"/>
  <c r="V644" i="2" a="1"/>
  <c r="V644" i="2" s="1"/>
  <c r="V645" i="2" a="1"/>
  <c r="V645" i="2" s="1"/>
  <c r="V646" i="2" a="1"/>
  <c r="V646" i="2" s="1"/>
  <c r="V647" i="2" a="1"/>
  <c r="V647" i="2" s="1"/>
  <c r="V648" i="2" a="1"/>
  <c r="V648" i="2" s="1"/>
  <c r="V649" i="2" a="1"/>
  <c r="V649" i="2" s="1"/>
  <c r="V650" i="2" a="1"/>
  <c r="V650" i="2" s="1"/>
  <c r="V651" i="2" a="1"/>
  <c r="V651" i="2" s="1"/>
  <c r="V652" i="2" a="1"/>
  <c r="V652" i="2" s="1"/>
  <c r="V653" i="2" a="1"/>
  <c r="V653" i="2" s="1"/>
  <c r="V654" i="2" a="1"/>
  <c r="V654" i="2" s="1"/>
  <c r="V655" i="2" a="1"/>
  <c r="V655" i="2" s="1"/>
  <c r="V656" i="2" a="1"/>
  <c r="V656" i="2" s="1"/>
  <c r="V657" i="2" a="1"/>
  <c r="V657" i="2" s="1"/>
  <c r="V658" i="2" a="1"/>
  <c r="V658" i="2" s="1"/>
  <c r="V659" i="2" a="1"/>
  <c r="V659" i="2" s="1"/>
  <c r="V660" i="2" a="1"/>
  <c r="V660" i="2" s="1"/>
  <c r="V661" i="2" a="1"/>
  <c r="V661" i="2" s="1"/>
  <c r="V662" i="2" a="1"/>
  <c r="V662" i="2" s="1"/>
  <c r="V663" i="2" a="1"/>
  <c r="V663" i="2" s="1"/>
  <c r="V664" i="2" a="1"/>
  <c r="V664" i="2" s="1"/>
  <c r="V665" i="2" a="1"/>
  <c r="V665" i="2" s="1"/>
  <c r="V666" i="2" a="1"/>
  <c r="V666" i="2" s="1"/>
  <c r="V667" i="2" a="1"/>
  <c r="V667" i="2" s="1"/>
  <c r="V668" i="2" a="1"/>
  <c r="V668" i="2" s="1"/>
  <c r="V669" i="2" a="1"/>
  <c r="V669" i="2" s="1"/>
  <c r="V670" i="2" a="1"/>
  <c r="V670" i="2" s="1"/>
  <c r="V671" i="2" a="1"/>
  <c r="V671" i="2" s="1"/>
  <c r="V672" i="2" a="1"/>
  <c r="V672" i="2" s="1"/>
  <c r="V673" i="2" a="1"/>
  <c r="V673" i="2" s="1"/>
  <c r="V674" i="2" a="1"/>
  <c r="V674" i="2" s="1"/>
  <c r="V675" i="2" a="1"/>
  <c r="V675" i="2" s="1"/>
  <c r="V676" i="2" a="1"/>
  <c r="V676" i="2" s="1"/>
  <c r="V677" i="2" a="1"/>
  <c r="V677" i="2" s="1"/>
  <c r="V678" i="2" a="1"/>
  <c r="V678" i="2" s="1"/>
  <c r="V679" i="2" a="1"/>
  <c r="V679" i="2" s="1"/>
  <c r="V680" i="2" a="1"/>
  <c r="V680" i="2" s="1"/>
  <c r="V681" i="2" a="1"/>
  <c r="V681" i="2" s="1"/>
  <c r="V682" i="2" a="1"/>
  <c r="V682" i="2" s="1"/>
  <c r="V683" i="2" a="1"/>
  <c r="V683" i="2" s="1"/>
  <c r="V684" i="2" a="1"/>
  <c r="V684" i="2" s="1"/>
  <c r="V685" i="2" a="1"/>
  <c r="V685" i="2" s="1"/>
  <c r="V686" i="2" a="1"/>
  <c r="V686" i="2" s="1"/>
  <c r="V687" i="2" a="1"/>
  <c r="V687" i="2" s="1"/>
  <c r="V688" i="2" a="1"/>
  <c r="V688" i="2" s="1"/>
  <c r="V689" i="2" a="1"/>
  <c r="V689" i="2" s="1"/>
  <c r="V690" i="2" a="1"/>
  <c r="V690" i="2" s="1"/>
  <c r="V691" i="2" a="1"/>
  <c r="V691" i="2" s="1"/>
  <c r="V692" i="2" a="1"/>
  <c r="V692" i="2" s="1"/>
  <c r="V693" i="2" a="1"/>
  <c r="V693" i="2" s="1"/>
  <c r="V694" i="2" a="1"/>
  <c r="V694" i="2" s="1"/>
  <c r="V695" i="2" a="1"/>
  <c r="V695" i="2" s="1"/>
  <c r="V696" i="2" a="1"/>
  <c r="V696" i="2" s="1"/>
  <c r="V697" i="2" a="1"/>
  <c r="V697" i="2" s="1"/>
  <c r="V698" i="2" a="1"/>
  <c r="V698" i="2" s="1"/>
  <c r="V699" i="2" a="1"/>
  <c r="V699" i="2" s="1"/>
  <c r="V700" i="2" a="1"/>
  <c r="V700" i="2" s="1"/>
  <c r="V701" i="2" a="1"/>
  <c r="V701" i="2" s="1"/>
  <c r="V702" i="2" a="1"/>
  <c r="V702" i="2" s="1"/>
  <c r="V703" i="2" a="1"/>
  <c r="V703" i="2" s="1"/>
  <c r="V704" i="2" a="1"/>
  <c r="V704" i="2" s="1"/>
  <c r="V705" i="2" a="1"/>
  <c r="V705" i="2" s="1"/>
  <c r="V706" i="2" a="1"/>
  <c r="V706" i="2" s="1"/>
  <c r="V707" i="2" a="1"/>
  <c r="V707" i="2" s="1"/>
  <c r="V708" i="2" a="1"/>
  <c r="V708" i="2" s="1"/>
  <c r="V709" i="2" a="1"/>
  <c r="V709" i="2" s="1"/>
  <c r="V710" i="2" a="1"/>
  <c r="V710" i="2" s="1"/>
  <c r="V711" i="2" a="1"/>
  <c r="V711" i="2" s="1"/>
  <c r="V712" i="2" a="1"/>
  <c r="V712" i="2" s="1"/>
  <c r="V713" i="2" a="1"/>
  <c r="V713" i="2" s="1"/>
  <c r="V714" i="2" a="1"/>
  <c r="V714" i="2" s="1"/>
  <c r="V715" i="2" a="1"/>
  <c r="V715" i="2" s="1"/>
  <c r="V716" i="2" a="1"/>
  <c r="V716" i="2" s="1"/>
  <c r="V717" i="2" a="1"/>
  <c r="V717" i="2" s="1"/>
  <c r="V718" i="2" a="1"/>
  <c r="V718" i="2" s="1"/>
  <c r="V719" i="2" a="1"/>
  <c r="V719" i="2" s="1"/>
  <c r="V720" i="2" a="1"/>
  <c r="V720" i="2" s="1"/>
  <c r="V721" i="2" a="1"/>
  <c r="V721" i="2" s="1"/>
  <c r="V722" i="2" a="1"/>
  <c r="V722" i="2" s="1"/>
  <c r="V723" i="2" a="1"/>
  <c r="V723" i="2" s="1"/>
  <c r="V724" i="2" a="1"/>
  <c r="V724" i="2" s="1"/>
  <c r="V725" i="2" a="1"/>
  <c r="V725" i="2" s="1"/>
  <c r="V726" i="2" a="1"/>
  <c r="V726" i="2" s="1"/>
  <c r="V727" i="2" a="1"/>
  <c r="V727" i="2" s="1"/>
  <c r="V728" i="2" a="1"/>
  <c r="V728" i="2" s="1"/>
  <c r="V729" i="2" a="1"/>
  <c r="V729" i="2" s="1"/>
  <c r="V730" i="2" a="1"/>
  <c r="V730" i="2" s="1"/>
  <c r="V731" i="2" a="1"/>
  <c r="V731" i="2" s="1"/>
  <c r="V732" i="2" a="1"/>
  <c r="V732" i="2" s="1"/>
  <c r="V733" i="2" a="1"/>
  <c r="V733" i="2" s="1"/>
  <c r="V734" i="2" a="1"/>
  <c r="V734" i="2" s="1"/>
  <c r="V735" i="2" a="1"/>
  <c r="V735" i="2" s="1"/>
  <c r="V736" i="2" a="1"/>
  <c r="V736" i="2" s="1"/>
  <c r="V737" i="2" a="1"/>
  <c r="V737" i="2" s="1"/>
  <c r="V738" i="2" a="1"/>
  <c r="V738" i="2" s="1"/>
  <c r="V739" i="2" a="1"/>
  <c r="V739" i="2" s="1"/>
  <c r="V740" i="2" a="1"/>
  <c r="V740" i="2" s="1"/>
  <c r="V741" i="2" a="1"/>
  <c r="V741" i="2" s="1"/>
  <c r="V742" i="2" a="1"/>
  <c r="V742" i="2" s="1"/>
  <c r="V743" i="2" a="1"/>
  <c r="V743" i="2" s="1"/>
  <c r="V744" i="2" a="1"/>
  <c r="V744" i="2" s="1"/>
  <c r="V745" i="2" a="1"/>
  <c r="V745" i="2" s="1"/>
  <c r="V746" i="2" a="1"/>
  <c r="V746" i="2" s="1"/>
  <c r="V747" i="2" a="1"/>
  <c r="V747" i="2" s="1"/>
  <c r="V748" i="2" a="1"/>
  <c r="V748" i="2" s="1"/>
  <c r="V749" i="2" a="1"/>
  <c r="V749" i="2" s="1"/>
  <c r="V750" i="2" a="1"/>
  <c r="V750" i="2" s="1"/>
  <c r="V751" i="2" a="1"/>
  <c r="V751" i="2" s="1"/>
  <c r="V752" i="2" a="1"/>
  <c r="V752" i="2" s="1"/>
  <c r="V753" i="2" a="1"/>
  <c r="V753" i="2" s="1"/>
  <c r="V754" i="2" a="1"/>
  <c r="V754" i="2" s="1"/>
  <c r="V755" i="2" a="1"/>
  <c r="V755" i="2" s="1"/>
  <c r="V756" i="2" a="1"/>
  <c r="V756" i="2" s="1"/>
  <c r="V757" i="2" a="1"/>
  <c r="V757" i="2" s="1"/>
  <c r="V758" i="2" a="1"/>
  <c r="V758" i="2" s="1"/>
  <c r="V759" i="2" a="1"/>
  <c r="V759" i="2" s="1"/>
  <c r="V760" i="2" a="1"/>
  <c r="V760" i="2" s="1"/>
  <c r="V761" i="2" a="1"/>
  <c r="V761" i="2" s="1"/>
  <c r="V762" i="2" a="1"/>
  <c r="V762" i="2" s="1"/>
  <c r="V763" i="2" a="1"/>
  <c r="V763" i="2" s="1"/>
  <c r="V764" i="2" a="1"/>
  <c r="V764" i="2" s="1"/>
  <c r="V765" i="2" a="1"/>
  <c r="V765" i="2" s="1"/>
  <c r="V766" i="2" a="1"/>
  <c r="V766" i="2" s="1"/>
  <c r="V767" i="2" a="1"/>
  <c r="V767" i="2" s="1"/>
  <c r="V768" i="2" a="1"/>
  <c r="V768" i="2" s="1"/>
  <c r="V769" i="2" a="1"/>
  <c r="V769" i="2" s="1"/>
  <c r="V770" i="2" a="1"/>
  <c r="V770" i="2" s="1"/>
  <c r="V771" i="2" a="1"/>
  <c r="V771" i="2" s="1"/>
  <c r="V772" i="2" a="1"/>
  <c r="V772" i="2" s="1"/>
  <c r="V773" i="2" a="1"/>
  <c r="V773" i="2" s="1"/>
  <c r="V774" i="2" a="1"/>
  <c r="V774" i="2" s="1"/>
  <c r="V775" i="2" a="1"/>
  <c r="V775" i="2" s="1"/>
  <c r="V776" i="2" a="1"/>
  <c r="V776" i="2" s="1"/>
  <c r="V777" i="2" a="1"/>
  <c r="V777" i="2" s="1"/>
  <c r="V778" i="2" a="1"/>
  <c r="V778" i="2" s="1"/>
  <c r="V779" i="2" a="1"/>
  <c r="V779" i="2" s="1"/>
  <c r="V780" i="2" a="1"/>
  <c r="V780" i="2" s="1"/>
  <c r="V781" i="2" a="1"/>
  <c r="V781" i="2" s="1"/>
  <c r="V782" i="2" a="1"/>
  <c r="V782" i="2" s="1"/>
  <c r="V155" i="2" a="1"/>
  <c r="V155" i="2" s="1"/>
  <c r="V156" i="2" a="1"/>
  <c r="V156" i="2" s="1"/>
  <c r="V157" i="2" a="1"/>
  <c r="V157" i="2" s="1"/>
  <c r="V158" i="2" a="1"/>
  <c r="V158" i="2" s="1"/>
  <c r="V159" i="2" a="1"/>
  <c r="V159" i="2" s="1"/>
  <c r="V160" i="2" a="1"/>
  <c r="V160" i="2" s="1"/>
  <c r="V161" i="2" a="1"/>
  <c r="V161" i="2" s="1"/>
  <c r="V162" i="2" a="1"/>
  <c r="V162" i="2" s="1"/>
  <c r="V163" i="2" a="1"/>
  <c r="V163" i="2" s="1"/>
  <c r="V164" i="2" a="1"/>
  <c r="V164" i="2" s="1"/>
  <c r="V165" i="2" a="1"/>
  <c r="V165" i="2" s="1"/>
  <c r="V166" i="2" a="1"/>
  <c r="V166" i="2" s="1"/>
  <c r="V167" i="2" a="1"/>
  <c r="V167" i="2" s="1"/>
  <c r="V168" i="2" a="1"/>
  <c r="V168" i="2" s="1"/>
  <c r="V169" i="2" a="1"/>
  <c r="V169" i="2" s="1"/>
  <c r="V170" i="2" a="1"/>
  <c r="V170" i="2" s="1"/>
  <c r="V171" i="2" a="1"/>
  <c r="V171" i="2" s="1"/>
  <c r="V172" i="2" a="1"/>
  <c r="V172" i="2" s="1"/>
  <c r="V173" i="2" a="1"/>
  <c r="V173" i="2" s="1"/>
  <c r="V174" i="2" a="1"/>
  <c r="V174" i="2" s="1"/>
  <c r="V175" i="2" a="1"/>
  <c r="V175" i="2" s="1"/>
  <c r="V176" i="2" a="1"/>
  <c r="V176" i="2" s="1"/>
  <c r="V177" i="2" a="1"/>
  <c r="V177" i="2" s="1"/>
  <c r="V178" i="2" a="1"/>
  <c r="V178" i="2" s="1"/>
  <c r="V179" i="2" a="1"/>
  <c r="V179" i="2" s="1"/>
  <c r="V180" i="2" a="1"/>
  <c r="V180" i="2" s="1"/>
  <c r="V181" i="2" a="1"/>
  <c r="V181" i="2" s="1"/>
  <c r="V182" i="2" a="1"/>
  <c r="V182" i="2" s="1"/>
  <c r="V183" i="2" a="1"/>
  <c r="V183" i="2" s="1"/>
  <c r="V184" i="2" a="1"/>
  <c r="V184" i="2" s="1"/>
  <c r="V185" i="2" a="1"/>
  <c r="V185" i="2" s="1"/>
  <c r="V186" i="2" a="1"/>
  <c r="V186" i="2" s="1"/>
  <c r="V187" i="2" a="1"/>
  <c r="V187" i="2" s="1"/>
  <c r="V188" i="2" a="1"/>
  <c r="V188" i="2" s="1"/>
  <c r="V189" i="2" a="1"/>
  <c r="V189" i="2" s="1"/>
  <c r="V190" i="2" a="1"/>
  <c r="V190" i="2" s="1"/>
  <c r="V191" i="2" a="1"/>
  <c r="V191" i="2" s="1"/>
  <c r="V192" i="2" a="1"/>
  <c r="V192" i="2" s="1"/>
  <c r="V193" i="2" a="1"/>
  <c r="V193" i="2" s="1"/>
  <c r="V194" i="2" a="1"/>
  <c r="V194" i="2" s="1"/>
  <c r="V195" i="2" a="1"/>
  <c r="V195" i="2" s="1"/>
  <c r="V196" i="2" a="1"/>
  <c r="V196" i="2" s="1"/>
  <c r="V197" i="2" a="1"/>
  <c r="V197" i="2" s="1"/>
  <c r="V198" i="2" a="1"/>
  <c r="V198" i="2" s="1"/>
  <c r="V199" i="2" a="1"/>
  <c r="V199" i="2" s="1"/>
  <c r="V200" i="2" a="1"/>
  <c r="V200" i="2" s="1"/>
  <c r="V201" i="2" a="1"/>
  <c r="V201" i="2" s="1"/>
  <c r="V202" i="2" a="1"/>
  <c r="V202" i="2" s="1"/>
  <c r="V203" i="2" a="1"/>
  <c r="V203" i="2" s="1"/>
  <c r="V204" i="2" a="1"/>
  <c r="V204" i="2" s="1"/>
  <c r="V205" i="2" a="1"/>
  <c r="V205" i="2" s="1"/>
  <c r="V206" i="2" a="1"/>
  <c r="V206" i="2" s="1"/>
  <c r="V207" i="2" a="1"/>
  <c r="V207" i="2" s="1"/>
  <c r="V208" i="2" a="1"/>
  <c r="V208" i="2" s="1"/>
  <c r="V209" i="2" a="1"/>
  <c r="V209" i="2" s="1"/>
  <c r="V210" i="2" a="1"/>
  <c r="V210" i="2" s="1"/>
  <c r="V211" i="2" a="1"/>
  <c r="V211" i="2" s="1"/>
  <c r="V212" i="2" a="1"/>
  <c r="V212" i="2" s="1"/>
  <c r="V213" i="2" a="1"/>
  <c r="V213" i="2" s="1"/>
  <c r="V214" i="2" a="1"/>
  <c r="V214" i="2" s="1"/>
  <c r="V215" i="2" a="1"/>
  <c r="V215" i="2" s="1"/>
  <c r="V216" i="2" a="1"/>
  <c r="V216" i="2" s="1"/>
  <c r="V217" i="2" a="1"/>
  <c r="V217" i="2" s="1"/>
  <c r="V218" i="2" a="1"/>
  <c r="V218" i="2" s="1"/>
  <c r="V219" i="2" a="1"/>
  <c r="V219" i="2" s="1"/>
  <c r="V220" i="2" a="1"/>
  <c r="V220" i="2" s="1"/>
  <c r="V221" i="2" a="1"/>
  <c r="V221" i="2" s="1"/>
  <c r="V222" i="2" a="1"/>
  <c r="V222" i="2" s="1"/>
  <c r="V223" i="2" a="1"/>
  <c r="V223" i="2" s="1"/>
  <c r="V224" i="2" a="1"/>
  <c r="V224" i="2" s="1"/>
  <c r="V225" i="2" a="1"/>
  <c r="V225" i="2" s="1"/>
  <c r="V226" i="2" a="1"/>
  <c r="V226" i="2" s="1"/>
  <c r="V227" i="2" a="1"/>
  <c r="V227" i="2" s="1"/>
  <c r="V228" i="2" a="1"/>
  <c r="V228" i="2" s="1"/>
  <c r="V229" i="2" a="1"/>
  <c r="V229" i="2" s="1"/>
  <c r="V230" i="2" a="1"/>
  <c r="V230" i="2" s="1"/>
  <c r="V231" i="2" a="1"/>
  <c r="V231" i="2" s="1"/>
  <c r="V232" i="2" a="1"/>
  <c r="V232" i="2" s="1"/>
  <c r="V233" i="2" a="1"/>
  <c r="V233" i="2" s="1"/>
  <c r="V234" i="2" a="1"/>
  <c r="V234" i="2" s="1"/>
  <c r="V235" i="2" a="1"/>
  <c r="V235" i="2" s="1"/>
  <c r="V236" i="2" a="1"/>
  <c r="V236" i="2" s="1"/>
  <c r="V237" i="2" a="1"/>
  <c r="V237" i="2" s="1"/>
  <c r="V238" i="2" a="1"/>
  <c r="V238" i="2" s="1"/>
  <c r="V239" i="2" a="1"/>
  <c r="V239" i="2" s="1"/>
  <c r="V240" i="2" a="1"/>
  <c r="V240" i="2" s="1"/>
  <c r="V241" i="2" a="1"/>
  <c r="V241" i="2" s="1"/>
  <c r="V242" i="2" a="1"/>
  <c r="V242" i="2" s="1"/>
  <c r="V243" i="2" a="1"/>
  <c r="V243" i="2" s="1"/>
  <c r="V244" i="2" a="1"/>
  <c r="V244" i="2" s="1"/>
  <c r="V245" i="2" a="1"/>
  <c r="V245" i="2" s="1"/>
  <c r="V246" i="2" a="1"/>
  <c r="V246" i="2" s="1"/>
  <c r="V247" i="2" a="1"/>
  <c r="V247" i="2" s="1"/>
  <c r="V248" i="2" a="1"/>
  <c r="V248" i="2" s="1"/>
  <c r="V249" i="2" a="1"/>
  <c r="V249" i="2" s="1"/>
  <c r="V250" i="2" a="1"/>
  <c r="V250" i="2" s="1"/>
  <c r="V251" i="2" a="1"/>
  <c r="V251" i="2" s="1"/>
  <c r="V252" i="2" a="1"/>
  <c r="V252" i="2" s="1"/>
  <c r="V253" i="2" a="1"/>
  <c r="V253" i="2" s="1"/>
  <c r="V254" i="2" a="1"/>
  <c r="V254" i="2" s="1"/>
  <c r="V255" i="2" a="1"/>
  <c r="V255" i="2" s="1"/>
  <c r="V256" i="2" a="1"/>
  <c r="V256" i="2" s="1"/>
  <c r="V257" i="2" a="1"/>
  <c r="V257" i="2" s="1"/>
  <c r="V258" i="2" a="1"/>
  <c r="V258" i="2" s="1"/>
  <c r="V259" i="2" a="1"/>
  <c r="V259" i="2" s="1"/>
  <c r="V260" i="2" a="1"/>
  <c r="V260" i="2" s="1"/>
  <c r="V261" i="2" a="1"/>
  <c r="V261" i="2" s="1"/>
  <c r="V262" i="2" a="1"/>
  <c r="V262" i="2" s="1"/>
  <c r="V263" i="2" a="1"/>
  <c r="V263" i="2" s="1"/>
  <c r="V264" i="2" a="1"/>
  <c r="V264" i="2" s="1"/>
  <c r="V265" i="2" a="1"/>
  <c r="V265" i="2" s="1"/>
  <c r="V266" i="2" a="1"/>
  <c r="V266" i="2" s="1"/>
  <c r="V267" i="2" a="1"/>
  <c r="V267" i="2" s="1"/>
  <c r="V268" i="2" a="1"/>
  <c r="V268" i="2" s="1"/>
  <c r="V269" i="2" a="1"/>
  <c r="V269" i="2" s="1"/>
  <c r="V270" i="2" a="1"/>
  <c r="V270" i="2" s="1"/>
  <c r="V271" i="2" a="1"/>
  <c r="V271" i="2" s="1"/>
  <c r="V272" i="2" a="1"/>
  <c r="V272" i="2" s="1"/>
  <c r="V273" i="2" a="1"/>
  <c r="V273" i="2" s="1"/>
  <c r="V274" i="2" a="1"/>
  <c r="V274" i="2" s="1"/>
  <c r="V275" i="2" a="1"/>
  <c r="V275" i="2" s="1"/>
  <c r="V276" i="2" a="1"/>
  <c r="V276" i="2" s="1"/>
  <c r="V277" i="2" a="1"/>
  <c r="V277" i="2" s="1"/>
  <c r="V278" i="2" a="1"/>
  <c r="V278" i="2" s="1"/>
  <c r="V279" i="2" a="1"/>
  <c r="V279" i="2" s="1"/>
  <c r="V280" i="2" a="1"/>
  <c r="V280" i="2" s="1"/>
  <c r="V281" i="2" a="1"/>
  <c r="V281" i="2" s="1"/>
  <c r="V282" i="2" a="1"/>
  <c r="V282" i="2" s="1"/>
  <c r="V283" i="2" a="1"/>
  <c r="V283" i="2" s="1"/>
  <c r="V284" i="2" a="1"/>
  <c r="V284" i="2" s="1"/>
  <c r="V285" i="2" a="1"/>
  <c r="V285" i="2" s="1"/>
  <c r="V286" i="2" a="1"/>
  <c r="V286" i="2" s="1"/>
  <c r="V287" i="2" a="1"/>
  <c r="V287" i="2" s="1"/>
  <c r="V288" i="2" a="1"/>
  <c r="V288" i="2" s="1"/>
  <c r="V289" i="2" a="1"/>
  <c r="V289" i="2" s="1"/>
  <c r="V290" i="2" a="1"/>
  <c r="V290" i="2" s="1"/>
  <c r="V291" i="2" a="1"/>
  <c r="V291" i="2" s="1"/>
  <c r="V292" i="2" a="1"/>
  <c r="V292" i="2" s="1"/>
  <c r="V293" i="2" a="1"/>
  <c r="V293" i="2" s="1"/>
  <c r="V294" i="2" a="1"/>
  <c r="V294" i="2" s="1"/>
  <c r="V295" i="2" a="1"/>
  <c r="V295" i="2" s="1"/>
  <c r="V296" i="2" a="1"/>
  <c r="V296" i="2" s="1"/>
  <c r="V297" i="2" a="1"/>
  <c r="V297" i="2" s="1"/>
  <c r="V298" i="2" a="1"/>
  <c r="V298" i="2" s="1"/>
  <c r="V299" i="2" a="1"/>
  <c r="V299" i="2" s="1"/>
  <c r="V300" i="2" a="1"/>
  <c r="V300" i="2" s="1"/>
  <c r="V301" i="2" a="1"/>
  <c r="V301" i="2" s="1"/>
  <c r="V302" i="2" a="1"/>
  <c r="V302" i="2" s="1"/>
  <c r="V303" i="2" a="1"/>
  <c r="V303" i="2" s="1"/>
  <c r="V304" i="2" a="1"/>
  <c r="V304" i="2" s="1"/>
  <c r="V305" i="2" a="1"/>
  <c r="V305" i="2" s="1"/>
  <c r="V306" i="2" a="1"/>
  <c r="V306" i="2" s="1"/>
  <c r="V307" i="2" a="1"/>
  <c r="V307" i="2" s="1"/>
  <c r="V308" i="2" a="1"/>
  <c r="V308" i="2" s="1"/>
  <c r="V309" i="2" a="1"/>
  <c r="V309" i="2" s="1"/>
  <c r="V310" i="2" a="1"/>
  <c r="V310" i="2" s="1"/>
  <c r="V311" i="2" a="1"/>
  <c r="V311" i="2" s="1"/>
  <c r="V312" i="2" a="1"/>
  <c r="V312" i="2" s="1"/>
  <c r="V313" i="2" a="1"/>
  <c r="V313" i="2" s="1"/>
  <c r="V314" i="2" a="1"/>
  <c r="V314" i="2" s="1"/>
  <c r="V315" i="2" a="1"/>
  <c r="V315" i="2" s="1"/>
  <c r="V316" i="2" a="1"/>
  <c r="V316" i="2" s="1"/>
  <c r="V317" i="2" a="1"/>
  <c r="V317" i="2" s="1"/>
  <c r="V318" i="2" a="1"/>
  <c r="V318" i="2" s="1"/>
  <c r="V319" i="2" a="1"/>
  <c r="V319" i="2" s="1"/>
  <c r="V320" i="2" a="1"/>
  <c r="V320" i="2" s="1"/>
  <c r="V321" i="2" a="1"/>
  <c r="V321" i="2" s="1"/>
  <c r="V322" i="2" a="1"/>
  <c r="V322" i="2" s="1"/>
  <c r="V323" i="2" a="1"/>
  <c r="V323" i="2" s="1"/>
  <c r="V324" i="2" a="1"/>
  <c r="V324" i="2" s="1"/>
  <c r="V325" i="2" a="1"/>
  <c r="V325" i="2" s="1"/>
  <c r="V326" i="2" a="1"/>
  <c r="V326" i="2" s="1"/>
  <c r="V327" i="2" a="1"/>
  <c r="V327" i="2" s="1"/>
  <c r="V328" i="2" a="1"/>
  <c r="V328" i="2" s="1"/>
  <c r="V329" i="2" a="1"/>
  <c r="V329" i="2" s="1"/>
  <c r="V330" i="2" a="1"/>
  <c r="V330" i="2" s="1"/>
  <c r="V331" i="2" a="1"/>
  <c r="V331" i="2" s="1"/>
  <c r="V332" i="2" a="1"/>
  <c r="V332" i="2" s="1"/>
  <c r="V333" i="2" a="1"/>
  <c r="V333" i="2" s="1"/>
  <c r="V334" i="2" a="1"/>
  <c r="V334" i="2" s="1"/>
  <c r="V335" i="2" a="1"/>
  <c r="V335" i="2" s="1"/>
  <c r="V336" i="2" a="1"/>
  <c r="V336" i="2" s="1"/>
  <c r="V337" i="2" a="1"/>
  <c r="V337" i="2" s="1"/>
  <c r="V338" i="2" a="1"/>
  <c r="V338" i="2" s="1"/>
  <c r="V339" i="2" a="1"/>
  <c r="V339" i="2" s="1"/>
  <c r="V340" i="2" a="1"/>
  <c r="V340" i="2" s="1"/>
  <c r="V341" i="2" a="1"/>
  <c r="V341" i="2" s="1"/>
  <c r="V342" i="2" a="1"/>
  <c r="V342" i="2" s="1"/>
  <c r="V343" i="2" a="1"/>
  <c r="V343" i="2" s="1"/>
  <c r="V344" i="2" a="1"/>
  <c r="V344" i="2" s="1"/>
  <c r="V345" i="2" a="1"/>
  <c r="V345" i="2" s="1"/>
  <c r="V346" i="2" a="1"/>
  <c r="V346" i="2" s="1"/>
  <c r="V347" i="2" a="1"/>
  <c r="V347" i="2" s="1"/>
  <c r="V348" i="2" a="1"/>
  <c r="V348" i="2" s="1"/>
  <c r="V349" i="2" a="1"/>
  <c r="V349" i="2" s="1"/>
  <c r="V350" i="2" a="1"/>
  <c r="V350" i="2" s="1"/>
  <c r="V351" i="2" a="1"/>
  <c r="V351" i="2" s="1"/>
  <c r="V352" i="2" a="1"/>
  <c r="V352" i="2" s="1"/>
  <c r="V353" i="2" a="1"/>
  <c r="V353" i="2" s="1"/>
  <c r="V354" i="2" a="1"/>
  <c r="V354" i="2" s="1"/>
  <c r="V355" i="2" a="1"/>
  <c r="V355" i="2" s="1"/>
  <c r="V356" i="2" a="1"/>
  <c r="V356" i="2" s="1"/>
  <c r="V357" i="2" a="1"/>
  <c r="V357" i="2" s="1"/>
  <c r="V358" i="2" a="1"/>
  <c r="V358" i="2" s="1"/>
  <c r="V359" i="2" a="1"/>
  <c r="V359" i="2" s="1"/>
  <c r="V360" i="2" a="1"/>
  <c r="V360" i="2" s="1"/>
  <c r="V361" i="2" a="1"/>
  <c r="V361" i="2" s="1"/>
  <c r="V362" i="2" a="1"/>
  <c r="V362" i="2" s="1"/>
  <c r="V363" i="2" a="1"/>
  <c r="V363" i="2" s="1"/>
  <c r="V364" i="2" a="1"/>
  <c r="V364" i="2" s="1"/>
  <c r="V365" i="2" a="1"/>
  <c r="V365" i="2" s="1"/>
  <c r="V366" i="2" a="1"/>
  <c r="V366" i="2" s="1"/>
  <c r="V367" i="2" a="1"/>
  <c r="V367" i="2" s="1"/>
  <c r="V368" i="2" a="1"/>
  <c r="V368" i="2" s="1"/>
  <c r="V369" i="2" a="1"/>
  <c r="V369" i="2" s="1"/>
  <c r="V370" i="2" a="1"/>
  <c r="V370" i="2" s="1"/>
  <c r="V371" i="2" a="1"/>
  <c r="V371" i="2" s="1"/>
  <c r="V372" i="2" a="1"/>
  <c r="V372" i="2" s="1"/>
  <c r="V373" i="2" a="1"/>
  <c r="V373" i="2" s="1"/>
  <c r="V374" i="2" a="1"/>
  <c r="V374" i="2" s="1"/>
  <c r="V375" i="2" a="1"/>
  <c r="V375" i="2" s="1"/>
  <c r="V376" i="2" a="1"/>
  <c r="V376" i="2" s="1"/>
  <c r="V377" i="2" a="1"/>
  <c r="V377" i="2" s="1"/>
  <c r="V378" i="2" a="1"/>
  <c r="V378" i="2" s="1"/>
  <c r="V379" i="2" a="1"/>
  <c r="V379" i="2" s="1"/>
  <c r="V380" i="2" a="1"/>
  <c r="V380" i="2" s="1"/>
  <c r="V381" i="2" a="1"/>
  <c r="V381" i="2" s="1"/>
  <c r="V382" i="2" a="1"/>
  <c r="V382" i="2" s="1"/>
  <c r="V383" i="2" a="1"/>
  <c r="V383" i="2" s="1"/>
  <c r="V384" i="2" a="1"/>
  <c r="V384" i="2" s="1"/>
  <c r="V385" i="2" a="1"/>
  <c r="V385" i="2" s="1"/>
  <c r="V386" i="2" a="1"/>
  <c r="V386" i="2" s="1"/>
  <c r="V387" i="2" a="1"/>
  <c r="V387" i="2" s="1"/>
  <c r="V388" i="2" a="1"/>
  <c r="V388" i="2" s="1"/>
  <c r="V389" i="2" a="1"/>
  <c r="V389" i="2" s="1"/>
  <c r="V783" i="2" a="1"/>
  <c r="V783" i="2" s="1"/>
  <c r="V784" i="2" a="1"/>
  <c r="V784" i="2" s="1"/>
  <c r="V785" i="2" a="1"/>
  <c r="V785" i="2" s="1"/>
  <c r="V786" i="2" a="1"/>
  <c r="V786" i="2" s="1"/>
  <c r="V787" i="2" a="1"/>
  <c r="V787" i="2" s="1"/>
  <c r="V788" i="2" a="1"/>
  <c r="V788" i="2" s="1"/>
  <c r="V789" i="2" a="1"/>
  <c r="V789" i="2" s="1"/>
  <c r="V790" i="2" a="1"/>
  <c r="V790" i="2" s="1"/>
  <c r="V791" i="2" a="1"/>
  <c r="V791" i="2" s="1"/>
  <c r="V792" i="2" a="1"/>
  <c r="V792" i="2" s="1"/>
  <c r="V793" i="2" a="1"/>
  <c r="V793" i="2" s="1"/>
  <c r="V794" i="2" a="1"/>
  <c r="V794" i="2" s="1"/>
  <c r="V795" i="2" a="1"/>
  <c r="V795" i="2" s="1"/>
  <c r="V796" i="2" a="1"/>
  <c r="V796" i="2" s="1"/>
  <c r="V797" i="2" a="1"/>
  <c r="V797" i="2" s="1"/>
  <c r="V798" i="2" a="1"/>
  <c r="V798" i="2" s="1"/>
  <c r="V799" i="2" a="1"/>
  <c r="V799" i="2" s="1"/>
  <c r="V800" i="2" a="1"/>
  <c r="V800" i="2" s="1"/>
  <c r="V801" i="2" a="1"/>
  <c r="V801" i="2" s="1"/>
  <c r="V802" i="2" a="1"/>
  <c r="V802" i="2" s="1"/>
  <c r="V803" i="2" a="1"/>
  <c r="V803" i="2" s="1"/>
  <c r="V804" i="2" a="1"/>
  <c r="V804" i="2" s="1"/>
  <c r="V805" i="2" a="1"/>
  <c r="V805" i="2" s="1"/>
  <c r="V806" i="2" a="1"/>
  <c r="V806" i="2" s="1"/>
  <c r="V807" i="2" a="1"/>
  <c r="V807" i="2" s="1"/>
  <c r="V808" i="2" a="1"/>
  <c r="V808" i="2" s="1"/>
  <c r="V809" i="2" a="1"/>
  <c r="V809" i="2" s="1"/>
  <c r="V810" i="2" a="1"/>
  <c r="V810" i="2" s="1"/>
  <c r="V811" i="2" a="1"/>
  <c r="V811" i="2" s="1"/>
  <c r="V812" i="2" a="1"/>
  <c r="V812" i="2" s="1"/>
  <c r="V813" i="2" a="1"/>
  <c r="V813" i="2" s="1"/>
  <c r="V814" i="2" a="1"/>
  <c r="V814" i="2" s="1"/>
  <c r="V815" i="2" a="1"/>
  <c r="V815" i="2" s="1"/>
  <c r="V816" i="2" a="1"/>
  <c r="V816" i="2" s="1"/>
  <c r="V817" i="2" a="1"/>
  <c r="V817" i="2" s="1"/>
  <c r="V818" i="2" a="1"/>
  <c r="V818" i="2" s="1"/>
  <c r="V819" i="2" a="1"/>
  <c r="V819" i="2" s="1"/>
  <c r="V820" i="2" a="1"/>
  <c r="V820" i="2" s="1"/>
  <c r="V821" i="2" a="1"/>
  <c r="V821" i="2" s="1"/>
  <c r="V822" i="2" a="1"/>
  <c r="V822" i="2" s="1"/>
  <c r="V823" i="2" a="1"/>
  <c r="V823" i="2" s="1"/>
  <c r="V824" i="2" a="1"/>
  <c r="V824" i="2" s="1"/>
  <c r="V825" i="2" a="1"/>
  <c r="V825" i="2" s="1"/>
  <c r="V826" i="2" a="1"/>
  <c r="V826" i="2" s="1"/>
  <c r="V827" i="2" a="1"/>
  <c r="V827" i="2" s="1"/>
  <c r="V828" i="2" a="1"/>
  <c r="V828" i="2" s="1"/>
  <c r="V829" i="2" a="1"/>
  <c r="V829" i="2" s="1"/>
  <c r="V830" i="2" a="1"/>
  <c r="V830" i="2" s="1"/>
  <c r="V831" i="2" a="1"/>
  <c r="V831" i="2" s="1"/>
  <c r="V832" i="2" a="1"/>
  <c r="V832" i="2" s="1"/>
  <c r="V833" i="2" a="1"/>
  <c r="V833" i="2" s="1"/>
  <c r="V834" i="2" a="1"/>
  <c r="V834" i="2" s="1"/>
  <c r="V835" i="2" a="1"/>
  <c r="V835" i="2" s="1"/>
  <c r="V836" i="2" a="1"/>
  <c r="V836" i="2" s="1"/>
  <c r="V837" i="2" a="1"/>
  <c r="V837" i="2" s="1"/>
  <c r="V838" i="2" a="1"/>
  <c r="V838" i="2" s="1"/>
  <c r="V839" i="2" a="1"/>
  <c r="V839" i="2" s="1"/>
  <c r="V840" i="2" a="1"/>
  <c r="V840" i="2" s="1"/>
  <c r="V841" i="2" a="1"/>
  <c r="V841" i="2" s="1"/>
  <c r="V842" i="2" a="1"/>
  <c r="V842" i="2" s="1"/>
  <c r="V843" i="2" a="1"/>
  <c r="V843" i="2" s="1"/>
  <c r="V844" i="2" a="1"/>
  <c r="V844" i="2" s="1"/>
  <c r="V845" i="2" a="1"/>
  <c r="V845" i="2" s="1"/>
  <c r="V846" i="2" a="1"/>
  <c r="V846" i="2" s="1"/>
  <c r="V847" i="2" a="1"/>
  <c r="V847" i="2" s="1"/>
  <c r="V848" i="2" a="1"/>
  <c r="V848" i="2" s="1"/>
  <c r="V849" i="2" a="1"/>
  <c r="V849" i="2" s="1"/>
  <c r="V850" i="2" a="1"/>
  <c r="V850" i="2" s="1"/>
  <c r="V851" i="2" a="1"/>
  <c r="V851" i="2" s="1"/>
  <c r="V852" i="2" a="1"/>
  <c r="V852" i="2" s="1"/>
  <c r="V853" i="2" a="1"/>
  <c r="V853" i="2" s="1"/>
  <c r="V854" i="2" a="1"/>
  <c r="V854" i="2" s="1"/>
  <c r="V855" i="2" a="1"/>
  <c r="V855" i="2" s="1"/>
  <c r="V856" i="2" a="1"/>
  <c r="V856" i="2" s="1"/>
  <c r="V858" i="2" a="1"/>
  <c r="V858" i="2" s="1"/>
  <c r="V859" i="2" a="1"/>
  <c r="V859" i="2" s="1"/>
  <c r="V860" i="2" a="1"/>
  <c r="V860" i="2" s="1"/>
  <c r="V861" i="2" a="1"/>
  <c r="V861" i="2" s="1"/>
  <c r="V862" i="2" a="1"/>
  <c r="V862" i="2" s="1"/>
  <c r="V863" i="2" a="1"/>
  <c r="V863" i="2" s="1"/>
  <c r="V864" i="2" a="1"/>
  <c r="V864" i="2" s="1"/>
  <c r="V865" i="2" a="1"/>
  <c r="V865" i="2" s="1"/>
  <c r="V866" i="2" a="1"/>
  <c r="V866" i="2" s="1"/>
  <c r="V867" i="2" a="1"/>
  <c r="V867" i="2" s="1"/>
  <c r="V857" i="2" a="1"/>
  <c r="V857" i="2" s="1"/>
  <c r="V868" i="2" a="1"/>
  <c r="V868" i="2" s="1"/>
  <c r="V869" i="2" a="1"/>
  <c r="V869" i="2" s="1"/>
  <c r="V870" i="2" a="1"/>
  <c r="V870" i="2" s="1"/>
  <c r="V871" i="2" a="1"/>
  <c r="V871" i="2" s="1"/>
  <c r="V872" i="2" a="1"/>
  <c r="V872" i="2" s="1"/>
  <c r="V873" i="2" a="1"/>
  <c r="V873" i="2" s="1"/>
  <c r="V874" i="2" a="1"/>
  <c r="V874" i="2" s="1"/>
  <c r="V875" i="2" a="1"/>
  <c r="V875" i="2" s="1"/>
  <c r="V876" i="2" a="1"/>
  <c r="V876" i="2" s="1"/>
  <c r="V877" i="2" a="1"/>
  <c r="V877" i="2" s="1"/>
  <c r="V878" i="2" a="1"/>
  <c r="V878" i="2" s="1"/>
  <c r="V879" i="2" a="1"/>
  <c r="V879" i="2" s="1"/>
  <c r="V880" i="2" a="1"/>
  <c r="V880" i="2" s="1"/>
  <c r="V881" i="2" a="1"/>
  <c r="V881" i="2" s="1"/>
  <c r="V882" i="2" a="1"/>
  <c r="V882" i="2" s="1"/>
  <c r="V883" i="2" a="1"/>
  <c r="V883" i="2" s="1"/>
  <c r="V884" i="2" a="1"/>
  <c r="V884" i="2" s="1"/>
  <c r="V885" i="2" a="1"/>
  <c r="V885" i="2" s="1"/>
  <c r="V886" i="2" a="1"/>
  <c r="V886" i="2" s="1"/>
  <c r="V887" i="2" a="1"/>
  <c r="V887" i="2" s="1"/>
  <c r="V888" i="2" a="1"/>
  <c r="V888" i="2" s="1"/>
  <c r="V889" i="2" a="1"/>
  <c r="V889" i="2" s="1"/>
  <c r="V890" i="2" a="1"/>
  <c r="V890" i="2" s="1"/>
  <c r="V891" i="2" a="1"/>
  <c r="V891" i="2" s="1"/>
  <c r="V892" i="2" a="1"/>
  <c r="V892" i="2" s="1"/>
  <c r="V893" i="2" a="1"/>
  <c r="V893" i="2" s="1"/>
  <c r="V894" i="2" a="1"/>
  <c r="V894" i="2" s="1"/>
  <c r="V895" i="2" a="1"/>
  <c r="V895" i="2" s="1"/>
  <c r="V896" i="2" a="1"/>
  <c r="V896" i="2" s="1"/>
  <c r="V897" i="2" a="1"/>
  <c r="V897" i="2" s="1"/>
  <c r="V898" i="2" a="1"/>
  <c r="V898" i="2" s="1"/>
  <c r="V899" i="2" a="1"/>
  <c r="V899" i="2" s="1"/>
  <c r="V900" i="2" a="1"/>
  <c r="V900" i="2" s="1"/>
  <c r="V901" i="2" a="1"/>
  <c r="V901" i="2" s="1"/>
  <c r="V902" i="2" a="1"/>
  <c r="V902" i="2" s="1"/>
  <c r="V903" i="2" a="1"/>
  <c r="V903" i="2" s="1"/>
  <c r="V904" i="2" a="1"/>
  <c r="V904" i="2" s="1"/>
  <c r="V905" i="2" a="1"/>
  <c r="V905" i="2" s="1"/>
  <c r="V906" i="2" a="1"/>
  <c r="V906" i="2" s="1"/>
  <c r="V907" i="2" a="1"/>
  <c r="V907" i="2" s="1"/>
  <c r="V908" i="2" a="1"/>
  <c r="V908" i="2" s="1"/>
  <c r="V909" i="2" a="1"/>
  <c r="V909" i="2" s="1"/>
  <c r="V910" i="2" a="1"/>
  <c r="V910" i="2" s="1"/>
  <c r="V911" i="2" a="1"/>
  <c r="V911" i="2" s="1"/>
  <c r="V912" i="2" a="1"/>
  <c r="V912" i="2" s="1"/>
  <c r="V913" i="2" a="1"/>
  <c r="V913" i="2" s="1"/>
  <c r="V914" i="2" a="1"/>
  <c r="V914" i="2" s="1"/>
  <c r="V915" i="2" a="1"/>
  <c r="V915" i="2" s="1"/>
  <c r="V916" i="2" a="1"/>
  <c r="V916" i="2" s="1"/>
  <c r="V917" i="2" a="1"/>
  <c r="V917" i="2" s="1"/>
  <c r="V918" i="2" a="1"/>
  <c r="V918" i="2" s="1"/>
  <c r="V919" i="2" a="1"/>
  <c r="V919" i="2" s="1"/>
  <c r="V920" i="2" a="1"/>
  <c r="V920" i="2" s="1"/>
  <c r="V921" i="2" a="1"/>
  <c r="V921" i="2" s="1"/>
  <c r="V922" i="2" a="1"/>
  <c r="V922" i="2" s="1"/>
  <c r="V923" i="2" a="1"/>
  <c r="V923" i="2" s="1"/>
  <c r="V924" i="2" a="1"/>
  <c r="V924" i="2" s="1"/>
  <c r="V925" i="2" a="1"/>
  <c r="V925" i="2" s="1"/>
  <c r="V926" i="2" a="1"/>
  <c r="V926" i="2" s="1"/>
  <c r="V927" i="2" a="1"/>
  <c r="V927" i="2" s="1"/>
  <c r="V928" i="2" a="1"/>
  <c r="V928" i="2" s="1"/>
  <c r="V977" i="2" a="1"/>
  <c r="V977" i="2" s="1"/>
  <c r="V978" i="2" a="1"/>
  <c r="V978" i="2" s="1"/>
  <c r="V979" i="2" a="1"/>
  <c r="V979" i="2" s="1"/>
  <c r="V980" i="2" a="1"/>
  <c r="V980" i="2" s="1"/>
  <c r="V981" i="2" a="1"/>
  <c r="V981" i="2" s="1"/>
  <c r="V982" i="2" a="1"/>
  <c r="V982" i="2" s="1"/>
  <c r="V983" i="2" a="1"/>
  <c r="V983" i="2" s="1"/>
  <c r="V984" i="2" a="1"/>
  <c r="V984" i="2" s="1"/>
  <c r="V985" i="2" a="1"/>
  <c r="V985" i="2" s="1"/>
  <c r="V986" i="2" a="1"/>
  <c r="V986" i="2" s="1"/>
  <c r="V987" i="2" a="1"/>
  <c r="V987" i="2" s="1"/>
  <c r="V988" i="2" a="1"/>
  <c r="V988" i="2" s="1"/>
  <c r="V989" i="2" a="1"/>
  <c r="V989" i="2" s="1"/>
  <c r="V990" i="2" a="1"/>
  <c r="V990" i="2" s="1"/>
  <c r="V991" i="2" a="1"/>
  <c r="V991" i="2" s="1"/>
  <c r="V992" i="2" a="1"/>
  <c r="V992" i="2" s="1"/>
  <c r="V993" i="2" a="1"/>
  <c r="V993" i="2" s="1"/>
  <c r="V946" i="2" a="1"/>
  <c r="V946" i="2" s="1"/>
  <c r="V947" i="2" a="1"/>
  <c r="V947" i="2" s="1"/>
  <c r="V948" i="2" a="1"/>
  <c r="V948" i="2" s="1"/>
  <c r="V949" i="2" a="1"/>
  <c r="V949" i="2" s="1"/>
  <c r="V950" i="2" a="1"/>
  <c r="V950" i="2" s="1"/>
  <c r="V951" i="2" a="1"/>
  <c r="V951" i="2" s="1"/>
  <c r="V952" i="2" a="1"/>
  <c r="V952" i="2" s="1"/>
  <c r="V953" i="2" a="1"/>
  <c r="V953" i="2" s="1"/>
  <c r="V954" i="2" a="1"/>
  <c r="V954" i="2" s="1"/>
  <c r="V955" i="2" a="1"/>
  <c r="V955" i="2" s="1"/>
  <c r="V956" i="2" a="1"/>
  <c r="V956" i="2" s="1"/>
  <c r="V957" i="2" a="1"/>
  <c r="V957" i="2" s="1"/>
  <c r="V958" i="2" a="1"/>
  <c r="V958" i="2" s="1"/>
  <c r="V959" i="2" a="1"/>
  <c r="V959" i="2" s="1"/>
  <c r="V960" i="2" a="1"/>
  <c r="V960" i="2" s="1"/>
  <c r="V961" i="2" a="1"/>
  <c r="V961" i="2" s="1"/>
  <c r="V962" i="2" a="1"/>
  <c r="V962" i="2" s="1"/>
  <c r="V1022" i="2" a="1"/>
  <c r="V1022" i="2" s="1"/>
  <c r="V1023" i="2" a="1"/>
  <c r="V1023" i="2" s="1"/>
  <c r="V1024" i="2" a="1"/>
  <c r="V1024" i="2" s="1"/>
  <c r="V1025" i="2" a="1"/>
  <c r="V1025" i="2" s="1"/>
  <c r="V1026" i="2" a="1"/>
  <c r="V1026" i="2" s="1"/>
  <c r="V1027" i="2" a="1"/>
  <c r="V1027" i="2" s="1"/>
  <c r="V1028" i="2" a="1"/>
  <c r="V1028" i="2" s="1"/>
  <c r="V1029" i="2" a="1"/>
  <c r="V1029" i="2" s="1"/>
  <c r="V1030" i="2" a="1"/>
  <c r="V1030" i="2" s="1"/>
  <c r="V1031" i="2" a="1"/>
  <c r="V1031" i="2" s="1"/>
  <c r="V1032" i="2" a="1"/>
  <c r="V1032" i="2" s="1"/>
  <c r="V1033" i="2" a="1"/>
  <c r="V1033" i="2" s="1"/>
  <c r="V1034" i="2" a="1"/>
  <c r="V1034" i="2" s="1"/>
  <c r="V1035" i="2" a="1"/>
  <c r="V1035" i="2" s="1"/>
  <c r="V963" i="2" a="1"/>
  <c r="V963" i="2" s="1"/>
  <c r="V964" i="2" a="1"/>
  <c r="V964" i="2" s="1"/>
  <c r="V965" i="2" a="1"/>
  <c r="V965" i="2" s="1"/>
  <c r="V966" i="2" a="1"/>
  <c r="V966" i="2" s="1"/>
  <c r="V967" i="2" a="1"/>
  <c r="V967" i="2" s="1"/>
  <c r="V968" i="2" a="1"/>
  <c r="V968" i="2" s="1"/>
  <c r="V969" i="2" a="1"/>
  <c r="V969" i="2" s="1"/>
  <c r="V970" i="2" a="1"/>
  <c r="V970" i="2" s="1"/>
  <c r="V971" i="2" a="1"/>
  <c r="V971" i="2" s="1"/>
  <c r="V972" i="2" a="1"/>
  <c r="V972" i="2" s="1"/>
  <c r="V973" i="2" a="1"/>
  <c r="V973" i="2" s="1"/>
  <c r="V974" i="2" a="1"/>
  <c r="V974" i="2" s="1"/>
  <c r="V975" i="2" a="1"/>
  <c r="V975" i="2" s="1"/>
  <c r="V976" i="2" a="1"/>
  <c r="V976" i="2" s="1"/>
  <c r="V929" i="2" a="1"/>
  <c r="V929" i="2" s="1"/>
  <c r="V930" i="2" a="1"/>
  <c r="V930" i="2" s="1"/>
  <c r="V931" i="2" a="1"/>
  <c r="V931" i="2" s="1"/>
  <c r="V932" i="2" a="1"/>
  <c r="V932" i="2" s="1"/>
  <c r="V933" i="2" a="1"/>
  <c r="V933" i="2" s="1"/>
  <c r="V934" i="2" a="1"/>
  <c r="V934" i="2" s="1"/>
  <c r="V935" i="2" a="1"/>
  <c r="V935" i="2" s="1"/>
  <c r="V936" i="2" a="1"/>
  <c r="V936" i="2" s="1"/>
  <c r="V937" i="2" a="1"/>
  <c r="V937" i="2" s="1"/>
  <c r="V938" i="2" a="1"/>
  <c r="V938" i="2" s="1"/>
  <c r="V939" i="2" a="1"/>
  <c r="V939" i="2" s="1"/>
  <c r="V940" i="2" a="1"/>
  <c r="V940" i="2" s="1"/>
  <c r="V941" i="2" a="1"/>
  <c r="V941" i="2" s="1"/>
  <c r="V942" i="2" a="1"/>
  <c r="V942" i="2" s="1"/>
  <c r="V943" i="2" a="1"/>
  <c r="V943" i="2" s="1"/>
  <c r="V944" i="2" a="1"/>
  <c r="V944" i="2" s="1"/>
  <c r="V945" i="2" a="1"/>
  <c r="V945" i="2" s="1"/>
  <c r="V1008" i="2" a="1"/>
  <c r="V1008" i="2" s="1"/>
  <c r="V1009" i="2" a="1"/>
  <c r="V1009" i="2" s="1"/>
  <c r="V1010" i="2" a="1"/>
  <c r="V1010" i="2" s="1"/>
  <c r="V1011" i="2" a="1"/>
  <c r="V1011" i="2" s="1"/>
  <c r="V1012" i="2" a="1"/>
  <c r="V1012" i="2" s="1"/>
  <c r="V1013" i="2" a="1"/>
  <c r="V1013" i="2" s="1"/>
  <c r="V1014" i="2" a="1"/>
  <c r="V1014" i="2" s="1"/>
  <c r="V1015" i="2" a="1"/>
  <c r="V1015" i="2" s="1"/>
  <c r="V1016" i="2" a="1"/>
  <c r="V1016" i="2" s="1"/>
  <c r="V1017" i="2" a="1"/>
  <c r="V1017" i="2" s="1"/>
  <c r="V1018" i="2" a="1"/>
  <c r="V1018" i="2" s="1"/>
  <c r="V1019" i="2" a="1"/>
  <c r="V1019" i="2" s="1"/>
  <c r="V1020" i="2" a="1"/>
  <c r="V1020" i="2" s="1"/>
  <c r="V1021" i="2" a="1"/>
  <c r="V1021" i="2" s="1"/>
  <c r="V994" i="2" a="1"/>
  <c r="V994" i="2" s="1"/>
  <c r="V995" i="2" a="1"/>
  <c r="V995" i="2" s="1"/>
  <c r="V996" i="2" a="1"/>
  <c r="V996" i="2" s="1"/>
  <c r="V997" i="2" a="1"/>
  <c r="V997" i="2" s="1"/>
  <c r="V998" i="2" a="1"/>
  <c r="V998" i="2" s="1"/>
  <c r="V999" i="2" a="1"/>
  <c r="V999" i="2" s="1"/>
  <c r="V1000" i="2" a="1"/>
  <c r="V1000" i="2" s="1"/>
  <c r="V1001" i="2" a="1"/>
  <c r="V1001" i="2" s="1"/>
  <c r="V1002" i="2" a="1"/>
  <c r="V1002" i="2" s="1"/>
  <c r="V1003" i="2" a="1"/>
  <c r="V1003" i="2" s="1"/>
  <c r="V1004" i="2" a="1"/>
  <c r="V1004" i="2" s="1"/>
  <c r="V1005" i="2" a="1"/>
  <c r="V1005" i="2" s="1"/>
  <c r="V1006" i="2" a="1"/>
  <c r="V1006" i="2" s="1"/>
  <c r="V1007" i="2" a="1"/>
  <c r="V1007" i="2" s="1"/>
  <c r="V1036" i="2" a="1"/>
  <c r="V1036" i="2" s="1"/>
  <c r="V1037" i="2" a="1"/>
  <c r="V1037" i="2" s="1"/>
  <c r="V1038" i="2" a="1"/>
  <c r="V1038" i="2" s="1"/>
  <c r="V1039" i="2" a="1"/>
  <c r="V1039" i="2" s="1"/>
  <c r="V1040" i="2" a="1"/>
  <c r="V1040" i="2" s="1"/>
  <c r="V1041" i="2" a="1"/>
  <c r="V1041" i="2" s="1"/>
  <c r="V1042" i="2" a="1"/>
  <c r="V1042" i="2" s="1"/>
  <c r="V1043" i="2" a="1"/>
  <c r="V1043" i="2" s="1"/>
  <c r="V1044" i="2" a="1"/>
  <c r="V1044" i="2" s="1"/>
  <c r="V1045" i="2" a="1"/>
  <c r="V1045" i="2" s="1"/>
  <c r="V1046" i="2" a="1"/>
  <c r="V1046" i="2" s="1"/>
  <c r="V1047" i="2" a="1"/>
  <c r="V1047" i="2" s="1"/>
  <c r="V1048" i="2" a="1"/>
  <c r="V1048" i="2" s="1"/>
  <c r="V1050" i="2" a="1"/>
  <c r="V1050" i="2" s="1"/>
  <c r="V1051" i="2" a="1"/>
  <c r="V1051" i="2" s="1"/>
  <c r="V1052" i="2" a="1"/>
  <c r="V1052" i="2" s="1"/>
  <c r="V1053" i="2" a="1"/>
  <c r="V1053" i="2" s="1"/>
  <c r="V1054" i="2" a="1"/>
  <c r="V1054" i="2" s="1"/>
  <c r="V1055" i="2" a="1"/>
  <c r="V1055" i="2" s="1"/>
  <c r="V1056" i="2" a="1"/>
  <c r="V1056" i="2" s="1"/>
  <c r="V1057" i="2" a="1"/>
  <c r="V1057" i="2" s="1"/>
  <c r="V1058" i="2" a="1"/>
  <c r="V1058" i="2" s="1"/>
  <c r="V1059" i="2" a="1"/>
  <c r="V1059" i="2" s="1"/>
  <c r="V1049" i="2" a="1"/>
  <c r="V1049" i="2" s="1"/>
  <c r="V1060" i="2" a="1"/>
  <c r="V1060" i="2" s="1"/>
  <c r="V1061" i="2" a="1"/>
  <c r="V1061" i="2" s="1"/>
  <c r="V1062" i="2" a="1"/>
  <c r="V1062" i="2" s="1"/>
  <c r="V1063" i="2" a="1"/>
  <c r="V1063" i="2" s="1"/>
  <c r="V1064" i="2" a="1"/>
  <c r="V1064" i="2" s="1"/>
  <c r="V1065" i="2" a="1"/>
  <c r="V1065" i="2" s="1"/>
  <c r="V1066" i="2" a="1"/>
  <c r="V1066" i="2" s="1"/>
  <c r="V1067" i="2" a="1"/>
  <c r="V1067" i="2" s="1"/>
  <c r="V1068" i="2" a="1"/>
  <c r="V1068" i="2" s="1"/>
  <c r="V1069" i="2" a="1"/>
  <c r="V1069" i="2" s="1"/>
  <c r="V1070" i="2" a="1"/>
  <c r="V1070" i="2" s="1"/>
  <c r="V1071" i="2" a="1"/>
  <c r="V1071" i="2" s="1"/>
  <c r="V1072" i="2" a="1"/>
  <c r="V1072" i="2" s="1"/>
  <c r="V1073" i="2" a="1"/>
  <c r="V1073" i="2" s="1"/>
  <c r="V1074" i="2" a="1"/>
  <c r="V1074" i="2" s="1"/>
  <c r="V1075" i="2" a="1"/>
  <c r="V1075" i="2" s="1"/>
  <c r="V1076" i="2" a="1"/>
  <c r="V1076" i="2" s="1"/>
  <c r="V1077" i="2" a="1"/>
  <c r="V1077" i="2" s="1"/>
  <c r="V1078" i="2" a="1"/>
  <c r="V1078" i="2" s="1"/>
  <c r="V1079" i="2" a="1"/>
  <c r="V1079" i="2" s="1"/>
  <c r="V1080" i="2" a="1"/>
  <c r="V1080" i="2" s="1"/>
  <c r="V1081" i="2" a="1"/>
  <c r="V1081" i="2" s="1"/>
  <c r="V1082" i="2" a="1"/>
  <c r="V1082" i="2" s="1"/>
  <c r="V1083" i="2" a="1"/>
  <c r="V1083" i="2" s="1"/>
  <c r="V1084" i="2" a="1"/>
  <c r="V1084" i="2" s="1"/>
  <c r="V1085" i="2" a="1"/>
  <c r="V1085" i="2" s="1"/>
  <c r="V1086" i="2" a="1"/>
  <c r="V1086" i="2" s="1"/>
  <c r="V1087" i="2" a="1"/>
  <c r="V1087" i="2" s="1"/>
  <c r="V1088" i="2" a="1"/>
  <c r="V1088" i="2" s="1"/>
  <c r="V1089" i="2" a="1"/>
  <c r="V1089" i="2" s="1"/>
  <c r="V1090" i="2" a="1"/>
  <c r="V1090" i="2" s="1"/>
  <c r="V1091" i="2" a="1"/>
  <c r="V1091" i="2" s="1"/>
  <c r="V1092" i="2" a="1"/>
  <c r="V1092" i="2" s="1"/>
  <c r="V1093" i="2" a="1"/>
  <c r="V1093" i="2" s="1"/>
  <c r="V1094" i="2" a="1"/>
  <c r="V1094" i="2" s="1"/>
  <c r="V1095" i="2" a="1"/>
  <c r="V1095" i="2" s="1"/>
  <c r="V1096" i="2" a="1"/>
  <c r="V1096" i="2" s="1"/>
  <c r="V1097" i="2" a="1"/>
  <c r="V1097" i="2" s="1"/>
  <c r="V1098" i="2" a="1"/>
  <c r="V1098" i="2" s="1"/>
  <c r="V1099" i="2" a="1"/>
  <c r="V1099" i="2" s="1"/>
  <c r="V1100" i="2" a="1"/>
  <c r="V1100" i="2" s="1"/>
  <c r="V1101" i="2" a="1"/>
  <c r="V1101" i="2" s="1"/>
  <c r="V1102" i="2" a="1"/>
  <c r="V1102" i="2" s="1"/>
  <c r="V1103" i="2" a="1"/>
  <c r="V1103" i="2" s="1"/>
  <c r="V1104" i="2" a="1"/>
  <c r="V1104" i="2" s="1"/>
  <c r="V1105" i="2" a="1"/>
  <c r="V1105" i="2" s="1"/>
  <c r="V1106" i="2" a="1"/>
  <c r="V1106" i="2" s="1"/>
  <c r="V1107" i="2" a="1"/>
  <c r="V1107" i="2" s="1"/>
  <c r="V1108" i="2" a="1"/>
  <c r="V1108" i="2" s="1"/>
  <c r="V1109" i="2" a="1"/>
  <c r="V1109" i="2" s="1"/>
  <c r="V1110" i="2" a="1"/>
  <c r="V1110" i="2" s="1"/>
  <c r="V1111" i="2" a="1"/>
  <c r="V1111" i="2" s="1"/>
  <c r="V1112" i="2" a="1"/>
  <c r="V1112" i="2" s="1"/>
  <c r="V1113" i="2" a="1"/>
  <c r="V1113" i="2" s="1"/>
  <c r="V1114" i="2" a="1"/>
  <c r="V1114" i="2" s="1"/>
  <c r="V1115" i="2" a="1"/>
  <c r="V1115" i="2" s="1"/>
  <c r="V1116" i="2" a="1"/>
  <c r="V1116" i="2" s="1"/>
  <c r="V1117" i="2" a="1"/>
  <c r="V1117" i="2" s="1"/>
  <c r="V1118" i="2" a="1"/>
  <c r="V1118" i="2" s="1"/>
  <c r="V1119" i="2" a="1"/>
  <c r="V1119" i="2" s="1"/>
  <c r="V1120" i="2" a="1"/>
  <c r="V1120" i="2" s="1"/>
  <c r="V1152" i="2" a="1"/>
  <c r="V1152" i="2" s="1"/>
  <c r="V1153" i="2" a="1"/>
  <c r="V1153" i="2" s="1"/>
  <c r="V1154" i="2" a="1"/>
  <c r="V1154" i="2" s="1"/>
  <c r="V1155" i="2" a="1"/>
  <c r="V1155" i="2" s="1"/>
  <c r="V1156" i="2" a="1"/>
  <c r="V1156" i="2" s="1"/>
  <c r="V1157" i="2" a="1"/>
  <c r="V1157" i="2" s="1"/>
  <c r="V1158" i="2" a="1"/>
  <c r="V1158" i="2" s="1"/>
  <c r="V1159" i="2" a="1"/>
  <c r="V1159" i="2" s="1"/>
  <c r="V1160" i="2" a="1"/>
  <c r="V1160" i="2" s="1"/>
  <c r="V1161" i="2" a="1"/>
  <c r="V1161" i="2" s="1"/>
  <c r="V1162" i="2" a="1"/>
  <c r="V1162" i="2" s="1"/>
  <c r="V1163" i="2" a="1"/>
  <c r="V1163" i="2" s="1"/>
  <c r="V1164" i="2" a="1"/>
  <c r="V1164" i="2" s="1"/>
  <c r="V1165" i="2" a="1"/>
  <c r="V1165" i="2" s="1"/>
  <c r="V1166" i="2" a="1"/>
  <c r="V1166" i="2" s="1"/>
  <c r="V1167" i="2" a="1"/>
  <c r="V1167" i="2" s="1"/>
  <c r="V1168" i="2" a="1"/>
  <c r="V1168" i="2" s="1"/>
  <c r="V1169" i="2" a="1"/>
  <c r="V1169" i="2" s="1"/>
  <c r="V1170" i="2" a="1"/>
  <c r="V1170" i="2" s="1"/>
  <c r="V1171" i="2" a="1"/>
  <c r="V1171" i="2" s="1"/>
  <c r="V1172" i="2" a="1"/>
  <c r="V1172" i="2" s="1"/>
  <c r="V1173" i="2" a="1"/>
  <c r="V1173" i="2" s="1"/>
  <c r="V1174" i="2" a="1"/>
  <c r="V1174" i="2" s="1"/>
  <c r="V1175" i="2" a="1"/>
  <c r="V1175" i="2" s="1"/>
  <c r="V1176" i="2" a="1"/>
  <c r="V1176" i="2" s="1"/>
  <c r="V1177" i="2" a="1"/>
  <c r="V1177" i="2" s="1"/>
  <c r="V1178" i="2" a="1"/>
  <c r="V1178" i="2" s="1"/>
  <c r="V1179" i="2" a="1"/>
  <c r="V1179" i="2" s="1"/>
  <c r="V1180" i="2" a="1"/>
  <c r="V1180" i="2" s="1"/>
  <c r="V1181" i="2" a="1"/>
  <c r="V1181" i="2" s="1"/>
  <c r="V1182" i="2" a="1"/>
  <c r="V1182" i="2" s="1"/>
  <c r="V1197" i="2" a="1"/>
  <c r="V1197" i="2" s="1"/>
  <c r="V1198" i="2" a="1"/>
  <c r="V1198" i="2" s="1"/>
  <c r="V1199" i="2" a="1"/>
  <c r="V1199" i="2" s="1"/>
  <c r="V1200" i="2" a="1"/>
  <c r="V1200" i="2" s="1"/>
  <c r="V1201" i="2" a="1"/>
  <c r="V1201" i="2" s="1"/>
  <c r="V1202" i="2" a="1"/>
  <c r="V1202" i="2" s="1"/>
  <c r="V1203" i="2" a="1"/>
  <c r="V1203" i="2" s="1"/>
  <c r="V1204" i="2" a="1"/>
  <c r="V1204" i="2" s="1"/>
  <c r="V1205" i="2" a="1"/>
  <c r="V1205" i="2" s="1"/>
  <c r="V1206" i="2" a="1"/>
  <c r="V1206" i="2" s="1"/>
  <c r="V1207" i="2" a="1"/>
  <c r="V1207" i="2" s="1"/>
  <c r="V1208" i="2" a="1"/>
  <c r="V1208" i="2" s="1"/>
  <c r="V1209" i="2" a="1"/>
  <c r="V1209" i="2" s="1"/>
  <c r="V1210" i="2" a="1"/>
  <c r="V1210" i="2" s="1"/>
  <c r="V1135" i="2" a="1"/>
  <c r="V1135" i="2" s="1"/>
  <c r="V1136" i="2" a="1"/>
  <c r="V1136" i="2" s="1"/>
  <c r="V1137" i="2" a="1"/>
  <c r="V1137" i="2" s="1"/>
  <c r="V1138" i="2" a="1"/>
  <c r="V1138" i="2" s="1"/>
  <c r="V1139" i="2" a="1"/>
  <c r="V1139" i="2" s="1"/>
  <c r="V1140" i="2" a="1"/>
  <c r="V1140" i="2" s="1"/>
  <c r="V1141" i="2" a="1"/>
  <c r="V1141" i="2" s="1"/>
  <c r="V1142" i="2" a="1"/>
  <c r="V1142" i="2" s="1"/>
  <c r="V1143" i="2" a="1"/>
  <c r="V1143" i="2" s="1"/>
  <c r="V1144" i="2" a="1"/>
  <c r="V1144" i="2" s="1"/>
  <c r="V1145" i="2" a="1"/>
  <c r="V1145" i="2" s="1"/>
  <c r="V1146" i="2" a="1"/>
  <c r="V1146" i="2" s="1"/>
  <c r="V1147" i="2" a="1"/>
  <c r="V1147" i="2" s="1"/>
  <c r="V1148" i="2" a="1"/>
  <c r="V1148" i="2" s="1"/>
  <c r="V1149" i="2" a="1"/>
  <c r="V1149" i="2" s="1"/>
  <c r="V1150" i="2" a="1"/>
  <c r="V1150" i="2" s="1"/>
  <c r="V1151" i="2" a="1"/>
  <c r="V1151" i="2" s="1"/>
  <c r="V1121" i="2" a="1"/>
  <c r="V1121" i="2" s="1"/>
  <c r="V1122" i="2" a="1"/>
  <c r="V1122" i="2" s="1"/>
  <c r="V1123" i="2" a="1"/>
  <c r="V1123" i="2" s="1"/>
  <c r="V1124" i="2" a="1"/>
  <c r="V1124" i="2" s="1"/>
  <c r="V1125" i="2" a="1"/>
  <c r="V1125" i="2" s="1"/>
  <c r="V1126" i="2" a="1"/>
  <c r="V1126" i="2" s="1"/>
  <c r="V1127" i="2" a="1"/>
  <c r="V1127" i="2" s="1"/>
  <c r="V1128" i="2" a="1"/>
  <c r="V1128" i="2" s="1"/>
  <c r="V1129" i="2" a="1"/>
  <c r="V1129" i="2" s="1"/>
  <c r="V1130" i="2" a="1"/>
  <c r="V1130" i="2" s="1"/>
  <c r="V1131" i="2" a="1"/>
  <c r="V1131" i="2" s="1"/>
  <c r="V1132" i="2" a="1"/>
  <c r="V1132" i="2" s="1"/>
  <c r="V1133" i="2" a="1"/>
  <c r="V1133" i="2" s="1"/>
  <c r="V1134" i="2" a="1"/>
  <c r="V1134" i="2" s="1"/>
  <c r="V1183" i="2" a="1"/>
  <c r="V1183" i="2" s="1"/>
  <c r="V1184" i="2" a="1"/>
  <c r="V1184" i="2" s="1"/>
  <c r="V1185" i="2" a="1"/>
  <c r="V1185" i="2" s="1"/>
  <c r="V1186" i="2" a="1"/>
  <c r="V1186" i="2" s="1"/>
  <c r="V1187" i="2" a="1"/>
  <c r="V1187" i="2" s="1"/>
  <c r="V1188" i="2" a="1"/>
  <c r="V1188" i="2" s="1"/>
  <c r="V1189" i="2" a="1"/>
  <c r="V1189" i="2" s="1"/>
  <c r="V1190" i="2" a="1"/>
  <c r="V1190" i="2" s="1"/>
  <c r="V1191" i="2" a="1"/>
  <c r="V1191" i="2" s="1"/>
  <c r="V1192" i="2" a="1"/>
  <c r="V1192" i="2" s="1"/>
  <c r="V1193" i="2" a="1"/>
  <c r="V1193" i="2" s="1"/>
  <c r="V1194" i="2" a="1"/>
  <c r="V1194" i="2" s="1"/>
  <c r="V1195" i="2" a="1"/>
  <c r="V1195" i="2" s="1"/>
  <c r="V1196" i="2" a="1"/>
  <c r="V1196" i="2" s="1"/>
  <c r="V1211" i="2" a="1"/>
  <c r="V1211" i="2" s="1"/>
  <c r="V1212" i="2" a="1"/>
  <c r="V1212" i="2" s="1"/>
  <c r="V1213" i="2" a="1"/>
  <c r="V1213" i="2" s="1"/>
  <c r="V1214" i="2" a="1"/>
  <c r="V1214" i="2" s="1"/>
  <c r="V1215" i="2" a="1"/>
  <c r="V1215" i="2" s="1"/>
  <c r="V1216" i="2" a="1"/>
  <c r="V1216" i="2" s="1"/>
  <c r="V1217" i="2" a="1"/>
  <c r="V1217" i="2" s="1"/>
  <c r="V1218" i="2" a="1"/>
  <c r="V1218" i="2" s="1"/>
  <c r="V1219" i="2" a="1"/>
  <c r="V1219" i="2" s="1"/>
  <c r="V1220" i="2" a="1"/>
  <c r="V1220" i="2" s="1"/>
  <c r="V1221" i="2" a="1"/>
  <c r="V1221" i="2" s="1"/>
  <c r="V1222" i="2" a="1"/>
  <c r="V1222" i="2" s="1"/>
  <c r="V1223" i="2" a="1"/>
  <c r="V1223" i="2" s="1"/>
  <c r="V1225" i="2" a="1"/>
  <c r="V1225" i="2" s="1"/>
  <c r="V1226" i="2" a="1"/>
  <c r="V1226" i="2" s="1"/>
  <c r="V1227" i="2" a="1"/>
  <c r="V1227" i="2" s="1"/>
  <c r="V1228" i="2" a="1"/>
  <c r="V1228" i="2" s="1"/>
  <c r="V1229" i="2" a="1"/>
  <c r="V1229" i="2" s="1"/>
  <c r="V1230" i="2" a="1"/>
  <c r="V1230" i="2" s="1"/>
  <c r="V1231" i="2" a="1"/>
  <c r="V1231" i="2" s="1"/>
  <c r="V1232" i="2" a="1"/>
  <c r="V1232" i="2" s="1"/>
  <c r="V1233" i="2" a="1"/>
  <c r="V1233" i="2" s="1"/>
  <c r="V1234" i="2" a="1"/>
  <c r="V1234" i="2" s="1"/>
  <c r="V1224" i="2" a="1"/>
  <c r="V1224" i="2" s="1"/>
  <c r="V1235" i="2" a="1"/>
  <c r="V1235" i="2" s="1"/>
  <c r="V1236" i="2" a="1"/>
  <c r="V1236" i="2" s="1"/>
  <c r="V1237" i="2" a="1"/>
  <c r="V1237" i="2" s="1"/>
  <c r="V1238" i="2" a="1"/>
  <c r="V1238" i="2" s="1"/>
  <c r="V1239" i="2" a="1"/>
  <c r="V1239" i="2" s="1"/>
  <c r="V1240" i="2" a="1"/>
  <c r="V1240" i="2" s="1"/>
  <c r="V1241" i="2" a="1"/>
  <c r="V1241" i="2" s="1"/>
  <c r="V1242" i="2" a="1"/>
  <c r="V1242" i="2" s="1"/>
  <c r="V1243" i="2" a="1"/>
  <c r="V1243" i="2" s="1"/>
  <c r="V1244" i="2" a="1"/>
  <c r="V1244" i="2" s="1"/>
  <c r="V1245" i="2" a="1"/>
  <c r="V1245" i="2" s="1"/>
  <c r="V1246" i="2" a="1"/>
  <c r="V1246" i="2" s="1"/>
  <c r="V1247" i="2" a="1"/>
  <c r="V1247" i="2" s="1"/>
  <c r="V1248" i="2" a="1"/>
  <c r="V1248" i="2" s="1"/>
  <c r="V1249" i="2" a="1"/>
  <c r="V1249" i="2" s="1"/>
  <c r="V1250" i="2" a="1"/>
  <c r="V1250" i="2" s="1"/>
  <c r="V1251" i="2" a="1"/>
  <c r="V1251" i="2" s="1"/>
  <c r="V1252" i="2" a="1"/>
  <c r="V1252" i="2" s="1"/>
  <c r="V1253" i="2" a="1"/>
  <c r="V1253" i="2" s="1"/>
  <c r="V1254" i="2" a="1"/>
  <c r="V1254" i="2" s="1"/>
  <c r="V1255" i="2" a="1"/>
  <c r="V1255" i="2" s="1"/>
  <c r="V1256" i="2" a="1"/>
  <c r="V1256" i="2" s="1"/>
  <c r="V1257" i="2" a="1"/>
  <c r="V1257" i="2" s="1"/>
  <c r="V1258" i="2" a="1"/>
  <c r="V1258" i="2" s="1"/>
  <c r="V1259" i="2" a="1"/>
  <c r="V1259" i="2" s="1"/>
  <c r="V1260" i="2" a="1"/>
  <c r="V1260" i="2" s="1"/>
  <c r="V1261" i="2" a="1"/>
  <c r="V1261" i="2" s="1"/>
  <c r="V1262" i="2" a="1"/>
  <c r="V1262" i="2" s="1"/>
  <c r="V1263" i="2" a="1"/>
  <c r="V1263" i="2" s="1"/>
  <c r="V1264" i="2" a="1"/>
  <c r="V1264" i="2" s="1"/>
  <c r="V1265" i="2" a="1"/>
  <c r="V1265" i="2" s="1"/>
  <c r="V1266" i="2" a="1"/>
  <c r="V1266" i="2" s="1"/>
  <c r="V1267" i="2" a="1"/>
  <c r="V1267" i="2" s="1"/>
  <c r="V1268" i="2" a="1"/>
  <c r="V1268" i="2" s="1"/>
  <c r="V1269" i="2" a="1"/>
  <c r="V1269" i="2" s="1"/>
  <c r="V1270" i="2" a="1"/>
  <c r="V1270" i="2" s="1"/>
  <c r="V1271" i="2" a="1"/>
  <c r="V1271" i="2" s="1"/>
  <c r="V1272" i="2" a="1"/>
  <c r="V1272" i="2" s="1"/>
  <c r="V1273" i="2" a="1"/>
  <c r="V1273" i="2" s="1"/>
  <c r="V1274" i="2" a="1"/>
  <c r="V1274" i="2" s="1"/>
  <c r="V1275" i="2" a="1"/>
  <c r="V1275" i="2" s="1"/>
  <c r="V1276" i="2" a="1"/>
  <c r="V1276" i="2" s="1"/>
  <c r="V1277" i="2" a="1"/>
  <c r="V1277" i="2" s="1"/>
  <c r="V1278" i="2" a="1"/>
  <c r="V1278" i="2" s="1"/>
  <c r="V1279" i="2" a="1"/>
  <c r="V1279" i="2" s="1"/>
  <c r="V1280" i="2" a="1"/>
  <c r="V1280" i="2" s="1"/>
  <c r="V1281" i="2" a="1"/>
  <c r="V1281" i="2" s="1"/>
  <c r="V1282" i="2" a="1"/>
  <c r="V1282" i="2" s="1"/>
  <c r="V1283" i="2" a="1"/>
  <c r="V1283" i="2" s="1"/>
  <c r="V1284" i="2" a="1"/>
  <c r="V1284" i="2" s="1"/>
  <c r="V1285" i="2" a="1"/>
  <c r="V1285" i="2" s="1"/>
  <c r="V1286" i="2" a="1"/>
  <c r="V1286" i="2" s="1"/>
  <c r="V1287" i="2" a="1"/>
  <c r="V1287" i="2" s="1"/>
  <c r="V1288" i="2" a="1"/>
  <c r="V1288" i="2" s="1"/>
  <c r="V1289" i="2" a="1"/>
  <c r="V1289" i="2" s="1"/>
  <c r="V1290" i="2" a="1"/>
  <c r="V1290" i="2" s="1"/>
  <c r="V1291" i="2" a="1"/>
  <c r="V1291" i="2" s="1"/>
  <c r="V1292" i="2" a="1"/>
  <c r="V1292" i="2" s="1"/>
  <c r="V1293" i="2" a="1"/>
  <c r="V1293" i="2" s="1"/>
  <c r="V1294" i="2" a="1"/>
  <c r="V1294" i="2" s="1"/>
  <c r="V1295" i="2" a="1"/>
  <c r="V1295" i="2" s="1"/>
  <c r="V1324" i="2" a="1"/>
  <c r="V1324" i="2" s="1"/>
  <c r="V1325" i="2" a="1"/>
  <c r="V1325" i="2" s="1"/>
  <c r="V1326" i="2" a="1"/>
  <c r="V1326" i="2" s="1"/>
  <c r="V1327" i="2" a="1"/>
  <c r="V1327" i="2" s="1"/>
  <c r="V1328" i="2" a="1"/>
  <c r="V1328" i="2" s="1"/>
  <c r="V1329" i="2" a="1"/>
  <c r="V1329" i="2" s="1"/>
  <c r="V1330" i="2" a="1"/>
  <c r="V1330" i="2" s="1"/>
  <c r="V1331" i="2" a="1"/>
  <c r="V1331" i="2" s="1"/>
  <c r="V1332" i="2" a="1"/>
  <c r="V1332" i="2" s="1"/>
  <c r="V1333" i="2" a="1"/>
  <c r="V1333" i="2" s="1"/>
  <c r="V1334" i="2" a="1"/>
  <c r="V1334" i="2" s="1"/>
  <c r="V1335" i="2" a="1"/>
  <c r="V1335" i="2" s="1"/>
  <c r="V1336" i="2" a="1"/>
  <c r="V1336" i="2" s="1"/>
  <c r="V1337" i="2" a="1"/>
  <c r="V1337" i="2" s="1"/>
  <c r="V1338" i="2" a="1"/>
  <c r="V1338" i="2" s="1"/>
  <c r="V1339" i="2" a="1"/>
  <c r="V1339" i="2" s="1"/>
  <c r="V1340" i="2" a="1"/>
  <c r="V1340" i="2" s="1"/>
  <c r="V1341" i="2" a="1"/>
  <c r="V1341" i="2" s="1"/>
  <c r="V1342" i="2" a="1"/>
  <c r="V1342" i="2" s="1"/>
  <c r="V1343" i="2" a="1"/>
  <c r="V1343" i="2" s="1"/>
  <c r="V1344" i="2" a="1"/>
  <c r="V1344" i="2" s="1"/>
  <c r="V1345" i="2" a="1"/>
  <c r="V1345" i="2" s="1"/>
  <c r="V1346" i="2" a="1"/>
  <c r="V1346" i="2" s="1"/>
  <c r="V1347" i="2" a="1"/>
  <c r="V1347" i="2" s="1"/>
  <c r="V1348" i="2" a="1"/>
  <c r="V1348" i="2" s="1"/>
  <c r="V1349" i="2" a="1"/>
  <c r="V1349" i="2" s="1"/>
  <c r="V1350" i="2" a="1"/>
  <c r="V1350" i="2" s="1"/>
  <c r="V1351" i="2" a="1"/>
  <c r="V1351" i="2" s="1"/>
  <c r="V1352" i="2" a="1"/>
  <c r="V1352" i="2" s="1"/>
  <c r="V1353" i="2" a="1"/>
  <c r="V1353" i="2" s="1"/>
  <c r="V1354" i="2" a="1"/>
  <c r="V1354" i="2" s="1"/>
  <c r="V1355" i="2" a="1"/>
  <c r="V1355" i="2" s="1"/>
  <c r="V1356" i="2" a="1"/>
  <c r="V1356" i="2" s="1"/>
  <c r="V1357" i="2" a="1"/>
  <c r="V1357" i="2" s="1"/>
  <c r="V1375" i="2" a="1"/>
  <c r="V1375" i="2" s="1"/>
  <c r="V1376" i="2" a="1"/>
  <c r="V1376" i="2" s="1"/>
  <c r="V1377" i="2" a="1"/>
  <c r="V1377" i="2" s="1"/>
  <c r="V1378" i="2" a="1"/>
  <c r="V1378" i="2" s="1"/>
  <c r="V1379" i="2" a="1"/>
  <c r="V1379" i="2" s="1"/>
  <c r="V1380" i="2" a="1"/>
  <c r="V1380" i="2" s="1"/>
  <c r="V1381" i="2" a="1"/>
  <c r="V1381" i="2" s="1"/>
  <c r="V1382" i="2" a="1"/>
  <c r="V1382" i="2" s="1"/>
  <c r="V1383" i="2" a="1"/>
  <c r="V1383" i="2" s="1"/>
  <c r="V1384" i="2" a="1"/>
  <c r="V1384" i="2" s="1"/>
  <c r="V1385" i="2" a="1"/>
  <c r="V1385" i="2" s="1"/>
  <c r="V1386" i="2" a="1"/>
  <c r="V1386" i="2" s="1"/>
  <c r="V1387" i="2" a="1"/>
  <c r="V1387" i="2" s="1"/>
  <c r="V1388" i="2" a="1"/>
  <c r="V1388" i="2" s="1"/>
  <c r="V1389" i="2" a="1"/>
  <c r="V1389" i="2" s="1"/>
  <c r="V1390" i="2" a="1"/>
  <c r="V1390" i="2" s="1"/>
  <c r="V1391" i="2" a="1"/>
  <c r="V1391" i="2" s="1"/>
  <c r="V1310" i="2" a="1"/>
  <c r="V1310" i="2" s="1"/>
  <c r="V1311" i="2" a="1"/>
  <c r="V1311" i="2" s="1"/>
  <c r="V1312" i="2" a="1"/>
  <c r="V1312" i="2" s="1"/>
  <c r="V1313" i="2" a="1"/>
  <c r="V1313" i="2" s="1"/>
  <c r="V1314" i="2" a="1"/>
  <c r="V1314" i="2" s="1"/>
  <c r="V1315" i="2" a="1"/>
  <c r="V1315" i="2" s="1"/>
  <c r="V1316" i="2" a="1"/>
  <c r="V1316" i="2" s="1"/>
  <c r="V1317" i="2" a="1"/>
  <c r="V1317" i="2" s="1"/>
  <c r="V1318" i="2" a="1"/>
  <c r="V1318" i="2" s="1"/>
  <c r="V1319" i="2" a="1"/>
  <c r="V1319" i="2" s="1"/>
  <c r="V1320" i="2" a="1"/>
  <c r="V1320" i="2" s="1"/>
  <c r="V1321" i="2" a="1"/>
  <c r="V1321" i="2" s="1"/>
  <c r="V1322" i="2" a="1"/>
  <c r="V1322" i="2" s="1"/>
  <c r="V1323" i="2" a="1"/>
  <c r="V1323" i="2" s="1"/>
  <c r="V1296" i="2" a="1"/>
  <c r="V1296" i="2" s="1"/>
  <c r="V1297" i="2" a="1"/>
  <c r="V1297" i="2" s="1"/>
  <c r="V1298" i="2" a="1"/>
  <c r="V1298" i="2" s="1"/>
  <c r="V1299" i="2" a="1"/>
  <c r="V1299" i="2" s="1"/>
  <c r="V1300" i="2" a="1"/>
  <c r="V1300" i="2" s="1"/>
  <c r="V1301" i="2" a="1"/>
  <c r="V1301" i="2" s="1"/>
  <c r="V1302" i="2" a="1"/>
  <c r="V1302" i="2" s="1"/>
  <c r="V1303" i="2" a="1"/>
  <c r="V1303" i="2" s="1"/>
  <c r="V1304" i="2" a="1"/>
  <c r="V1304" i="2" s="1"/>
  <c r="V1305" i="2" a="1"/>
  <c r="V1305" i="2" s="1"/>
  <c r="V1306" i="2" a="1"/>
  <c r="V1306" i="2" s="1"/>
  <c r="V1307" i="2" a="1"/>
  <c r="V1307" i="2" s="1"/>
  <c r="V1308" i="2" a="1"/>
  <c r="V1308" i="2" s="1"/>
  <c r="V1309" i="2" a="1"/>
  <c r="V1309" i="2" s="1"/>
  <c r="V1358" i="2" a="1"/>
  <c r="V1358" i="2" s="1"/>
  <c r="V1359" i="2" a="1"/>
  <c r="V1359" i="2" s="1"/>
  <c r="V1360" i="2" a="1"/>
  <c r="V1360" i="2" s="1"/>
  <c r="V1361" i="2" a="1"/>
  <c r="V1361" i="2" s="1"/>
  <c r="V1362" i="2" a="1"/>
  <c r="V1362" i="2" s="1"/>
  <c r="V1363" i="2" a="1"/>
  <c r="V1363" i="2" s="1"/>
  <c r="V1364" i="2" a="1"/>
  <c r="V1364" i="2" s="1"/>
  <c r="V1365" i="2" a="1"/>
  <c r="V1365" i="2" s="1"/>
  <c r="V1366" i="2" a="1"/>
  <c r="V1366" i="2" s="1"/>
  <c r="V1367" i="2" a="1"/>
  <c r="V1367" i="2" s="1"/>
  <c r="V1368" i="2" a="1"/>
  <c r="V1368" i="2" s="1"/>
  <c r="V1369" i="2" a="1"/>
  <c r="V1369" i="2" s="1"/>
  <c r="V1370" i="2" a="1"/>
  <c r="V1370" i="2" s="1"/>
  <c r="V1371" i="2" a="1"/>
  <c r="V1371" i="2" s="1"/>
  <c r="V1372" i="2" a="1"/>
  <c r="V1372" i="2" s="1"/>
  <c r="V1373" i="2" a="1"/>
  <c r="V1373" i="2" s="1"/>
  <c r="V1374" i="2" a="1"/>
  <c r="V1374" i="2" s="1"/>
  <c r="V1392" i="2" a="1"/>
  <c r="V1392" i="2" s="1"/>
  <c r="V1393" i="2" a="1"/>
  <c r="V1393" i="2" s="1"/>
  <c r="V1394" i="2" a="1"/>
  <c r="V1394" i="2" s="1"/>
  <c r="V1395" i="2" a="1"/>
  <c r="V1395" i="2" s="1"/>
  <c r="V1396" i="2" a="1"/>
  <c r="V1396" i="2" s="1"/>
  <c r="V1397" i="2" a="1"/>
  <c r="V1397" i="2" s="1"/>
  <c r="V1398" i="2" a="1"/>
  <c r="V1398" i="2" s="1"/>
  <c r="V1399" i="2" a="1"/>
  <c r="V1399" i="2" s="1"/>
  <c r="V1400" i="2" a="1"/>
  <c r="V1400" i="2" s="1"/>
  <c r="V1401" i="2" a="1"/>
  <c r="V1401" i="2" s="1"/>
  <c r="V1402" i="2" a="1"/>
  <c r="V1402" i="2" s="1"/>
  <c r="V1403" i="2" a="1"/>
  <c r="V1403" i="2" s="1"/>
  <c r="V1405" i="2" a="1"/>
  <c r="V1405" i="2" s="1"/>
  <c r="V1406" i="2" a="1"/>
  <c r="V1406" i="2" s="1"/>
  <c r="V1407" i="2" a="1"/>
  <c r="V1407" i="2" s="1"/>
  <c r="V1408" i="2" a="1"/>
  <c r="V1408" i="2" s="1"/>
  <c r="V1409" i="2" a="1"/>
  <c r="V1409" i="2" s="1"/>
  <c r="V1410" i="2" a="1"/>
  <c r="V1410" i="2" s="1"/>
  <c r="V1411" i="2" a="1"/>
  <c r="V1411" i="2" s="1"/>
  <c r="V1412" i="2" a="1"/>
  <c r="V1412" i="2" s="1"/>
  <c r="V1413" i="2" a="1"/>
  <c r="V1413" i="2" s="1"/>
  <c r="V1414" i="2" a="1"/>
  <c r="V1414" i="2" s="1"/>
  <c r="V1404" i="2" a="1"/>
  <c r="V1404" i="2" s="1"/>
  <c r="V1415" i="2" a="1"/>
  <c r="V1415" i="2" s="1"/>
  <c r="V1416" i="2" a="1"/>
  <c r="V1416" i="2" s="1"/>
  <c r="V1417" i="2" a="1"/>
  <c r="V1417" i="2" s="1"/>
  <c r="V1418" i="2" a="1"/>
  <c r="V1418" i="2" s="1"/>
  <c r="V1419" i="2" a="1"/>
  <c r="V1419" i="2" s="1"/>
  <c r="V1420" i="2" a="1"/>
  <c r="V1420" i="2" s="1"/>
  <c r="V1421" i="2" a="1"/>
  <c r="V1421" i="2" s="1"/>
  <c r="V1422" i="2" a="1"/>
  <c r="V1422" i="2" s="1"/>
  <c r="V1423" i="2" a="1"/>
  <c r="V1423" i="2" s="1"/>
  <c r="V1424" i="2" a="1"/>
  <c r="V1424" i="2" s="1"/>
  <c r="V1425" i="2" a="1"/>
  <c r="V1425" i="2" s="1"/>
  <c r="V1426" i="2" a="1"/>
  <c r="V1426" i="2" s="1"/>
  <c r="V1427" i="2" a="1"/>
  <c r="V1427" i="2" s="1"/>
  <c r="V1428" i="2" a="1"/>
  <c r="V1428" i="2" s="1"/>
  <c r="V1429" i="2" a="1"/>
  <c r="V1429" i="2" s="1"/>
  <c r="V1430" i="2" a="1"/>
  <c r="V1430" i="2" s="1"/>
  <c r="V1431" i="2" a="1"/>
  <c r="V1431" i="2" s="1"/>
  <c r="V1432" i="2" a="1"/>
  <c r="V1432" i="2" s="1"/>
  <c r="V1433" i="2" a="1"/>
  <c r="V1433" i="2" s="1"/>
  <c r="V1434" i="2" a="1"/>
  <c r="V1434" i="2" s="1"/>
  <c r="V1435" i="2" a="1"/>
  <c r="V1435" i="2" s="1"/>
  <c r="V1436" i="2" a="1"/>
  <c r="V1436" i="2" s="1"/>
  <c r="V1437" i="2" a="1"/>
  <c r="V1437" i="2" s="1"/>
  <c r="V1438" i="2" a="1"/>
  <c r="V1438" i="2" s="1"/>
  <c r="V1439" i="2" a="1"/>
  <c r="V1439" i="2" s="1"/>
  <c r="V1440" i="2" a="1"/>
  <c r="V1440" i="2" s="1"/>
  <c r="V1441" i="2" a="1"/>
  <c r="V1441" i="2" s="1"/>
  <c r="V1442" i="2" a="1"/>
  <c r="V1442" i="2" s="1"/>
  <c r="V1443" i="2" a="1"/>
  <c r="V1443" i="2" s="1"/>
  <c r="V1444" i="2" a="1"/>
  <c r="V1444" i="2" s="1"/>
  <c r="V1445" i="2" a="1"/>
  <c r="V1445" i="2" s="1"/>
  <c r="V1447" i="2" a="1"/>
  <c r="V1447" i="2" s="1"/>
  <c r="V1446" i="2" a="1"/>
  <c r="V1446" i="2" s="1"/>
  <c r="V1448" i="2" a="1"/>
  <c r="V1448" i="2" s="1"/>
  <c r="V1449" i="2" a="1"/>
  <c r="V1449" i="2" s="1"/>
  <c r="V1450" i="2" a="1"/>
  <c r="V1450" i="2" s="1"/>
  <c r="V1451" i="2" a="1"/>
  <c r="V1451" i="2" s="1"/>
  <c r="V1452" i="2" a="1"/>
  <c r="V1452" i="2" s="1"/>
  <c r="V1453" i="2" a="1"/>
  <c r="V1453" i="2" s="1"/>
  <c r="V1454" i="2" a="1"/>
  <c r="V1454" i="2" s="1"/>
  <c r="V1455" i="2" a="1"/>
  <c r="V1455" i="2" s="1"/>
  <c r="V1456" i="2" a="1"/>
  <c r="V1456" i="2" s="1"/>
  <c r="V1457" i="2" a="1"/>
  <c r="V1457" i="2" s="1"/>
  <c r="V1458" i="2" a="1"/>
  <c r="V1458" i="2" s="1"/>
  <c r="V1459" i="2" a="1"/>
  <c r="V1459" i="2" s="1"/>
  <c r="V1460" i="2" a="1"/>
  <c r="V1460" i="2" s="1"/>
  <c r="V1461" i="2" a="1"/>
  <c r="V1461" i="2" s="1"/>
  <c r="V1462" i="2" a="1"/>
  <c r="V1462" i="2" s="1"/>
  <c r="V1463" i="2" a="1"/>
  <c r="V1463" i="2" s="1"/>
  <c r="V1464" i="2" a="1"/>
  <c r="V1464" i="2" s="1"/>
  <c r="V1465" i="2" a="1"/>
  <c r="V1465" i="2" s="1"/>
  <c r="V1466" i="2" a="1"/>
  <c r="V1466" i="2" s="1"/>
  <c r="V1467" i="2" a="1"/>
  <c r="V1467" i="2" s="1"/>
  <c r="V1468" i="2" a="1"/>
  <c r="V1468" i="2" s="1"/>
  <c r="V1469" i="2" a="1"/>
  <c r="V1469" i="2" s="1"/>
  <c r="V1470" i="2" a="1"/>
  <c r="V1470" i="2" s="1"/>
  <c r="V1471" i="2" a="1"/>
  <c r="V1471" i="2" s="1"/>
  <c r="V1472" i="2" a="1"/>
  <c r="V1472" i="2" s="1"/>
  <c r="V1473" i="2" a="1"/>
  <c r="V1473" i="2" s="1"/>
  <c r="V1474" i="2" a="1"/>
  <c r="V1474" i="2" s="1"/>
  <c r="V1475" i="2" a="1"/>
  <c r="V1475" i="2" s="1"/>
  <c r="V1541" i="2" a="1"/>
  <c r="V1541" i="2" s="1"/>
  <c r="V1542" i="2" a="1"/>
  <c r="V1542" i="2" s="1"/>
  <c r="V1543" i="2" a="1"/>
  <c r="V1543" i="2" s="1"/>
  <c r="V1544" i="2" a="1"/>
  <c r="V1544" i="2" s="1"/>
  <c r="V1545" i="2" a="1"/>
  <c r="V1545" i="2" s="1"/>
  <c r="V1546" i="2" a="1"/>
  <c r="V1546" i="2" s="1"/>
  <c r="V1547" i="2" a="1"/>
  <c r="V1547" i="2" s="1"/>
  <c r="V1548" i="2" a="1"/>
  <c r="V1548" i="2" s="1"/>
  <c r="V1549" i="2" a="1"/>
  <c r="V1549" i="2" s="1"/>
  <c r="V1550" i="2" a="1"/>
  <c r="V1550" i="2" s="1"/>
  <c r="V1551" i="2" a="1"/>
  <c r="V1551" i="2" s="1"/>
  <c r="V1552" i="2" a="1"/>
  <c r="V1552" i="2" s="1"/>
  <c r="V1553" i="2" a="1"/>
  <c r="V1553" i="2" s="1"/>
  <c r="V1554" i="2" a="1"/>
  <c r="V1554" i="2" s="1"/>
  <c r="V1507" i="2" a="1"/>
  <c r="V1507" i="2" s="1"/>
  <c r="V1508" i="2" a="1"/>
  <c r="V1508" i="2" s="1"/>
  <c r="V1509" i="2" a="1"/>
  <c r="V1509" i="2" s="1"/>
  <c r="V1510" i="2" a="1"/>
  <c r="V1510" i="2" s="1"/>
  <c r="V1511" i="2" a="1"/>
  <c r="V1511" i="2" s="1"/>
  <c r="V1512" i="2" a="1"/>
  <c r="V1512" i="2" s="1"/>
  <c r="V1513" i="2" a="1"/>
  <c r="V1513" i="2" s="1"/>
  <c r="V1514" i="2" a="1"/>
  <c r="V1514" i="2" s="1"/>
  <c r="V1515" i="2" a="1"/>
  <c r="V1515" i="2" s="1"/>
  <c r="V1516" i="2" a="1"/>
  <c r="V1516" i="2" s="1"/>
  <c r="V1517" i="2" a="1"/>
  <c r="V1517" i="2" s="1"/>
  <c r="V1518" i="2" a="1"/>
  <c r="V1518" i="2" s="1"/>
  <c r="V1519" i="2" a="1"/>
  <c r="V1519" i="2" s="1"/>
  <c r="V1520" i="2" a="1"/>
  <c r="V1520" i="2" s="1"/>
  <c r="V1521" i="2" a="1"/>
  <c r="V1521" i="2" s="1"/>
  <c r="V1522" i="2" a="1"/>
  <c r="V1522" i="2" s="1"/>
  <c r="V1523" i="2" a="1"/>
  <c r="V1523" i="2" s="1"/>
  <c r="V1555" i="2" a="1"/>
  <c r="V1555" i="2" s="1"/>
  <c r="V1556" i="2" a="1"/>
  <c r="V1556" i="2" s="1"/>
  <c r="V1557" i="2" a="1"/>
  <c r="V1557" i="2" s="1"/>
  <c r="V1558" i="2" a="1"/>
  <c r="V1558" i="2" s="1"/>
  <c r="V1559" i="2" a="1"/>
  <c r="V1559" i="2" s="1"/>
  <c r="V1560" i="2" a="1"/>
  <c r="V1560" i="2" s="1"/>
  <c r="V1561" i="2" a="1"/>
  <c r="V1561" i="2" s="1"/>
  <c r="V1562" i="2" a="1"/>
  <c r="V1562" i="2" s="1"/>
  <c r="V1563" i="2" a="1"/>
  <c r="V1563" i="2" s="1"/>
  <c r="V1564" i="2" a="1"/>
  <c r="V1564" i="2" s="1"/>
  <c r="V1565" i="2" a="1"/>
  <c r="V1565" i="2" s="1"/>
  <c r="V1566" i="2" a="1"/>
  <c r="V1566" i="2" s="1"/>
  <c r="V1567" i="2" a="1"/>
  <c r="V1567" i="2" s="1"/>
  <c r="V1568" i="2" a="1"/>
  <c r="V1568" i="2" s="1"/>
  <c r="V1600" i="2" a="1"/>
  <c r="V1600" i="2" s="1"/>
  <c r="V1601" i="2" a="1"/>
  <c r="V1601" i="2" s="1"/>
  <c r="V1602" i="2" a="1"/>
  <c r="V1602" i="2" s="1"/>
  <c r="V1603" i="2" a="1"/>
  <c r="V1603" i="2" s="1"/>
  <c r="V1604" i="2" a="1"/>
  <c r="V1604" i="2" s="1"/>
  <c r="V1605" i="2" a="1"/>
  <c r="V1605" i="2" s="1"/>
  <c r="V1606" i="2" a="1"/>
  <c r="V1606" i="2" s="1"/>
  <c r="V1607" i="2" a="1"/>
  <c r="V1607" i="2" s="1"/>
  <c r="V1608" i="2" a="1"/>
  <c r="V1608" i="2" s="1"/>
  <c r="V1609" i="2" a="1"/>
  <c r="V1609" i="2" s="1"/>
  <c r="V1610" i="2" a="1"/>
  <c r="V1610" i="2" s="1"/>
  <c r="V1611" i="2" a="1"/>
  <c r="V1611" i="2" s="1"/>
  <c r="V1612" i="2" a="1"/>
  <c r="V1612" i="2" s="1"/>
  <c r="V1613" i="2" a="1"/>
  <c r="V1613" i="2" s="1"/>
  <c r="V1524" i="2" a="1"/>
  <c r="V1524" i="2" s="1"/>
  <c r="V1525" i="2" a="1"/>
  <c r="V1525" i="2" s="1"/>
  <c r="V1526" i="2" a="1"/>
  <c r="V1526" i="2" s="1"/>
  <c r="V1527" i="2" a="1"/>
  <c r="V1527" i="2" s="1"/>
  <c r="V1528" i="2" a="1"/>
  <c r="V1528" i="2" s="1"/>
  <c r="V1529" i="2" a="1"/>
  <c r="V1529" i="2" s="1"/>
  <c r="V1530" i="2" a="1"/>
  <c r="V1530" i="2" s="1"/>
  <c r="V1531" i="2" a="1"/>
  <c r="V1531" i="2" s="1"/>
  <c r="V1532" i="2" a="1"/>
  <c r="V1532" i="2" s="1"/>
  <c r="V1533" i="2" a="1"/>
  <c r="V1533" i="2" s="1"/>
  <c r="V1534" i="2" a="1"/>
  <c r="V1534" i="2" s="1"/>
  <c r="V1535" i="2" a="1"/>
  <c r="V1535" i="2" s="1"/>
  <c r="V1536" i="2" a="1"/>
  <c r="V1536" i="2" s="1"/>
  <c r="V1537" i="2" a="1"/>
  <c r="V1537" i="2" s="1"/>
  <c r="V1538" i="2" a="1"/>
  <c r="V1538" i="2" s="1"/>
  <c r="V1539" i="2" a="1"/>
  <c r="V1539" i="2" s="1"/>
  <c r="V1540" i="2" a="1"/>
  <c r="V1540" i="2" s="1"/>
  <c r="V1490" i="2" a="1"/>
  <c r="V1490" i="2" s="1"/>
  <c r="V1491" i="2" a="1"/>
  <c r="V1491" i="2" s="1"/>
  <c r="V1492" i="2" a="1"/>
  <c r="V1492" i="2" s="1"/>
  <c r="V1493" i="2" a="1"/>
  <c r="V1493" i="2" s="1"/>
  <c r="V1494" i="2" a="1"/>
  <c r="V1494" i="2" s="1"/>
  <c r="V1495" i="2" a="1"/>
  <c r="V1495" i="2" s="1"/>
  <c r="V1496" i="2" a="1"/>
  <c r="V1496" i="2" s="1"/>
  <c r="V1497" i="2" a="1"/>
  <c r="V1497" i="2" s="1"/>
  <c r="V1498" i="2" a="1"/>
  <c r="V1498" i="2" s="1"/>
  <c r="V1499" i="2" a="1"/>
  <c r="V1499" i="2" s="1"/>
  <c r="V1500" i="2" a="1"/>
  <c r="V1500" i="2" s="1"/>
  <c r="V1501" i="2" a="1"/>
  <c r="V1501" i="2" s="1"/>
  <c r="V1502" i="2" a="1"/>
  <c r="V1502" i="2" s="1"/>
  <c r="V1503" i="2" a="1"/>
  <c r="V1503" i="2" s="1"/>
  <c r="V1504" i="2" a="1"/>
  <c r="V1504" i="2" s="1"/>
  <c r="V1505" i="2" a="1"/>
  <c r="V1505" i="2" s="1"/>
  <c r="V1506" i="2" a="1"/>
  <c r="V1506" i="2" s="1"/>
  <c r="V1476" i="2" a="1"/>
  <c r="V1476" i="2" s="1"/>
  <c r="V1477" i="2" a="1"/>
  <c r="V1477" i="2" s="1"/>
  <c r="V1478" i="2" a="1"/>
  <c r="V1478" i="2" s="1"/>
  <c r="V1479" i="2" a="1"/>
  <c r="V1479" i="2" s="1"/>
  <c r="V1480" i="2" a="1"/>
  <c r="V1480" i="2" s="1"/>
  <c r="V1481" i="2" a="1"/>
  <c r="V1481" i="2" s="1"/>
  <c r="V1482" i="2" a="1"/>
  <c r="V1482" i="2" s="1"/>
  <c r="V1483" i="2" a="1"/>
  <c r="V1483" i="2" s="1"/>
  <c r="V1484" i="2" a="1"/>
  <c r="V1484" i="2" s="1"/>
  <c r="V1485" i="2" a="1"/>
  <c r="V1485" i="2" s="1"/>
  <c r="V1486" i="2" a="1"/>
  <c r="V1486" i="2" s="1"/>
  <c r="V1487" i="2" a="1"/>
  <c r="V1487" i="2" s="1"/>
  <c r="V1488" i="2" a="1"/>
  <c r="V1488" i="2" s="1"/>
  <c r="V1489" i="2" a="1"/>
  <c r="V1489" i="2" s="1"/>
  <c r="V1586" i="2" a="1"/>
  <c r="V1586" i="2" s="1"/>
  <c r="V1587" i="2" a="1"/>
  <c r="V1587" i="2" s="1"/>
  <c r="V1588" i="2" a="1"/>
  <c r="V1588" i="2" s="1"/>
  <c r="V1589" i="2" a="1"/>
  <c r="V1589" i="2" s="1"/>
  <c r="V1590" i="2" a="1"/>
  <c r="V1590" i="2" s="1"/>
  <c r="V1591" i="2" a="1"/>
  <c r="V1591" i="2" s="1"/>
  <c r="V1592" i="2" a="1"/>
  <c r="V1592" i="2" s="1"/>
  <c r="V1593" i="2" a="1"/>
  <c r="V1593" i="2" s="1"/>
  <c r="V1594" i="2" a="1"/>
  <c r="V1594" i="2" s="1"/>
  <c r="V1595" i="2" a="1"/>
  <c r="V1595" i="2" s="1"/>
  <c r="V1596" i="2" a="1"/>
  <c r="V1596" i="2" s="1"/>
  <c r="V1597" i="2" a="1"/>
  <c r="V1597" i="2" s="1"/>
  <c r="V1598" i="2" a="1"/>
  <c r="V1598" i="2" s="1"/>
  <c r="V1599" i="2" a="1"/>
  <c r="V1599" i="2" s="1"/>
  <c r="V1569" i="2" a="1"/>
  <c r="V1569" i="2" s="1"/>
  <c r="V1570" i="2" a="1"/>
  <c r="V1570" i="2" s="1"/>
  <c r="V1571" i="2" a="1"/>
  <c r="V1571" i="2" s="1"/>
  <c r="V1572" i="2" a="1"/>
  <c r="V1572" i="2" s="1"/>
  <c r="V1573" i="2" a="1"/>
  <c r="V1573" i="2" s="1"/>
  <c r="V1574" i="2" a="1"/>
  <c r="V1574" i="2" s="1"/>
  <c r="V1575" i="2" a="1"/>
  <c r="V1575" i="2" s="1"/>
  <c r="V1576" i="2" a="1"/>
  <c r="V1576" i="2" s="1"/>
  <c r="V1577" i="2" a="1"/>
  <c r="V1577" i="2" s="1"/>
  <c r="V1578" i="2" a="1"/>
  <c r="V1578" i="2" s="1"/>
  <c r="V1579" i="2" a="1"/>
  <c r="V1579" i="2" s="1"/>
  <c r="V1580" i="2" a="1"/>
  <c r="V1580" i="2" s="1"/>
  <c r="V1581" i="2" a="1"/>
  <c r="V1581" i="2" s="1"/>
  <c r="V1582" i="2" a="1"/>
  <c r="V1582" i="2" s="1"/>
  <c r="V1583" i="2" a="1"/>
  <c r="V1583" i="2" s="1"/>
  <c r="V1584" i="2" a="1"/>
  <c r="V1584" i="2" s="1"/>
  <c r="V1585" i="2" a="1"/>
  <c r="V1585" i="2" s="1"/>
  <c r="V1614" i="2" a="1"/>
  <c r="V1614" i="2" s="1"/>
  <c r="V1615" i="2" a="1"/>
  <c r="V1615" i="2" s="1"/>
  <c r="V1616" i="2" a="1"/>
  <c r="V1616" i="2" s="1"/>
  <c r="V1617" i="2" a="1"/>
  <c r="V1617" i="2" s="1"/>
  <c r="V1618" i="2" a="1"/>
  <c r="V1618" i="2" s="1"/>
  <c r="V1619" i="2" a="1"/>
  <c r="V1619" i="2" s="1"/>
  <c r="V1620" i="2" a="1"/>
  <c r="V1620" i="2" s="1"/>
  <c r="V1621" i="2" a="1"/>
  <c r="V1621" i="2" s="1"/>
  <c r="V1622" i="2" a="1"/>
  <c r="V1622" i="2" s="1"/>
  <c r="V1623" i="2" a="1"/>
  <c r="V1623" i="2" s="1"/>
  <c r="V1624" i="2" a="1"/>
  <c r="V1624" i="2" s="1"/>
  <c r="V1625" i="2" a="1"/>
  <c r="V1625" i="2" s="1"/>
  <c r="V1626" i="2" a="1"/>
  <c r="V1626" i="2" s="1"/>
  <c r="V1627" i="2" a="1"/>
  <c r="V1627" i="2" s="1"/>
  <c r="V1628" i="2" a="1"/>
  <c r="V1628" i="2" s="1"/>
  <c r="V1629" i="2" a="1"/>
  <c r="V1629" i="2" s="1"/>
  <c r="V1630" i="2" a="1"/>
  <c r="V1630" i="2" s="1"/>
  <c r="V1631" i="2" a="1"/>
  <c r="V1631" i="2" s="1"/>
  <c r="V1632" i="2" a="1"/>
  <c r="V1632" i="2" s="1"/>
  <c r="V1633" i="2" a="1"/>
  <c r="V1633" i="2" s="1"/>
  <c r="V1634" i="2" a="1"/>
  <c r="V1634" i="2" s="1"/>
  <c r="V1635" i="2" a="1"/>
  <c r="V1635" i="2" s="1"/>
  <c r="V1636" i="2" a="1"/>
  <c r="V1636" i="2" s="1"/>
  <c r="V1637" i="2" a="1"/>
  <c r="V1637" i="2" s="1"/>
  <c r="V1638" i="2" a="1"/>
  <c r="V1638" i="2" s="1"/>
  <c r="V1639" i="2" a="1"/>
  <c r="V1639" i="2" s="1"/>
  <c r="V1640" i="2" a="1"/>
  <c r="V1640" i="2" s="1"/>
  <c r="V1642" i="2" a="1"/>
  <c r="V1642" i="2" s="1"/>
  <c r="V1643" i="2" a="1"/>
  <c r="V1643" i="2" s="1"/>
  <c r="V1644" i="2" a="1"/>
  <c r="V1644" i="2" s="1"/>
  <c r="V1645" i="2" a="1"/>
  <c r="V1645" i="2" s="1"/>
  <c r="V1646" i="2" a="1"/>
  <c r="V1646" i="2" s="1"/>
  <c r="V1647" i="2" a="1"/>
  <c r="V1647" i="2" s="1"/>
  <c r="V1648" i="2" a="1"/>
  <c r="V1648" i="2" s="1"/>
  <c r="V1649" i="2" a="1"/>
  <c r="V1649" i="2" s="1"/>
  <c r="V1650" i="2" a="1"/>
  <c r="V1650" i="2" s="1"/>
  <c r="V1651" i="2" a="1"/>
  <c r="V1651" i="2" s="1"/>
  <c r="V1641" i="2" a="1"/>
  <c r="V1641" i="2" s="1"/>
  <c r="V1652" i="2" a="1"/>
  <c r="V1652" i="2" s="1"/>
  <c r="V1653" i="2" a="1"/>
  <c r="V1653" i="2" s="1"/>
  <c r="V1654" i="2" a="1"/>
  <c r="V1654" i="2" s="1"/>
  <c r="V1655" i="2" a="1"/>
  <c r="V1655" i="2" s="1"/>
  <c r="V1656" i="2" a="1"/>
  <c r="V1656" i="2" s="1"/>
  <c r="V1657" i="2" a="1"/>
  <c r="V1657" i="2" s="1"/>
  <c r="V1658" i="2" a="1"/>
  <c r="V1658" i="2" s="1"/>
  <c r="V1659" i="2" a="1"/>
  <c r="V1659" i="2" s="1"/>
  <c r="V1660" i="2" a="1"/>
  <c r="V1660" i="2" s="1"/>
  <c r="V1661" i="2" a="1"/>
  <c r="V1661" i="2" s="1"/>
  <c r="V1662" i="2" a="1"/>
  <c r="V1662" i="2" s="1"/>
  <c r="V1663" i="2" a="1"/>
  <c r="V1663" i="2" s="1"/>
  <c r="V1664" i="2" a="1"/>
  <c r="V1664" i="2" s="1"/>
  <c r="V1665" i="2" a="1"/>
  <c r="V1665" i="2" s="1"/>
  <c r="V1666" i="2" a="1"/>
  <c r="V1666" i="2" s="1"/>
  <c r="V1667" i="2" a="1"/>
  <c r="V1667" i="2" s="1"/>
  <c r="V1668" i="2" a="1"/>
  <c r="V1668" i="2" s="1"/>
  <c r="V1669" i="2" a="1"/>
  <c r="V1669" i="2" s="1"/>
  <c r="V1670" i="2" a="1"/>
  <c r="V1670" i="2" s="1"/>
  <c r="V1671" i="2" a="1"/>
  <c r="V1671" i="2" s="1"/>
  <c r="V1672" i="2" a="1"/>
  <c r="V1672" i="2" s="1"/>
  <c r="V1673" i="2" a="1"/>
  <c r="V1673" i="2" s="1"/>
  <c r="V1674" i="2" a="1"/>
  <c r="V1674" i="2" s="1"/>
  <c r="V1675" i="2" a="1"/>
  <c r="V1675" i="2" s="1"/>
  <c r="V1676" i="2" a="1"/>
  <c r="V1676" i="2" s="1"/>
  <c r="V1677" i="2" a="1"/>
  <c r="V1677" i="2" s="1"/>
  <c r="V1678" i="2" a="1"/>
  <c r="V1678" i="2" s="1"/>
  <c r="V1679" i="2" a="1"/>
  <c r="V1679" i="2" s="1"/>
  <c r="V1680" i="2" a="1"/>
  <c r="V1680" i="2" s="1"/>
  <c r="V1681" i="2" a="1"/>
  <c r="V1681" i="2" s="1"/>
  <c r="V1682" i="2" a="1"/>
  <c r="V1682" i="2" s="1"/>
  <c r="V1683" i="2" a="1"/>
  <c r="V1683" i="2" s="1"/>
  <c r="V1684" i="2" a="1"/>
  <c r="V1684" i="2" s="1"/>
  <c r="V1685" i="2" a="1"/>
  <c r="V1685" i="2" s="1"/>
  <c r="V1686" i="2" a="1"/>
  <c r="V1686" i="2" s="1"/>
  <c r="V1687" i="2" a="1"/>
  <c r="V1687" i="2" s="1"/>
  <c r="V1688" i="2" a="1"/>
  <c r="V1688" i="2" s="1"/>
  <c r="V1689" i="2" a="1"/>
  <c r="V1689" i="2" s="1"/>
  <c r="V1690" i="2" a="1"/>
  <c r="V1690" i="2" s="1"/>
  <c r="V1691" i="2" a="1"/>
  <c r="V1691" i="2" s="1"/>
  <c r="V1692" i="2" a="1"/>
  <c r="V1692" i="2" s="1"/>
  <c r="V1693" i="2" a="1"/>
  <c r="V1693" i="2" s="1"/>
  <c r="V1694" i="2" a="1"/>
  <c r="V1694" i="2" s="1"/>
  <c r="V1695" i="2" a="1"/>
  <c r="V1695" i="2" s="1"/>
  <c r="V1696" i="2" a="1"/>
  <c r="V1696" i="2" s="1"/>
  <c r="V1697" i="2" a="1"/>
  <c r="V1697" i="2" s="1"/>
  <c r="V1698" i="2" a="1"/>
  <c r="V1698" i="2" s="1"/>
  <c r="V1699" i="2" a="1"/>
  <c r="V1699" i="2" s="1"/>
  <c r="V1700" i="2" a="1"/>
  <c r="V1700" i="2" s="1"/>
  <c r="V1701" i="2" a="1"/>
  <c r="V1701" i="2" s="1"/>
  <c r="V1702" i="2" a="1"/>
  <c r="V1702" i="2" s="1"/>
  <c r="V1703" i="2" a="1"/>
  <c r="V1703" i="2" s="1"/>
  <c r="V1704" i="2" a="1"/>
  <c r="V1704" i="2" s="1"/>
  <c r="V1705" i="2" a="1"/>
  <c r="V1705" i="2" s="1"/>
  <c r="V1706" i="2" a="1"/>
  <c r="V1706" i="2" s="1"/>
  <c r="V1707" i="2" a="1"/>
  <c r="V1707" i="2" s="1"/>
  <c r="V1708" i="2" a="1"/>
  <c r="V1708" i="2" s="1"/>
  <c r="V1709" i="2" a="1"/>
  <c r="V1709" i="2" s="1"/>
  <c r="V1741" i="2" a="1"/>
  <c r="V1741" i="2" s="1"/>
  <c r="V1742" i="2" a="1"/>
  <c r="V1742" i="2" s="1"/>
  <c r="V1743" i="2" a="1"/>
  <c r="V1743" i="2" s="1"/>
  <c r="V1744" i="2" a="1"/>
  <c r="V1744" i="2" s="1"/>
  <c r="V1745" i="2" a="1"/>
  <c r="V1745" i="2" s="1"/>
  <c r="V1746" i="2" a="1"/>
  <c r="V1746" i="2" s="1"/>
  <c r="V1747" i="2" a="1"/>
  <c r="V1747" i="2" s="1"/>
  <c r="V1748" i="2" a="1"/>
  <c r="V1748" i="2" s="1"/>
  <c r="V1749" i="2" a="1"/>
  <c r="V1749" i="2" s="1"/>
  <c r="V1750" i="2" a="1"/>
  <c r="V1750" i="2" s="1"/>
  <c r="V1751" i="2" a="1"/>
  <c r="V1751" i="2" s="1"/>
  <c r="V1752" i="2" a="1"/>
  <c r="V1752" i="2" s="1"/>
  <c r="V1753" i="2" a="1"/>
  <c r="V1753" i="2" s="1"/>
  <c r="V1754" i="2" a="1"/>
  <c r="V1754" i="2" s="1"/>
  <c r="V1755" i="2" a="1"/>
  <c r="V1755" i="2" s="1"/>
  <c r="V1756" i="2" a="1"/>
  <c r="V1756" i="2" s="1"/>
  <c r="V1757" i="2" a="1"/>
  <c r="V1757" i="2" s="1"/>
  <c r="V1758" i="2" a="1"/>
  <c r="V1758" i="2" s="1"/>
  <c r="V1759" i="2" a="1"/>
  <c r="V1759" i="2" s="1"/>
  <c r="V1760" i="2" a="1"/>
  <c r="V1760" i="2" s="1"/>
  <c r="V1761" i="2" a="1"/>
  <c r="V1761" i="2" s="1"/>
  <c r="V1762" i="2" a="1"/>
  <c r="V1762" i="2" s="1"/>
  <c r="V1763" i="2" a="1"/>
  <c r="V1763" i="2" s="1"/>
  <c r="V1764" i="2" a="1"/>
  <c r="V1764" i="2" s="1"/>
  <c r="V1765" i="2" a="1"/>
  <c r="V1765" i="2" s="1"/>
  <c r="V1766" i="2" a="1"/>
  <c r="V1766" i="2" s="1"/>
  <c r="V1767" i="2" a="1"/>
  <c r="V1767" i="2" s="1"/>
  <c r="V1768" i="2" a="1"/>
  <c r="V1768" i="2" s="1"/>
  <c r="V1783" i="2" a="1"/>
  <c r="V1783" i="2" s="1"/>
  <c r="V1784" i="2" a="1"/>
  <c r="V1784" i="2" s="1"/>
  <c r="V1785" i="2" a="1"/>
  <c r="V1785" i="2" s="1"/>
  <c r="V1786" i="2" a="1"/>
  <c r="V1786" i="2" s="1"/>
  <c r="V1787" i="2" a="1"/>
  <c r="V1787" i="2" s="1"/>
  <c r="V1788" i="2" a="1"/>
  <c r="V1788" i="2" s="1"/>
  <c r="V1789" i="2" a="1"/>
  <c r="V1789" i="2" s="1"/>
  <c r="V1790" i="2" a="1"/>
  <c r="V1790" i="2" s="1"/>
  <c r="V1791" i="2" a="1"/>
  <c r="V1791" i="2" s="1"/>
  <c r="V1792" i="2" a="1"/>
  <c r="V1792" i="2" s="1"/>
  <c r="V1793" i="2" a="1"/>
  <c r="V1793" i="2" s="1"/>
  <c r="V1794" i="2" a="1"/>
  <c r="V1794" i="2" s="1"/>
  <c r="V1795" i="2" a="1"/>
  <c r="V1795" i="2" s="1"/>
  <c r="V1796" i="2" a="1"/>
  <c r="V1796" i="2" s="1"/>
  <c r="V1797" i="2" a="1"/>
  <c r="V1797" i="2" s="1"/>
  <c r="V1798" i="2" a="1"/>
  <c r="V1798" i="2" s="1"/>
  <c r="V1799" i="2" a="1"/>
  <c r="V1799" i="2" s="1"/>
  <c r="V1724" i="2" a="1"/>
  <c r="V1724" i="2" s="1"/>
  <c r="V1725" i="2" a="1"/>
  <c r="V1725" i="2" s="1"/>
  <c r="V1726" i="2" a="1"/>
  <c r="V1726" i="2" s="1"/>
  <c r="V1727" i="2" a="1"/>
  <c r="V1727" i="2" s="1"/>
  <c r="V1728" i="2" a="1"/>
  <c r="V1728" i="2" s="1"/>
  <c r="V1729" i="2" a="1"/>
  <c r="V1729" i="2" s="1"/>
  <c r="V1730" i="2" a="1"/>
  <c r="V1730" i="2" s="1"/>
  <c r="V1731" i="2" a="1"/>
  <c r="V1731" i="2" s="1"/>
  <c r="V1732" i="2" a="1"/>
  <c r="V1732" i="2" s="1"/>
  <c r="V1733" i="2" a="1"/>
  <c r="V1733" i="2" s="1"/>
  <c r="V1734" i="2" a="1"/>
  <c r="V1734" i="2" s="1"/>
  <c r="V1735" i="2" a="1"/>
  <c r="V1735" i="2" s="1"/>
  <c r="V1736" i="2" a="1"/>
  <c r="V1736" i="2" s="1"/>
  <c r="V1737" i="2" a="1"/>
  <c r="V1737" i="2" s="1"/>
  <c r="V1738" i="2" a="1"/>
  <c r="V1738" i="2" s="1"/>
  <c r="V1739" i="2" a="1"/>
  <c r="V1739" i="2" s="1"/>
  <c r="V1740" i="2" a="1"/>
  <c r="V1740" i="2" s="1"/>
  <c r="V1710" i="2" a="1"/>
  <c r="V1710" i="2" s="1"/>
  <c r="V1711" i="2" a="1"/>
  <c r="V1711" i="2" s="1"/>
  <c r="V1712" i="2" a="1"/>
  <c r="V1712" i="2" s="1"/>
  <c r="V1713" i="2" a="1"/>
  <c r="V1713" i="2" s="1"/>
  <c r="V1714" i="2" a="1"/>
  <c r="V1714" i="2" s="1"/>
  <c r="V1715" i="2" a="1"/>
  <c r="V1715" i="2" s="1"/>
  <c r="V1716" i="2" a="1"/>
  <c r="V1716" i="2" s="1"/>
  <c r="V1717" i="2" a="1"/>
  <c r="V1717" i="2" s="1"/>
  <c r="V1718" i="2" a="1"/>
  <c r="V1718" i="2" s="1"/>
  <c r="V1719" i="2" a="1"/>
  <c r="V1719" i="2" s="1"/>
  <c r="V1720" i="2" a="1"/>
  <c r="V1720" i="2" s="1"/>
  <c r="V1721" i="2" a="1"/>
  <c r="V1721" i="2" s="1"/>
  <c r="V1722" i="2" a="1"/>
  <c r="V1722" i="2" s="1"/>
  <c r="V1723" i="2" a="1"/>
  <c r="V1723" i="2" s="1"/>
  <c r="V1769" i="2" a="1"/>
  <c r="V1769" i="2" s="1"/>
  <c r="V1770" i="2" a="1"/>
  <c r="V1770" i="2" s="1"/>
  <c r="V1771" i="2" a="1"/>
  <c r="V1771" i="2" s="1"/>
  <c r="V1772" i="2" a="1"/>
  <c r="V1772" i="2" s="1"/>
  <c r="V1773" i="2" a="1"/>
  <c r="V1773" i="2" s="1"/>
  <c r="V1774" i="2" a="1"/>
  <c r="V1774" i="2" s="1"/>
  <c r="V1775" i="2" a="1"/>
  <c r="V1775" i="2" s="1"/>
  <c r="V1776" i="2" a="1"/>
  <c r="V1776" i="2" s="1"/>
  <c r="V1777" i="2" a="1"/>
  <c r="V1777" i="2" s="1"/>
  <c r="V1778" i="2" a="1"/>
  <c r="V1778" i="2" s="1"/>
  <c r="V1779" i="2" a="1"/>
  <c r="V1779" i="2" s="1"/>
  <c r="V1780" i="2" a="1"/>
  <c r="V1780" i="2" s="1"/>
  <c r="V1781" i="2" a="1"/>
  <c r="V1781" i="2" s="1"/>
  <c r="V1782" i="2" a="1"/>
  <c r="V1782" i="2" s="1"/>
  <c r="V1800" i="2" a="1"/>
  <c r="V1800" i="2" s="1"/>
  <c r="V1801" i="2" a="1"/>
  <c r="V1801" i="2" s="1"/>
  <c r="V1802" i="2" a="1"/>
  <c r="V1802" i="2" s="1"/>
  <c r="V1803" i="2" a="1"/>
  <c r="V1803" i="2" s="1"/>
  <c r="V1804" i="2" a="1"/>
  <c r="V1804" i="2" s="1"/>
  <c r="V1805" i="2" a="1"/>
  <c r="V1805" i="2" s="1"/>
  <c r="V1806" i="2" a="1"/>
  <c r="V1806" i="2" s="1"/>
  <c r="V1807" i="2" a="1"/>
  <c r="V1807" i="2" s="1"/>
  <c r="V1808" i="2" a="1"/>
  <c r="V1808" i="2" s="1"/>
  <c r="V1809" i="2" a="1"/>
  <c r="V1809" i="2" s="1"/>
  <c r="V1810" i="2" a="1"/>
  <c r="V1810" i="2" s="1"/>
  <c r="V1811" i="2" a="1"/>
  <c r="V1811" i="2" s="1"/>
  <c r="V1813" i="2" a="1"/>
  <c r="V1813" i="2" s="1"/>
  <c r="V1814" i="2" a="1"/>
  <c r="V1814" i="2" s="1"/>
  <c r="V1815" i="2" a="1"/>
  <c r="V1815" i="2" s="1"/>
  <c r="V1816" i="2" a="1"/>
  <c r="V1816" i="2" s="1"/>
  <c r="V1817" i="2" a="1"/>
  <c r="V1817" i="2" s="1"/>
  <c r="V1818" i="2" a="1"/>
  <c r="V1818" i="2" s="1"/>
  <c r="V1819" i="2" a="1"/>
  <c r="V1819" i="2" s="1"/>
  <c r="V1820" i="2" a="1"/>
  <c r="V1820" i="2" s="1"/>
  <c r="V1821" i="2" a="1"/>
  <c r="V1821" i="2" s="1"/>
  <c r="V1822" i="2" a="1"/>
  <c r="V1822" i="2" s="1"/>
  <c r="V1812" i="2" a="1"/>
  <c r="V1812" i="2" s="1"/>
  <c r="V1823" i="2" a="1"/>
  <c r="V1823" i="2" s="1"/>
  <c r="V1824" i="2" a="1"/>
  <c r="V1824" i="2" s="1"/>
  <c r="V1825" i="2" a="1"/>
  <c r="V1825" i="2" s="1"/>
  <c r="V1826" i="2" a="1"/>
  <c r="V1826" i="2" s="1"/>
  <c r="V1827" i="2" a="1"/>
  <c r="V1827" i="2" s="1"/>
  <c r="V1828" i="2" a="1"/>
  <c r="V1828" i="2" s="1"/>
  <c r="V1829" i="2" a="1"/>
  <c r="V1829" i="2" s="1"/>
  <c r="V1830" i="2" a="1"/>
  <c r="V1830" i="2" s="1"/>
  <c r="V1831" i="2" a="1"/>
  <c r="V1831" i="2" s="1"/>
  <c r="V1832" i="2" a="1"/>
  <c r="V1832" i="2" s="1"/>
  <c r="V1833" i="2" a="1"/>
  <c r="V1833" i="2" s="1"/>
  <c r="V1834" i="2" a="1"/>
  <c r="V1834" i="2" s="1"/>
  <c r="V1835" i="2" a="1"/>
  <c r="V1835" i="2" s="1"/>
  <c r="V1836" i="2" a="1"/>
  <c r="V1836" i="2" s="1"/>
  <c r="V1837" i="2" a="1"/>
  <c r="V1837" i="2" s="1"/>
  <c r="V1838" i="2" a="1"/>
  <c r="V1838" i="2" s="1"/>
  <c r="V1839" i="2" a="1"/>
  <c r="V1839" i="2" s="1"/>
  <c r="V1840" i="2" a="1"/>
  <c r="V1840" i="2" s="1"/>
  <c r="V1841" i="2" a="1"/>
  <c r="V1841" i="2" s="1"/>
  <c r="V1842" i="2" a="1"/>
  <c r="V1842" i="2" s="1"/>
  <c r="V1843" i="2" a="1"/>
  <c r="V1843" i="2" s="1"/>
  <c r="V1844" i="2" a="1"/>
  <c r="V1844" i="2" s="1"/>
  <c r="V1845" i="2" a="1"/>
  <c r="V1845" i="2" s="1"/>
  <c r="V1846" i="2" a="1"/>
  <c r="V1846" i="2" s="1"/>
  <c r="V1847" i="2" a="1"/>
  <c r="V1847" i="2" s="1"/>
  <c r="V1848" i="2" a="1"/>
  <c r="V1848" i="2" s="1"/>
  <c r="V1849" i="2" a="1"/>
  <c r="V1849" i="2" s="1"/>
  <c r="V1850" i="2" a="1"/>
  <c r="V1850" i="2" s="1"/>
  <c r="V1851" i="2" a="1"/>
  <c r="V1851" i="2" s="1"/>
  <c r="V1852" i="2" a="1"/>
  <c r="V1852" i="2" s="1"/>
  <c r="V1853" i="2" a="1"/>
  <c r="V1853" i="2" s="1"/>
  <c r="V1854" i="2" a="1"/>
  <c r="V1854" i="2" s="1"/>
  <c r="V1855" i="2" a="1"/>
  <c r="V1855" i="2" s="1"/>
  <c r="V1856" i="2" a="1"/>
  <c r="V1856" i="2" s="1"/>
  <c r="V1857" i="2" a="1"/>
  <c r="V1857" i="2" s="1"/>
  <c r="V1858" i="2" a="1"/>
  <c r="V1858" i="2" s="1"/>
  <c r="V1859" i="2" a="1"/>
  <c r="V1859" i="2" s="1"/>
  <c r="V1860" i="2" a="1"/>
  <c r="V1860" i="2" s="1"/>
  <c r="V1861" i="2" a="1"/>
  <c r="V1861" i="2" s="1"/>
  <c r="V1862" i="2" a="1"/>
  <c r="V1862" i="2" s="1"/>
  <c r="V1863" i="2" a="1"/>
  <c r="V1863" i="2" s="1"/>
  <c r="V1864" i="2" a="1"/>
  <c r="V1864" i="2" s="1"/>
  <c r="V1865" i="2" a="1"/>
  <c r="V1865" i="2" s="1"/>
  <c r="V1866" i="2" a="1"/>
  <c r="V1866" i="2" s="1"/>
  <c r="V1867" i="2" a="1"/>
  <c r="V1867" i="2" s="1"/>
  <c r="V1868" i="2" a="1"/>
  <c r="V1868" i="2" s="1"/>
  <c r="V1869" i="2" a="1"/>
  <c r="V1869" i="2" s="1"/>
  <c r="V1870" i="2" a="1"/>
  <c r="V1870" i="2" s="1"/>
  <c r="V1871" i="2" a="1"/>
  <c r="V1871" i="2" s="1"/>
  <c r="V1872" i="2" a="1"/>
  <c r="V1872" i="2" s="1"/>
  <c r="V1873" i="2" a="1"/>
  <c r="V1873" i="2" s="1"/>
  <c r="V1874" i="2" a="1"/>
  <c r="V1874" i="2" s="1"/>
  <c r="V1875" i="2" a="1"/>
  <c r="V1875" i="2" s="1"/>
  <c r="V1876" i="2" a="1"/>
  <c r="V1876" i="2" s="1"/>
  <c r="V1877" i="2" a="1"/>
  <c r="V1877" i="2" s="1"/>
  <c r="V1878" i="2" a="1"/>
  <c r="V1878" i="2" s="1"/>
  <c r="V1879" i="2" a="1"/>
  <c r="V1879" i="2" s="1"/>
  <c r="V1880" i="2" a="1"/>
  <c r="V1880" i="2" s="1"/>
  <c r="V1912" i="2" a="1"/>
  <c r="V1912" i="2" s="1"/>
  <c r="V1913" i="2" a="1"/>
  <c r="V1913" i="2" s="1"/>
  <c r="V1914" i="2" a="1"/>
  <c r="V1914" i="2" s="1"/>
  <c r="V1915" i="2" a="1"/>
  <c r="V1915" i="2" s="1"/>
  <c r="V1916" i="2" a="1"/>
  <c r="V1916" i="2" s="1"/>
  <c r="V1917" i="2" a="1"/>
  <c r="V1917" i="2" s="1"/>
  <c r="V1918" i="2" a="1"/>
  <c r="V1918" i="2" s="1"/>
  <c r="V1919" i="2" a="1"/>
  <c r="V1919" i="2" s="1"/>
  <c r="V1920" i="2" a="1"/>
  <c r="V1920" i="2" s="1"/>
  <c r="V1921" i="2" a="1"/>
  <c r="V1921" i="2" s="1"/>
  <c r="V1922" i="2" a="1"/>
  <c r="V1922" i="2" s="1"/>
  <c r="V1923" i="2" a="1"/>
  <c r="V1923" i="2" s="1"/>
  <c r="V1924" i="2" a="1"/>
  <c r="V1924" i="2" s="1"/>
  <c r="V1925" i="2" a="1"/>
  <c r="V1925" i="2" s="1"/>
  <c r="V1926" i="2" a="1"/>
  <c r="V1926" i="2" s="1"/>
  <c r="V1927" i="2" a="1"/>
  <c r="V1927" i="2" s="1"/>
  <c r="V1928" i="2" a="1"/>
  <c r="V1928" i="2" s="1"/>
  <c r="V1943" i="2" a="1"/>
  <c r="V1943" i="2" s="1"/>
  <c r="V1944" i="2" a="1"/>
  <c r="V1944" i="2" s="1"/>
  <c r="V1945" i="2" a="1"/>
  <c r="V1945" i="2" s="1"/>
  <c r="V1946" i="2" a="1"/>
  <c r="V1946" i="2" s="1"/>
  <c r="V1947" i="2" a="1"/>
  <c r="V1947" i="2" s="1"/>
  <c r="V1948" i="2" a="1"/>
  <c r="V1948" i="2" s="1"/>
  <c r="V1949" i="2" a="1"/>
  <c r="V1949" i="2" s="1"/>
  <c r="V1950" i="2" a="1"/>
  <c r="V1950" i="2" s="1"/>
  <c r="V1951" i="2" a="1"/>
  <c r="V1951" i="2" s="1"/>
  <c r="V1952" i="2" a="1"/>
  <c r="V1952" i="2" s="1"/>
  <c r="V1953" i="2" a="1"/>
  <c r="V1953" i="2" s="1"/>
  <c r="V1954" i="2" a="1"/>
  <c r="V1954" i="2" s="1"/>
  <c r="V1955" i="2" a="1"/>
  <c r="V1955" i="2" s="1"/>
  <c r="V1956" i="2" a="1"/>
  <c r="V1956" i="2" s="1"/>
  <c r="V1974" i="2" a="1"/>
  <c r="V1974" i="2" s="1"/>
  <c r="V1975" i="2" a="1"/>
  <c r="V1975" i="2" s="1"/>
  <c r="V1976" i="2" a="1"/>
  <c r="V1976" i="2" s="1"/>
  <c r="V1977" i="2" a="1"/>
  <c r="V1977" i="2" s="1"/>
  <c r="V1978" i="2" a="1"/>
  <c r="V1978" i="2" s="1"/>
  <c r="V1979" i="2" a="1"/>
  <c r="V1979" i="2" s="1"/>
  <c r="V1980" i="2" a="1"/>
  <c r="V1980" i="2" s="1"/>
  <c r="V1981" i="2" a="1"/>
  <c r="V1981" i="2" s="1"/>
  <c r="V1982" i="2" a="1"/>
  <c r="V1982" i="2" s="1"/>
  <c r="V1983" i="2" a="1"/>
  <c r="V1983" i="2" s="1"/>
  <c r="V1984" i="2" a="1"/>
  <c r="V1984" i="2" s="1"/>
  <c r="V1985" i="2" a="1"/>
  <c r="V1985" i="2" s="1"/>
  <c r="V1986" i="2" a="1"/>
  <c r="V1986" i="2" s="1"/>
  <c r="V1987" i="2" a="1"/>
  <c r="V1987" i="2" s="1"/>
  <c r="V1881" i="2" a="1"/>
  <c r="V1881" i="2" s="1"/>
  <c r="V1882" i="2" a="1"/>
  <c r="V1882" i="2" s="1"/>
  <c r="V1883" i="2" a="1"/>
  <c r="V1883" i="2" s="1"/>
  <c r="V1884" i="2" a="1"/>
  <c r="V1884" i="2" s="1"/>
  <c r="V1885" i="2" a="1"/>
  <c r="V1885" i="2" s="1"/>
  <c r="V1886" i="2" a="1"/>
  <c r="V1886" i="2" s="1"/>
  <c r="V1887" i="2" a="1"/>
  <c r="V1887" i="2" s="1"/>
  <c r="V1888" i="2" a="1"/>
  <c r="V1888" i="2" s="1"/>
  <c r="V1889" i="2" a="1"/>
  <c r="V1889" i="2" s="1"/>
  <c r="V1890" i="2" a="1"/>
  <c r="V1890" i="2" s="1"/>
  <c r="V1891" i="2" a="1"/>
  <c r="V1891" i="2" s="1"/>
  <c r="V1892" i="2" a="1"/>
  <c r="V1892" i="2" s="1"/>
  <c r="V1893" i="2" a="1"/>
  <c r="V1893" i="2" s="1"/>
  <c r="V1894" i="2" a="1"/>
  <c r="V1894" i="2" s="1"/>
  <c r="V1895" i="2" a="1"/>
  <c r="V1895" i="2" s="1"/>
  <c r="V1896" i="2" a="1"/>
  <c r="V1896" i="2" s="1"/>
  <c r="V1897" i="2" a="1"/>
  <c r="V1897" i="2" s="1"/>
  <c r="V1898" i="2" a="1"/>
  <c r="V1898" i="2" s="1"/>
  <c r="V1899" i="2" a="1"/>
  <c r="V1899" i="2" s="1"/>
  <c r="V1900" i="2" a="1"/>
  <c r="V1900" i="2" s="1"/>
  <c r="V1901" i="2" a="1"/>
  <c r="V1901" i="2" s="1"/>
  <c r="V1902" i="2" a="1"/>
  <c r="V1902" i="2" s="1"/>
  <c r="V1903" i="2" a="1"/>
  <c r="V1903" i="2" s="1"/>
  <c r="V1904" i="2" a="1"/>
  <c r="V1904" i="2" s="1"/>
  <c r="V1905" i="2" a="1"/>
  <c r="V1905" i="2" s="1"/>
  <c r="V1906" i="2" a="1"/>
  <c r="V1906" i="2" s="1"/>
  <c r="V1907" i="2" a="1"/>
  <c r="V1907" i="2" s="1"/>
  <c r="V1908" i="2" a="1"/>
  <c r="V1908" i="2" s="1"/>
  <c r="V1909" i="2" a="1"/>
  <c r="V1909" i="2" s="1"/>
  <c r="V1910" i="2" a="1"/>
  <c r="V1910" i="2" s="1"/>
  <c r="V1911" i="2" a="1"/>
  <c r="V1911" i="2" s="1"/>
  <c r="V1929" i="2" a="1"/>
  <c r="V1929" i="2" s="1"/>
  <c r="V1930" i="2" a="1"/>
  <c r="V1930" i="2" s="1"/>
  <c r="V1931" i="2" a="1"/>
  <c r="V1931" i="2" s="1"/>
  <c r="V1932" i="2" a="1"/>
  <c r="V1932" i="2" s="1"/>
  <c r="V1933" i="2" a="1"/>
  <c r="V1933" i="2" s="1"/>
  <c r="V1934" i="2" a="1"/>
  <c r="V1934" i="2" s="1"/>
  <c r="V1935" i="2" a="1"/>
  <c r="V1935" i="2" s="1"/>
  <c r="V1936" i="2" a="1"/>
  <c r="V1936" i="2" s="1"/>
  <c r="V1937" i="2" a="1"/>
  <c r="V1937" i="2" s="1"/>
  <c r="V1938" i="2" a="1"/>
  <c r="V1938" i="2" s="1"/>
  <c r="V1939" i="2" a="1"/>
  <c r="V1939" i="2" s="1"/>
  <c r="V1940" i="2" a="1"/>
  <c r="V1940" i="2" s="1"/>
  <c r="V1941" i="2" a="1"/>
  <c r="V1941" i="2" s="1"/>
  <c r="V1942" i="2" a="1"/>
  <c r="V1942" i="2" s="1"/>
  <c r="V1957" i="2" a="1"/>
  <c r="V1957" i="2" s="1"/>
  <c r="V1958" i="2" a="1"/>
  <c r="V1958" i="2" s="1"/>
  <c r="V1959" i="2" a="1"/>
  <c r="V1959" i="2" s="1"/>
  <c r="V1960" i="2" a="1"/>
  <c r="V1960" i="2" s="1"/>
  <c r="V1961" i="2" a="1"/>
  <c r="V1961" i="2" s="1"/>
  <c r="V1962" i="2" a="1"/>
  <c r="V1962" i="2" s="1"/>
  <c r="V1963" i="2" a="1"/>
  <c r="V1963" i="2" s="1"/>
  <c r="V1964" i="2" a="1"/>
  <c r="V1964" i="2" s="1"/>
  <c r="V1965" i="2" a="1"/>
  <c r="V1965" i="2" s="1"/>
  <c r="V1966" i="2" a="1"/>
  <c r="V1966" i="2" s="1"/>
  <c r="V1967" i="2" a="1"/>
  <c r="V1967" i="2" s="1"/>
  <c r="V1968" i="2" a="1"/>
  <c r="V1968" i="2" s="1"/>
  <c r="V1969" i="2" a="1"/>
  <c r="V1969" i="2" s="1"/>
  <c r="V1970" i="2" a="1"/>
  <c r="V1970" i="2" s="1"/>
  <c r="V1971" i="2" a="1"/>
  <c r="V1971" i="2" s="1"/>
  <c r="V1972" i="2" a="1"/>
  <c r="V1972" i="2" s="1"/>
  <c r="V1973" i="2" a="1"/>
  <c r="V1973" i="2" s="1"/>
  <c r="V1988" i="2" a="1"/>
  <c r="V1988" i="2" s="1"/>
  <c r="V1989" i="2" a="1"/>
  <c r="V1989" i="2" s="1"/>
  <c r="V1990" i="2" a="1"/>
  <c r="V1990" i="2" s="1"/>
  <c r="V1991" i="2" a="1"/>
  <c r="V1991" i="2" s="1"/>
  <c r="V1992" i="2" a="1"/>
  <c r="V1992" i="2" s="1"/>
  <c r="V1993" i="2" a="1"/>
  <c r="V1993" i="2" s="1"/>
  <c r="V1994" i="2" a="1"/>
  <c r="V1994" i="2" s="1"/>
  <c r="V1995" i="2" a="1"/>
  <c r="V1995" i="2" s="1"/>
  <c r="V1996" i="2" a="1"/>
  <c r="V1996" i="2" s="1"/>
  <c r="V1997" i="2" a="1"/>
  <c r="V1997" i="2" s="1"/>
  <c r="V1998" i="2" a="1"/>
  <c r="V1998" i="2" s="1"/>
  <c r="V1999" i="2" a="1"/>
  <c r="V1999" i="2" s="1"/>
  <c r="V2001" i="2" a="1"/>
  <c r="V2001" i="2" s="1"/>
  <c r="V2002" i="2" a="1"/>
  <c r="V2002" i="2" s="1"/>
  <c r="V2003" i="2" a="1"/>
  <c r="V2003" i="2" s="1"/>
  <c r="V2004" i="2" a="1"/>
  <c r="V2004" i="2" s="1"/>
  <c r="V2005" i="2" a="1"/>
  <c r="V2005" i="2" s="1"/>
  <c r="V2006" i="2" a="1"/>
  <c r="V2006" i="2" s="1"/>
  <c r="V2007" i="2" a="1"/>
  <c r="V2007" i="2" s="1"/>
  <c r="V2008" i="2" a="1"/>
  <c r="V2008" i="2" s="1"/>
  <c r="V2009" i="2" a="1"/>
  <c r="V2009" i="2" s="1"/>
  <c r="V2010" i="2" a="1"/>
  <c r="V2010" i="2" s="1"/>
  <c r="V2000" i="2" a="1"/>
  <c r="V2000" i="2" s="1"/>
  <c r="V2011" i="2" a="1"/>
  <c r="V2011" i="2" s="1"/>
  <c r="V2012" i="2" a="1"/>
  <c r="V2012" i="2" s="1"/>
  <c r="V2013" i="2" a="1"/>
  <c r="V2013" i="2" s="1"/>
  <c r="V2014" i="2" a="1"/>
  <c r="V2014" i="2" s="1"/>
  <c r="V2015" i="2" a="1"/>
  <c r="V2015" i="2" s="1"/>
  <c r="V2016" i="2" a="1"/>
  <c r="V2016" i="2" s="1"/>
  <c r="V2017" i="2" a="1"/>
  <c r="V2017" i="2" s="1"/>
  <c r="V2018" i="2" a="1"/>
  <c r="V2018" i="2" s="1"/>
  <c r="V2019" i="2" a="1"/>
  <c r="V2019" i="2" s="1"/>
  <c r="V2020" i="2" a="1"/>
  <c r="V2020" i="2" s="1"/>
  <c r="V2021" i="2" a="1"/>
  <c r="V2021" i="2" s="1"/>
  <c r="V2022" i="2" a="1"/>
  <c r="V2022" i="2" s="1"/>
  <c r="V2023" i="2" a="1"/>
  <c r="V2023" i="2" s="1"/>
  <c r="V2024" i="2" a="1"/>
  <c r="V2024" i="2" s="1"/>
  <c r="V2025" i="2" a="1"/>
  <c r="V2025" i="2" s="1"/>
  <c r="V2026" i="2" a="1"/>
  <c r="V2026" i="2" s="1"/>
  <c r="V2027" i="2" a="1"/>
  <c r="V2027" i="2" s="1"/>
  <c r="V2028" i="2" a="1"/>
  <c r="V2028" i="2" s="1"/>
  <c r="V2029" i="2" a="1"/>
  <c r="V2029" i="2" s="1"/>
  <c r="V2030" i="2" a="1"/>
  <c r="V2030" i="2" s="1"/>
  <c r="V2031" i="2" a="1"/>
  <c r="V2031" i="2" s="1"/>
  <c r="V2032" i="2" a="1"/>
  <c r="V2032" i="2" s="1"/>
  <c r="V2033" i="2" a="1"/>
  <c r="V2033" i="2" s="1"/>
  <c r="V2034" i="2" a="1"/>
  <c r="V2034" i="2" s="1"/>
  <c r="V2035" i="2" a="1"/>
  <c r="V2035" i="2" s="1"/>
  <c r="V2036" i="2" a="1"/>
  <c r="V2036" i="2" s="1"/>
  <c r="V2037" i="2" a="1"/>
  <c r="V2037" i="2" s="1"/>
  <c r="V2038" i="2" a="1"/>
  <c r="V2038" i="2" s="1"/>
  <c r="V2039" i="2" a="1"/>
  <c r="V2039" i="2" s="1"/>
  <c r="V2040" i="2" a="1"/>
  <c r="V2040" i="2" s="1"/>
  <c r="V2041" i="2" a="1"/>
  <c r="V2041" i="2" s="1"/>
  <c r="V2042" i="2" a="1"/>
  <c r="V2042" i="2" s="1"/>
  <c r="V2043" i="2" a="1"/>
  <c r="V2043" i="2" s="1"/>
  <c r="V2044" i="2" a="1"/>
  <c r="V2044" i="2" s="1"/>
  <c r="V2045" i="2" a="1"/>
  <c r="V2045" i="2" s="1"/>
  <c r="V2046" i="2" a="1"/>
  <c r="V2046" i="2" s="1"/>
  <c r="V2047" i="2" a="1"/>
  <c r="V2047" i="2" s="1"/>
  <c r="V2048" i="2" a="1"/>
  <c r="V2048" i="2" s="1"/>
  <c r="V2049" i="2" a="1"/>
  <c r="V2049" i="2" s="1"/>
  <c r="V2050" i="2" a="1"/>
  <c r="V2050" i="2" s="1"/>
  <c r="V2051" i="2" a="1"/>
  <c r="V2051" i="2" s="1"/>
  <c r="V2052" i="2" a="1"/>
  <c r="V2052" i="2" s="1"/>
  <c r="V2053" i="2" a="1"/>
  <c r="V2053" i="2" s="1"/>
  <c r="V2054" i="2" a="1"/>
  <c r="V2054" i="2" s="1"/>
  <c r="V2055" i="2" a="1"/>
  <c r="V2055" i="2" s="1"/>
  <c r="V2056" i="2" a="1"/>
  <c r="V2056" i="2" s="1"/>
  <c r="V2057" i="2" a="1"/>
  <c r="V2057" i="2" s="1"/>
  <c r="V2058" i="2" a="1"/>
  <c r="V2058" i="2" s="1"/>
  <c r="V2059" i="2" a="1"/>
  <c r="V2059" i="2" s="1"/>
  <c r="V2060" i="2" a="1"/>
  <c r="V2060" i="2" s="1"/>
  <c r="V2061" i="2" a="1"/>
  <c r="V2061" i="2" s="1"/>
  <c r="V2062" i="2" a="1"/>
  <c r="V2062" i="2" s="1"/>
  <c r="V2063" i="2" a="1"/>
  <c r="V2063" i="2" s="1"/>
  <c r="V2064" i="2" a="1"/>
  <c r="V2064" i="2" s="1"/>
  <c r="V2065" i="2" a="1"/>
  <c r="V2065" i="2" s="1"/>
  <c r="V2066" i="2" a="1"/>
  <c r="V2066" i="2" s="1"/>
  <c r="V2067" i="2" a="1"/>
  <c r="V2067" i="2" s="1"/>
  <c r="V2068" i="2" a="1"/>
  <c r="V2068" i="2" s="1"/>
  <c r="V2069" i="2" a="1"/>
  <c r="V2069" i="2" s="1"/>
  <c r="V2070" i="2" a="1"/>
  <c r="V2070" i="2" s="1"/>
  <c r="V2071" i="2" a="1"/>
  <c r="V2071" i="2" s="1"/>
  <c r="V2103" i="2" a="1"/>
  <c r="V2103" i="2" s="1"/>
  <c r="V2104" i="2" a="1"/>
  <c r="V2104" i="2" s="1"/>
  <c r="V2105" i="2" a="1"/>
  <c r="V2105" i="2" s="1"/>
  <c r="V2106" i="2" a="1"/>
  <c r="V2106" i="2" s="1"/>
  <c r="V2107" i="2" a="1"/>
  <c r="V2107" i="2" s="1"/>
  <c r="V2108" i="2" a="1"/>
  <c r="V2108" i="2" s="1"/>
  <c r="V2109" i="2" a="1"/>
  <c r="V2109" i="2" s="1"/>
  <c r="V2110" i="2" a="1"/>
  <c r="V2110" i="2" s="1"/>
  <c r="V2111" i="2" a="1"/>
  <c r="V2111" i="2" s="1"/>
  <c r="V2112" i="2" a="1"/>
  <c r="V2112" i="2" s="1"/>
  <c r="V2113" i="2" a="1"/>
  <c r="V2113" i="2" s="1"/>
  <c r="V2114" i="2" a="1"/>
  <c r="V2114" i="2" s="1"/>
  <c r="V2115" i="2" a="1"/>
  <c r="V2115" i="2" s="1"/>
  <c r="V2116" i="2" a="1"/>
  <c r="V2116" i="2" s="1"/>
  <c r="V2117" i="2" a="1"/>
  <c r="V2117" i="2" s="1"/>
  <c r="V2118" i="2" a="1"/>
  <c r="V2118" i="2" s="1"/>
  <c r="V2119" i="2" a="1"/>
  <c r="V2119" i="2" s="1"/>
  <c r="V2120" i="2" a="1"/>
  <c r="V2120" i="2" s="1"/>
  <c r="V2121" i="2" a="1"/>
  <c r="V2121" i="2" s="1"/>
  <c r="V2122" i="2" a="1"/>
  <c r="V2122" i="2" s="1"/>
  <c r="V2123" i="2" a="1"/>
  <c r="V2123" i="2" s="1"/>
  <c r="V2124" i="2" a="1"/>
  <c r="V2124" i="2" s="1"/>
  <c r="V2125" i="2" a="1"/>
  <c r="V2125" i="2" s="1"/>
  <c r="V2126" i="2" a="1"/>
  <c r="V2126" i="2" s="1"/>
  <c r="V2127" i="2" a="1"/>
  <c r="V2127" i="2" s="1"/>
  <c r="V2128" i="2" a="1"/>
  <c r="V2128" i="2" s="1"/>
  <c r="V2129" i="2" a="1"/>
  <c r="V2129" i="2" s="1"/>
  <c r="V2130" i="2" a="1"/>
  <c r="V2130" i="2" s="1"/>
  <c r="V2131" i="2" a="1"/>
  <c r="V2131" i="2" s="1"/>
  <c r="V2132" i="2" a="1"/>
  <c r="V2132" i="2" s="1"/>
  <c r="V2133" i="2" a="1"/>
  <c r="V2133" i="2" s="1"/>
  <c r="V2151" i="2" a="1"/>
  <c r="V2151" i="2" s="1"/>
  <c r="V2152" i="2" a="1"/>
  <c r="V2152" i="2" s="1"/>
  <c r="V2153" i="2" a="1"/>
  <c r="V2153" i="2" s="1"/>
  <c r="V2154" i="2" a="1"/>
  <c r="V2154" i="2" s="1"/>
  <c r="V2155" i="2" a="1"/>
  <c r="V2155" i="2" s="1"/>
  <c r="V2156" i="2" a="1"/>
  <c r="V2156" i="2" s="1"/>
  <c r="V2157" i="2" a="1"/>
  <c r="V2157" i="2" s="1"/>
  <c r="V2158" i="2" a="1"/>
  <c r="V2158" i="2" s="1"/>
  <c r="V2159" i="2" a="1"/>
  <c r="V2159" i="2" s="1"/>
  <c r="V2160" i="2" a="1"/>
  <c r="V2160" i="2" s="1"/>
  <c r="V2161" i="2" a="1"/>
  <c r="V2161" i="2" s="1"/>
  <c r="V2162" i="2" a="1"/>
  <c r="V2162" i="2" s="1"/>
  <c r="V2163" i="2" a="1"/>
  <c r="V2163" i="2" s="1"/>
  <c r="V2164" i="2" a="1"/>
  <c r="V2164" i="2" s="1"/>
  <c r="V2086" i="2" a="1"/>
  <c r="V2086" i="2" s="1"/>
  <c r="V2087" i="2" a="1"/>
  <c r="V2087" i="2" s="1"/>
  <c r="V2088" i="2" a="1"/>
  <c r="V2088" i="2" s="1"/>
  <c r="V2089" i="2" a="1"/>
  <c r="V2089" i="2" s="1"/>
  <c r="V2090" i="2" a="1"/>
  <c r="V2090" i="2" s="1"/>
  <c r="V2091" i="2" a="1"/>
  <c r="V2091" i="2" s="1"/>
  <c r="V2092" i="2" a="1"/>
  <c r="V2092" i="2" s="1"/>
  <c r="V2093" i="2" a="1"/>
  <c r="V2093" i="2" s="1"/>
  <c r="V2094" i="2" a="1"/>
  <c r="V2094" i="2" s="1"/>
  <c r="V2095" i="2" a="1"/>
  <c r="V2095" i="2" s="1"/>
  <c r="V2096" i="2" a="1"/>
  <c r="V2096" i="2" s="1"/>
  <c r="V2097" i="2" a="1"/>
  <c r="V2097" i="2" s="1"/>
  <c r="V2098" i="2" a="1"/>
  <c r="V2098" i="2" s="1"/>
  <c r="V2099" i="2" a="1"/>
  <c r="V2099" i="2" s="1"/>
  <c r="V2100" i="2" a="1"/>
  <c r="V2100" i="2" s="1"/>
  <c r="V2101" i="2" a="1"/>
  <c r="V2101" i="2" s="1"/>
  <c r="V2102" i="2" a="1"/>
  <c r="V2102" i="2" s="1"/>
  <c r="V2072" i="2" a="1"/>
  <c r="V2072" i="2" s="1"/>
  <c r="V2073" i="2" a="1"/>
  <c r="V2073" i="2" s="1"/>
  <c r="V2074" i="2" a="1"/>
  <c r="V2074" i="2" s="1"/>
  <c r="V2075" i="2" a="1"/>
  <c r="V2075" i="2" s="1"/>
  <c r="V2076" i="2" a="1"/>
  <c r="V2076" i="2" s="1"/>
  <c r="V2077" i="2" a="1"/>
  <c r="V2077" i="2" s="1"/>
  <c r="V2078" i="2" a="1"/>
  <c r="V2078" i="2" s="1"/>
  <c r="V2079" i="2" a="1"/>
  <c r="V2079" i="2" s="1"/>
  <c r="V2080" i="2" a="1"/>
  <c r="V2080" i="2" s="1"/>
  <c r="V2081" i="2" a="1"/>
  <c r="V2081" i="2" s="1"/>
  <c r="V2082" i="2" a="1"/>
  <c r="V2082" i="2" s="1"/>
  <c r="V2083" i="2" a="1"/>
  <c r="V2083" i="2" s="1"/>
  <c r="V2084" i="2" a="1"/>
  <c r="V2084" i="2" s="1"/>
  <c r="V2085" i="2" a="1"/>
  <c r="V2085" i="2" s="1"/>
  <c r="V2134" i="2" a="1"/>
  <c r="V2134" i="2" s="1"/>
  <c r="V2135" i="2" a="1"/>
  <c r="V2135" i="2" s="1"/>
  <c r="V2136" i="2" a="1"/>
  <c r="V2136" i="2" s="1"/>
  <c r="V2137" i="2" a="1"/>
  <c r="V2137" i="2" s="1"/>
  <c r="V2138" i="2" a="1"/>
  <c r="V2138" i="2" s="1"/>
  <c r="V2139" i="2" a="1"/>
  <c r="V2139" i="2" s="1"/>
  <c r="V2140" i="2" a="1"/>
  <c r="V2140" i="2" s="1"/>
  <c r="V2141" i="2" a="1"/>
  <c r="V2141" i="2" s="1"/>
  <c r="V2142" i="2" a="1"/>
  <c r="V2142" i="2" s="1"/>
  <c r="V2143" i="2" a="1"/>
  <c r="V2143" i="2" s="1"/>
  <c r="V2144" i="2" a="1"/>
  <c r="V2144" i="2" s="1"/>
  <c r="V2145" i="2" a="1"/>
  <c r="V2145" i="2" s="1"/>
  <c r="V2146" i="2" a="1"/>
  <c r="V2146" i="2" s="1"/>
  <c r="V2147" i="2" a="1"/>
  <c r="V2147" i="2" s="1"/>
  <c r="V2148" i="2" a="1"/>
  <c r="V2148" i="2" s="1"/>
  <c r="V2149" i="2" a="1"/>
  <c r="V2149" i="2" s="1"/>
  <c r="V2150" i="2" a="1"/>
  <c r="V2150" i="2" s="1"/>
  <c r="V2165" i="2" a="1"/>
  <c r="V2165" i="2" s="1"/>
  <c r="V2166" i="2" a="1"/>
  <c r="V2166" i="2" s="1"/>
  <c r="V2167" i="2" a="1"/>
  <c r="V2167" i="2" s="1"/>
  <c r="V2168" i="2" a="1"/>
  <c r="V2168" i="2" s="1"/>
  <c r="V2169" i="2" a="1"/>
  <c r="V2169" i="2" s="1"/>
  <c r="V2170" i="2" a="1"/>
  <c r="V2170" i="2" s="1"/>
  <c r="V2171" i="2" a="1"/>
  <c r="V2171" i="2" s="1"/>
  <c r="V2172" i="2" a="1"/>
  <c r="V2172" i="2" s="1"/>
  <c r="V2173" i="2" a="1"/>
  <c r="V2173" i="2" s="1"/>
  <c r="V2174" i="2" a="1"/>
  <c r="V2174" i="2" s="1"/>
  <c r="V2175" i="2" a="1"/>
  <c r="V2175" i="2" s="1"/>
  <c r="V2176" i="2" a="1"/>
  <c r="V2176" i="2" s="1"/>
  <c r="V2178" i="2" a="1"/>
  <c r="V2178" i="2" s="1"/>
  <c r="V2179" i="2" a="1"/>
  <c r="V2179" i="2" s="1"/>
  <c r="V2180" i="2" a="1"/>
  <c r="V2180" i="2" s="1"/>
  <c r="V2181" i="2" a="1"/>
  <c r="V2181" i="2" s="1"/>
  <c r="V2182" i="2" a="1"/>
  <c r="V2182" i="2" s="1"/>
  <c r="V2183" i="2" a="1"/>
  <c r="V2183" i="2" s="1"/>
  <c r="V2184" i="2" a="1"/>
  <c r="V2184" i="2" s="1"/>
  <c r="V2185" i="2" a="1"/>
  <c r="V2185" i="2" s="1"/>
  <c r="V2186" i="2" a="1"/>
  <c r="V2186" i="2" s="1"/>
  <c r="V2187" i="2" a="1"/>
  <c r="V2187" i="2" s="1"/>
  <c r="V2177" i="2" a="1"/>
  <c r="V2177" i="2" s="1"/>
  <c r="V2188" i="2" a="1"/>
  <c r="V2188" i="2" s="1"/>
  <c r="V2189" i="2" a="1"/>
  <c r="V2189" i="2" s="1"/>
  <c r="V2190" i="2" a="1"/>
  <c r="V2190" i="2" s="1"/>
  <c r="V2191" i="2" a="1"/>
  <c r="V2191" i="2" s="1"/>
  <c r="V2192" i="2" a="1"/>
  <c r="V2192" i="2" s="1"/>
  <c r="V2193" i="2" a="1"/>
  <c r="V2193" i="2" s="1"/>
  <c r="V2194" i="2" a="1"/>
  <c r="V2194" i="2" s="1"/>
  <c r="V2195" i="2" a="1"/>
  <c r="V2195" i="2" s="1"/>
  <c r="V2196" i="2" a="1"/>
  <c r="V2196" i="2" s="1"/>
  <c r="V2197" i="2" a="1"/>
  <c r="V2197" i="2" s="1"/>
  <c r="V2198" i="2" a="1"/>
  <c r="V2198" i="2" s="1"/>
  <c r="V2199" i="2" a="1"/>
  <c r="V2199" i="2" s="1"/>
  <c r="V2200" i="2" a="1"/>
  <c r="V2200" i="2" s="1"/>
  <c r="V2201" i="2" a="1"/>
  <c r="V2201" i="2" s="1"/>
  <c r="V2202" i="2" a="1"/>
  <c r="V2202" i="2" s="1"/>
  <c r="V2203" i="2" a="1"/>
  <c r="V2203" i="2" s="1"/>
  <c r="V2204" i="2" a="1"/>
  <c r="V2204" i="2" s="1"/>
  <c r="V2205" i="2" a="1"/>
  <c r="V2205" i="2" s="1"/>
  <c r="V2206" i="2" a="1"/>
  <c r="V2206" i="2" s="1"/>
  <c r="V2207" i="2" a="1"/>
  <c r="V2207" i="2" s="1"/>
  <c r="V2208" i="2" a="1"/>
  <c r="V2208" i="2" s="1"/>
  <c r="V2209" i="2" a="1"/>
  <c r="V2209" i="2" s="1"/>
  <c r="V2210" i="2" a="1"/>
  <c r="V2210" i="2" s="1"/>
  <c r="V2211" i="2" a="1"/>
  <c r="V2211" i="2" s="1"/>
  <c r="V2212" i="2" a="1"/>
  <c r="V2212" i="2" s="1"/>
  <c r="V2213" i="2" a="1"/>
  <c r="V2213" i="2" s="1"/>
  <c r="V2214" i="2" a="1"/>
  <c r="V2214" i="2" s="1"/>
  <c r="V2215" i="2" a="1"/>
  <c r="V2215" i="2" s="1"/>
  <c r="V2216" i="2" a="1"/>
  <c r="V2216" i="2" s="1"/>
  <c r="V2217" i="2" a="1"/>
  <c r="V2217" i="2" s="1"/>
  <c r="V2218" i="2" a="1"/>
  <c r="V2218" i="2" s="1"/>
  <c r="V2219" i="2" a="1"/>
  <c r="V2219" i="2" s="1"/>
  <c r="V2220" i="2" a="1"/>
  <c r="V2220" i="2" s="1"/>
  <c r="V2221" i="2" a="1"/>
  <c r="V2221" i="2" s="1"/>
  <c r="V2222" i="2" a="1"/>
  <c r="V2222" i="2" s="1"/>
  <c r="V2223" i="2" a="1"/>
  <c r="V2223" i="2" s="1"/>
  <c r="V2224" i="2" a="1"/>
  <c r="V2224" i="2" s="1"/>
  <c r="V2225" i="2" a="1"/>
  <c r="V2225" i="2" s="1"/>
  <c r="V2226" i="2" a="1"/>
  <c r="V2226" i="2" s="1"/>
  <c r="V2227" i="2" a="1"/>
  <c r="V2227" i="2" s="1"/>
  <c r="V2228" i="2" a="1"/>
  <c r="V2228" i="2" s="1"/>
  <c r="V2229" i="2" a="1"/>
  <c r="V2229" i="2" s="1"/>
  <c r="V2230" i="2" a="1"/>
  <c r="V2230" i="2" s="1"/>
  <c r="V2231" i="2" a="1"/>
  <c r="V2231" i="2" s="1"/>
  <c r="V2232" i="2" a="1"/>
  <c r="V2232" i="2" s="1"/>
  <c r="V2233" i="2" a="1"/>
  <c r="V2233" i="2" s="1"/>
  <c r="V2234" i="2" a="1"/>
  <c r="V2234" i="2" s="1"/>
  <c r="V2235" i="2" a="1"/>
  <c r="V2235" i="2" s="1"/>
  <c r="V2236" i="2" a="1"/>
  <c r="V2236" i="2" s="1"/>
  <c r="V2237" i="2" a="1"/>
  <c r="V2237" i="2" s="1"/>
  <c r="V2238" i="2" a="1"/>
  <c r="V2238" i="2" s="1"/>
  <c r="V2239" i="2" a="1"/>
  <c r="V2239" i="2" s="1"/>
  <c r="V2240" i="2" a="1"/>
  <c r="V2240" i="2" s="1"/>
  <c r="V2241" i="2" a="1"/>
  <c r="V2241" i="2" s="1"/>
  <c r="V2242" i="2" a="1"/>
  <c r="V2242" i="2" s="1"/>
  <c r="V2243" i="2" a="1"/>
  <c r="V2243" i="2" s="1"/>
  <c r="V2244" i="2" a="1"/>
  <c r="V2244" i="2" s="1"/>
  <c r="V2245" i="2" a="1"/>
  <c r="V2245" i="2" s="1"/>
  <c r="V2277" i="2" a="1"/>
  <c r="V2277" i="2" s="1"/>
  <c r="V2278" i="2" a="1"/>
  <c r="V2278" i="2" s="1"/>
  <c r="V2279" i="2" a="1"/>
  <c r="V2279" i="2" s="1"/>
  <c r="V2280" i="2" a="1"/>
  <c r="V2280" i="2" s="1"/>
  <c r="V2281" i="2" a="1"/>
  <c r="V2281" i="2" s="1"/>
  <c r="V2282" i="2" a="1"/>
  <c r="V2282" i="2" s="1"/>
  <c r="V2283" i="2" a="1"/>
  <c r="V2283" i="2" s="1"/>
  <c r="V2284" i="2" a="1"/>
  <c r="V2284" i="2" s="1"/>
  <c r="V2285" i="2" a="1"/>
  <c r="V2285" i="2" s="1"/>
  <c r="V2286" i="2" a="1"/>
  <c r="V2286" i="2" s="1"/>
  <c r="V2287" i="2" a="1"/>
  <c r="V2287" i="2" s="1"/>
  <c r="V2288" i="2" a="1"/>
  <c r="V2288" i="2" s="1"/>
  <c r="V2289" i="2" a="1"/>
  <c r="V2289" i="2" s="1"/>
  <c r="V2290" i="2" a="1"/>
  <c r="V2290" i="2" s="1"/>
  <c r="V2291" i="2" a="1"/>
  <c r="V2291" i="2" s="1"/>
  <c r="V2292" i="2" a="1"/>
  <c r="V2292" i="2" s="1"/>
  <c r="V2293" i="2" a="1"/>
  <c r="V2293" i="2" s="1"/>
  <c r="V2311" i="2" a="1"/>
  <c r="V2311" i="2" s="1"/>
  <c r="V2312" i="2" a="1"/>
  <c r="V2312" i="2" s="1"/>
  <c r="V2313" i="2" a="1"/>
  <c r="V2313" i="2" s="1"/>
  <c r="V2314" i="2" a="1"/>
  <c r="V2314" i="2" s="1"/>
  <c r="V2315" i="2" a="1"/>
  <c r="V2315" i="2" s="1"/>
  <c r="V2316" i="2" a="1"/>
  <c r="V2316" i="2" s="1"/>
  <c r="V2317" i="2" a="1"/>
  <c r="V2317" i="2" s="1"/>
  <c r="V2318" i="2" a="1"/>
  <c r="V2318" i="2" s="1"/>
  <c r="V2319" i="2" a="1"/>
  <c r="V2319" i="2" s="1"/>
  <c r="V2320" i="2" a="1"/>
  <c r="V2320" i="2" s="1"/>
  <c r="V2321" i="2" a="1"/>
  <c r="V2321" i="2" s="1"/>
  <c r="V2322" i="2" a="1"/>
  <c r="V2322" i="2" s="1"/>
  <c r="V2323" i="2" a="1"/>
  <c r="V2323" i="2" s="1"/>
  <c r="V2324" i="2" a="1"/>
  <c r="V2324" i="2" s="1"/>
  <c r="V2325" i="2" a="1"/>
  <c r="V2325" i="2" s="1"/>
  <c r="V2326" i="2" a="1"/>
  <c r="V2326" i="2" s="1"/>
  <c r="V2327" i="2" a="1"/>
  <c r="V2327" i="2" s="1"/>
  <c r="V2246" i="2" a="1"/>
  <c r="V2246" i="2" s="1"/>
  <c r="V2247" i="2" a="1"/>
  <c r="V2247" i="2" s="1"/>
  <c r="V2248" i="2" a="1"/>
  <c r="V2248" i="2" s="1"/>
  <c r="V2249" i="2" a="1"/>
  <c r="V2249" i="2" s="1"/>
  <c r="V2250" i="2" a="1"/>
  <c r="V2250" i="2" s="1"/>
  <c r="V2251" i="2" a="1"/>
  <c r="V2251" i="2" s="1"/>
  <c r="V2252" i="2" a="1"/>
  <c r="V2252" i="2" s="1"/>
  <c r="V2253" i="2" a="1"/>
  <c r="V2253" i="2" s="1"/>
  <c r="V2254" i="2" a="1"/>
  <c r="V2254" i="2" s="1"/>
  <c r="V2255" i="2" a="1"/>
  <c r="V2255" i="2" s="1"/>
  <c r="V2256" i="2" a="1"/>
  <c r="V2256" i="2" s="1"/>
  <c r="V2257" i="2" a="1"/>
  <c r="V2257" i="2" s="1"/>
  <c r="V2258" i="2" a="1"/>
  <c r="V2258" i="2" s="1"/>
  <c r="V2259" i="2" a="1"/>
  <c r="V2259" i="2" s="1"/>
  <c r="V2260" i="2" a="1"/>
  <c r="V2260" i="2" s="1"/>
  <c r="V2261" i="2" a="1"/>
  <c r="V2261" i="2" s="1"/>
  <c r="V2262" i="2" a="1"/>
  <c r="V2262" i="2" s="1"/>
  <c r="V2263" i="2" a="1"/>
  <c r="V2263" i="2" s="1"/>
  <c r="V2264" i="2" a="1"/>
  <c r="V2264" i="2" s="1"/>
  <c r="V2265" i="2" a="1"/>
  <c r="V2265" i="2" s="1"/>
  <c r="V2266" i="2" a="1"/>
  <c r="V2266" i="2" s="1"/>
  <c r="V2267" i="2" a="1"/>
  <c r="V2267" i="2" s="1"/>
  <c r="V2268" i="2" a="1"/>
  <c r="V2268" i="2" s="1"/>
  <c r="V2269" i="2" a="1"/>
  <c r="V2269" i="2" s="1"/>
  <c r="V2270" i="2" a="1"/>
  <c r="V2270" i="2" s="1"/>
  <c r="V2271" i="2" a="1"/>
  <c r="V2271" i="2" s="1"/>
  <c r="V2272" i="2" a="1"/>
  <c r="V2272" i="2" s="1"/>
  <c r="V2273" i="2" a="1"/>
  <c r="V2273" i="2" s="1"/>
  <c r="V2274" i="2" a="1"/>
  <c r="V2274" i="2" s="1"/>
  <c r="V2275" i="2" a="1"/>
  <c r="V2275" i="2" s="1"/>
  <c r="V2276" i="2" a="1"/>
  <c r="V2276" i="2" s="1"/>
  <c r="V2294" i="2" a="1"/>
  <c r="V2294" i="2" s="1"/>
  <c r="V2295" i="2" a="1"/>
  <c r="V2295" i="2" s="1"/>
  <c r="V2296" i="2" a="1"/>
  <c r="V2296" i="2" s="1"/>
  <c r="V2297" i="2" a="1"/>
  <c r="V2297" i="2" s="1"/>
  <c r="V2298" i="2" a="1"/>
  <c r="V2298" i="2" s="1"/>
  <c r="V2299" i="2" a="1"/>
  <c r="V2299" i="2" s="1"/>
  <c r="V2300" i="2" a="1"/>
  <c r="V2300" i="2" s="1"/>
  <c r="V2301" i="2" a="1"/>
  <c r="V2301" i="2" s="1"/>
  <c r="V2302" i="2" a="1"/>
  <c r="V2302" i="2" s="1"/>
  <c r="V2303" i="2" a="1"/>
  <c r="V2303" i="2" s="1"/>
  <c r="V2304" i="2" a="1"/>
  <c r="V2304" i="2" s="1"/>
  <c r="V2305" i="2" a="1"/>
  <c r="V2305" i="2" s="1"/>
  <c r="V2306" i="2" a="1"/>
  <c r="V2306" i="2" s="1"/>
  <c r="V2307" i="2" a="1"/>
  <c r="V2307" i="2" s="1"/>
  <c r="V2308" i="2" a="1"/>
  <c r="V2308" i="2" s="1"/>
  <c r="V2309" i="2" a="1"/>
  <c r="V2309" i="2" s="1"/>
  <c r="V2310" i="2" a="1"/>
  <c r="V2310" i="2" s="1"/>
  <c r="V2328" i="2" a="1"/>
  <c r="V2328" i="2" s="1"/>
  <c r="V2329" i="2" a="1"/>
  <c r="V2329" i="2" s="1"/>
  <c r="V2330" i="2" a="1"/>
  <c r="V2330" i="2" s="1"/>
  <c r="V2331" i="2" a="1"/>
  <c r="V2331" i="2" s="1"/>
  <c r="V2332" i="2" a="1"/>
  <c r="V2332" i="2" s="1"/>
  <c r="V2333" i="2" a="1"/>
  <c r="V2333" i="2" s="1"/>
  <c r="V2334" i="2" a="1"/>
  <c r="V2334" i="2" s="1"/>
  <c r="V2335" i="2" a="1"/>
  <c r="V2335" i="2" s="1"/>
  <c r="V2336" i="2" a="1"/>
  <c r="V2336" i="2" s="1"/>
  <c r="V2337" i="2" a="1"/>
  <c r="V2337" i="2" s="1"/>
  <c r="V2338" i="2" a="1"/>
  <c r="V2338" i="2" s="1"/>
  <c r="V2339" i="2" a="1"/>
  <c r="V2339" i="2" s="1"/>
  <c r="V2340" i="2" a="1"/>
  <c r="V2340" i="2" s="1"/>
  <c r="V2342" i="2" a="1"/>
  <c r="V2342" i="2" s="1"/>
  <c r="V2343" i="2" a="1"/>
  <c r="V2343" i="2" s="1"/>
  <c r="V2344" i="2" a="1"/>
  <c r="V2344" i="2" s="1"/>
  <c r="V2345" i="2" a="1"/>
  <c r="V2345" i="2" s="1"/>
  <c r="V2346" i="2" a="1"/>
  <c r="V2346" i="2" s="1"/>
  <c r="V2347" i="2" a="1"/>
  <c r="V2347" i="2" s="1"/>
  <c r="V2348" i="2" a="1"/>
  <c r="V2348" i="2" s="1"/>
  <c r="V2349" i="2" a="1"/>
  <c r="V2349" i="2" s="1"/>
  <c r="V2350" i="2" a="1"/>
  <c r="V2350" i="2" s="1"/>
  <c r="V2351" i="2" a="1"/>
  <c r="V2351" i="2" s="1"/>
  <c r="V2341" i="2" a="1"/>
  <c r="V2341" i="2" s="1"/>
  <c r="V2352" i="2" a="1"/>
  <c r="V2352" i="2" s="1"/>
  <c r="V2353" i="2" a="1"/>
  <c r="V2353" i="2" s="1"/>
  <c r="V2354" i="2" a="1"/>
  <c r="V2354" i="2" s="1"/>
  <c r="V2355" i="2" a="1"/>
  <c r="V2355" i="2" s="1"/>
  <c r="V2356" i="2" a="1"/>
  <c r="V2356" i="2" s="1"/>
  <c r="V2357" i="2" a="1"/>
  <c r="V2357" i="2" s="1"/>
  <c r="V2358" i="2" a="1"/>
  <c r="V2358" i="2" s="1"/>
  <c r="V2359" i="2" a="1"/>
  <c r="V2359" i="2" s="1"/>
  <c r="V2360" i="2" a="1"/>
  <c r="V2360" i="2" s="1"/>
  <c r="V2361" i="2" a="1"/>
  <c r="V2361" i="2" s="1"/>
  <c r="V2362" i="2" a="1"/>
  <c r="V2362" i="2" s="1"/>
  <c r="V2363" i="2" a="1"/>
  <c r="V2363" i="2" s="1"/>
  <c r="V2364" i="2" a="1"/>
  <c r="V2364" i="2" s="1"/>
  <c r="V2365" i="2" a="1"/>
  <c r="V2365" i="2" s="1"/>
  <c r="V2366" i="2" a="1"/>
  <c r="V2366" i="2" s="1"/>
  <c r="V2367" i="2" a="1"/>
  <c r="V2367" i="2" s="1"/>
  <c r="V2368" i="2" a="1"/>
  <c r="V2368" i="2" s="1"/>
  <c r="V2369" i="2" a="1"/>
  <c r="V2369" i="2" s="1"/>
  <c r="V2370" i="2" a="1"/>
  <c r="V2370" i="2" s="1"/>
  <c r="V2371" i="2" a="1"/>
  <c r="V2371" i="2" s="1"/>
  <c r="V2372" i="2" a="1"/>
  <c r="V2372" i="2" s="1"/>
  <c r="V2373" i="2" a="1"/>
  <c r="V2373" i="2" s="1"/>
  <c r="V2374" i="2" a="1"/>
  <c r="V2374" i="2" s="1"/>
  <c r="V2375" i="2" a="1"/>
  <c r="V2375" i="2" s="1"/>
  <c r="V2376" i="2" a="1"/>
  <c r="V2376" i="2" s="1"/>
  <c r="V2377" i="2" a="1"/>
  <c r="V2377" i="2" s="1"/>
  <c r="V2378" i="2" a="1"/>
  <c r="V2378" i="2" s="1"/>
  <c r="V2379" i="2" a="1"/>
  <c r="V2379" i="2" s="1"/>
  <c r="V2380" i="2" a="1"/>
  <c r="V2380" i="2" s="1"/>
  <c r="V2381" i="2" a="1"/>
  <c r="V2381" i="2" s="1"/>
  <c r="V2382" i="2" a="1"/>
  <c r="V2382" i="2" s="1"/>
  <c r="V2383" i="2" a="1"/>
  <c r="V2383" i="2" s="1"/>
  <c r="V2384" i="2" a="1"/>
  <c r="V2384" i="2" s="1"/>
  <c r="V2385" i="2" a="1"/>
  <c r="V2385" i="2" s="1"/>
  <c r="V2386" i="2" a="1"/>
  <c r="V2386" i="2" s="1"/>
  <c r="V2387" i="2" a="1"/>
  <c r="V2387" i="2" s="1"/>
  <c r="V2388" i="2" a="1"/>
  <c r="V2388" i="2" s="1"/>
  <c r="V2389" i="2" a="1"/>
  <c r="V2389" i="2" s="1"/>
  <c r="V2390" i="2" a="1"/>
  <c r="V2390" i="2" s="1"/>
  <c r="V2391" i="2" a="1"/>
  <c r="V2391" i="2" s="1"/>
  <c r="V2392" i="2" a="1"/>
  <c r="V2392" i="2" s="1"/>
  <c r="V2393" i="2" a="1"/>
  <c r="V2393" i="2" s="1"/>
  <c r="V2394" i="2" a="1"/>
  <c r="V2394" i="2" s="1"/>
  <c r="V2395" i="2" a="1"/>
  <c r="V2395" i="2" s="1"/>
  <c r="V2396" i="2" a="1"/>
  <c r="V2396" i="2" s="1"/>
  <c r="V2397" i="2" a="1"/>
  <c r="V2397" i="2" s="1"/>
  <c r="V2398" i="2" a="1"/>
  <c r="V2398" i="2" s="1"/>
  <c r="V2399" i="2" a="1"/>
  <c r="V2399" i="2" s="1"/>
  <c r="V2400" i="2" a="1"/>
  <c r="V2400" i="2" s="1"/>
  <c r="V2401" i="2" a="1"/>
  <c r="V2401" i="2" s="1"/>
  <c r="V2402" i="2" a="1"/>
  <c r="V2402" i="2" s="1"/>
  <c r="V2403" i="2" a="1"/>
  <c r="V2403" i="2" s="1"/>
  <c r="V2404" i="2" a="1"/>
  <c r="V2404" i="2" s="1"/>
  <c r="V2405" i="2" a="1"/>
  <c r="V2405" i="2" s="1"/>
  <c r="V2406" i="2" a="1"/>
  <c r="V2406" i="2" s="1"/>
  <c r="V2407" i="2" a="1"/>
  <c r="V2407" i="2" s="1"/>
  <c r="V2408" i="2" a="1"/>
  <c r="V2408" i="2" s="1"/>
  <c r="V2409" i="2" a="1"/>
  <c r="V2409" i="2" s="1"/>
  <c r="V2410" i="2" a="1"/>
  <c r="V2410" i="2" s="1"/>
  <c r="V2411" i="2" a="1"/>
  <c r="V2411" i="2" s="1"/>
  <c r="V2412" i="2" a="1"/>
  <c r="V2412" i="2" s="1"/>
  <c r="V2413" i="2" a="1"/>
  <c r="V2413" i="2" s="1"/>
  <c r="V2414" i="2" a="1"/>
  <c r="V2414" i="2" s="1"/>
  <c r="V2415" i="2" a="1"/>
  <c r="V2415" i="2" s="1"/>
  <c r="V2416" i="2" a="1"/>
  <c r="V2416" i="2" s="1"/>
  <c r="V2417" i="2" a="1"/>
  <c r="V2417" i="2" s="1"/>
  <c r="V2418" i="2" a="1"/>
  <c r="V2418" i="2" s="1"/>
  <c r="V2419" i="2" a="1"/>
  <c r="V2419" i="2" s="1"/>
  <c r="V2420" i="2" a="1"/>
  <c r="V2420" i="2" s="1"/>
  <c r="V2421" i="2" a="1"/>
  <c r="V2421" i="2" s="1"/>
  <c r="V2422" i="2" a="1"/>
  <c r="V2422" i="2" s="1"/>
  <c r="V2423" i="2" a="1"/>
  <c r="V2423" i="2" s="1"/>
  <c r="V2424" i="2" a="1"/>
  <c r="V2424" i="2" s="1"/>
  <c r="V2425" i="2" a="1"/>
  <c r="V2425" i="2" s="1"/>
  <c r="V2426" i="2" a="1"/>
  <c r="V2426" i="2" s="1"/>
  <c r="V2427" i="2" a="1"/>
  <c r="V2427" i="2" s="1"/>
  <c r="V2428" i="2" a="1"/>
  <c r="V2428" i="2" s="1"/>
  <c r="V2429" i="2" a="1"/>
  <c r="V2429" i="2" s="1"/>
  <c r="V2430" i="2" a="1"/>
  <c r="V2430" i="2" s="1"/>
  <c r="V2431" i="2" a="1"/>
  <c r="V2431" i="2" s="1"/>
  <c r="V2432" i="2" a="1"/>
  <c r="V2432" i="2" s="1"/>
  <c r="V2433" i="2" a="1"/>
  <c r="V2433" i="2" s="1"/>
  <c r="V2434" i="2" a="1"/>
  <c r="V2434" i="2" s="1"/>
  <c r="V2435" i="2" a="1"/>
  <c r="V2435" i="2" s="1"/>
  <c r="V2436" i="2" a="1"/>
  <c r="V2436" i="2" s="1"/>
  <c r="V2437" i="2" a="1"/>
  <c r="V2437" i="2" s="1"/>
  <c r="V2438" i="2" a="1"/>
  <c r="V2438" i="2" s="1"/>
  <c r="V2439" i="2" a="1"/>
  <c r="V2439" i="2" s="1"/>
  <c r="V2440" i="2" a="1"/>
  <c r="V2440" i="2" s="1"/>
  <c r="V2441" i="2" a="1"/>
  <c r="V2441" i="2" s="1"/>
  <c r="V2442" i="2" a="1"/>
  <c r="V2442" i="2" s="1"/>
  <c r="V2443" i="2" a="1"/>
  <c r="V2443" i="2" s="1"/>
  <c r="V2444" i="2" a="1"/>
  <c r="V2444" i="2" s="1"/>
  <c r="V2445" i="2" a="1"/>
  <c r="V2445" i="2" s="1"/>
  <c r="V2446" i="2" a="1"/>
  <c r="V2446" i="2" s="1"/>
  <c r="V2447" i="2" a="1"/>
  <c r="V2447" i="2" s="1"/>
  <c r="V2448" i="2" a="1"/>
  <c r="V2448" i="2" s="1"/>
  <c r="V2449" i="2" a="1"/>
  <c r="V2449" i="2" s="1"/>
  <c r="V2450" i="2" a="1"/>
  <c r="V2450" i="2" s="1"/>
  <c r="V2451" i="2" a="1"/>
  <c r="V2451" i="2" s="1"/>
  <c r="V2452" i="2" a="1"/>
  <c r="V2452" i="2" s="1"/>
  <c r="V2453" i="2" a="1"/>
  <c r="V2453" i="2" s="1"/>
  <c r="V2455" i="2" a="1"/>
  <c r="V2455" i="2" s="1"/>
  <c r="V2456" i="2" a="1"/>
  <c r="V2456" i="2" s="1"/>
  <c r="V2457" i="2" a="1"/>
  <c r="V2457" i="2" s="1"/>
  <c r="V2458" i="2" a="1"/>
  <c r="V2458" i="2" s="1"/>
  <c r="V2459" i="2" a="1"/>
  <c r="V2459" i="2" s="1"/>
  <c r="V2460" i="2" a="1"/>
  <c r="V2460" i="2" s="1"/>
  <c r="V2461" i="2" a="1"/>
  <c r="V2461" i="2" s="1"/>
  <c r="V2462" i="2" a="1"/>
  <c r="V2462" i="2" s="1"/>
  <c r="V2463" i="2" a="1"/>
  <c r="V2463" i="2" s="1"/>
  <c r="V2464" i="2" a="1"/>
  <c r="V2464" i="2" s="1"/>
  <c r="V2454" i="2" a="1"/>
  <c r="V2454" i="2" s="1"/>
  <c r="V2465" i="2" a="1"/>
  <c r="V2465" i="2" s="1"/>
  <c r="V2466" i="2" a="1"/>
  <c r="V2466" i="2" s="1"/>
  <c r="V2467" i="2" a="1"/>
  <c r="V2467" i="2" s="1"/>
  <c r="V2468" i="2" a="1"/>
  <c r="V2468" i="2" s="1"/>
  <c r="V2469" i="2" a="1"/>
  <c r="V2469" i="2" s="1"/>
  <c r="V2470" i="2" a="1"/>
  <c r="V2470" i="2" s="1"/>
  <c r="V2471" i="2" a="1"/>
  <c r="V2471" i="2" s="1"/>
  <c r="V2472" i="2" a="1"/>
  <c r="V2472" i="2" s="1"/>
  <c r="V2473" i="2" a="1"/>
  <c r="V2473" i="2" s="1"/>
  <c r="V2474" i="2" a="1"/>
  <c r="V2474" i="2" s="1"/>
  <c r="V2475" i="2" a="1"/>
  <c r="V2475" i="2" s="1"/>
  <c r="V2476" i="2" a="1"/>
  <c r="V2476" i="2" s="1"/>
  <c r="V2477" i="2" a="1"/>
  <c r="V2477" i="2" s="1"/>
  <c r="V2478" i="2" a="1"/>
  <c r="V2478" i="2" s="1"/>
  <c r="V2479" i="2" a="1"/>
  <c r="V2479" i="2" s="1"/>
  <c r="V2480" i="2" a="1"/>
  <c r="V2480" i="2" s="1"/>
  <c r="V2481" i="2" a="1"/>
  <c r="V2481" i="2" s="1"/>
  <c r="V2482" i="2" a="1"/>
  <c r="V2482" i="2" s="1"/>
  <c r="V2483" i="2" a="1"/>
  <c r="V2483" i="2" s="1"/>
  <c r="V2484" i="2" a="1"/>
  <c r="V2484" i="2" s="1"/>
  <c r="V2485" i="2" a="1"/>
  <c r="V2485" i="2" s="1"/>
  <c r="V2486" i="2" a="1"/>
  <c r="V2486" i="2" s="1"/>
  <c r="V2487" i="2" a="1"/>
  <c r="V2487" i="2" s="1"/>
  <c r="V2488" i="2" a="1"/>
  <c r="V2488" i="2" s="1"/>
  <c r="V2489" i="2" a="1"/>
  <c r="V2489" i="2" s="1"/>
  <c r="V2490" i="2" a="1"/>
  <c r="V2490" i="2" s="1"/>
  <c r="V2491" i="2" a="1"/>
  <c r="V2491" i="2" s="1"/>
  <c r="V2492" i="2" a="1"/>
  <c r="V2492" i="2" s="1"/>
  <c r="V2493" i="2" a="1"/>
  <c r="V2493" i="2" s="1"/>
  <c r="V2494" i="2" a="1"/>
  <c r="V2494" i="2" s="1"/>
  <c r="V2495" i="2" a="1"/>
  <c r="V2495" i="2" s="1"/>
  <c r="V2496" i="2" a="1"/>
  <c r="V2496" i="2" s="1"/>
  <c r="V2497" i="2" a="1"/>
  <c r="V2497" i="2" s="1"/>
  <c r="V2498" i="2" a="1"/>
  <c r="V2498" i="2" s="1"/>
  <c r="V2499" i="2" a="1"/>
  <c r="V2499" i="2" s="1"/>
  <c r="V2500" i="2" a="1"/>
  <c r="V2500" i="2" s="1"/>
  <c r="V2501" i="2" a="1"/>
  <c r="V2501" i="2" s="1"/>
  <c r="V2502" i="2" a="1"/>
  <c r="V2502" i="2" s="1"/>
  <c r="V2503" i="2" a="1"/>
  <c r="V2503" i="2" s="1"/>
  <c r="V2504" i="2" a="1"/>
  <c r="V2504" i="2" s="1"/>
  <c r="V2505" i="2" a="1"/>
  <c r="V2505" i="2" s="1"/>
  <c r="V2506" i="2" a="1"/>
  <c r="V2506" i="2" s="1"/>
  <c r="V2507" i="2" a="1"/>
  <c r="V2507" i="2" s="1"/>
  <c r="V2508" i="2" a="1"/>
  <c r="V2508" i="2" s="1"/>
  <c r="V2509" i="2" a="1"/>
  <c r="V2509" i="2" s="1"/>
  <c r="V2510" i="2" a="1"/>
  <c r="V2510" i="2" s="1"/>
  <c r="V2511" i="2" a="1"/>
  <c r="V2511" i="2" s="1"/>
  <c r="V2512" i="2" a="1"/>
  <c r="V2512" i="2" s="1"/>
  <c r="V2513" i="2" a="1"/>
  <c r="V2513" i="2" s="1"/>
  <c r="V2514" i="2" a="1"/>
  <c r="V2514" i="2" s="1"/>
  <c r="V2515" i="2" a="1"/>
  <c r="V2515" i="2" s="1"/>
  <c r="V2516" i="2" a="1"/>
  <c r="V2516" i="2" s="1"/>
  <c r="V2517" i="2" a="1"/>
  <c r="V2517" i="2" s="1"/>
  <c r="V2518" i="2" a="1"/>
  <c r="V2518" i="2" s="1"/>
  <c r="V2519" i="2" a="1"/>
  <c r="V2519" i="2" s="1"/>
  <c r="V2520" i="2" a="1"/>
  <c r="V2520" i="2" s="1"/>
  <c r="V2521" i="2" a="1"/>
  <c r="V2521" i="2" s="1"/>
  <c r="V2522" i="2" a="1"/>
  <c r="V2522" i="2" s="1"/>
  <c r="V2523" i="2" a="1"/>
  <c r="V2523" i="2" s="1"/>
  <c r="V2524" i="2" a="1"/>
  <c r="V2524" i="2" s="1"/>
  <c r="V2525" i="2" a="1"/>
  <c r="V2525" i="2" s="1"/>
  <c r="V2526" i="2" a="1"/>
  <c r="V2526" i="2" s="1"/>
  <c r="V2527" i="2" a="1"/>
  <c r="V2527" i="2" s="1"/>
  <c r="V2528" i="2" a="1"/>
  <c r="V2528" i="2" s="1"/>
  <c r="V2529" i="2" a="1"/>
  <c r="V2529" i="2" s="1"/>
  <c r="V2530" i="2" a="1"/>
  <c r="V2530" i="2" s="1"/>
  <c r="V2531" i="2" a="1"/>
  <c r="V2531" i="2" s="1"/>
  <c r="V2532" i="2" a="1"/>
  <c r="V2532" i="2" s="1"/>
  <c r="V2533" i="2" a="1"/>
  <c r="V2533" i="2" s="1"/>
  <c r="V2534" i="2" a="1"/>
  <c r="V2534" i="2" s="1"/>
  <c r="V2535" i="2" a="1"/>
  <c r="V2535" i="2" s="1"/>
  <c r="V2536" i="2" a="1"/>
  <c r="V2536" i="2" s="1"/>
  <c r="V2537" i="2" a="1"/>
  <c r="V2537" i="2" s="1"/>
  <c r="V2538" i="2" a="1"/>
  <c r="V2538" i="2" s="1"/>
  <c r="V2539" i="2" a="1"/>
  <c r="V2539" i="2" s="1"/>
  <c r="V2540" i="2" a="1"/>
  <c r="V2540" i="2" s="1"/>
  <c r="V2541" i="2" a="1"/>
  <c r="V2541" i="2" s="1"/>
  <c r="V2542" i="2" a="1"/>
  <c r="V2542" i="2" s="1"/>
  <c r="V2543" i="2" a="1"/>
  <c r="V2543" i="2" s="1"/>
  <c r="V2544" i="2" a="1"/>
  <c r="V2544" i="2" s="1"/>
  <c r="V2545" i="2" a="1"/>
  <c r="V2545" i="2" s="1"/>
  <c r="V2546" i="2" a="1"/>
  <c r="V2546" i="2" s="1"/>
  <c r="V2547" i="2" a="1"/>
  <c r="V2547" i="2" s="1"/>
  <c r="V2548" i="2" a="1"/>
  <c r="V2548" i="2" s="1"/>
  <c r="V2549" i="2" a="1"/>
  <c r="V2549" i="2" s="1"/>
  <c r="V2" i="2" a="1"/>
  <c r="V2" i="2" s="1"/>
  <c r="S2549" i="2" l="1"/>
  <c r="S2548" i="2"/>
  <c r="S2547" i="2"/>
  <c r="S2546" i="2"/>
  <c r="S2545" i="2"/>
  <c r="S2544" i="2"/>
  <c r="S2543" i="2"/>
  <c r="S2542" i="2"/>
  <c r="S2541" i="2"/>
  <c r="S2540" i="2"/>
  <c r="S2539" i="2"/>
  <c r="S2538" i="2"/>
  <c r="S2537" i="2"/>
  <c r="S2536" i="2"/>
  <c r="S2535" i="2"/>
  <c r="S2534" i="2"/>
  <c r="S2533" i="2"/>
  <c r="S2532" i="2"/>
  <c r="S2531" i="2"/>
  <c r="S2530" i="2"/>
  <c r="S2529" i="2"/>
  <c r="S2528" i="2"/>
  <c r="S2527" i="2"/>
  <c r="S2526" i="2"/>
  <c r="S2525" i="2"/>
  <c r="S2524" i="2"/>
  <c r="S2523" i="2"/>
  <c r="S2522" i="2"/>
  <c r="S2521" i="2"/>
  <c r="S2520" i="2"/>
  <c r="S2519" i="2"/>
  <c r="S2518" i="2"/>
  <c r="S2517" i="2"/>
  <c r="S2516" i="2"/>
  <c r="S2515" i="2"/>
  <c r="S2514" i="2"/>
  <c r="S2513" i="2"/>
  <c r="S2512" i="2"/>
  <c r="S2511" i="2"/>
  <c r="S2510" i="2"/>
  <c r="S2509" i="2"/>
  <c r="S2508" i="2"/>
  <c r="S2507" i="2"/>
  <c r="S2506" i="2"/>
  <c r="S2505" i="2"/>
  <c r="S2504" i="2"/>
  <c r="S2503" i="2"/>
  <c r="S2502" i="2"/>
  <c r="S2501" i="2"/>
  <c r="S2500" i="2"/>
  <c r="S2499" i="2"/>
  <c r="S2498" i="2"/>
  <c r="S2497" i="2"/>
  <c r="S2496" i="2"/>
  <c r="S2495" i="2"/>
  <c r="S2494" i="2"/>
  <c r="S2493" i="2"/>
  <c r="S2492" i="2"/>
  <c r="S2491" i="2"/>
  <c r="S2490" i="2"/>
  <c r="S2489" i="2"/>
  <c r="S2488" i="2"/>
  <c r="S2487" i="2"/>
  <c r="S2486" i="2"/>
  <c r="S2485" i="2"/>
  <c r="S2484" i="2"/>
  <c r="S2483" i="2"/>
  <c r="S2482" i="2"/>
  <c r="S2481" i="2"/>
  <c r="S2480" i="2"/>
  <c r="S2479" i="2"/>
  <c r="S2478" i="2"/>
  <c r="S2477" i="2"/>
  <c r="S2476" i="2"/>
  <c r="S2475" i="2"/>
  <c r="S2474" i="2"/>
  <c r="S2473" i="2"/>
  <c r="S2472" i="2"/>
  <c r="S2471" i="2"/>
  <c r="S2470" i="2"/>
  <c r="S2469" i="2"/>
  <c r="S2468" i="2"/>
  <c r="S2467" i="2"/>
  <c r="S2466" i="2"/>
  <c r="S2465" i="2"/>
  <c r="S2454" i="2"/>
  <c r="S2464" i="2"/>
  <c r="S2463" i="2"/>
  <c r="S2462" i="2"/>
  <c r="S2461" i="2"/>
  <c r="S2460" i="2"/>
  <c r="S2459" i="2"/>
  <c r="S2458" i="2"/>
  <c r="S2457" i="2"/>
  <c r="S2456" i="2"/>
  <c r="S2455" i="2"/>
  <c r="S2453" i="2"/>
  <c r="S2452" i="2"/>
  <c r="S2451" i="2"/>
  <c r="S2450" i="2"/>
  <c r="S2449" i="2"/>
  <c r="S2448" i="2"/>
  <c r="S2447" i="2"/>
  <c r="S2446" i="2"/>
  <c r="S2445" i="2"/>
  <c r="S2444" i="2"/>
  <c r="S2443" i="2"/>
  <c r="S2442" i="2"/>
  <c r="S2441" i="2"/>
  <c r="S2440" i="2"/>
  <c r="S2439" i="2"/>
  <c r="S2438" i="2"/>
  <c r="S2437" i="2"/>
  <c r="S2436" i="2"/>
  <c r="S2435" i="2"/>
  <c r="S2434" i="2"/>
  <c r="S2433" i="2"/>
  <c r="S2432" i="2"/>
  <c r="S2431" i="2"/>
  <c r="S2430" i="2"/>
  <c r="S2429" i="2"/>
  <c r="S2428" i="2"/>
  <c r="S2427" i="2"/>
  <c r="S2426" i="2"/>
  <c r="S2425" i="2"/>
  <c r="S2424" i="2"/>
  <c r="S2423" i="2"/>
  <c r="S2422" i="2"/>
  <c r="S2421" i="2"/>
  <c r="S2420" i="2"/>
  <c r="S2419" i="2"/>
  <c r="S2418" i="2"/>
  <c r="S2417" i="2"/>
  <c r="S2416" i="2"/>
  <c r="S2415" i="2"/>
  <c r="S2414" i="2"/>
  <c r="S2413" i="2"/>
  <c r="S2412" i="2"/>
  <c r="S2411" i="2"/>
  <c r="S2410" i="2"/>
  <c r="S2409" i="2"/>
  <c r="S2408" i="2"/>
  <c r="S2407" i="2"/>
  <c r="S2406" i="2"/>
  <c r="S2405" i="2"/>
  <c r="S2404" i="2"/>
  <c r="S2403" i="2"/>
  <c r="S2402" i="2"/>
  <c r="S2401" i="2"/>
  <c r="S2400" i="2"/>
  <c r="S2399" i="2"/>
  <c r="S2398" i="2"/>
  <c r="S2397" i="2"/>
  <c r="S2396" i="2"/>
  <c r="S2395" i="2"/>
  <c r="S2394" i="2"/>
  <c r="S2393" i="2"/>
  <c r="S2392" i="2"/>
  <c r="S2390" i="2"/>
  <c r="S2389" i="2"/>
  <c r="S2388" i="2"/>
  <c r="S2387" i="2"/>
  <c r="S2386" i="2"/>
  <c r="S2385" i="2"/>
  <c r="S2384" i="2"/>
  <c r="S2383" i="2"/>
  <c r="S2382" i="2"/>
  <c r="S2381" i="2"/>
  <c r="S2380" i="2"/>
  <c r="S2379" i="2"/>
  <c r="S2378" i="2"/>
  <c r="S2377" i="2"/>
  <c r="S2376" i="2"/>
  <c r="S2375" i="2"/>
  <c r="S2374" i="2"/>
  <c r="S2373" i="2"/>
  <c r="S2372" i="2"/>
  <c r="S2371" i="2"/>
  <c r="S2370" i="2"/>
  <c r="S2369" i="2"/>
  <c r="S2368" i="2"/>
  <c r="S2367" i="2"/>
  <c r="S2366" i="2"/>
  <c r="S2365" i="2"/>
  <c r="S2364" i="2"/>
  <c r="S2363" i="2"/>
  <c r="S2362" i="2"/>
  <c r="S2361" i="2"/>
  <c r="S2360" i="2"/>
  <c r="S2359" i="2"/>
  <c r="S2358" i="2"/>
  <c r="S2357" i="2"/>
  <c r="S2356" i="2"/>
  <c r="S2355" i="2"/>
  <c r="S2354" i="2"/>
  <c r="S2353" i="2"/>
  <c r="S2352" i="2"/>
  <c r="S2341" i="2"/>
  <c r="S2351" i="2"/>
  <c r="S2350" i="2"/>
  <c r="S2349" i="2"/>
  <c r="S2348" i="2"/>
  <c r="S2347" i="2"/>
  <c r="S2346" i="2"/>
  <c r="S2345" i="2"/>
  <c r="S2344" i="2"/>
  <c r="S2343" i="2"/>
  <c r="S2342" i="2"/>
  <c r="S2340" i="2"/>
  <c r="S2339" i="2"/>
  <c r="S2338" i="2"/>
  <c r="S2337" i="2"/>
  <c r="S2336" i="2"/>
  <c r="S2335" i="2"/>
  <c r="S2334" i="2"/>
  <c r="S2333" i="2"/>
  <c r="S2332" i="2"/>
  <c r="S2331" i="2"/>
  <c r="S2330" i="2"/>
  <c r="S2329" i="2"/>
  <c r="S2328" i="2"/>
  <c r="S2310" i="2"/>
  <c r="S2309" i="2"/>
  <c r="S2308" i="2"/>
  <c r="S2307" i="2"/>
  <c r="S2306" i="2"/>
  <c r="S2305" i="2"/>
  <c r="S2304" i="2"/>
  <c r="S2303" i="2"/>
  <c r="S2302" i="2"/>
  <c r="S2301" i="2"/>
  <c r="S2300" i="2"/>
  <c r="S2299" i="2"/>
  <c r="S2298" i="2"/>
  <c r="S2297" i="2"/>
  <c r="S2296" i="2"/>
  <c r="S2295" i="2"/>
  <c r="S2294" i="2"/>
  <c r="S2276" i="2"/>
  <c r="S2275" i="2"/>
  <c r="S2274" i="2"/>
  <c r="S2273" i="2"/>
  <c r="S2272" i="2"/>
  <c r="S2271" i="2"/>
  <c r="S2270" i="2"/>
  <c r="S2269" i="2"/>
  <c r="S2268" i="2"/>
  <c r="S2267" i="2"/>
  <c r="S2266" i="2"/>
  <c r="S2265" i="2"/>
  <c r="S2264" i="2"/>
  <c r="S2263" i="2"/>
  <c r="S2262" i="2"/>
  <c r="S2261" i="2"/>
  <c r="S2260" i="2"/>
  <c r="S2259" i="2"/>
  <c r="S2258" i="2"/>
  <c r="S2257" i="2"/>
  <c r="S2256" i="2"/>
  <c r="S2255" i="2"/>
  <c r="S2254" i="2"/>
  <c r="S2253" i="2"/>
  <c r="S2252" i="2"/>
  <c r="S2251" i="2"/>
  <c r="S2250" i="2"/>
  <c r="S2249" i="2"/>
  <c r="S2248" i="2"/>
  <c r="S2247" i="2"/>
  <c r="S2246" i="2"/>
  <c r="S2327" i="2"/>
  <c r="S2326" i="2"/>
  <c r="S2325" i="2"/>
  <c r="S2324" i="2"/>
  <c r="S2323" i="2"/>
  <c r="S2322" i="2"/>
  <c r="S2321" i="2"/>
  <c r="S2320" i="2"/>
  <c r="S2319" i="2"/>
  <c r="S2318" i="2"/>
  <c r="S2317" i="2"/>
  <c r="S2316" i="2"/>
  <c r="S2315" i="2"/>
  <c r="S2314" i="2"/>
  <c r="S2313" i="2"/>
  <c r="S2312" i="2"/>
  <c r="S2311" i="2"/>
  <c r="S2293" i="2"/>
  <c r="S2292" i="2"/>
  <c r="S2291" i="2"/>
  <c r="S2290" i="2"/>
  <c r="S2289" i="2"/>
  <c r="S2288" i="2"/>
  <c r="S2287" i="2"/>
  <c r="S2286" i="2"/>
  <c r="S2285" i="2"/>
  <c r="S2284" i="2"/>
  <c r="S2283" i="2"/>
  <c r="S2282" i="2"/>
  <c r="S2281" i="2"/>
  <c r="S2280" i="2"/>
  <c r="S2279" i="2"/>
  <c r="S2278" i="2"/>
  <c r="S2277" i="2"/>
  <c r="S2245" i="2"/>
  <c r="S2244" i="2"/>
  <c r="S2243" i="2"/>
  <c r="S2242" i="2"/>
  <c r="S2241" i="2"/>
  <c r="S2240" i="2"/>
  <c r="S2239" i="2"/>
  <c r="S2238" i="2"/>
  <c r="S2237" i="2"/>
  <c r="S2236" i="2"/>
  <c r="S2235" i="2"/>
  <c r="S2234" i="2"/>
  <c r="S2233" i="2"/>
  <c r="S2232" i="2"/>
  <c r="S2231" i="2"/>
  <c r="S2230" i="2"/>
  <c r="S2229" i="2"/>
  <c r="S2228" i="2"/>
  <c r="S2227" i="2"/>
  <c r="S2226" i="2"/>
  <c r="S2225" i="2"/>
  <c r="S2224" i="2"/>
  <c r="S2223" i="2"/>
  <c r="S2222" i="2"/>
  <c r="S2221" i="2"/>
  <c r="S2220" i="2"/>
  <c r="S2219" i="2"/>
  <c r="S2218" i="2"/>
  <c r="S2217" i="2"/>
  <c r="S2216" i="2"/>
  <c r="S2215" i="2"/>
  <c r="S2214" i="2"/>
  <c r="S2213" i="2"/>
  <c r="S2212" i="2"/>
  <c r="S2211" i="2"/>
  <c r="S2210" i="2"/>
  <c r="S2209" i="2"/>
  <c r="S2208" i="2"/>
  <c r="S2207" i="2"/>
  <c r="S2206" i="2"/>
  <c r="S2205" i="2"/>
  <c r="S2204" i="2"/>
  <c r="S2203" i="2"/>
  <c r="S2202" i="2"/>
  <c r="S2201" i="2"/>
  <c r="S2200" i="2"/>
  <c r="S2199" i="2"/>
  <c r="S2198" i="2"/>
  <c r="S2197" i="2"/>
  <c r="S2196" i="2"/>
  <c r="S2195" i="2"/>
  <c r="S2194" i="2"/>
  <c r="S2193" i="2"/>
  <c r="S2192" i="2"/>
  <c r="S2191" i="2"/>
  <c r="S2190" i="2"/>
  <c r="S2189" i="2"/>
  <c r="S2188" i="2"/>
  <c r="S2177" i="2"/>
  <c r="S2187" i="2"/>
  <c r="S2186" i="2"/>
  <c r="S2185" i="2"/>
  <c r="S2184" i="2"/>
  <c r="S2183" i="2"/>
  <c r="S2182" i="2"/>
  <c r="S2181" i="2"/>
  <c r="S2180" i="2"/>
  <c r="S2179" i="2"/>
  <c r="S2178" i="2"/>
  <c r="S2176" i="2"/>
  <c r="S2175" i="2"/>
  <c r="S2174" i="2"/>
  <c r="S2173" i="2"/>
  <c r="S2172" i="2"/>
  <c r="S2171" i="2"/>
  <c r="S2170" i="2"/>
  <c r="S2169" i="2"/>
  <c r="S2168" i="2"/>
  <c r="S2167" i="2"/>
  <c r="S2166" i="2"/>
  <c r="S2165" i="2"/>
  <c r="S2150" i="2"/>
  <c r="S2149" i="2"/>
  <c r="S2148" i="2"/>
  <c r="S2147" i="2"/>
  <c r="S2146" i="2"/>
  <c r="S2145" i="2"/>
  <c r="S2144" i="2"/>
  <c r="S2143" i="2"/>
  <c r="S2142" i="2"/>
  <c r="S2141" i="2"/>
  <c r="S2140" i="2"/>
  <c r="S2139" i="2"/>
  <c r="S2138" i="2"/>
  <c r="S2137" i="2"/>
  <c r="S2136" i="2"/>
  <c r="S2135" i="2"/>
  <c r="S2134" i="2"/>
  <c r="S2085" i="2"/>
  <c r="S2084" i="2"/>
  <c r="S2083" i="2"/>
  <c r="S2082" i="2"/>
  <c r="S2081" i="2"/>
  <c r="S2080" i="2"/>
  <c r="S2079" i="2"/>
  <c r="S2078" i="2"/>
  <c r="S2077" i="2"/>
  <c r="S2076" i="2"/>
  <c r="S2075" i="2"/>
  <c r="S2074" i="2"/>
  <c r="S2073" i="2"/>
  <c r="S2072" i="2"/>
  <c r="S2102" i="2"/>
  <c r="S2101" i="2"/>
  <c r="S2100" i="2"/>
  <c r="S2099" i="2"/>
  <c r="S2098" i="2"/>
  <c r="S2097" i="2"/>
  <c r="S2096" i="2"/>
  <c r="S2095" i="2"/>
  <c r="S2094" i="2"/>
  <c r="S2093" i="2"/>
  <c r="S2092" i="2"/>
  <c r="S2091" i="2"/>
  <c r="S2090" i="2"/>
  <c r="S2089" i="2"/>
  <c r="S2088" i="2"/>
  <c r="S2087" i="2"/>
  <c r="S2086" i="2"/>
  <c r="S2164" i="2"/>
  <c r="S2163" i="2"/>
  <c r="S2162" i="2"/>
  <c r="S2161" i="2"/>
  <c r="S2160" i="2"/>
  <c r="S2159" i="2"/>
  <c r="S2158" i="2"/>
  <c r="S2157" i="2"/>
  <c r="S2156" i="2"/>
  <c r="S2155" i="2"/>
  <c r="S2154" i="2"/>
  <c r="S2153" i="2"/>
  <c r="S2152" i="2"/>
  <c r="S2151" i="2"/>
  <c r="S2133" i="2"/>
  <c r="S2132" i="2"/>
  <c r="S2131" i="2"/>
  <c r="S2130" i="2"/>
  <c r="S2129" i="2"/>
  <c r="S2128" i="2"/>
  <c r="S2127" i="2"/>
  <c r="S2126" i="2"/>
  <c r="S2125" i="2"/>
  <c r="S2124" i="2"/>
  <c r="S2123" i="2"/>
  <c r="S2122" i="2"/>
  <c r="S2121" i="2"/>
  <c r="S2120" i="2"/>
  <c r="S2119" i="2"/>
  <c r="S2118" i="2"/>
  <c r="S2117" i="2"/>
  <c r="S2116" i="2"/>
  <c r="S2115" i="2"/>
  <c r="S2114" i="2"/>
  <c r="S2113" i="2"/>
  <c r="S2112" i="2"/>
  <c r="S2111" i="2"/>
  <c r="S2110" i="2"/>
  <c r="S2109" i="2"/>
  <c r="S2108" i="2"/>
  <c r="S2107" i="2"/>
  <c r="S2106" i="2"/>
  <c r="S2105" i="2"/>
  <c r="S2104" i="2"/>
  <c r="S2103" i="2"/>
  <c r="S2071" i="2"/>
  <c r="S2070" i="2"/>
  <c r="S2069" i="2"/>
  <c r="S2068" i="2"/>
  <c r="S2067" i="2"/>
  <c r="S2066" i="2"/>
  <c r="S2065" i="2"/>
  <c r="S2064" i="2"/>
  <c r="S2063" i="2"/>
  <c r="S2062" i="2"/>
  <c r="S2061" i="2"/>
  <c r="S2060" i="2"/>
  <c r="S2059" i="2"/>
  <c r="S2058" i="2"/>
  <c r="S2057" i="2"/>
  <c r="S2056" i="2"/>
  <c r="S2055" i="2"/>
  <c r="S2054" i="2"/>
  <c r="S2053" i="2"/>
  <c r="S2052" i="2"/>
  <c r="S2051" i="2"/>
  <c r="S2050" i="2"/>
  <c r="S2049" i="2"/>
  <c r="S2048" i="2"/>
  <c r="S2047" i="2"/>
  <c r="S2046" i="2"/>
  <c r="S2045" i="2"/>
  <c r="S2044" i="2"/>
  <c r="S2043" i="2"/>
  <c r="S2042" i="2"/>
  <c r="S2041" i="2"/>
  <c r="S2040" i="2"/>
  <c r="S2039" i="2"/>
  <c r="S2038" i="2"/>
  <c r="S2037" i="2"/>
  <c r="S2036" i="2"/>
  <c r="S2035" i="2"/>
  <c r="S2034" i="2"/>
  <c r="S2033" i="2"/>
  <c r="S2032" i="2"/>
  <c r="S2031" i="2"/>
  <c r="S2030" i="2"/>
  <c r="S2029" i="2"/>
  <c r="S2028" i="2"/>
  <c r="S2027" i="2"/>
  <c r="S2026" i="2"/>
  <c r="S2025" i="2"/>
  <c r="S2024" i="2"/>
  <c r="S2023" i="2"/>
  <c r="S2022" i="2"/>
  <c r="S2021" i="2"/>
  <c r="S2020" i="2"/>
  <c r="S2019" i="2"/>
  <c r="S2018" i="2"/>
  <c r="S2017" i="2"/>
  <c r="S2016" i="2"/>
  <c r="S2015" i="2"/>
  <c r="S2014" i="2"/>
  <c r="S2013" i="2"/>
  <c r="S2012" i="2"/>
  <c r="S2011" i="2"/>
  <c r="S2000" i="2"/>
  <c r="S2010" i="2"/>
  <c r="S2009" i="2"/>
  <c r="S2008" i="2"/>
  <c r="S2007" i="2"/>
  <c r="S2006" i="2"/>
  <c r="S2005" i="2"/>
  <c r="S2004" i="2"/>
  <c r="S2003" i="2"/>
  <c r="S2002" i="2"/>
  <c r="S2001" i="2"/>
  <c r="S1999" i="2"/>
  <c r="S1998" i="2"/>
  <c r="S1997" i="2"/>
  <c r="S1996" i="2"/>
  <c r="S1995" i="2"/>
  <c r="S1994" i="2"/>
  <c r="S1993" i="2"/>
  <c r="S1992" i="2"/>
  <c r="S1991" i="2"/>
  <c r="S1990" i="2"/>
  <c r="S1989" i="2"/>
  <c r="S1988" i="2"/>
  <c r="S1973" i="2"/>
  <c r="S1972" i="2"/>
  <c r="S1971" i="2"/>
  <c r="S1970" i="2"/>
  <c r="S1969" i="2"/>
  <c r="S1968" i="2"/>
  <c r="S1967" i="2"/>
  <c r="S1966" i="2"/>
  <c r="S1965" i="2"/>
  <c r="S1964" i="2"/>
  <c r="S1963" i="2"/>
  <c r="S1962" i="2"/>
  <c r="S1961" i="2"/>
  <c r="S1960" i="2"/>
  <c r="S1959" i="2"/>
  <c r="S1958" i="2"/>
  <c r="S1957" i="2"/>
  <c r="S1942" i="2"/>
  <c r="S1941" i="2"/>
  <c r="S1940" i="2"/>
  <c r="S1939" i="2"/>
  <c r="S1938" i="2"/>
  <c r="S1937" i="2"/>
  <c r="S1936" i="2"/>
  <c r="S1935" i="2"/>
  <c r="S1934" i="2"/>
  <c r="S1933" i="2"/>
  <c r="S1932" i="2"/>
  <c r="S1931" i="2"/>
  <c r="S1930" i="2"/>
  <c r="S1929" i="2"/>
  <c r="S1911" i="2"/>
  <c r="S1910" i="2"/>
  <c r="S1909" i="2"/>
  <c r="S1908" i="2"/>
  <c r="S1907" i="2"/>
  <c r="S1906" i="2"/>
  <c r="S1905" i="2"/>
  <c r="S1904" i="2"/>
  <c r="S1903" i="2"/>
  <c r="S1902" i="2"/>
  <c r="S1901" i="2"/>
  <c r="S1900" i="2"/>
  <c r="S1899" i="2"/>
  <c r="S1898" i="2"/>
  <c r="S1897" i="2"/>
  <c r="S1896" i="2"/>
  <c r="S1895" i="2"/>
  <c r="S1894" i="2"/>
  <c r="S1893" i="2"/>
  <c r="S1892" i="2"/>
  <c r="S1891" i="2"/>
  <c r="S1890" i="2"/>
  <c r="S1889" i="2"/>
  <c r="S1888" i="2"/>
  <c r="S1887" i="2"/>
  <c r="S1886" i="2"/>
  <c r="S1885" i="2"/>
  <c r="S1884" i="2"/>
  <c r="S1883" i="2"/>
  <c r="S1882" i="2"/>
  <c r="S1881" i="2"/>
  <c r="S1987" i="2"/>
  <c r="S1986" i="2"/>
  <c r="S1985" i="2"/>
  <c r="S1984" i="2"/>
  <c r="S1983" i="2"/>
  <c r="S1982" i="2"/>
  <c r="S1981" i="2"/>
  <c r="S1980" i="2"/>
  <c r="S1979" i="2"/>
  <c r="S1978" i="2"/>
  <c r="S1977" i="2"/>
  <c r="S1976" i="2"/>
  <c r="S1975" i="2"/>
  <c r="S1974" i="2"/>
  <c r="S1956" i="2"/>
  <c r="S1955" i="2"/>
  <c r="S1954" i="2"/>
  <c r="S1953" i="2"/>
  <c r="S1952" i="2"/>
  <c r="S1951" i="2"/>
  <c r="S1950" i="2"/>
  <c r="S1949" i="2"/>
  <c r="S1948" i="2"/>
  <c r="S1947" i="2"/>
  <c r="S1946" i="2"/>
  <c r="S1945" i="2"/>
  <c r="S1944" i="2"/>
  <c r="S1943" i="2"/>
  <c r="S1928" i="2"/>
  <c r="S1927" i="2"/>
  <c r="S1926" i="2"/>
  <c r="S1925" i="2"/>
  <c r="S1924" i="2"/>
  <c r="S1923" i="2"/>
  <c r="S1922" i="2"/>
  <c r="S1921" i="2"/>
  <c r="S1920" i="2"/>
  <c r="S1919" i="2"/>
  <c r="S1918" i="2"/>
  <c r="S1917" i="2"/>
  <c r="S1916" i="2"/>
  <c r="S1915" i="2"/>
  <c r="S1914" i="2"/>
  <c r="S1913" i="2"/>
  <c r="S1912" i="2"/>
  <c r="S1880" i="2"/>
  <c r="S1879" i="2"/>
  <c r="S1878" i="2"/>
  <c r="S1877" i="2"/>
  <c r="S1876" i="2"/>
  <c r="S1875" i="2"/>
  <c r="S1874" i="2"/>
  <c r="S1873" i="2"/>
  <c r="S1872" i="2"/>
  <c r="S1871" i="2"/>
  <c r="S1870" i="2"/>
  <c r="S1869" i="2"/>
  <c r="S1868" i="2"/>
  <c r="S1867" i="2"/>
  <c r="S1866" i="2"/>
  <c r="S1865" i="2"/>
  <c r="S1864" i="2"/>
  <c r="S1863" i="2"/>
  <c r="S1862" i="2"/>
  <c r="S1861" i="2"/>
  <c r="S1860" i="2"/>
  <c r="S1859" i="2"/>
  <c r="S1858" i="2"/>
  <c r="S1857" i="2"/>
  <c r="S1856" i="2"/>
  <c r="S1855" i="2"/>
  <c r="S1854" i="2"/>
  <c r="S1853" i="2"/>
  <c r="S1852" i="2"/>
  <c r="S1851" i="2"/>
  <c r="S1850" i="2"/>
  <c r="S1849" i="2"/>
  <c r="S1848" i="2"/>
  <c r="S1847" i="2"/>
  <c r="S1846" i="2"/>
  <c r="S1845" i="2"/>
  <c r="S1844" i="2"/>
  <c r="S1843" i="2"/>
  <c r="S1842" i="2"/>
  <c r="S1841" i="2"/>
  <c r="S1840" i="2"/>
  <c r="S1839" i="2"/>
  <c r="S1838" i="2"/>
  <c r="S1837" i="2"/>
  <c r="S1836" i="2"/>
  <c r="S1835" i="2"/>
  <c r="S1834" i="2"/>
  <c r="S1833" i="2"/>
  <c r="S1832" i="2"/>
  <c r="S1831" i="2"/>
  <c r="S1830" i="2"/>
  <c r="S1829" i="2"/>
  <c r="S1828" i="2"/>
  <c r="S1827" i="2"/>
  <c r="S1826" i="2"/>
  <c r="S1825" i="2"/>
  <c r="S1824" i="2"/>
  <c r="S1823" i="2"/>
  <c r="S1812" i="2"/>
  <c r="S1822" i="2"/>
  <c r="S1821" i="2"/>
  <c r="S1820" i="2"/>
  <c r="S1819" i="2"/>
  <c r="S1818" i="2"/>
  <c r="S1817" i="2"/>
  <c r="S1816" i="2"/>
  <c r="S1815" i="2"/>
  <c r="S1814" i="2"/>
  <c r="S1813" i="2"/>
  <c r="S1811" i="2"/>
  <c r="S1810" i="2"/>
  <c r="S1809" i="2"/>
  <c r="S1808" i="2"/>
  <c r="S1807" i="2"/>
  <c r="S1806" i="2"/>
  <c r="S1805" i="2"/>
  <c r="S1804" i="2"/>
  <c r="S1803" i="2"/>
  <c r="S1802" i="2"/>
  <c r="S1801" i="2"/>
  <c r="S1800" i="2"/>
  <c r="S1782" i="2"/>
  <c r="S1781" i="2"/>
  <c r="S1780" i="2"/>
  <c r="S1779" i="2"/>
  <c r="S1778" i="2"/>
  <c r="S1777" i="2"/>
  <c r="S1776" i="2"/>
  <c r="S1775" i="2"/>
  <c r="S1774" i="2"/>
  <c r="S1773" i="2"/>
  <c r="S1772" i="2"/>
  <c r="S1771" i="2"/>
  <c r="S1770" i="2"/>
  <c r="S1769" i="2"/>
  <c r="S1723" i="2"/>
  <c r="S1722" i="2"/>
  <c r="S1721" i="2"/>
  <c r="S1720" i="2"/>
  <c r="S1719" i="2"/>
  <c r="S1718" i="2"/>
  <c r="S1717" i="2"/>
  <c r="S1716" i="2"/>
  <c r="S1715" i="2"/>
  <c r="S1714" i="2"/>
  <c r="S1713" i="2"/>
  <c r="S1712" i="2"/>
  <c r="S1711" i="2"/>
  <c r="S1710" i="2"/>
  <c r="S1740" i="2"/>
  <c r="S1739" i="2"/>
  <c r="S1738" i="2"/>
  <c r="S1737" i="2"/>
  <c r="S1736" i="2"/>
  <c r="S1735" i="2"/>
  <c r="S1734" i="2"/>
  <c r="S1733" i="2"/>
  <c r="S1732" i="2"/>
  <c r="S1731" i="2"/>
  <c r="S1730" i="2"/>
  <c r="S1729" i="2"/>
  <c r="S1728" i="2"/>
  <c r="S1727" i="2"/>
  <c r="S1726" i="2"/>
  <c r="S1725" i="2"/>
  <c r="S1724" i="2"/>
  <c r="S1799" i="2"/>
  <c r="S1798" i="2"/>
  <c r="S1797" i="2"/>
  <c r="S1796" i="2"/>
  <c r="S1795" i="2"/>
  <c r="S1794" i="2"/>
  <c r="S1793" i="2"/>
  <c r="S1792" i="2"/>
  <c r="S1791" i="2"/>
  <c r="S1790" i="2"/>
  <c r="S1789" i="2"/>
  <c r="S1788" i="2"/>
  <c r="S1787" i="2"/>
  <c r="S1786" i="2"/>
  <c r="S1785" i="2"/>
  <c r="S1784" i="2"/>
  <c r="S1783" i="2"/>
  <c r="S1768" i="2"/>
  <c r="S1767" i="2"/>
  <c r="S1766" i="2"/>
  <c r="S1765" i="2"/>
  <c r="S1764" i="2"/>
  <c r="S1763" i="2"/>
  <c r="S1762" i="2"/>
  <c r="S1761" i="2"/>
  <c r="S1760" i="2"/>
  <c r="S1759" i="2"/>
  <c r="S1758" i="2"/>
  <c r="S1757" i="2"/>
  <c r="S1756" i="2"/>
  <c r="S1755" i="2"/>
  <c r="S1754" i="2"/>
  <c r="S1753" i="2"/>
  <c r="S1752" i="2"/>
  <c r="S1751" i="2"/>
  <c r="S1750" i="2"/>
  <c r="S1749" i="2"/>
  <c r="S1748" i="2"/>
  <c r="S1747" i="2"/>
  <c r="S1746" i="2"/>
  <c r="S1745" i="2"/>
  <c r="S1744" i="2"/>
  <c r="S1743" i="2"/>
  <c r="S1742" i="2"/>
  <c r="S1741" i="2"/>
  <c r="S1709" i="2"/>
  <c r="S1708" i="2"/>
  <c r="S1707" i="2"/>
  <c r="S1706" i="2"/>
  <c r="S1705" i="2"/>
  <c r="S1704" i="2"/>
  <c r="S1702" i="2"/>
  <c r="S1701" i="2"/>
  <c r="S1700" i="2"/>
  <c r="S1699" i="2"/>
  <c r="S1698" i="2"/>
  <c r="S1697" i="2"/>
  <c r="S1696" i="2"/>
  <c r="S1695" i="2"/>
  <c r="S1694" i="2"/>
  <c r="S1693" i="2"/>
  <c r="S1692" i="2"/>
  <c r="S1691" i="2"/>
  <c r="S1690" i="2"/>
  <c r="S1689" i="2"/>
  <c r="S1688" i="2"/>
  <c r="S1687" i="2"/>
  <c r="S1686" i="2"/>
  <c r="S1685" i="2"/>
  <c r="S1684" i="2"/>
  <c r="S1683" i="2"/>
  <c r="S1682" i="2"/>
  <c r="S1681" i="2"/>
  <c r="S1680" i="2"/>
  <c r="S1679" i="2"/>
  <c r="S1678" i="2"/>
  <c r="S1677" i="2"/>
  <c r="S1676" i="2"/>
  <c r="S1675" i="2"/>
  <c r="S1674" i="2"/>
  <c r="S1673" i="2"/>
  <c r="S1672" i="2"/>
  <c r="S1671" i="2"/>
  <c r="S1670" i="2"/>
  <c r="S1669" i="2"/>
  <c r="S1668" i="2"/>
  <c r="S1667" i="2"/>
  <c r="S1666" i="2"/>
  <c r="S1665" i="2"/>
  <c r="S1664" i="2"/>
  <c r="S1663" i="2"/>
  <c r="S1662" i="2"/>
  <c r="S1661" i="2"/>
  <c r="S1660" i="2"/>
  <c r="S1659" i="2"/>
  <c r="S1658" i="2"/>
  <c r="S1657" i="2"/>
  <c r="S1656" i="2"/>
  <c r="S1655" i="2"/>
  <c r="S1654" i="2"/>
  <c r="S1653" i="2"/>
  <c r="S1652" i="2"/>
  <c r="S1641" i="2"/>
  <c r="S1651" i="2"/>
  <c r="S1650" i="2"/>
  <c r="S1649" i="2"/>
  <c r="S1648" i="2"/>
  <c r="S1647" i="2"/>
  <c r="S1646" i="2"/>
  <c r="S1645" i="2"/>
  <c r="S1644" i="2"/>
  <c r="S1643" i="2"/>
  <c r="S1642" i="2"/>
  <c r="S1640" i="2"/>
  <c r="S1639" i="2"/>
  <c r="S1638" i="2"/>
  <c r="S1637" i="2"/>
  <c r="S1636" i="2"/>
  <c r="S1635" i="2"/>
  <c r="S1634" i="2"/>
  <c r="S1633" i="2"/>
  <c r="S1632" i="2"/>
  <c r="S1631" i="2"/>
  <c r="S1630" i="2"/>
  <c r="S1629" i="2"/>
  <c r="S1628" i="2"/>
  <c r="S1627" i="2"/>
  <c r="S1626" i="2"/>
  <c r="S1625" i="2"/>
  <c r="S1624" i="2"/>
  <c r="S1623" i="2"/>
  <c r="S1622" i="2"/>
  <c r="S1621" i="2"/>
  <c r="S1620" i="2"/>
  <c r="S1619" i="2"/>
  <c r="S1618" i="2"/>
  <c r="S1617" i="2"/>
  <c r="S1616" i="2"/>
  <c r="S1615" i="2"/>
  <c r="S1614" i="2"/>
  <c r="S1585" i="2"/>
  <c r="S1584" i="2"/>
  <c r="S1583" i="2"/>
  <c r="S1582" i="2"/>
  <c r="S1581" i="2"/>
  <c r="S1580" i="2"/>
  <c r="S1579" i="2"/>
  <c r="S1578" i="2"/>
  <c r="S1577" i="2"/>
  <c r="S1576" i="2"/>
  <c r="S1575" i="2"/>
  <c r="S1574" i="2"/>
  <c r="S1573" i="2"/>
  <c r="S1572" i="2"/>
  <c r="S1571" i="2"/>
  <c r="S1570" i="2"/>
  <c r="S1569" i="2"/>
  <c r="S1599" i="2"/>
  <c r="S1598" i="2"/>
  <c r="S1597" i="2"/>
  <c r="S1596" i="2"/>
  <c r="S1595" i="2"/>
  <c r="S1594" i="2"/>
  <c r="S1593" i="2"/>
  <c r="S1592" i="2"/>
  <c r="S1591" i="2"/>
  <c r="S1590" i="2"/>
  <c r="S1589" i="2"/>
  <c r="S1588" i="2"/>
  <c r="S1587" i="2"/>
  <c r="S1586" i="2"/>
  <c r="S1489" i="2"/>
  <c r="S1488" i="2"/>
  <c r="S1487" i="2"/>
  <c r="S1486" i="2"/>
  <c r="S1485" i="2"/>
  <c r="S1484" i="2"/>
  <c r="S1483" i="2"/>
  <c r="S1482" i="2"/>
  <c r="S1481" i="2"/>
  <c r="S1480" i="2"/>
  <c r="S1479" i="2"/>
  <c r="S1478" i="2"/>
  <c r="S1477" i="2"/>
  <c r="S1476" i="2"/>
  <c r="S1506" i="2"/>
  <c r="S1505" i="2"/>
  <c r="S1504" i="2"/>
  <c r="S1503" i="2"/>
  <c r="S1502" i="2"/>
  <c r="S1501" i="2"/>
  <c r="S1500" i="2"/>
  <c r="S1499" i="2"/>
  <c r="S1498" i="2"/>
  <c r="S1497" i="2"/>
  <c r="S1496" i="2"/>
  <c r="S1495" i="2"/>
  <c r="S1494" i="2"/>
  <c r="S1493" i="2"/>
  <c r="S1492" i="2"/>
  <c r="S1491" i="2"/>
  <c r="S1490" i="2"/>
  <c r="S1540" i="2"/>
  <c r="S1539" i="2"/>
  <c r="S1538" i="2"/>
  <c r="S1537" i="2"/>
  <c r="S1536" i="2"/>
  <c r="S1535" i="2"/>
  <c r="S1534" i="2"/>
  <c r="S1533" i="2"/>
  <c r="S1532" i="2"/>
  <c r="S1531" i="2"/>
  <c r="S1530" i="2"/>
  <c r="S1529" i="2"/>
  <c r="S1528" i="2"/>
  <c r="S1527" i="2"/>
  <c r="S1526" i="2"/>
  <c r="S1525" i="2"/>
  <c r="S1524" i="2"/>
  <c r="S1613" i="2"/>
  <c r="S1612" i="2"/>
  <c r="S1611" i="2"/>
  <c r="S1610" i="2"/>
  <c r="S1609" i="2"/>
  <c r="S1608" i="2"/>
  <c r="S1607" i="2"/>
  <c r="S1606" i="2"/>
  <c r="S1605" i="2"/>
  <c r="S1604" i="2"/>
  <c r="S1603" i="2"/>
  <c r="S1602" i="2"/>
  <c r="S1601" i="2"/>
  <c r="S1600" i="2"/>
  <c r="S1568" i="2"/>
  <c r="S1567" i="2"/>
  <c r="S1566" i="2"/>
  <c r="S1565" i="2"/>
  <c r="S1564" i="2"/>
  <c r="S1563" i="2"/>
  <c r="S1562" i="2"/>
  <c r="S1561" i="2"/>
  <c r="S1560" i="2"/>
  <c r="S1559" i="2"/>
  <c r="S1558" i="2"/>
  <c r="S1557" i="2"/>
  <c r="S1556" i="2"/>
  <c r="S1555" i="2"/>
  <c r="S1523" i="2"/>
  <c r="S1522" i="2"/>
  <c r="S1521" i="2"/>
  <c r="S1520" i="2"/>
  <c r="S1519" i="2"/>
  <c r="S1518" i="2"/>
  <c r="S1517" i="2"/>
  <c r="S1516" i="2"/>
  <c r="S1515" i="2"/>
  <c r="S1514" i="2"/>
  <c r="S1513" i="2"/>
  <c r="S1512" i="2"/>
  <c r="S1511" i="2"/>
  <c r="S1510" i="2"/>
  <c r="S1509" i="2"/>
  <c r="S1508" i="2"/>
  <c r="S1507" i="2"/>
  <c r="S1554" i="2"/>
  <c r="S1553" i="2"/>
  <c r="S1552" i="2"/>
  <c r="S1551" i="2"/>
  <c r="S1550" i="2"/>
  <c r="S1549" i="2"/>
  <c r="S1548" i="2"/>
  <c r="S1547" i="2"/>
  <c r="S1546" i="2"/>
  <c r="S1545" i="2"/>
  <c r="S1544" i="2"/>
  <c r="S1543" i="2"/>
  <c r="S1542" i="2"/>
  <c r="S1541" i="2"/>
  <c r="S1475" i="2"/>
  <c r="S1474" i="2"/>
  <c r="S1473" i="2"/>
  <c r="S1472" i="2"/>
  <c r="S1471" i="2"/>
  <c r="S1470" i="2"/>
  <c r="S1469" i="2"/>
  <c r="S1468" i="2"/>
  <c r="S1467" i="2"/>
  <c r="S1466" i="2"/>
  <c r="S1465" i="2"/>
  <c r="S1464" i="2"/>
  <c r="S1463" i="2"/>
  <c r="S1462" i="2"/>
  <c r="S1461" i="2"/>
  <c r="S1460" i="2"/>
  <c r="S1459" i="2"/>
  <c r="S1458" i="2"/>
  <c r="S1457" i="2"/>
  <c r="S1456" i="2"/>
  <c r="S1455" i="2"/>
  <c r="S1454" i="2"/>
  <c r="S1453" i="2"/>
  <c r="S1452" i="2"/>
  <c r="S1451" i="2"/>
  <c r="S1450" i="2"/>
  <c r="S1449" i="2"/>
  <c r="S1448" i="2"/>
  <c r="S1446" i="2"/>
  <c r="S1447" i="2"/>
  <c r="S1445" i="2"/>
  <c r="S1444" i="2"/>
  <c r="S1443" i="2"/>
  <c r="S1442" i="2"/>
  <c r="S1441" i="2"/>
  <c r="S1440" i="2"/>
  <c r="S1439" i="2"/>
  <c r="S1438" i="2"/>
  <c r="S1437" i="2"/>
  <c r="S1436" i="2"/>
  <c r="S1435" i="2"/>
  <c r="S1434" i="2"/>
  <c r="S1433" i="2"/>
  <c r="S1432" i="2"/>
  <c r="S1431" i="2"/>
  <c r="S1430" i="2"/>
  <c r="S1429" i="2"/>
  <c r="S1428" i="2"/>
  <c r="S1427" i="2"/>
  <c r="S1426" i="2"/>
  <c r="S1425" i="2"/>
  <c r="S1424" i="2"/>
  <c r="S1423" i="2"/>
  <c r="S1422" i="2"/>
  <c r="S1421" i="2"/>
  <c r="S1420" i="2"/>
  <c r="S1419" i="2"/>
  <c r="S1418" i="2"/>
  <c r="S1417" i="2"/>
  <c r="S1416" i="2"/>
  <c r="S1415" i="2"/>
  <c r="S1404" i="2"/>
  <c r="S1414" i="2"/>
  <c r="S1413" i="2"/>
  <c r="S1412" i="2"/>
  <c r="S1411" i="2"/>
  <c r="S1410" i="2"/>
  <c r="S1409" i="2"/>
  <c r="S1408" i="2"/>
  <c r="S1407" i="2"/>
  <c r="S1406" i="2"/>
  <c r="S1405" i="2"/>
  <c r="S1403" i="2"/>
  <c r="S1402" i="2"/>
  <c r="S1401" i="2"/>
  <c r="S1400" i="2"/>
  <c r="S1399" i="2"/>
  <c r="S1398" i="2"/>
  <c r="S1397" i="2"/>
  <c r="S1396" i="2"/>
  <c r="S1395" i="2"/>
  <c r="S1394" i="2"/>
  <c r="S1393" i="2"/>
  <c r="S1392" i="2"/>
  <c r="S1374" i="2"/>
  <c r="S1373" i="2"/>
  <c r="S1372" i="2"/>
  <c r="S1371" i="2"/>
  <c r="S1370" i="2"/>
  <c r="S1369" i="2"/>
  <c r="S1368" i="2"/>
  <c r="S1367" i="2"/>
  <c r="S1366" i="2"/>
  <c r="S1365" i="2"/>
  <c r="S1364" i="2"/>
  <c r="S1363" i="2"/>
  <c r="S1362" i="2"/>
  <c r="S1361" i="2"/>
  <c r="S1360" i="2"/>
  <c r="S1359" i="2"/>
  <c r="S1358" i="2"/>
  <c r="S1309" i="2"/>
  <c r="S1308" i="2"/>
  <c r="S1307" i="2"/>
  <c r="S1306" i="2"/>
  <c r="S1305" i="2"/>
  <c r="S1304" i="2"/>
  <c r="S1303" i="2"/>
  <c r="S1302" i="2"/>
  <c r="S1301" i="2"/>
  <c r="S1300" i="2"/>
  <c r="S1299" i="2"/>
  <c r="S1298" i="2"/>
  <c r="S1297" i="2"/>
  <c r="S1296" i="2"/>
  <c r="S1323" i="2"/>
  <c r="S1322" i="2"/>
  <c r="S1321" i="2"/>
  <c r="S1320" i="2"/>
  <c r="S1319" i="2"/>
  <c r="S1318" i="2"/>
  <c r="S1317" i="2"/>
  <c r="S1316" i="2"/>
  <c r="S1315" i="2"/>
  <c r="S1314" i="2"/>
  <c r="S1313" i="2"/>
  <c r="S1312" i="2"/>
  <c r="S1311" i="2"/>
  <c r="S1310" i="2"/>
  <c r="S1391" i="2"/>
  <c r="S1390" i="2"/>
  <c r="S1389" i="2"/>
  <c r="S1388" i="2"/>
  <c r="S1387" i="2"/>
  <c r="S1386" i="2"/>
  <c r="S1385" i="2"/>
  <c r="S1384" i="2"/>
  <c r="S1383" i="2"/>
  <c r="S1382" i="2"/>
  <c r="S1381" i="2"/>
  <c r="S1380" i="2"/>
  <c r="S1379" i="2"/>
  <c r="S1378" i="2"/>
  <c r="S1377" i="2"/>
  <c r="S1376" i="2"/>
  <c r="S1375" i="2"/>
  <c r="S1357" i="2"/>
  <c r="S1356" i="2"/>
  <c r="S1355" i="2"/>
  <c r="S1354" i="2"/>
  <c r="S1353" i="2"/>
  <c r="S1352" i="2"/>
  <c r="S1351" i="2"/>
  <c r="S1350" i="2"/>
  <c r="S1349" i="2"/>
  <c r="S1348" i="2"/>
  <c r="S1347" i="2"/>
  <c r="S1346" i="2"/>
  <c r="S1345" i="2"/>
  <c r="S1344" i="2"/>
  <c r="S1343" i="2"/>
  <c r="S1342" i="2"/>
  <c r="S1341" i="2"/>
  <c r="S1340" i="2"/>
  <c r="S1339" i="2"/>
  <c r="S1338" i="2"/>
  <c r="S1337" i="2"/>
  <c r="S1336" i="2"/>
  <c r="S1335" i="2"/>
  <c r="S1334" i="2"/>
  <c r="S1333" i="2"/>
  <c r="S1332" i="2"/>
  <c r="S1331" i="2"/>
  <c r="S1330" i="2"/>
  <c r="S1329" i="2"/>
  <c r="S1328" i="2"/>
  <c r="S1327" i="2"/>
  <c r="S1326" i="2"/>
  <c r="S1325" i="2"/>
  <c r="S1324" i="2"/>
  <c r="S1295" i="2"/>
  <c r="S1294" i="2"/>
  <c r="S1293" i="2"/>
  <c r="S1292" i="2"/>
  <c r="S1291" i="2"/>
  <c r="S1290" i="2"/>
  <c r="S1289" i="2"/>
  <c r="S1288" i="2"/>
  <c r="S1287" i="2"/>
  <c r="S1286" i="2"/>
  <c r="S1285" i="2"/>
  <c r="S1284" i="2"/>
  <c r="S1283" i="2"/>
  <c r="S1282" i="2"/>
  <c r="S1281" i="2"/>
  <c r="S1280" i="2"/>
  <c r="S1279" i="2"/>
  <c r="S1278" i="2"/>
  <c r="S1277" i="2"/>
  <c r="S1276" i="2"/>
  <c r="S1275" i="2"/>
  <c r="S1274" i="2"/>
  <c r="S1273" i="2"/>
  <c r="S1272" i="2"/>
  <c r="S1271" i="2"/>
  <c r="S1270" i="2"/>
  <c r="S1269" i="2"/>
  <c r="S1268" i="2"/>
  <c r="S1267" i="2"/>
  <c r="S1266" i="2"/>
  <c r="S1265" i="2"/>
  <c r="S1264" i="2"/>
  <c r="S1263" i="2"/>
  <c r="S1262" i="2"/>
  <c r="S1261" i="2"/>
  <c r="S1260" i="2"/>
  <c r="S1259" i="2"/>
  <c r="S1258" i="2"/>
  <c r="S1257" i="2"/>
  <c r="S1256" i="2"/>
  <c r="S1255" i="2"/>
  <c r="S1254" i="2"/>
  <c r="S1253" i="2"/>
  <c r="S1252" i="2"/>
  <c r="S1251" i="2"/>
  <c r="S1250" i="2"/>
  <c r="S1249" i="2"/>
  <c r="S1248" i="2"/>
  <c r="S1247" i="2"/>
  <c r="S1246" i="2"/>
  <c r="S1245" i="2"/>
  <c r="S1244" i="2"/>
  <c r="S1243" i="2"/>
  <c r="S1242" i="2"/>
  <c r="S1241" i="2"/>
  <c r="S1240" i="2"/>
  <c r="S1239" i="2"/>
  <c r="S1238" i="2"/>
  <c r="S1237" i="2"/>
  <c r="S1236" i="2"/>
  <c r="S1235" i="2"/>
  <c r="S1224" i="2"/>
  <c r="S1234" i="2"/>
  <c r="S1233" i="2"/>
  <c r="S1232" i="2"/>
  <c r="S1231" i="2"/>
  <c r="S1230" i="2"/>
  <c r="S1229" i="2"/>
  <c r="S1228" i="2"/>
  <c r="S1227" i="2"/>
  <c r="S1226" i="2"/>
  <c r="S1225" i="2"/>
  <c r="S1223" i="2"/>
  <c r="S1222" i="2"/>
  <c r="S1221" i="2"/>
  <c r="S1220" i="2"/>
  <c r="S1219" i="2"/>
  <c r="S1218" i="2"/>
  <c r="S1217" i="2"/>
  <c r="S1216" i="2"/>
  <c r="S1215" i="2"/>
  <c r="S1214" i="2"/>
  <c r="S1213" i="2"/>
  <c r="S1212" i="2"/>
  <c r="S1211" i="2"/>
  <c r="S1196" i="2"/>
  <c r="S1195" i="2"/>
  <c r="S1194" i="2"/>
  <c r="S1193" i="2"/>
  <c r="S1192" i="2"/>
  <c r="S1191" i="2"/>
  <c r="S1190" i="2"/>
  <c r="S1189" i="2"/>
  <c r="S1188" i="2"/>
  <c r="S1187" i="2"/>
  <c r="S1186" i="2"/>
  <c r="S1185" i="2"/>
  <c r="S1184" i="2"/>
  <c r="S1183" i="2"/>
  <c r="S1134" i="2"/>
  <c r="S1133" i="2"/>
  <c r="S1132" i="2"/>
  <c r="S1131" i="2"/>
  <c r="S1130" i="2"/>
  <c r="S1129" i="2"/>
  <c r="S1128" i="2"/>
  <c r="S1127" i="2"/>
  <c r="S1126" i="2"/>
  <c r="S1125" i="2"/>
  <c r="S1124" i="2"/>
  <c r="S1123" i="2"/>
  <c r="S1122" i="2"/>
  <c r="S1121" i="2"/>
  <c r="S1151" i="2"/>
  <c r="S1150" i="2"/>
  <c r="S1149" i="2"/>
  <c r="S1148" i="2"/>
  <c r="S1147" i="2"/>
  <c r="S1146" i="2"/>
  <c r="S1145" i="2"/>
  <c r="S1144" i="2"/>
  <c r="S1143" i="2"/>
  <c r="S1142" i="2"/>
  <c r="S1141" i="2"/>
  <c r="S1140" i="2"/>
  <c r="S1139" i="2"/>
  <c r="S1138" i="2"/>
  <c r="S1137" i="2"/>
  <c r="S1136" i="2"/>
  <c r="S1135" i="2"/>
  <c r="S1210" i="2"/>
  <c r="S1209" i="2"/>
  <c r="S1208" i="2"/>
  <c r="S1207" i="2"/>
  <c r="S1206" i="2"/>
  <c r="S1205" i="2"/>
  <c r="S1204" i="2"/>
  <c r="S1203" i="2"/>
  <c r="S1202" i="2"/>
  <c r="S1201" i="2"/>
  <c r="S1200" i="2"/>
  <c r="S1199" i="2"/>
  <c r="S1198" i="2"/>
  <c r="S1197" i="2"/>
  <c r="S1182" i="2"/>
  <c r="S1181" i="2"/>
  <c r="S1180" i="2"/>
  <c r="S1179" i="2"/>
  <c r="S1178" i="2"/>
  <c r="S1177" i="2"/>
  <c r="S1176" i="2"/>
  <c r="S1175" i="2"/>
  <c r="S1174" i="2"/>
  <c r="S1173" i="2"/>
  <c r="S1172" i="2"/>
  <c r="S1171" i="2"/>
  <c r="S1170" i="2"/>
  <c r="S1169" i="2"/>
  <c r="S1168" i="2"/>
  <c r="S1167" i="2"/>
  <c r="S1166" i="2"/>
  <c r="S1165" i="2"/>
  <c r="S1164" i="2"/>
  <c r="S1163" i="2"/>
  <c r="S1162" i="2"/>
  <c r="S1161" i="2"/>
  <c r="S1160" i="2"/>
  <c r="S1159" i="2"/>
  <c r="S1158" i="2"/>
  <c r="S1157" i="2"/>
  <c r="S1156" i="2"/>
  <c r="S1155" i="2"/>
  <c r="S1154" i="2"/>
  <c r="S1153" i="2"/>
  <c r="S1152" i="2"/>
  <c r="S1120" i="2"/>
  <c r="S1119" i="2"/>
  <c r="S1118" i="2"/>
  <c r="S1117" i="2"/>
  <c r="S1116" i="2"/>
  <c r="S1115" i="2"/>
  <c r="S1114" i="2"/>
  <c r="S1113" i="2"/>
  <c r="S1112" i="2"/>
  <c r="S1111" i="2"/>
  <c r="S1110" i="2"/>
  <c r="S1109" i="2"/>
  <c r="S1108" i="2"/>
  <c r="S1107" i="2"/>
  <c r="S1106" i="2"/>
  <c r="S1105" i="2"/>
  <c r="S1104" i="2"/>
  <c r="S1103" i="2"/>
  <c r="S1102" i="2"/>
  <c r="S1101" i="2"/>
  <c r="S1100" i="2"/>
  <c r="S1099" i="2"/>
  <c r="S1098" i="2"/>
  <c r="S1097" i="2"/>
  <c r="S1096" i="2"/>
  <c r="S1095" i="2"/>
  <c r="S1094" i="2"/>
  <c r="S1093" i="2"/>
  <c r="S1092" i="2"/>
  <c r="S1091" i="2"/>
  <c r="S1090" i="2"/>
  <c r="S1089" i="2"/>
  <c r="S1088" i="2"/>
  <c r="S1087" i="2"/>
  <c r="S1086" i="2"/>
  <c r="S1085" i="2"/>
  <c r="S1084" i="2"/>
  <c r="S1083" i="2"/>
  <c r="S1082" i="2"/>
  <c r="S1081" i="2"/>
  <c r="S1080" i="2"/>
  <c r="S1079" i="2"/>
  <c r="S1078" i="2"/>
  <c r="S1077" i="2"/>
  <c r="S1076" i="2"/>
  <c r="S1075" i="2"/>
  <c r="S1074" i="2"/>
  <c r="S1073" i="2"/>
  <c r="S1072" i="2"/>
  <c r="S1071" i="2"/>
  <c r="S1070" i="2"/>
  <c r="S1069" i="2"/>
  <c r="S1068" i="2"/>
  <c r="S1067" i="2"/>
  <c r="S1066" i="2"/>
  <c r="S1065" i="2"/>
  <c r="S1064" i="2"/>
  <c r="S1063" i="2"/>
  <c r="S1062" i="2"/>
  <c r="S1061" i="2"/>
  <c r="S1060" i="2"/>
  <c r="S1049" i="2"/>
  <c r="S1059" i="2"/>
  <c r="S1058" i="2"/>
  <c r="S1057" i="2"/>
  <c r="S1055" i="2"/>
  <c r="S1054" i="2"/>
  <c r="S1053" i="2"/>
  <c r="S1052" i="2"/>
  <c r="S1051" i="2"/>
  <c r="S1050" i="2"/>
  <c r="S1048" i="2"/>
  <c r="S1047" i="2"/>
  <c r="S1046" i="2"/>
  <c r="S1045" i="2"/>
  <c r="S1044" i="2"/>
  <c r="S1043" i="2"/>
  <c r="S1042" i="2"/>
  <c r="S1041" i="2"/>
  <c r="S1040" i="2"/>
  <c r="S1039" i="2"/>
  <c r="S1038" i="2"/>
  <c r="S1037" i="2"/>
  <c r="S1036" i="2"/>
  <c r="S1007" i="2"/>
  <c r="S1006" i="2"/>
  <c r="S1005" i="2"/>
  <c r="S1004" i="2"/>
  <c r="S1003" i="2"/>
  <c r="S1002" i="2"/>
  <c r="S1001" i="2"/>
  <c r="S1000" i="2"/>
  <c r="S999" i="2"/>
  <c r="S998" i="2"/>
  <c r="S997" i="2"/>
  <c r="S996" i="2"/>
  <c r="S995" i="2"/>
  <c r="S994" i="2"/>
  <c r="S1021" i="2"/>
  <c r="S1020" i="2"/>
  <c r="S1019" i="2"/>
  <c r="S1018" i="2"/>
  <c r="S1017" i="2"/>
  <c r="S1016" i="2"/>
  <c r="S1015" i="2"/>
  <c r="S1014" i="2"/>
  <c r="S1013" i="2"/>
  <c r="S1012" i="2"/>
  <c r="S1011" i="2"/>
  <c r="S1010" i="2"/>
  <c r="S1009" i="2"/>
  <c r="S1008" i="2"/>
  <c r="S945" i="2"/>
  <c r="S944" i="2"/>
  <c r="S943" i="2"/>
  <c r="S942" i="2"/>
  <c r="S941" i="2"/>
  <c r="S940" i="2"/>
  <c r="S939" i="2"/>
  <c r="S938" i="2"/>
  <c r="S937" i="2"/>
  <c r="S936" i="2"/>
  <c r="S935" i="2"/>
  <c r="S934" i="2"/>
  <c r="S933" i="2"/>
  <c r="S932" i="2"/>
  <c r="S931" i="2"/>
  <c r="S930" i="2"/>
  <c r="S929" i="2"/>
  <c r="S976" i="2"/>
  <c r="S975" i="2"/>
  <c r="S974" i="2"/>
  <c r="S973" i="2"/>
  <c r="S972" i="2"/>
  <c r="S971" i="2"/>
  <c r="S970" i="2"/>
  <c r="S969" i="2"/>
  <c r="S968" i="2"/>
  <c r="S967" i="2"/>
  <c r="S966" i="2"/>
  <c r="S965" i="2"/>
  <c r="S964" i="2"/>
  <c r="S963" i="2"/>
  <c r="S1035" i="2"/>
  <c r="S1034" i="2"/>
  <c r="S1033" i="2"/>
  <c r="S1032" i="2"/>
  <c r="S1031" i="2"/>
  <c r="S1030" i="2"/>
  <c r="S1029" i="2"/>
  <c r="S1028" i="2"/>
  <c r="S1027" i="2"/>
  <c r="S1026" i="2"/>
  <c r="S1025" i="2"/>
  <c r="S1024" i="2"/>
  <c r="S1023" i="2"/>
  <c r="S1022" i="2"/>
  <c r="S962" i="2"/>
  <c r="S961" i="2"/>
  <c r="S960" i="2"/>
  <c r="S959" i="2"/>
  <c r="S958" i="2"/>
  <c r="S957" i="2"/>
  <c r="S956" i="2"/>
  <c r="S955" i="2"/>
  <c r="S954" i="2"/>
  <c r="S953" i="2"/>
  <c r="S952" i="2"/>
  <c r="S951" i="2"/>
  <c r="S950" i="2"/>
  <c r="S949" i="2"/>
  <c r="S948" i="2"/>
  <c r="S947" i="2"/>
  <c r="S946" i="2"/>
  <c r="S993" i="2"/>
  <c r="S992" i="2"/>
  <c r="S991" i="2"/>
  <c r="S990" i="2"/>
  <c r="S989" i="2"/>
  <c r="S988" i="2"/>
  <c r="S987" i="2"/>
  <c r="S986" i="2"/>
  <c r="S985" i="2"/>
  <c r="S984" i="2"/>
  <c r="S983" i="2"/>
  <c r="S982" i="2"/>
  <c r="S981" i="2"/>
  <c r="S980" i="2"/>
  <c r="S979" i="2"/>
  <c r="S978" i="2"/>
  <c r="S977" i="2"/>
  <c r="S928" i="2"/>
  <c r="S927" i="2"/>
  <c r="S926" i="2"/>
  <c r="S925" i="2"/>
  <c r="S924" i="2"/>
  <c r="S923" i="2"/>
  <c r="S922" i="2"/>
  <c r="S921" i="2"/>
  <c r="S920" i="2"/>
  <c r="S919" i="2"/>
  <c r="S918" i="2"/>
  <c r="S917" i="2"/>
  <c r="S916" i="2"/>
  <c r="S915" i="2"/>
  <c r="S914" i="2"/>
  <c r="S913" i="2"/>
  <c r="S912" i="2"/>
  <c r="S911" i="2"/>
  <c r="S910" i="2"/>
  <c r="S909" i="2"/>
  <c r="S908" i="2"/>
  <c r="S907" i="2"/>
  <c r="S906" i="2"/>
  <c r="S905" i="2"/>
  <c r="S904" i="2"/>
  <c r="S903" i="2"/>
  <c r="S902" i="2"/>
  <c r="S901" i="2"/>
  <c r="S900" i="2"/>
  <c r="S899" i="2"/>
  <c r="S898" i="2"/>
  <c r="S897" i="2"/>
  <c r="S896" i="2"/>
  <c r="S895" i="2"/>
  <c r="S894" i="2"/>
  <c r="S893" i="2"/>
  <c r="S892" i="2"/>
  <c r="S891" i="2"/>
  <c r="S890" i="2"/>
  <c r="S889" i="2"/>
  <c r="S888" i="2"/>
  <c r="S887" i="2"/>
  <c r="S886" i="2"/>
  <c r="S885" i="2"/>
  <c r="S884" i="2"/>
  <c r="S883" i="2"/>
  <c r="S882" i="2"/>
  <c r="S881" i="2"/>
  <c r="S880" i="2"/>
  <c r="S879" i="2"/>
  <c r="S878" i="2"/>
  <c r="S877" i="2"/>
  <c r="S876" i="2"/>
  <c r="S875" i="2"/>
  <c r="S874" i="2"/>
  <c r="S873" i="2"/>
  <c r="S872" i="2"/>
  <c r="S871" i="2"/>
  <c r="S870" i="2"/>
  <c r="S869" i="2"/>
  <c r="S868" i="2"/>
  <c r="S857" i="2"/>
  <c r="S867" i="2"/>
  <c r="S866" i="2"/>
  <c r="S865" i="2"/>
  <c r="S864" i="2"/>
  <c r="S863" i="2"/>
  <c r="S862" i="2"/>
  <c r="S861" i="2"/>
  <c r="S860" i="2"/>
  <c r="S859" i="2"/>
  <c r="S858" i="2"/>
  <c r="S856" i="2"/>
  <c r="S855" i="2"/>
  <c r="S854" i="2"/>
  <c r="S853" i="2"/>
  <c r="S852" i="2"/>
  <c r="S851" i="2"/>
  <c r="S850" i="2"/>
  <c r="S849" i="2"/>
  <c r="S848" i="2"/>
  <c r="S847" i="2"/>
  <c r="S846" i="2"/>
  <c r="S845" i="2"/>
  <c r="S844" i="2"/>
  <c r="S843" i="2"/>
  <c r="S842" i="2"/>
  <c r="S841" i="2"/>
  <c r="S840" i="2"/>
  <c r="S839" i="2"/>
  <c r="S838" i="2"/>
  <c r="S837" i="2"/>
  <c r="S836" i="2"/>
  <c r="S835" i="2"/>
  <c r="S834" i="2"/>
  <c r="S833" i="2"/>
  <c r="S832" i="2"/>
  <c r="S831" i="2"/>
  <c r="S830" i="2"/>
  <c r="S829" i="2"/>
  <c r="S828" i="2"/>
  <c r="S827" i="2"/>
  <c r="S826" i="2"/>
  <c r="S825" i="2"/>
  <c r="S824" i="2"/>
  <c r="S823" i="2"/>
  <c r="S822" i="2"/>
  <c r="S821" i="2"/>
  <c r="S820" i="2"/>
  <c r="S819" i="2"/>
  <c r="S818" i="2"/>
  <c r="S817" i="2"/>
  <c r="S816" i="2"/>
  <c r="S815" i="2"/>
  <c r="S814" i="2"/>
  <c r="S813" i="2"/>
  <c r="S812" i="2"/>
  <c r="S811" i="2"/>
  <c r="S810" i="2"/>
  <c r="S809" i="2"/>
  <c r="S808" i="2"/>
  <c r="S807" i="2"/>
  <c r="S806" i="2"/>
  <c r="S805" i="2"/>
  <c r="S804" i="2"/>
  <c r="S803" i="2"/>
  <c r="S802" i="2"/>
  <c r="S801" i="2"/>
  <c r="S800" i="2"/>
  <c r="S799" i="2"/>
  <c r="S798" i="2"/>
  <c r="S797" i="2"/>
  <c r="S796" i="2"/>
  <c r="S795" i="2"/>
  <c r="S794" i="2"/>
  <c r="S793" i="2"/>
  <c r="S792" i="2"/>
  <c r="S791" i="2"/>
  <c r="S790" i="2"/>
  <c r="S789" i="2"/>
  <c r="S788" i="2"/>
  <c r="S787" i="2"/>
  <c r="S786" i="2"/>
  <c r="S785" i="2"/>
  <c r="S784" i="2"/>
  <c r="S783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782" i="2"/>
  <c r="S781" i="2"/>
  <c r="S780" i="2"/>
  <c r="S779" i="2"/>
  <c r="S778" i="2"/>
  <c r="S777" i="2"/>
  <c r="S776" i="2"/>
  <c r="S775" i="2"/>
  <c r="S774" i="2"/>
  <c r="S773" i="2"/>
  <c r="S772" i="2"/>
  <c r="S771" i="2"/>
  <c r="S770" i="2"/>
  <c r="S769" i="2"/>
  <c r="S768" i="2"/>
  <c r="S767" i="2"/>
  <c r="S766" i="2"/>
  <c r="S765" i="2"/>
  <c r="S764" i="2"/>
  <c r="S763" i="2"/>
  <c r="S762" i="2"/>
  <c r="S761" i="2"/>
  <c r="S760" i="2"/>
  <c r="S759" i="2"/>
  <c r="S758" i="2"/>
  <c r="S757" i="2"/>
  <c r="S756" i="2"/>
  <c r="S755" i="2"/>
  <c r="S754" i="2"/>
  <c r="S753" i="2"/>
  <c r="S752" i="2"/>
  <c r="S751" i="2"/>
  <c r="S750" i="2"/>
  <c r="S749" i="2"/>
  <c r="S748" i="2"/>
  <c r="S747" i="2"/>
  <c r="S746" i="2"/>
  <c r="S745" i="2"/>
  <c r="S744" i="2"/>
  <c r="S743" i="2"/>
  <c r="S742" i="2"/>
  <c r="S741" i="2"/>
  <c r="S740" i="2"/>
  <c r="S739" i="2"/>
  <c r="S738" i="2"/>
  <c r="S737" i="2"/>
  <c r="S736" i="2"/>
  <c r="S735" i="2"/>
  <c r="S734" i="2"/>
  <c r="S733" i="2"/>
  <c r="S732" i="2"/>
  <c r="S731" i="2"/>
  <c r="S730" i="2"/>
  <c r="S729" i="2"/>
  <c r="S728" i="2"/>
  <c r="S727" i="2"/>
  <c r="S726" i="2"/>
  <c r="S725" i="2"/>
  <c r="S724" i="2"/>
  <c r="S723" i="2"/>
  <c r="S722" i="2"/>
  <c r="S721" i="2"/>
  <c r="S720" i="2"/>
  <c r="S719" i="2"/>
  <c r="S718" i="2"/>
  <c r="S717" i="2"/>
  <c r="S716" i="2"/>
  <c r="S715" i="2"/>
  <c r="S714" i="2"/>
  <c r="S713" i="2"/>
  <c r="S712" i="2"/>
  <c r="S711" i="2"/>
  <c r="S710" i="2"/>
  <c r="S709" i="2"/>
  <c r="S708" i="2"/>
  <c r="S707" i="2"/>
  <c r="S706" i="2"/>
  <c r="S705" i="2"/>
  <c r="S704" i="2"/>
  <c r="S703" i="2"/>
  <c r="S702" i="2"/>
  <c r="S701" i="2"/>
  <c r="S700" i="2"/>
  <c r="S699" i="2"/>
  <c r="S698" i="2"/>
  <c r="S697" i="2"/>
  <c r="S696" i="2"/>
  <c r="S695" i="2"/>
  <c r="S694" i="2"/>
  <c r="S693" i="2"/>
  <c r="S692" i="2"/>
  <c r="S691" i="2"/>
  <c r="S690" i="2"/>
  <c r="S689" i="2"/>
  <c r="S688" i="2"/>
  <c r="S687" i="2"/>
  <c r="S686" i="2"/>
  <c r="S685" i="2"/>
  <c r="S684" i="2"/>
  <c r="S683" i="2"/>
  <c r="S682" i="2"/>
  <c r="S681" i="2"/>
  <c r="S680" i="2"/>
  <c r="S679" i="2"/>
  <c r="S678" i="2"/>
  <c r="S677" i="2"/>
  <c r="S676" i="2"/>
  <c r="S675" i="2"/>
  <c r="S674" i="2"/>
  <c r="S673" i="2"/>
  <c r="S672" i="2"/>
  <c r="S671" i="2"/>
  <c r="S670" i="2"/>
  <c r="S669" i="2"/>
  <c r="S668" i="2"/>
  <c r="S667" i="2"/>
  <c r="S666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57" i="2"/>
  <c r="S56" i="2"/>
  <c r="S55" i="2"/>
  <c r="S54" i="2"/>
  <c r="S53" i="2"/>
  <c r="S52" i="2"/>
  <c r="S42" i="2"/>
  <c r="S41" i="2"/>
  <c r="S40" i="2"/>
  <c r="S39" i="2"/>
  <c r="S51" i="2"/>
  <c r="S50" i="2"/>
  <c r="S49" i="2"/>
  <c r="S48" i="2"/>
  <c r="S47" i="2"/>
  <c r="S46" i="2"/>
  <c r="S45" i="2"/>
  <c r="S44" i="2"/>
  <c r="S43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1" i="2"/>
  <c r="S130" i="2"/>
  <c r="S129" i="2"/>
  <c r="S128" i="2"/>
  <c r="S127" i="2"/>
  <c r="S126" i="2"/>
  <c r="S125" i="2"/>
  <c r="S124" i="2"/>
  <c r="S123" i="2"/>
  <c r="S122" i="2"/>
  <c r="S121" i="2"/>
  <c r="S132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" i="2"/>
  <c r="S4" i="2"/>
  <c r="S3" i="2"/>
  <c r="S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<sst xmlns="http://schemas.openxmlformats.org/spreadsheetml/2006/main" count="38922" uniqueCount="10832">
  <si>
    <t>ยศ</t>
  </si>
  <si>
    <t>เพศ</t>
  </si>
  <si>
    <t>ชื่อ-นามสกุล</t>
  </si>
  <si>
    <t>ชื่อตำแหน่ง</t>
  </si>
  <si>
    <t>เลขตำแหน่ง</t>
  </si>
  <si>
    <t>วันแต่งตั้งครั้งสุดท้าย</t>
  </si>
  <si>
    <t>ระดับนี้เมื่อ</t>
  </si>
  <si>
    <t>วดป.เกิด</t>
  </si>
  <si>
    <t>คุณวุฒิ</t>
  </si>
  <si>
    <t>ภูมิลำเนา</t>
  </si>
  <si>
    <t>คำสั่งแต่งตั้ง</t>
  </si>
  <si>
    <t>เกษียณ</t>
  </si>
  <si>
    <t>ชาย</t>
  </si>
  <si>
    <t>กรุงเทพมหานคร</t>
  </si>
  <si>
    <t>อำนวยการและสนับสนุน</t>
  </si>
  <si>
    <t>นครปฐม</t>
  </si>
  <si>
    <t>สงขลา</t>
  </si>
  <si>
    <t>ชลบุรี</t>
  </si>
  <si>
    <t>ตำแหน่งว่าง</t>
  </si>
  <si>
    <t/>
  </si>
  <si>
    <t>บก.อก.สพฐ.ตร.</t>
  </si>
  <si>
    <t>หญิง</t>
  </si>
  <si>
    <t>นครนายก</t>
  </si>
  <si>
    <t>ลพบุรี</t>
  </si>
  <si>
    <t>เชียงราย</t>
  </si>
  <si>
    <t>กาญจนบุรี</t>
  </si>
  <si>
    <t>ร.ต.ท.</t>
  </si>
  <si>
    <t>ธุรการ</t>
  </si>
  <si>
    <t>นครราชสีมา</t>
  </si>
  <si>
    <t>สพฐ.ตร.61/66</t>
  </si>
  <si>
    <t>ว่าที่ ร.ต.อ.</t>
  </si>
  <si>
    <t>ศศ.บ.</t>
  </si>
  <si>
    <t>มหาสารคาม</t>
  </si>
  <si>
    <t>พัทลุง</t>
  </si>
  <si>
    <t>สกลนคร</t>
  </si>
  <si>
    <t>ปทุมธานี</t>
  </si>
  <si>
    <t>ขอนแก่น</t>
  </si>
  <si>
    <t>วท.บ.</t>
  </si>
  <si>
    <t>นนทบุรี</t>
  </si>
  <si>
    <t>กำแพงเพชร</t>
  </si>
  <si>
    <t>พิษณุโลก</t>
  </si>
  <si>
    <t>ชัยนาท</t>
  </si>
  <si>
    <t>เพชรบุรี</t>
  </si>
  <si>
    <t>การเงินและบัญชี</t>
  </si>
  <si>
    <t>ว่าที่ ร.ต.ท.</t>
  </si>
  <si>
    <t>ป.ตรี</t>
  </si>
  <si>
    <t>ร้อยเอ็ด</t>
  </si>
  <si>
    <t>เชียงใหม่</t>
  </si>
  <si>
    <t>บัญชี</t>
  </si>
  <si>
    <t>สมุทรสาคร</t>
  </si>
  <si>
    <t>อุบลราชธานี</t>
  </si>
  <si>
    <t>กพอ.</t>
  </si>
  <si>
    <t>วิทยาการ</t>
  </si>
  <si>
    <t>สุพรรณบุรี</t>
  </si>
  <si>
    <t>ศขบ.</t>
  </si>
  <si>
    <t>เก็บกู้และตรวจวัตถุระเบิด</t>
  </si>
  <si>
    <t>ลำปาง</t>
  </si>
  <si>
    <t>นครศรีธรรมราช</t>
  </si>
  <si>
    <t>ปัตตานี</t>
  </si>
  <si>
    <t>ช่างไฟฟ้า</t>
  </si>
  <si>
    <t>ว่าที่ ร.ต.ต.</t>
  </si>
  <si>
    <t>สมุทรปราการ</t>
  </si>
  <si>
    <t>ทว.</t>
  </si>
  <si>
    <t>สระบุรี</t>
  </si>
  <si>
    <t>สุราษฎร์ธานี</t>
  </si>
  <si>
    <t>อำนาจเจริญ</t>
  </si>
  <si>
    <t>บธ.บ.(การตลาด)</t>
  </si>
  <si>
    <t>สพฐ.ตร.185/62</t>
  </si>
  <si>
    <t>บธ.บ.</t>
  </si>
  <si>
    <t>นบ.</t>
  </si>
  <si>
    <t>ระยอง</t>
  </si>
  <si>
    <t>หนองคาย</t>
  </si>
  <si>
    <t>นครสวรรค์</t>
  </si>
  <si>
    <t>ยโสธร</t>
  </si>
  <si>
    <t>สพฐ.ตร.62/66</t>
  </si>
  <si>
    <t>ฉะเชิงเทรา</t>
  </si>
  <si>
    <t>ตร.549/59</t>
  </si>
  <si>
    <t>พะเยา</t>
  </si>
  <si>
    <t>อุดรธานี</t>
  </si>
  <si>
    <t>แพร่</t>
  </si>
  <si>
    <t>ศรีสะเกษ</t>
  </si>
  <si>
    <t>กาฬสินธุ์</t>
  </si>
  <si>
    <t>ม.6</t>
  </si>
  <si>
    <t>อุทัยธานี</t>
  </si>
  <si>
    <t>ชุมพร</t>
  </si>
  <si>
    <t>กระบี่</t>
  </si>
  <si>
    <t>ประจวบคีรีขันธ์</t>
  </si>
  <si>
    <t>สิงห์บุรี</t>
  </si>
  <si>
    <t>สุรินทร์</t>
  </si>
  <si>
    <t>เพชรบูรณ์</t>
  </si>
  <si>
    <t>บุรีรัมย์</t>
  </si>
  <si>
    <t>ราชบุรี</t>
  </si>
  <si>
    <t>พฐก.</t>
  </si>
  <si>
    <t>ตรัง</t>
  </si>
  <si>
    <t>นครพนม</t>
  </si>
  <si>
    <t>สุโขทัย</t>
  </si>
  <si>
    <t>นราธิวาส</t>
  </si>
  <si>
    <t>พระนครศรีอยุธยา</t>
  </si>
  <si>
    <t>ภูเก็ต</t>
  </si>
  <si>
    <t>สระแก้ว</t>
  </si>
  <si>
    <t>ยะลา</t>
  </si>
  <si>
    <t>เลย</t>
  </si>
  <si>
    <t>ปราจีนบุรี</t>
  </si>
  <si>
    <t>พิจิตร</t>
  </si>
  <si>
    <t>อุตรดิตถ์</t>
  </si>
  <si>
    <t>สฝจ.</t>
  </si>
  <si>
    <t>น่าน</t>
  </si>
  <si>
    <t>คบ.</t>
  </si>
  <si>
    <t>อ่างทอง</t>
  </si>
  <si>
    <t>ศพฐ.1</t>
  </si>
  <si>
    <t>ตร.285/59</t>
  </si>
  <si>
    <t>บธ.บ.,รป.ม.</t>
  </si>
  <si>
    <t>ปวช.</t>
  </si>
  <si>
    <t>ศพฐ.2</t>
  </si>
  <si>
    <t>รป.บ.</t>
  </si>
  <si>
    <t>กอส.</t>
  </si>
  <si>
    <t>วท.บ.(เทคโนโลยีชีวภาพ)</t>
  </si>
  <si>
    <t>ชัยภูมิ</t>
  </si>
  <si>
    <t>จันทบุรี</t>
  </si>
  <si>
    <t>น.บ.</t>
  </si>
  <si>
    <t>ตราด</t>
  </si>
  <si>
    <t>สพฐ.ตร.28/65</t>
  </si>
  <si>
    <t>ศพฐ.3</t>
  </si>
  <si>
    <t>ลำพูน</t>
  </si>
  <si>
    <t>หนองบัวลำภู</t>
  </si>
  <si>
    <t xml:space="preserve"> นครราชสีมา</t>
  </si>
  <si>
    <t>ตาก</t>
  </si>
  <si>
    <t>มุกดาหาร</t>
  </si>
  <si>
    <t>ศพฐ.4</t>
  </si>
  <si>
    <t>รบ., รป.ม.</t>
  </si>
  <si>
    <t>ศศ.บ., ร.ม.</t>
  </si>
  <si>
    <t>ปวช.,ร.บ.</t>
  </si>
  <si>
    <t>สพฐ.ตร. 28/65</t>
  </si>
  <si>
    <t>ปวช.,บธ.บ.</t>
  </si>
  <si>
    <t>บธ.บ.(คอมพิวเตอร์ธุรกิจ)</t>
  </si>
  <si>
    <t>บึงกาฬ</t>
  </si>
  <si>
    <t>ศพฐ.5</t>
  </si>
  <si>
    <t>แม่ฮ่องสอน</t>
  </si>
  <si>
    <t>ศพฐ.6</t>
  </si>
  <si>
    <t>ศพฐ.7</t>
  </si>
  <si>
    <t>สมุทรสงคราม</t>
  </si>
  <si>
    <t>ศพฐ.8</t>
  </si>
  <si>
    <t>ตร.285/2559</t>
  </si>
  <si>
    <t>ระนอง</t>
  </si>
  <si>
    <t>ศพฐ.9</t>
  </si>
  <si>
    <t>สตูล</t>
  </si>
  <si>
    <t>ศพฐ.10</t>
  </si>
  <si>
    <t>วันบรรจุ</t>
  </si>
  <si>
    <t>ผบ.หมู่ สพฐ.ตร.</t>
  </si>
  <si>
    <t>2700 12301 0001</t>
  </si>
  <si>
    <t>2700 12357 0001</t>
  </si>
  <si>
    <t>2700 12301 0002</t>
  </si>
  <si>
    <t>2700 12357 0002</t>
  </si>
  <si>
    <t>2700 12301 0003</t>
  </si>
  <si>
    <t>2700 12357 0003</t>
  </si>
  <si>
    <t>2700 12301 0004</t>
  </si>
  <si>
    <t>2700 12357 0004</t>
  </si>
  <si>
    <t>ด.ต.</t>
  </si>
  <si>
    <t>วรางคณา สายเป้า</t>
  </si>
  <si>
    <t>ผบ.หมู่ บก.อก.สพฐ.ตร.</t>
  </si>
  <si>
    <t>2701 12301 0001</t>
  </si>
  <si>
    <t>2701 12357 0001</t>
  </si>
  <si>
    <t>ปวช., ศศ.บ.</t>
  </si>
  <si>
    <t>กรุงเทพฯ</t>
  </si>
  <si>
    <t>สพฐ.ตร.428/52</t>
  </si>
  <si>
    <t>2701 12301 0002</t>
  </si>
  <si>
    <t>2701 12357 0002</t>
  </si>
  <si>
    <t>2701 12301 0003</t>
  </si>
  <si>
    <t>2701 12357 0003</t>
  </si>
  <si>
    <t>ส.ต.ต.</t>
  </si>
  <si>
    <t>สุกัญญา ทาระจีน</t>
  </si>
  <si>
    <t>ผบ.หมู่ ฝธร.บก.อก.สพฐ.ตร.</t>
  </si>
  <si>
    <t>2701 12301 0004</t>
  </si>
  <si>
    <t>2701 12357 0004</t>
  </si>
  <si>
    <t>สพฐ.ตร.125/66</t>
  </si>
  <si>
    <t>กมลวรรณ ดอกไม้</t>
  </si>
  <si>
    <t>2701 12301 0005</t>
  </si>
  <si>
    <t>2701 12357 0005</t>
  </si>
  <si>
    <t>นวเรศ กิ่งงาม</t>
  </si>
  <si>
    <t>ผบ.หมู่ ฝธร.บก.อก.สพฐ.ตร</t>
  </si>
  <si>
    <t>2701 12301 0006</t>
  </si>
  <si>
    <t>2701 12357 0006</t>
  </si>
  <si>
    <t>ส.ต.ท.</t>
  </si>
  <si>
    <t>เจนบดินทร์ อยู่เป็นสุข</t>
  </si>
  <si>
    <t>2701 12301 0007</t>
  </si>
  <si>
    <t>2701 12357 0007</t>
  </si>
  <si>
    <t>สพฐ.ตร.28/61</t>
  </si>
  <si>
    <t>พิยดา ประทุมวรรณ์</t>
  </si>
  <si>
    <t>2701 12301 0008</t>
  </si>
  <si>
    <t>2701 12357 0008</t>
  </si>
  <si>
    <t>เกตุศิณีย์ สลุงอยู่</t>
  </si>
  <si>
    <t>2701 12301 0009</t>
  </si>
  <si>
    <t>2701 12357 0009</t>
  </si>
  <si>
    <t>สพฐ.ตร.107/66</t>
  </si>
  <si>
    <t>กุลธิดา สืบไว้</t>
  </si>
  <si>
    <t>2701 12301 0010</t>
  </si>
  <si>
    <t>2701 12357 0010</t>
  </si>
  <si>
    <t>ณัฐพล ศรีเมือง</t>
  </si>
  <si>
    <t>2701 12301 0011</t>
  </si>
  <si>
    <t>2701 12357 0011</t>
  </si>
  <si>
    <t>ม.6, น.บ.</t>
  </si>
  <si>
    <t>เอกราช ใจยา</t>
  </si>
  <si>
    <t>2701 12301 0012</t>
  </si>
  <si>
    <t>2701 12357 0012</t>
  </si>
  <si>
    <t>2701 12301 0013</t>
  </si>
  <si>
    <t>2701 12357 0013</t>
  </si>
  <si>
    <t>2701 12301 0014</t>
  </si>
  <si>
    <t>2701 12357 0014</t>
  </si>
  <si>
    <t>ส.ต.อ.</t>
  </si>
  <si>
    <t>ศิลป์ศุภา มูลประเสริฐ</t>
  </si>
  <si>
    <t>2701 12301 0015</t>
  </si>
  <si>
    <t>2701 12357 0015</t>
  </si>
  <si>
    <t>สพฐ.ตร.27/59</t>
  </si>
  <si>
    <t>2701 12301 0016</t>
  </si>
  <si>
    <t>2701 12357 0016</t>
  </si>
  <si>
    <t>2701 12301 0017</t>
  </si>
  <si>
    <t>2701 12357 0017</t>
  </si>
  <si>
    <t>2701 12301 0018</t>
  </si>
  <si>
    <t>2701 12357 0018</t>
  </si>
  <si>
    <t>2701 12301 0019</t>
  </si>
  <si>
    <t>2701 12357 0019</t>
  </si>
  <si>
    <t>2701 12301 0020</t>
  </si>
  <si>
    <t>2701 12357 0020</t>
  </si>
  <si>
    <t>วิภารัตน์ เจริญบุญ</t>
  </si>
  <si>
    <t>2701 12301 0021</t>
  </si>
  <si>
    <t>2701 12357 0021</t>
  </si>
  <si>
    <t>สพฐ.ตร.217/52</t>
  </si>
  <si>
    <t>2701 12301 0022</t>
  </si>
  <si>
    <t>2701 12357 0022</t>
  </si>
  <si>
    <t>2701 12301 0023</t>
  </si>
  <si>
    <t>2701 12357 0023</t>
  </si>
  <si>
    <t>2701 12301 0024</t>
  </si>
  <si>
    <t>2701 12357 0024</t>
  </si>
  <si>
    <t>2701 12301 0025</t>
  </si>
  <si>
    <t>2701 12357 0025</t>
  </si>
  <si>
    <t>2701 12301 0026</t>
  </si>
  <si>
    <t>2701 12357 0026</t>
  </si>
  <si>
    <t>2701 12301 0027</t>
  </si>
  <si>
    <t>2701 12357 0027</t>
  </si>
  <si>
    <t>โสภณ ศรีคะเรศ</t>
  </si>
  <si>
    <t>ผบ.หมู่ ฝยศ.บก.อก.สพฐ.ตร.</t>
  </si>
  <si>
    <t>2701 12301 0028</t>
  </si>
  <si>
    <t>2701 12357 0028</t>
  </si>
  <si>
    <t>วรินทร์ลดา คุ่มเคี่ยม</t>
  </si>
  <si>
    <t>2701 12301 0029</t>
  </si>
  <si>
    <t>2701 12357 0029</t>
  </si>
  <si>
    <t>ภูริชญา ภู่พุกก์</t>
  </si>
  <si>
    <t>2701 12301 0030</t>
  </si>
  <si>
    <t>2701 12357 0030</t>
  </si>
  <si>
    <t>2701 12301 0031</t>
  </si>
  <si>
    <t>2701 12357 0031</t>
  </si>
  <si>
    <t>2701 12301 0032</t>
  </si>
  <si>
    <t>2701 12357 0032</t>
  </si>
  <si>
    <t>2701 12301 0033</t>
  </si>
  <si>
    <t>2701 12357 0033</t>
  </si>
  <si>
    <t>2701 12301 0034</t>
  </si>
  <si>
    <t>2701 12357 0034</t>
  </si>
  <si>
    <t>ดรุณี มะยมหิน</t>
  </si>
  <si>
    <t>รอง สว.(อก.) ฝยศ.บก.อก.สพฐ.ตร.</t>
  </si>
  <si>
    <t>2701 12301 0035</t>
  </si>
  <si>
    <t>2701 12357 0035</t>
  </si>
  <si>
    <t>ปวช., บธ.บ.</t>
  </si>
  <si>
    <t>2701 12301 0036</t>
  </si>
  <si>
    <t>2701 12357 0036</t>
  </si>
  <si>
    <t>2701 12301 0037</t>
  </si>
  <si>
    <t>2701 12357 0037</t>
  </si>
  <si>
    <t>2701 12301 0038</t>
  </si>
  <si>
    <t>2701 12357 0038</t>
  </si>
  <si>
    <t>2701 12301 0039</t>
  </si>
  <si>
    <t>2701 12357 0039</t>
  </si>
  <si>
    <t>2701 12301 0040</t>
  </si>
  <si>
    <t>2701 12357 0040</t>
  </si>
  <si>
    <t>2701 12301 0041</t>
  </si>
  <si>
    <t>2701 12357 0041</t>
  </si>
  <si>
    <t>2701 12301 0042</t>
  </si>
  <si>
    <t>2701 12357 0042</t>
  </si>
  <si>
    <t>จุฑามาศ พึ่งหวาน</t>
  </si>
  <si>
    <t>ผบ.หมู่ ฝกบ.บก.อก.สพฐ.ตร.</t>
  </si>
  <si>
    <t>2701 12301 0043</t>
  </si>
  <si>
    <t>2701 12357 0043</t>
  </si>
  <si>
    <t>2701 12301 0044</t>
  </si>
  <si>
    <t>2701 12357 0044</t>
  </si>
  <si>
    <t>2701 12301 0045</t>
  </si>
  <si>
    <t>2701 12357 0045</t>
  </si>
  <si>
    <t>วสุ วงศ์ประทุม</t>
  </si>
  <si>
    <t>2701 12301 0046</t>
  </si>
  <si>
    <t>2701 12357 0046</t>
  </si>
  <si>
    <t>ชลนพรรณศร คำมั่น</t>
  </si>
  <si>
    <t>2701 12301 0047</t>
  </si>
  <si>
    <t>2701 12357 0047</t>
  </si>
  <si>
    <t>2701 12301 0048</t>
  </si>
  <si>
    <t>2701 12357 0048</t>
  </si>
  <si>
    <t>2701 12301 0049</t>
  </si>
  <si>
    <t>2701 12357 0049</t>
  </si>
  <si>
    <t>2701 12301 0050</t>
  </si>
  <si>
    <t>2701 12357 0050</t>
  </si>
  <si>
    <t>2701 12301 0051</t>
  </si>
  <si>
    <t>2701 12357 0051</t>
  </si>
  <si>
    <t>2701 12301 0052</t>
  </si>
  <si>
    <t>2701 12357 0052</t>
  </si>
  <si>
    <t>2701 12301 0053</t>
  </si>
  <si>
    <t>2701 12357 0053</t>
  </si>
  <si>
    <t>2701 12301 0054</t>
  </si>
  <si>
    <t>2701 12357 0054</t>
  </si>
  <si>
    <t>2701 12301 0055</t>
  </si>
  <si>
    <t>2701 12357 0055</t>
  </si>
  <si>
    <t>2701 12301 0056</t>
  </si>
  <si>
    <t>2701 12357 0056</t>
  </si>
  <si>
    <t>2701 12301 0057</t>
  </si>
  <si>
    <t>2701 12357 0057</t>
  </si>
  <si>
    <t>2701 12301 0058</t>
  </si>
  <si>
    <t>2701 12357 0058</t>
  </si>
  <si>
    <t>สุรางค์รัตน์ บุตรมาตา</t>
  </si>
  <si>
    <t>ผบ.หมู่ ฝงป.บก.อก.สพฐ.ตร.</t>
  </si>
  <si>
    <t>2701 12301 0059</t>
  </si>
  <si>
    <t>2701 12357 0059</t>
  </si>
  <si>
    <t>รชดากร ยะยอง</t>
  </si>
  <si>
    <t>2701 12301 0060</t>
  </si>
  <si>
    <t>2701 12357 0060</t>
  </si>
  <si>
    <t>จุฑามาศ พวงแก้ว</t>
  </si>
  <si>
    <t>2701 12301 0061</t>
  </si>
  <si>
    <t>2701 12357 0061</t>
  </si>
  <si>
    <t>2701 12301 0062</t>
  </si>
  <si>
    <t>2701 12357 0062</t>
  </si>
  <si>
    <t>2701 12301 0099</t>
  </si>
  <si>
    <t>2701 12327 0074</t>
  </si>
  <si>
    <t>สพฐ.ตร.217/62</t>
  </si>
  <si>
    <t>2701 12301 0065</t>
  </si>
  <si>
    <t>2701 12357 0063</t>
  </si>
  <si>
    <t>2701 12301 0066</t>
  </si>
  <si>
    <t>2701 12357 0064</t>
  </si>
  <si>
    <t>2701 12301 0067</t>
  </si>
  <si>
    <t>2701 12357 0065</t>
  </si>
  <si>
    <t>2701 12301 0068</t>
  </si>
  <si>
    <t>2701 12357 0066</t>
  </si>
  <si>
    <t>ธนสร  จันทเขต</t>
  </si>
  <si>
    <t>2701 12301 0069</t>
  </si>
  <si>
    <t>2701 12357 0067</t>
  </si>
  <si>
    <t>สพฐ.ตร.64/63</t>
  </si>
  <si>
    <t>2701 12301 0070</t>
  </si>
  <si>
    <t>2701 12357 0068</t>
  </si>
  <si>
    <t>2701 12301 0071</t>
  </si>
  <si>
    <t>2701 12357 0069</t>
  </si>
  <si>
    <t>2701 12301 0072</t>
  </si>
  <si>
    <t>2701 12357 0070</t>
  </si>
  <si>
    <t>รุ่งนภาภรณ์ ชาญนุวงศ์</t>
  </si>
  <si>
    <t>2701 12301 0073</t>
  </si>
  <si>
    <t>2701 12357 0071</t>
  </si>
  <si>
    <t>สพฐ.ตร.379/59</t>
  </si>
  <si>
    <t>2701 12301 0074</t>
  </si>
  <si>
    <t>2701 12357 0072</t>
  </si>
  <si>
    <t>2701 12301 0075</t>
  </si>
  <si>
    <t>2701 12357 0073</t>
  </si>
  <si>
    <t>มณฑิรา บ้านสระ</t>
  </si>
  <si>
    <t>ผบ.หมู่ ฝกม.บก.อก.สพฐ.ตร.</t>
  </si>
  <si>
    <t>2701 12301 0077</t>
  </si>
  <si>
    <t>2701 12357 0075</t>
  </si>
  <si>
    <t>ชัชรินทร์ คำฟู</t>
  </si>
  <si>
    <t>2701 12301 0078</t>
  </si>
  <si>
    <t>2701 12357 0076</t>
  </si>
  <si>
    <t>วิภา  สาริวาท</t>
  </si>
  <si>
    <t>2701 12301 0079</t>
  </si>
  <si>
    <t>2701 12357 0077</t>
  </si>
  <si>
    <t>2701 12301 0080</t>
  </si>
  <si>
    <t>2701 12357 0078</t>
  </si>
  <si>
    <t>2701 12301 0081</t>
  </si>
  <si>
    <t>2701 12357 0079</t>
  </si>
  <si>
    <t>2701 12301 0082</t>
  </si>
  <si>
    <t>2701 12357 0080</t>
  </si>
  <si>
    <t>2701 12301 0083</t>
  </si>
  <si>
    <t>2701 12357 0081</t>
  </si>
  <si>
    <t>2701 12301 0084</t>
  </si>
  <si>
    <t>2701 12357 0082</t>
  </si>
  <si>
    <t>2701 12301 0085</t>
  </si>
  <si>
    <t>2701 12357 0083</t>
  </si>
  <si>
    <t>2701 12301 0086</t>
  </si>
  <si>
    <t>2701 12357 0084</t>
  </si>
  <si>
    <t>2701 12301 0087</t>
  </si>
  <si>
    <t>2701 12357 0085</t>
  </si>
  <si>
    <t>2701 12301 0088</t>
  </si>
  <si>
    <t>2701 12357 0086</t>
  </si>
  <si>
    <t>พัทธวรรณ อ่อนคำ</t>
  </si>
  <si>
    <t>ผบ.หมู่ ฝทส.บก.อก.สพฐ.ตร.</t>
  </si>
  <si>
    <t>2701 12301 0089</t>
  </si>
  <si>
    <t>2701 12357 0087</t>
  </si>
  <si>
    <t>ธนานันต์ ญาณภักดี</t>
  </si>
  <si>
    <t>2701 12301 0090</t>
  </si>
  <si>
    <t>2701 12357 0088</t>
  </si>
  <si>
    <t>2701 12301 0091</t>
  </si>
  <si>
    <t>2701 12357 0089</t>
  </si>
  <si>
    <t>2701 12301 0092</t>
  </si>
  <si>
    <t>2701 12357 0090</t>
  </si>
  <si>
    <t>2701 12301 0093</t>
  </si>
  <si>
    <t>2701 12357 0091</t>
  </si>
  <si>
    <t>นวัตกร จิตมณี</t>
  </si>
  <si>
    <t>2701 12301 0094</t>
  </si>
  <si>
    <t>2701 12357 0092</t>
  </si>
  <si>
    <t>ม.6,กอป.31</t>
  </si>
  <si>
    <t>2701 12301 0095</t>
  </si>
  <si>
    <t>2701 12357 0093</t>
  </si>
  <si>
    <t>2701 12301 0096</t>
  </si>
  <si>
    <t>2701 12357 0094</t>
  </si>
  <si>
    <t>2701 12301 0097</t>
  </si>
  <si>
    <t>2701 12357 0095</t>
  </si>
  <si>
    <t>2701 12301 0098</t>
  </si>
  <si>
    <t>2701 12357 0096</t>
  </si>
  <si>
    <t>สุนิษา ไชยตระกูลวัฒน์</t>
  </si>
  <si>
    <t>ผบ.หมู่ กพอ.สพฐ.ตร.</t>
  </si>
  <si>
    <t>2700 12301 0007</t>
  </si>
  <si>
    <t>2700 12357 0005</t>
  </si>
  <si>
    <r>
      <t>ม.6 ,</t>
    </r>
    <r>
      <rPr>
        <sz val="16"/>
        <color rgb="FFFF0000"/>
        <rFont val="Angsana New"/>
        <family val="1"/>
      </rPr>
      <t>วท.บ. (สาธารณสุขศาสตร์)</t>
    </r>
  </si>
  <si>
    <t>ปิย์วรา ประทุมสุวรรณ์</t>
  </si>
  <si>
    <t>2700 12301 0008</t>
  </si>
  <si>
    <t>2700 12357 0006</t>
  </si>
  <si>
    <r>
      <t xml:space="preserve">ม.6, </t>
    </r>
    <r>
      <rPr>
        <sz val="16"/>
        <color rgb="FFFF0000"/>
        <rFont val="Angsana New"/>
        <family val="1"/>
      </rPr>
      <t>ศศ.บ. (ภาษาอังกฤษ)</t>
    </r>
  </si>
  <si>
    <t>2700 12301 0009</t>
  </si>
  <si>
    <t>2700 12357 0007</t>
  </si>
  <si>
    <r>
      <t xml:space="preserve">ม.6, </t>
    </r>
    <r>
      <rPr>
        <sz val="16"/>
        <color rgb="FFFF0000"/>
        <rFont val="Angsana New"/>
        <family val="1"/>
      </rPr>
      <t>บธ.บ.(การเงินและการธนาคาร)</t>
    </r>
  </si>
  <si>
    <t>2700 12301 0010</t>
  </si>
  <si>
    <t>2700 12357 0008</t>
  </si>
  <si>
    <t>2700 12301 0013</t>
  </si>
  <si>
    <t>2700 12357 0009</t>
  </si>
  <si>
    <t>2700 12301 0017</t>
  </si>
  <si>
    <t>2700 12357 0010</t>
  </si>
  <si>
    <t>เตรียมและบันทึกข้อมูล</t>
  </si>
  <si>
    <t>2700 12301 0018</t>
  </si>
  <si>
    <t>2700 12357 0011</t>
  </si>
  <si>
    <t>2700 12301 0019</t>
  </si>
  <si>
    <t>2700 12357 0012</t>
  </si>
  <si>
    <t>2700 12301 0020</t>
  </si>
  <si>
    <t>2700 12357 0013</t>
  </si>
  <si>
    <t>2700 12301 0021</t>
  </si>
  <si>
    <t>2700 12357 0014</t>
  </si>
  <si>
    <t>2700 12301 0022</t>
  </si>
  <si>
    <t>2700 12357 0015</t>
  </si>
  <si>
    <t>สุวิทย์ หนูแก้ว</t>
  </si>
  <si>
    <t>รอง สว.(อก.) กพอ.สพฐ.ตร.</t>
  </si>
  <si>
    <t>2700 12314 0027</t>
  </si>
  <si>
    <t>2700 12334 0016</t>
  </si>
  <si>
    <t>ม.6, รบ., นพต.</t>
  </si>
  <si>
    <t>สพฐ.ตร.60/66</t>
  </si>
  <si>
    <t>2700 12314 0028</t>
  </si>
  <si>
    <t>2700 12334 0017</t>
  </si>
  <si>
    <t>2700 12314 0029</t>
  </si>
  <si>
    <t>2700 12334 0018</t>
  </si>
  <si>
    <t>2700 12314 0030</t>
  </si>
  <si>
    <t>2700 12334 0019</t>
  </si>
  <si>
    <t>2700 12314 0031</t>
  </si>
  <si>
    <t>2700 12334 0020</t>
  </si>
  <si>
    <t>2700 12314 0032</t>
  </si>
  <si>
    <t>2700 12334 0021</t>
  </si>
  <si>
    <t>2700 12314 0033</t>
  </si>
  <si>
    <t>2700 12334 0022</t>
  </si>
  <si>
    <t>2700 12314 0034</t>
  </si>
  <si>
    <t>2700 12334 0023</t>
  </si>
  <si>
    <t>2700 12314 0035</t>
  </si>
  <si>
    <t>2700 12334 0024</t>
  </si>
  <si>
    <t>2700 12314 0036</t>
  </si>
  <si>
    <t>2700 12334 0025</t>
  </si>
  <si>
    <t>2700 12314 0037</t>
  </si>
  <si>
    <t>2700 12334 0026</t>
  </si>
  <si>
    <t>2700 12314 0038</t>
  </si>
  <si>
    <t>2700 12334 0027</t>
  </si>
  <si>
    <t>2700 12314 0039</t>
  </si>
  <si>
    <t>2700 12334 0028</t>
  </si>
  <si>
    <t>2700 12314 0040</t>
  </si>
  <si>
    <t>2700 12334 0029</t>
  </si>
  <si>
    <t>2700 12314 0041</t>
  </si>
  <si>
    <t>2700 12334 0030</t>
  </si>
  <si>
    <t>2700 12314 0042</t>
  </si>
  <si>
    <t>2700 12334 0031</t>
  </si>
  <si>
    <t>2700 12314 0043</t>
  </si>
  <si>
    <t>2700 12334 0032</t>
  </si>
  <si>
    <t>2700 12314 0044</t>
  </si>
  <si>
    <t>2700 12334 0033</t>
  </si>
  <si>
    <t>2700 12314 0045</t>
  </si>
  <si>
    <t>2700 12334 0034</t>
  </si>
  <si>
    <t>2700 12314 0046</t>
  </si>
  <si>
    <t>2700 12334 0035</t>
  </si>
  <si>
    <t>สาริกา คณารศ</t>
  </si>
  <si>
    <t>2700 12301 0047</t>
  </si>
  <si>
    <t>2700 12357 0040</t>
  </si>
  <si>
    <t>บธ.บ. ,รป.ม. , กอป.11,กดต.12</t>
  </si>
  <si>
    <t>สพฐ.ตร.76/66</t>
  </si>
  <si>
    <t>นฤมล ศรีประเสริฐ</t>
  </si>
  <si>
    <t>ผบ.หมู่ ศขบ.สพฐ.ตร.</t>
  </si>
  <si>
    <t>2700 12301 0048</t>
  </si>
  <si>
    <t>2700 12357 0041</t>
  </si>
  <si>
    <t>ศศิธร หมัดเหล๊าะ</t>
  </si>
  <si>
    <t>2700 12301 0049</t>
  </si>
  <si>
    <t>2700 12357 0042</t>
  </si>
  <si>
    <t>2700 12301 0050</t>
  </si>
  <si>
    <t>2700 12357 0043</t>
  </si>
  <si>
    <t>2700 12301 0051</t>
  </si>
  <si>
    <t>2700 12357 0044</t>
  </si>
  <si>
    <t>2700 12301 0052</t>
  </si>
  <si>
    <t>2700 12357 0045</t>
  </si>
  <si>
    <t>2700 12404 0053</t>
  </si>
  <si>
    <t>2700 12361 0046</t>
  </si>
  <si>
    <t>2700 12404 0054</t>
  </si>
  <si>
    <t>2700 12361 0047</t>
  </si>
  <si>
    <t>2700 12404 0055</t>
  </si>
  <si>
    <t>2700 12361 0048</t>
  </si>
  <si>
    <t>2700 12417 0056</t>
  </si>
  <si>
    <t>2700 12334 0036</t>
  </si>
  <si>
    <t>เจ้าหน้าที่วิทยาศาสตร์</t>
  </si>
  <si>
    <t>2700 12417 0057</t>
  </si>
  <si>
    <t>2700 12334 0037</t>
  </si>
  <si>
    <t>2700 12417 0058</t>
  </si>
  <si>
    <t>2700 12334 0038</t>
  </si>
  <si>
    <t>2700 12417 0059</t>
  </si>
  <si>
    <t>2700 12334 0039</t>
  </si>
  <si>
    <t>2700 12428 0060</t>
  </si>
  <si>
    <t>2700 12345 0049</t>
  </si>
  <si>
    <t>2700 12428 0061</t>
  </si>
  <si>
    <t>2700 12345 0050</t>
  </si>
  <si>
    <t>2700 12428 0062</t>
  </si>
  <si>
    <t>2700 12345 0051</t>
  </si>
  <si>
    <t>2700 12428 0063</t>
  </si>
  <si>
    <t>2700 12345 0052</t>
  </si>
  <si>
    <t>2700 12428 0064</t>
  </si>
  <si>
    <t>2700 12345 0053</t>
  </si>
  <si>
    <t>2700 12428 0065</t>
  </si>
  <si>
    <t>2700 12345 0054</t>
  </si>
  <si>
    <t>ผบ.หมู่ ทว.</t>
  </si>
  <si>
    <t>2703 12301 0001</t>
  </si>
  <si>
    <t>2703 12357 0001</t>
  </si>
  <si>
    <t>2703 12301 0002</t>
  </si>
  <si>
    <t>2703 12357 0002</t>
  </si>
  <si>
    <t>2703 12301 0003</t>
  </si>
  <si>
    <t>2703 12357 0003</t>
  </si>
  <si>
    <t>ผบ.หมู่ ฝอ.ทว.</t>
  </si>
  <si>
    <t>2703 12301 0004</t>
  </si>
  <si>
    <t>2703 12357 0004</t>
  </si>
  <si>
    <t>2703 12301 0005</t>
  </si>
  <si>
    <t>2703 12357 0005</t>
  </si>
  <si>
    <t>เทริดธวัช  อุปถัมภ์</t>
  </si>
  <si>
    <t>2703 12301 0006</t>
  </si>
  <si>
    <t>2703 12357 0006</t>
  </si>
  <si>
    <t>กนกพร เมืองพิล</t>
  </si>
  <si>
    <t>2703 12301 0007</t>
  </si>
  <si>
    <t>2703 12357 0007</t>
  </si>
  <si>
    <t>ม.6, ปริญญาตรี วิศกรรมศาสตร์บัณฑิต</t>
  </si>
  <si>
    <t>ชญานิษฐ์ ไชยราช</t>
  </si>
  <si>
    <t>2703 12301 0008</t>
  </si>
  <si>
    <t>2703 12357 0008</t>
  </si>
  <si>
    <t>ม.6, ปริญญาตรี รัฐศาสตร์</t>
  </si>
  <si>
    <t>2703 12301 0009</t>
  </si>
  <si>
    <t>2703 12357 0009</t>
  </si>
  <si>
    <t>2703 12301 0010</t>
  </si>
  <si>
    <t>2703 12357 0010</t>
  </si>
  <si>
    <t>2703 12301 0011</t>
  </si>
  <si>
    <t>2703 12357 0011</t>
  </si>
  <si>
    <t>2703 12301 0012</t>
  </si>
  <si>
    <t>2703 12357 0012</t>
  </si>
  <si>
    <t>2703 12301 0013</t>
  </si>
  <si>
    <t>2703 12357 0013</t>
  </si>
  <si>
    <t>2703 12301 0014</t>
  </si>
  <si>
    <t>2703 12357 0014</t>
  </si>
  <si>
    <t>2703 12301 0015</t>
  </si>
  <si>
    <t>2703 12357 0015</t>
  </si>
  <si>
    <t>2703 12301 0016</t>
  </si>
  <si>
    <t>2703 12357 0016</t>
  </si>
  <si>
    <t>2703 12301 0017</t>
  </si>
  <si>
    <t>2703 12357 0017</t>
  </si>
  <si>
    <t>2703 12301 0018</t>
  </si>
  <si>
    <t>2703 12357 0018</t>
  </si>
  <si>
    <t>2703 12301 0019</t>
  </si>
  <si>
    <t>2703 12357 0019</t>
  </si>
  <si>
    <t>2703 12301 0020</t>
  </si>
  <si>
    <t>2703 12357 0020</t>
  </si>
  <si>
    <t>2703 12301 0021</t>
  </si>
  <si>
    <t>2703 12357 0021</t>
  </si>
  <si>
    <t>2703 12301 0022</t>
  </si>
  <si>
    <t>2703 12357 0022</t>
  </si>
  <si>
    <t>2703 12301 0023</t>
  </si>
  <si>
    <t>2703 12357 0023</t>
  </si>
  <si>
    <t>2703 12301 0024</t>
  </si>
  <si>
    <t>2703 12357 0024</t>
  </si>
  <si>
    <t>2703 12301 0025</t>
  </si>
  <si>
    <t>2703 12357 0025</t>
  </si>
  <si>
    <t>ผบ.หมู่ ฝทว.1 ทว.</t>
  </si>
  <si>
    <t>2703 12301 0029</t>
  </si>
  <si>
    <t>2703 12357 0026</t>
  </si>
  <si>
    <t>2703 12301 0030</t>
  </si>
  <si>
    <t>2703 12357 0027</t>
  </si>
  <si>
    <t>2703 12301 0031</t>
  </si>
  <si>
    <t>2703 12357 0028</t>
  </si>
  <si>
    <t>อนุกูล มัสการ</t>
  </si>
  <si>
    <t>2703 12314 0032</t>
  </si>
  <si>
    <t>2703 12334 0029</t>
  </si>
  <si>
    <t>ศศ.บ.(รัฐศาสตร์)</t>
  </si>
  <si>
    <t>กรุงเทพ</t>
  </si>
  <si>
    <t>ตร.270/61</t>
  </si>
  <si>
    <t>รอง สว.(อก.) ฝทว.1 ทว.</t>
  </si>
  <si>
    <t>2703 12314 0033</t>
  </si>
  <si>
    <t>2703 12334 0030</t>
  </si>
  <si>
    <t>2703 12314 0034</t>
  </si>
  <si>
    <t>2703 12334 0031</t>
  </si>
  <si>
    <t>ปิยะสวัสดิ์ ใยศิริ</t>
  </si>
  <si>
    <t>2703 12314 0035</t>
  </si>
  <si>
    <t>2703 12334 0032</t>
  </si>
  <si>
    <t>น.บ., นพต.(63), ตวท.(1),กดต.(ปี63)</t>
  </si>
  <si>
    <t>ตร.428/52</t>
  </si>
  <si>
    <t>ยุพา คูเมือง</t>
  </si>
  <si>
    <t>2703 12314 0036</t>
  </si>
  <si>
    <t>2703 12334 0033</t>
  </si>
  <si>
    <t>สพฐ.ตร.27/65</t>
  </si>
  <si>
    <t>ศุภกิตติ์  ไชยวุฒิ</t>
  </si>
  <si>
    <t>2703 12314 0037</t>
  </si>
  <si>
    <t>2703 12334 0034</t>
  </si>
  <si>
    <t>สพฐ.ตร.57/65</t>
  </si>
  <si>
    <t>จ.ส.ต.</t>
  </si>
  <si>
    <t>ทาริกา ปัญญาดี</t>
  </si>
  <si>
    <t>2703 12314 0038</t>
  </si>
  <si>
    <t>2703 12334 0035</t>
  </si>
  <si>
    <t>ม.6, ศศ.บ., ศศ.ม.,กอป.ต.ว.ท.26</t>
  </si>
  <si>
    <t>สพฐ.ตร.34/64</t>
  </si>
  <si>
    <t>อังศณา จันทร์กาพย์</t>
  </si>
  <si>
    <t>2703 12314 0039</t>
  </si>
  <si>
    <t>2703 12334 0036</t>
  </si>
  <si>
    <t>ม.6, ศศ.บ.,กอป.,ต.ว.ท.26</t>
  </si>
  <si>
    <t>2703 12314 0040</t>
  </si>
  <si>
    <t>2703 12334 0037</t>
  </si>
  <si>
    <t>2703 12314 0041</t>
  </si>
  <si>
    <t>2703 12334 0038</t>
  </si>
  <si>
    <t>ม.6,กอป.,ต.ว.ท.26</t>
  </si>
  <si>
    <t>2703 12314 0042</t>
  </si>
  <si>
    <t>2703 12334 0039</t>
  </si>
  <si>
    <t>วณิชยา  พาด้วง</t>
  </si>
  <si>
    <t>2703 12314 0043</t>
  </si>
  <si>
    <t>2703 12334 0040</t>
  </si>
  <si>
    <t>2703 12314 0044</t>
  </si>
  <si>
    <t>2703 12334 0041</t>
  </si>
  <si>
    <t>2703 12314 0045</t>
  </si>
  <si>
    <t>2703 12334 0042</t>
  </si>
  <si>
    <t>2703 12314 0046</t>
  </si>
  <si>
    <t>2703 12334 0043</t>
  </si>
  <si>
    <t>2703 12314 0047</t>
  </si>
  <si>
    <t>2703 12334 0044</t>
  </si>
  <si>
    <t>ปวช., ตวท.(10), กอป.</t>
  </si>
  <si>
    <t>สพฐ.ตร.585/57</t>
  </si>
  <si>
    <t>2703 12314 0048</t>
  </si>
  <si>
    <t>2703 12334 0045</t>
  </si>
  <si>
    <t>ม.6,ต.ว.ท.22</t>
  </si>
  <si>
    <t>สพฐ.ตร.216/62</t>
  </si>
  <si>
    <t>อัญพัชญ์  สกุลวิจิตรวงษ์</t>
  </si>
  <si>
    <t>2703 12314 0049</t>
  </si>
  <si>
    <t>2703 12334 0046</t>
  </si>
  <si>
    <t>ปวช., ต.ว.ท.26</t>
  </si>
  <si>
    <t>2703 12314 0050</t>
  </si>
  <si>
    <t>2703 12334 0047</t>
  </si>
  <si>
    <t>กาญจนาพร ส่งเสริม</t>
  </si>
  <si>
    <t>2703 12314 0051</t>
  </si>
  <si>
    <t>2703 12334 0048</t>
  </si>
  <si>
    <t>วิพร  ทองวัฒนานนท์</t>
  </si>
  <si>
    <t>2703 12314 0052</t>
  </si>
  <si>
    <t>2703 12334 0049</t>
  </si>
  <si>
    <t>บธ.บ.,ต.ว.ท.26</t>
  </si>
  <si>
    <t>บุญรัตน์ จันทรภักดี</t>
  </si>
  <si>
    <t>2703 12314 0053</t>
  </si>
  <si>
    <t>2703 12334 0050</t>
  </si>
  <si>
    <t>ปริญญาตรี</t>
  </si>
  <si>
    <t>สิริยากร  อินทร์ประสิทธิ์</t>
  </si>
  <si>
    <t>2703 12314 0054</t>
  </si>
  <si>
    <t>2703 12334 0051</t>
  </si>
  <si>
    <t>ม.6,กอป.,ตวท.พิมพ์มือรุ่น 21</t>
  </si>
  <si>
    <t>นัยนา จอมแปง</t>
  </si>
  <si>
    <t>2703 12314 0055</t>
  </si>
  <si>
    <t>2703 12334 0052</t>
  </si>
  <si>
    <t>วิศวกรรมศาสตร์บัณฑิต</t>
  </si>
  <si>
    <t>อรอนงค์ ศรีวิไล</t>
  </si>
  <si>
    <t>2703 12314 0056</t>
  </si>
  <si>
    <t>2703 12334 0053</t>
  </si>
  <si>
    <t>ธนวรรณ ศักดิ์วิริยะพงศ์</t>
  </si>
  <si>
    <t>2703 12314 0057</t>
  </si>
  <si>
    <t>2703 12334 0054</t>
  </si>
  <si>
    <t>อรวรรณ แป้นแก้ว</t>
  </si>
  <si>
    <t>2703 12314 0058</t>
  </si>
  <si>
    <t>2703 12334 0055</t>
  </si>
  <si>
    <t>ศิขรินทร์ บุญญประภา</t>
  </si>
  <si>
    <t>2703 12314 0059</t>
  </si>
  <si>
    <t>2703 12334 0056</t>
  </si>
  <si>
    <t>ศิลปศาสตร์บัณฑิต</t>
  </si>
  <si>
    <t>ศิรพงศ์  โชคธนหิรัณย์</t>
  </si>
  <si>
    <t>2703 12314 0060</t>
  </si>
  <si>
    <t>2703 12334 0057</t>
  </si>
  <si>
    <t>ปวช.,บธ.บ. , นสต.4,ต.ว.ท.24</t>
  </si>
  <si>
    <t>สพฐ.ตร.57/63</t>
  </si>
  <si>
    <t>2703 12314 0061</t>
  </si>
  <si>
    <t>2703 12334 0058</t>
  </si>
  <si>
    <t>2703 12314 0062</t>
  </si>
  <si>
    <t>2703 12334 0059</t>
  </si>
  <si>
    <t>2703 12314 0063</t>
  </si>
  <si>
    <t>2703 12334 0060</t>
  </si>
  <si>
    <t>2703 12314 0064</t>
  </si>
  <si>
    <t>2703 12334 0061</t>
  </si>
  <si>
    <t>ผบ.หมู่ ฝทว.2 ทว.</t>
  </si>
  <si>
    <t>2703 12301 0065</t>
  </si>
  <si>
    <t>2703 12357 0062</t>
  </si>
  <si>
    <t>2703 12301 0066</t>
  </si>
  <si>
    <t>2703 12357 0063</t>
  </si>
  <si>
    <t>2703 12301 0067</t>
  </si>
  <si>
    <t>2703 12357 0064</t>
  </si>
  <si>
    <t>ยุพดี โพธิ์ศรี</t>
  </si>
  <si>
    <t>2703 12314 0068</t>
  </si>
  <si>
    <t>2703 12334 0065</t>
  </si>
  <si>
    <t>บธ.บ. (การจัดการทั่วไป), กอป.(ปี52)</t>
  </si>
  <si>
    <t>ทว.38/57</t>
  </si>
  <si>
    <t>สิทธิเดช บุญมาก</t>
  </si>
  <si>
    <t>2703 12314 0069</t>
  </si>
  <si>
    <t>2703 12334 0066</t>
  </si>
  <si>
    <t>น.บ.,ต.ว.ท.21</t>
  </si>
  <si>
    <t>สพฐ.ตร.183/62</t>
  </si>
  <si>
    <t>ชนิดา บุญชะโด</t>
  </si>
  <si>
    <t>2703 12314 0070</t>
  </si>
  <si>
    <t>2703 12334 0067</t>
  </si>
  <si>
    <t>ม.6,วท.บ.</t>
  </si>
  <si>
    <t>ตร.410/60</t>
  </si>
  <si>
    <t>กาญทิพย์  ครองยุทธ</t>
  </si>
  <si>
    <t>2703 12314 0071</t>
  </si>
  <si>
    <t>2703 12334 0068</t>
  </si>
  <si>
    <t>ศศ.บ.,กอป.</t>
  </si>
  <si>
    <t>นนรภัส แว่นนาค</t>
  </si>
  <si>
    <t>2703 12314 0072</t>
  </si>
  <si>
    <t>2703 12334 0069</t>
  </si>
  <si>
    <t>ตร.411/60</t>
  </si>
  <si>
    <t>ลลิตวดี บัวทอง</t>
  </si>
  <si>
    <t>2703 12314 0073</t>
  </si>
  <si>
    <t>2703 12334 0070</t>
  </si>
  <si>
    <t>แพรพลอย   ฉัตรพิริยกุล</t>
  </si>
  <si>
    <t>2703 12314 0074</t>
  </si>
  <si>
    <t>2703 12334 0071</t>
  </si>
  <si>
    <t>ม.6 ,ต.ว.ท.22</t>
  </si>
  <si>
    <t>2703 12314 0075</t>
  </si>
  <si>
    <t>2703 12334 0072</t>
  </si>
  <si>
    <t>2703 12314 0076</t>
  </si>
  <si>
    <t>2703 12334 0073</t>
  </si>
  <si>
    <t>2703 12314 0077</t>
  </si>
  <si>
    <t>2703 12334 0074</t>
  </si>
  <si>
    <t>จิรัฐพล  มโนตา</t>
  </si>
  <si>
    <t>2703 12314 0078</t>
  </si>
  <si>
    <t>2703 12334 0075</t>
  </si>
  <si>
    <t>ชยธร  ศรนารา</t>
  </si>
  <si>
    <t>2703 12314 0079</t>
  </si>
  <si>
    <t>2703 12334 0076</t>
  </si>
  <si>
    <t>วิภาวี  สีสัน</t>
  </si>
  <si>
    <t>2703 12314 0080</t>
  </si>
  <si>
    <t>2703 12334 0077</t>
  </si>
  <si>
    <t>สรัญญ์ภัค  เศวตเจริญหิรัญ</t>
  </si>
  <si>
    <t>2703 12314 0081</t>
  </si>
  <si>
    <t>2703 12334 0078</t>
  </si>
  <si>
    <t>อนงค์ มะลิทอง</t>
  </si>
  <si>
    <t>2703 12314 0082</t>
  </si>
  <si>
    <t>2703 12334 0079</t>
  </si>
  <si>
    <t>รมิตา ธรรมสอน</t>
  </si>
  <si>
    <t>2703 12314 0083</t>
  </si>
  <si>
    <t>2703 12334 0080</t>
  </si>
  <si>
    <t>กิรณา ปัญญาพูนตระกูล</t>
  </si>
  <si>
    <t>2703 12314 0084</t>
  </si>
  <si>
    <t>2703 12334 0081</t>
  </si>
  <si>
    <t>ปริญญาตรี ศึกษาศาสตร์บัณฑิต</t>
  </si>
  <si>
    <t>อารญา จำปาเรือง</t>
  </si>
  <si>
    <t>2703 12314 0085</t>
  </si>
  <si>
    <t>2703 12334 0082</t>
  </si>
  <si>
    <t>พัชรียา ตรีสินธุ์</t>
  </si>
  <si>
    <t>2703 12314 0086</t>
  </si>
  <si>
    <t>2703 12334 0083</t>
  </si>
  <si>
    <t>ปริญญาตรี บริหารธุรกิจบัณฑิต</t>
  </si>
  <si>
    <t>ปิยราช รักพานิช</t>
  </si>
  <si>
    <t>2703 12314 0087</t>
  </si>
  <si>
    <t>2703 12334 0084</t>
  </si>
  <si>
    <t>ปริญญาตรี วิทยาศาสตร์บัณฑิต</t>
  </si>
  <si>
    <t>2703 12314 0088</t>
  </si>
  <si>
    <t>2703 12334 0085</t>
  </si>
  <si>
    <t>2703 12314 0089</t>
  </si>
  <si>
    <t>2703 12334 0086</t>
  </si>
  <si>
    <t>2703 12314 0090</t>
  </si>
  <si>
    <t>2703 12334 0087</t>
  </si>
  <si>
    <t>2703 12314 0091</t>
  </si>
  <si>
    <t>2703 12334 0088</t>
  </si>
  <si>
    <t>2703 12314 0092</t>
  </si>
  <si>
    <t>2703 12334 0089</t>
  </si>
  <si>
    <t>2703 12314 0093</t>
  </si>
  <si>
    <t>2703 12334 0090</t>
  </si>
  <si>
    <t>2703 12314 0094</t>
  </si>
  <si>
    <t>2703 12334 0091</t>
  </si>
  <si>
    <t>ผบ.หมู่ ฝทว.3 ทว.</t>
  </si>
  <si>
    <t>2703 12301 0095</t>
  </si>
  <si>
    <t>2703 12357 0092</t>
  </si>
  <si>
    <t>2703 12301 0096</t>
  </si>
  <si>
    <t>2703 12357 0093</t>
  </si>
  <si>
    <t>2703 12301 0097</t>
  </si>
  <si>
    <t>2703 12357 0094</t>
  </si>
  <si>
    <t>ต่อพงศ์  ดวงคำ</t>
  </si>
  <si>
    <t>2703 12314 0098</t>
  </si>
  <si>
    <t>2703 12334 0095</t>
  </si>
  <si>
    <t>ม.6, ศศ.บ.(นิเทศน์),ตวท., กอป (59)</t>
  </si>
  <si>
    <t>2703 12314 0099</t>
  </si>
  <si>
    <t>2703 12334 0096</t>
  </si>
  <si>
    <t>ม.6, ตวท.</t>
  </si>
  <si>
    <t>วีระเดช ศรีสุข</t>
  </si>
  <si>
    <t>2703 12314 0100</t>
  </si>
  <si>
    <t>2703 12334 0097</t>
  </si>
  <si>
    <t>ม.6, ตวท., กอป.,ชัยยะขั้นพื้นฐาน</t>
  </si>
  <si>
    <t>2703 12314 0101</t>
  </si>
  <si>
    <t>2703 12334 0098</t>
  </si>
  <si>
    <t>2703 12314 0102</t>
  </si>
  <si>
    <t>2703 12334 0099</t>
  </si>
  <si>
    <t>สุพัตรา  สายสุข</t>
  </si>
  <si>
    <t>2703 12314 0103</t>
  </si>
  <si>
    <t>2703 12334 0100</t>
  </si>
  <si>
    <t>ปวริศา  พิมพ์ดี</t>
  </si>
  <si>
    <t>2703 12314 0104</t>
  </si>
  <si>
    <t>2703 12334 0101</t>
  </si>
  <si>
    <t>จันทร์บุรินทร์ รัตนบุตร</t>
  </si>
  <si>
    <t>2703 12314 0105</t>
  </si>
  <si>
    <t>2703 12334 0102</t>
  </si>
  <si>
    <t>ศศ.บ., ตวท.</t>
  </si>
  <si>
    <t>อัมรินทร์  ศรีลาโล้</t>
  </si>
  <si>
    <t>2703 12314 0106</t>
  </si>
  <si>
    <t>2703 12334 0103</t>
  </si>
  <si>
    <t>ชัยกมล  อาจวิชัย</t>
  </si>
  <si>
    <t>2703 12314 0107</t>
  </si>
  <si>
    <t>2703 12334 0104</t>
  </si>
  <si>
    <t>กลวัชร  ดอกลำเจียก</t>
  </si>
  <si>
    <t>2703 12314 0108</t>
  </si>
  <si>
    <t>2703 12334 0105</t>
  </si>
  <si>
    <t>เจษฎา  แสงเกื้อหนุน</t>
  </si>
  <si>
    <t>2703 12314 0109</t>
  </si>
  <si>
    <t>2703 12334 0106</t>
  </si>
  <si>
    <t>คิมหันต์ ถุนพุทธดม</t>
  </si>
  <si>
    <t>2703 12314 0110</t>
  </si>
  <si>
    <t>2703 12334 0107</t>
  </si>
  <si>
    <t>เชิดชูเกียรติ แดงแตง</t>
  </si>
  <si>
    <t>2703 12314 0111</t>
  </si>
  <si>
    <t>2703 12334 0108</t>
  </si>
  <si>
    <t>ปวช.,ตวท.</t>
  </si>
  <si>
    <t>2703 12314 0112</t>
  </si>
  <si>
    <t>2703 12334 0109</t>
  </si>
  <si>
    <t>พิชชาภา ทวีคณะโชติ</t>
  </si>
  <si>
    <t>2703 12314 0113</t>
  </si>
  <si>
    <t>2703 12334 0110</t>
  </si>
  <si>
    <t>กรกนก ยะไวทย์</t>
  </si>
  <si>
    <t>2703 12314 0114</t>
  </si>
  <si>
    <t>2703 12334 0111</t>
  </si>
  <si>
    <t>ม.6, ร.บ.,ต.ว.ท.</t>
  </si>
  <si>
    <t>พรธิดา ผลพยุง</t>
  </si>
  <si>
    <t>2703 12314 0115</t>
  </si>
  <si>
    <t>2703 12334 0112</t>
  </si>
  <si>
    <t>2703 12314 0116</t>
  </si>
  <si>
    <t>2703 12334 0113</t>
  </si>
  <si>
    <t>2703 12314 0117</t>
  </si>
  <si>
    <t>2703 12334 0114</t>
  </si>
  <si>
    <t>สุภาวดี ศรียาคะบุตร</t>
  </si>
  <si>
    <t>2703 12314 0118</t>
  </si>
  <si>
    <t>2703 12334 0115</t>
  </si>
  <si>
    <t>นบ., ตวท., กอป. (57)</t>
  </si>
  <si>
    <t>อัณณพ ศรีเปารยะ</t>
  </si>
  <si>
    <t>2703 12314 0119</t>
  </si>
  <si>
    <t>2703 12334 0116</t>
  </si>
  <si>
    <t>สพฐ.ตร.48/66</t>
  </si>
  <si>
    <t>ศุธชา คุ้มปรี</t>
  </si>
  <si>
    <t>2703 12314 0120</t>
  </si>
  <si>
    <t>2703 12334 0117</t>
  </si>
  <si>
    <t>ปวส.,ตวท., กอป. (57)</t>
  </si>
  <si>
    <t>พลาธิป กานันท์</t>
  </si>
  <si>
    <t>2703 12314 0121</t>
  </si>
  <si>
    <t>2703 12334 0118</t>
  </si>
  <si>
    <t>ชลธิชา จุ้ยเตย</t>
  </si>
  <si>
    <t>2703 12314 0122</t>
  </si>
  <si>
    <t>2703 12334 0119</t>
  </si>
  <si>
    <t>บธ.บ.,ตวท.,กอป.(57)</t>
  </si>
  <si>
    <t>บุนรดา  พิชัยรัตน์</t>
  </si>
  <si>
    <t>2703 12314 0123</t>
  </si>
  <si>
    <t>2703 12334 0120</t>
  </si>
  <si>
    <t>บธ.บ.(การจัดการ), บธ.บ.(การตลาด),กปป.,คฝ.</t>
  </si>
  <si>
    <t>2703 12314 0124</t>
  </si>
  <si>
    <t>2703 12334 0121</t>
  </si>
  <si>
    <t>2703 12314 0125</t>
  </si>
  <si>
    <t>2703 12334 0122</t>
  </si>
  <si>
    <t>2703 12314 0126</t>
  </si>
  <si>
    <t>2703 12334 0123</t>
  </si>
  <si>
    <t>2703 12314 0127</t>
  </si>
  <si>
    <t>2703 12334 0124</t>
  </si>
  <si>
    <t>ผบ.หมู่ ฝทว.4 ทว.</t>
  </si>
  <si>
    <t>2703 12301 0128</t>
  </si>
  <si>
    <t>2703 12357 0125</t>
  </si>
  <si>
    <t>2703 12301 0129</t>
  </si>
  <si>
    <t>2703 12357 0126</t>
  </si>
  <si>
    <t>2703 12301 0130</t>
  </si>
  <si>
    <t>2703 12357 0127</t>
  </si>
  <si>
    <t>2703 12314 0131</t>
  </si>
  <si>
    <t>2703 12334 0128</t>
  </si>
  <si>
    <t>2703 12314 0132</t>
  </si>
  <si>
    <t>2703 12334 0129</t>
  </si>
  <si>
    <t>ธนโชติ  ปราสาร</t>
  </si>
  <si>
    <t>2703 12314 0133</t>
  </si>
  <si>
    <t>2703 12334 0130</t>
  </si>
  <si>
    <t>สพฐ.ตร.171/62</t>
  </si>
  <si>
    <t>ณัฐนนท์ สดสุข</t>
  </si>
  <si>
    <t>2703 12314 0134</t>
  </si>
  <si>
    <t>2703 12334 0131</t>
  </si>
  <si>
    <t>สพฐ.ตร.206/62</t>
  </si>
  <si>
    <t>2703 12314 0135</t>
  </si>
  <si>
    <t>2703 12334 0132</t>
  </si>
  <si>
    <t>2703 12314 0136</t>
  </si>
  <si>
    <t>2703 12334 0133</t>
  </si>
  <si>
    <t>2703 12314 0137</t>
  </si>
  <si>
    <t>2703 12334 0134</t>
  </si>
  <si>
    <t>ดรุณี  เอี๊ยววิจิตรจารุ</t>
  </si>
  <si>
    <t>2703 12314 0138</t>
  </si>
  <si>
    <t>2703 12334 0135</t>
  </si>
  <si>
    <t>ปวช., กอป.(ปี47)</t>
  </si>
  <si>
    <t>สุบรรณ  มาลาบาล</t>
  </si>
  <si>
    <t>2703 12314 0139</t>
  </si>
  <si>
    <t>2703 12334 0136</t>
  </si>
  <si>
    <t>ปวส., บธ.บ, กอป.(15)</t>
  </si>
  <si>
    <t>2703 12314 0140</t>
  </si>
  <si>
    <t>2703 12334 0137</t>
  </si>
  <si>
    <t>จารักษ์  ฮวดใจรักษ์</t>
  </si>
  <si>
    <t>2703 12314 0141</t>
  </si>
  <si>
    <t>2703 12334 0138</t>
  </si>
  <si>
    <t>ปวช.,คบ., ชัยยะ(พื้นฐาน), กอป.(19),ตวท.</t>
  </si>
  <si>
    <t>ตร.259/61</t>
  </si>
  <si>
    <t>พงศ์พิพันธ์ บุญทอง</t>
  </si>
  <si>
    <t>2703 12314 0142</t>
  </si>
  <si>
    <t>2703 12334 0139</t>
  </si>
  <si>
    <t>ม.6, กอป.(16)</t>
  </si>
  <si>
    <t>2703 12314 0143</t>
  </si>
  <si>
    <t>2703 12334 0140</t>
  </si>
  <si>
    <t>2703 12314 0144</t>
  </si>
  <si>
    <t>2703 12334 0141</t>
  </si>
  <si>
    <t>2703 12314 0145</t>
  </si>
  <si>
    <t>2703 12334 0142</t>
  </si>
  <si>
    <t>จุฑารัตน์  เพ็งมณี</t>
  </si>
  <si>
    <t>2703 12314 0146</t>
  </si>
  <si>
    <t>2703 12334 0143</t>
  </si>
  <si>
    <t>2703 12314 0147</t>
  </si>
  <si>
    <t>2703 12334 0144</t>
  </si>
  <si>
    <t>สุฐิชา  บุญสิทธิ์</t>
  </si>
  <si>
    <t>2703 12314 0148</t>
  </si>
  <si>
    <t>2703 12334 0145</t>
  </si>
  <si>
    <t>กวีวัฒณ์ สอนถม</t>
  </si>
  <si>
    <t>2703 12314 0149</t>
  </si>
  <si>
    <t>2703 12334 0146</t>
  </si>
  <si>
    <t>ธีระพงษ์ วัฒนะสวัสดิ์</t>
  </si>
  <si>
    <t>2703 12314 0150</t>
  </si>
  <si>
    <t>2703 12334 0147</t>
  </si>
  <si>
    <t>ศราวุฒิ แซ่จั่น</t>
  </si>
  <si>
    <t>2703 12314 0151</t>
  </si>
  <si>
    <t>2703 12334 0148</t>
  </si>
  <si>
    <t>2703 12314 0152</t>
  </si>
  <si>
    <t>2703 12334 0149</t>
  </si>
  <si>
    <t>2703 12314 0153</t>
  </si>
  <si>
    <t>2703 12334 0150</t>
  </si>
  <si>
    <t>2703 12314 0154</t>
  </si>
  <si>
    <t>2703 12334 0151</t>
  </si>
  <si>
    <t>2703 12314 0155</t>
  </si>
  <si>
    <t>2703 12334 0152</t>
  </si>
  <si>
    <t>2703 12314 0156</t>
  </si>
  <si>
    <t>2703 12334 0153</t>
  </si>
  <si>
    <t>2703 12314 0157</t>
  </si>
  <si>
    <t>2703 12334 0154</t>
  </si>
  <si>
    <t>2703 12314 0158</t>
  </si>
  <si>
    <t>2703 12334 0155</t>
  </si>
  <si>
    <t>2703 12314 0159</t>
  </si>
  <si>
    <t>2703 12334 0156</t>
  </si>
  <si>
    <t>2703 12314 0160</t>
  </si>
  <si>
    <t>2703 12334 0157</t>
  </si>
  <si>
    <t>2703 12314 0161</t>
  </si>
  <si>
    <t>2703 12334 0158</t>
  </si>
  <si>
    <t>2703 12314 0162</t>
  </si>
  <si>
    <t>2703 12334 0159</t>
  </si>
  <si>
    <t>2703 12314 0163</t>
  </si>
  <si>
    <t>2703 12334 0160</t>
  </si>
  <si>
    <t>2703 12314 0164</t>
  </si>
  <si>
    <t>2703 12334 0161</t>
  </si>
  <si>
    <t>2703 12314 0165</t>
  </si>
  <si>
    <t>2703 12334 0162</t>
  </si>
  <si>
    <t>ปรียาวดี ทองขาว</t>
  </si>
  <si>
    <t>2703 12314 0166</t>
  </si>
  <si>
    <t>2703 12334 0163</t>
  </si>
  <si>
    <t>ศศ.บ. (รัฐศาสตร์), วท.บ.(พืชศาสตร์), รป.ม., กอป.(ปี52),ตวท.รุ่น3 ปี2553</t>
  </si>
  <si>
    <t>ศิริญา ศรีขำ</t>
  </si>
  <si>
    <t>2703 12314 0167</t>
  </si>
  <si>
    <t>2703 12334 0164</t>
  </si>
  <si>
    <t>ปวช., บธ.บ., กอป.(ปี57),ตวท.(ปี57)</t>
  </si>
  <si>
    <t>ปิยวัฒน์ โจมฤทธิ์</t>
  </si>
  <si>
    <t>2703 12314 0168</t>
  </si>
  <si>
    <t>2703 12334 0165</t>
  </si>
  <si>
    <t>ปวช., กอป.(ปี57), ตวท.(ปี57)</t>
  </si>
  <si>
    <t>2703 12314 0169</t>
  </si>
  <si>
    <t>2703 12334 0166</t>
  </si>
  <si>
    <t>กุลวดี ศิริศักดากุล</t>
  </si>
  <si>
    <t>2703 12314 0170</t>
  </si>
  <si>
    <t>2703 12334 0167</t>
  </si>
  <si>
    <t>ปวช., บธ.บ., กอป.(ปี57), ตวท.(ปี57)</t>
  </si>
  <si>
    <t>2703 12314 0171</t>
  </si>
  <si>
    <t>2703 12334 0168</t>
  </si>
  <si>
    <t>กมลชนก ใจโทน</t>
  </si>
  <si>
    <t>2703 12314 0172</t>
  </si>
  <si>
    <t>2703 12334 0169</t>
  </si>
  <si>
    <t>ปวช., วศ.บ., กอป.(ปี57),ตวท.(ปี57)</t>
  </si>
  <si>
    <t>2703 12314 0173</t>
  </si>
  <si>
    <t>2703 12334 0170</t>
  </si>
  <si>
    <t>มณีนุช เหมืองทอง</t>
  </si>
  <si>
    <t>2703 12314 0174</t>
  </si>
  <si>
    <t>2703 12334 0171</t>
  </si>
  <si>
    <t>ปวช., คอ.บ., กอป.(ปี57),ตวท.(ปี57)</t>
  </si>
  <si>
    <t>อรอุมา กองแก้ว</t>
  </si>
  <si>
    <t>2703 12314 0175</t>
  </si>
  <si>
    <t>2703 12334 0172</t>
  </si>
  <si>
    <t>ปวช., คอ.บ., กอป.(ปี57), ตวท.(ปี57)</t>
  </si>
  <si>
    <t>ผบ.หมู่ ฝทว.5 ทว.</t>
  </si>
  <si>
    <t>2703 12301 0176</t>
  </si>
  <si>
    <t>2703 12357 0173</t>
  </si>
  <si>
    <t>2703 12301 0177</t>
  </si>
  <si>
    <t>2703 12357 0174</t>
  </si>
  <si>
    <t>2703 12301 0178</t>
  </si>
  <si>
    <t>2703 12357 0175</t>
  </si>
  <si>
    <t>วุฒินันท์ ชัยแสง</t>
  </si>
  <si>
    <t>2703 12314 0179</t>
  </si>
  <si>
    <t>2703 12334 0176</t>
  </si>
  <si>
    <t>วท.บ. (วิทยาฯ การกีฬา), กอป.(ปี58)</t>
  </si>
  <si>
    <t>สพฐ.ตร.474/57</t>
  </si>
  <si>
    <t>2703 12314 0180</t>
  </si>
  <si>
    <t>2703 12334 0177</t>
  </si>
  <si>
    <t>2703 12314 0181</t>
  </si>
  <si>
    <t>2703 12334 0178</t>
  </si>
  <si>
    <t>ศศิธร เจริญอินพรหม</t>
  </si>
  <si>
    <t>2703 12314 0182</t>
  </si>
  <si>
    <t>2703 12334 0179</t>
  </si>
  <si>
    <t>ปวช., กอป.(14)</t>
  </si>
  <si>
    <t>วันวิสาข์ เกตุสมบัติ</t>
  </si>
  <si>
    <t>2703 12314 0183</t>
  </si>
  <si>
    <t>2703 12334 0180</t>
  </si>
  <si>
    <t>วสันต์  ฤทธิพลาดิสัย</t>
  </si>
  <si>
    <t>2703 12314 0184</t>
  </si>
  <si>
    <t>2703 12334 0181</t>
  </si>
  <si>
    <t>ม.6., กอป.(59), ตวท.รุ่น 26</t>
  </si>
  <si>
    <t>จีระนุช  เทียมบุญส่ง</t>
  </si>
  <si>
    <t>2703 12314 0185</t>
  </si>
  <si>
    <t>2703 12334 0182</t>
  </si>
  <si>
    <t>วท.บ.,ตวท.22</t>
  </si>
  <si>
    <t>อภิชญา  แก้วมน</t>
  </si>
  <si>
    <t>2703 12314 0186</t>
  </si>
  <si>
    <t>2703 12334 0183</t>
  </si>
  <si>
    <t>วิสุทธิดารัตน์  สิงห์แก้ว</t>
  </si>
  <si>
    <t>2703 12314 0187</t>
  </si>
  <si>
    <t>2703 12334 0184</t>
  </si>
  <si>
    <t>ณัชพล  วันทา</t>
  </si>
  <si>
    <t>2703 12314 0188</t>
  </si>
  <si>
    <t>2703 12334 0185</t>
  </si>
  <si>
    <t>ศิริศักดิ์  กฤษณะเศรณี</t>
  </si>
  <si>
    <t>2703 12314 0189</t>
  </si>
  <si>
    <t>2703 12334 0186</t>
  </si>
  <si>
    <t>ธนัชกฤศ  กวินเตชวาณิช</t>
  </si>
  <si>
    <t>2703 12314 0190</t>
  </si>
  <si>
    <t>2703 12334 0187</t>
  </si>
  <si>
    <t>ณัฐชยา จรัญเต๋</t>
  </si>
  <si>
    <t>2703 12314 0191</t>
  </si>
  <si>
    <t>2703 12334 0188</t>
  </si>
  <si>
    <t>จุนยา โชคสงวน</t>
  </si>
  <si>
    <t>2703 12314 0192</t>
  </si>
  <si>
    <t>2703 12334 0189</t>
  </si>
  <si>
    <t>ฤทธิเดช สบายจิตต์</t>
  </si>
  <si>
    <t>2703 12314 0193</t>
  </si>
  <si>
    <t>2703 12334 0190</t>
  </si>
  <si>
    <t>เนติพงษ์ รัตนพันธ์</t>
  </si>
  <si>
    <t>2703 12314 0194</t>
  </si>
  <si>
    <t>2703 12334 0191</t>
  </si>
  <si>
    <t>2703 12314 0195</t>
  </si>
  <si>
    <t>2703 12334 0192</t>
  </si>
  <si>
    <t>2703 12314 0196</t>
  </si>
  <si>
    <t>2703 12334 0193</t>
  </si>
  <si>
    <t>2703 12314 0197</t>
  </si>
  <si>
    <t>2703 12334 0194</t>
  </si>
  <si>
    <t>ปริชญา รัตนก้านตง</t>
  </si>
  <si>
    <t>2703 12314 0198</t>
  </si>
  <si>
    <t>2703 12334 0195</t>
  </si>
  <si>
    <t>ปวส., กอป.(ปี57),ตวท.</t>
  </si>
  <si>
    <t>เพียงขวัญ  เรือนฟ้างาม</t>
  </si>
  <si>
    <t>2703 12314 0199</t>
  </si>
  <si>
    <t>2703 12334 0196</t>
  </si>
  <si>
    <t>บธ.บ.,กปอ.,ตวท.</t>
  </si>
  <si>
    <t>นาตยา ปรีกมล</t>
  </si>
  <si>
    <t>2703 12314 0200</t>
  </si>
  <si>
    <t>2703 12334 0197</t>
  </si>
  <si>
    <t>กอป.(ปี57),บธ.บ.,ตวท.</t>
  </si>
  <si>
    <t>ปฏิพล ธุระกิจ</t>
  </si>
  <si>
    <t>2703 12314 0201</t>
  </si>
  <si>
    <t>2703 12334 0198</t>
  </si>
  <si>
    <t>ปวช., กอป.(ปี57)</t>
  </si>
  <si>
    <t>2703 12314 0202</t>
  </si>
  <si>
    <t>2703 12334 0199</t>
  </si>
  <si>
    <t>2703 12314 0203</t>
  </si>
  <si>
    <t>2703 12334 0200</t>
  </si>
  <si>
    <t>สถิตย์ภรณ์ เปรมสิริรัตนากร</t>
  </si>
  <si>
    <t>2703 12314 0204</t>
  </si>
  <si>
    <t>2703 12334 0201</t>
  </si>
  <si>
    <t>ปวช., กอป.(ปี57),วท.บ.,ตวท.</t>
  </si>
  <si>
    <t>สุจิตรา สวัสดี</t>
  </si>
  <si>
    <t>2703 12314 0205</t>
  </si>
  <si>
    <t>2703 12334 0202</t>
  </si>
  <si>
    <t>ปวช., กอป.(ปี57),ตวท.,บธ.บ.</t>
  </si>
  <si>
    <t>2703 12314 0206</t>
  </si>
  <si>
    <t>2703 12334 0203</t>
  </si>
  <si>
    <t>ผบ.หมู่ ฝทว.6 ทว.</t>
  </si>
  <si>
    <t>2703 12301 0207</t>
  </si>
  <si>
    <t>2703 12357 0204</t>
  </si>
  <si>
    <t>2703 12301 0208</t>
  </si>
  <si>
    <t>2703 12357 0205</t>
  </si>
  <si>
    <t>2703 12301 0209</t>
  </si>
  <si>
    <t>2703 12357 0206</t>
  </si>
  <si>
    <t>อิศรา  บุตรกัณหา</t>
  </si>
  <si>
    <t>2703 12314 0210</t>
  </si>
  <si>
    <t>2703 12334 0207</t>
  </si>
  <si>
    <t>รอง สว.(อก.) ฝทว.6 ทว.</t>
  </si>
  <si>
    <t>2703 12314 0211</t>
  </si>
  <si>
    <t>2703 12334 0208</t>
  </si>
  <si>
    <t>2703 12314 0212</t>
  </si>
  <si>
    <t>2703 12334 0209</t>
  </si>
  <si>
    <t>2703 12314 0213</t>
  </si>
  <si>
    <t>2703 12334 0210</t>
  </si>
  <si>
    <t>ตร.414/60</t>
  </si>
  <si>
    <t>ณัฏฐาพร ดำรอด</t>
  </si>
  <si>
    <t>2703 12314 0214</t>
  </si>
  <si>
    <t>2703 12334 0211</t>
  </si>
  <si>
    <t>ปัญจพล  สมิทธิเวชรงค์</t>
  </si>
  <si>
    <t>2703 12314 0215</t>
  </si>
  <si>
    <t>2703 12334 0212</t>
  </si>
  <si>
    <t>อนุสรณ์ กิตติวรรธนะ</t>
  </si>
  <si>
    <t>2703 12314 0216</t>
  </si>
  <si>
    <t>2703 12334 0213</t>
  </si>
  <si>
    <t>ปวช.,ปวส.,กอป. รุ่น 7 ปี 2539, พิมพ์ลายนิ้วมือชั้นต้น สูง ปี 2533</t>
  </si>
  <si>
    <t>แคทรีน ภายไธสง</t>
  </si>
  <si>
    <t>2703 12314 0217</t>
  </si>
  <si>
    <t>2703 12334 0214</t>
  </si>
  <si>
    <t>จิเรศร์ ศรีโปธา</t>
  </si>
  <si>
    <t>2703 12314 0218</t>
  </si>
  <si>
    <t>2703 12334 0215</t>
  </si>
  <si>
    <t>อนุสรณ์ ศรีวรรณ</t>
  </si>
  <si>
    <t>2703 12314 0219</t>
  </si>
  <si>
    <t>2703 12334 0216</t>
  </si>
  <si>
    <t>อภิสิทธิ์ ปานปิน</t>
  </si>
  <si>
    <t>2703 12314 0220</t>
  </si>
  <si>
    <t>2703 12334 0217</t>
  </si>
  <si>
    <t>วสันต์ วรรณศรี</t>
  </si>
  <si>
    <t>2703 12314 0221</t>
  </si>
  <si>
    <t>2703 12334 0218</t>
  </si>
  <si>
    <t>2703 12314 0222</t>
  </si>
  <si>
    <t>2703 12334 0219</t>
  </si>
  <si>
    <t>2703 12314 0223</t>
  </si>
  <si>
    <t>2703 12334 0220</t>
  </si>
  <si>
    <t>ศิริศักดิ์ จงไกรจักร</t>
  </si>
  <si>
    <t>ผบ.หมู่  ฝทว.6 ทว.</t>
  </si>
  <si>
    <t>2703 12314 0224</t>
  </si>
  <si>
    <t>2703 12334 0221</t>
  </si>
  <si>
    <t>อัษฎาวุฒิ ทองสุข</t>
  </si>
  <si>
    <t>2703 12314 0225</t>
  </si>
  <si>
    <t>2703 12334 0222</t>
  </si>
  <si>
    <t>บดินทร์ ละศรีจันทร์</t>
  </si>
  <si>
    <t>2703 12314 0226</t>
  </si>
  <si>
    <t>2703 12334 0223</t>
  </si>
  <si>
    <t>2703 12314 0227</t>
  </si>
  <si>
    <t>2703 12334 0224</t>
  </si>
  <si>
    <t>ณภิญญาวรรณ มาตราช</t>
  </si>
  <si>
    <t>2703 12314 0228</t>
  </si>
  <si>
    <t>2703 12334 0225</t>
  </si>
  <si>
    <t>ศศ.บ., กอป. (ธุรการ) รุ่น 11, พิมพ์ลายนิ้วมือเบื้องต้น, ชั้นสูง ปี 2547, ตวท. รุ่น 2</t>
  </si>
  <si>
    <t>ธีรพล ไกรวิชา</t>
  </si>
  <si>
    <t>2703 12314 0229</t>
  </si>
  <si>
    <t>2703 12334 0226</t>
  </si>
  <si>
    <t>2703 12314 0230</t>
  </si>
  <si>
    <t>2703 12334 0227</t>
  </si>
  <si>
    <t>ฟ้าสาง บุรี</t>
  </si>
  <si>
    <t>2703 12314 0231</t>
  </si>
  <si>
    <t>2703 12334 0228</t>
  </si>
  <si>
    <t>ศศ.บ. (รัฐศาสตร์), กอป. ปี 2544, ตวท. รุ่น 11 ปี 2558</t>
  </si>
  <si>
    <t>2703 12314 0232</t>
  </si>
  <si>
    <t>2703 12334 0229</t>
  </si>
  <si>
    <t>2703 12314 0233</t>
  </si>
  <si>
    <t>2703 12334 0230</t>
  </si>
  <si>
    <t>ประภาภรณ์ เอมดี</t>
  </si>
  <si>
    <t>2703 12314 0234</t>
  </si>
  <si>
    <t>2703 12334 0231</t>
  </si>
  <si>
    <t>ศศ.บ., พิมพ์ลายนิ้วมือเบื้องต้น, ชั้นสูง, กอป.(19)</t>
  </si>
  <si>
    <t>2703 12314 0235</t>
  </si>
  <si>
    <t>2703 12334 0232</t>
  </si>
  <si>
    <t>2703 12314 0236</t>
  </si>
  <si>
    <t>2703 12334 0233</t>
  </si>
  <si>
    <t>2703 12314 0237</t>
  </si>
  <si>
    <t>2703 12334 0234</t>
  </si>
  <si>
    <t>2703 12314 0238</t>
  </si>
  <si>
    <t>2703 12334 0235</t>
  </si>
  <si>
    <t>2703 12314 0239</t>
  </si>
  <si>
    <t>2703 12334 0236</t>
  </si>
  <si>
    <t>2703 12314 0240</t>
  </si>
  <si>
    <t>2703 12334 0237</t>
  </si>
  <si>
    <t>2703 12314 0241</t>
  </si>
  <si>
    <t>2703 12334 0238</t>
  </si>
  <si>
    <t>วิรวงศ์  ศรีพิชิต</t>
  </si>
  <si>
    <t>2703 12314 0242</t>
  </si>
  <si>
    <t>2703 12334 0239</t>
  </si>
  <si>
    <t>ปวช., ตวท. รุ่น ๗, กอป. รุ่น ๒๗</t>
  </si>
  <si>
    <t>2703 12314 0243</t>
  </si>
  <si>
    <t>2703 12334 0240</t>
  </si>
  <si>
    <t>พูลสวัสดิ์ ลิ่มสกุล</t>
  </si>
  <si>
    <t>2703 12314 0244</t>
  </si>
  <si>
    <t>2703 12334 0241</t>
  </si>
  <si>
    <t>ปวช., วท.บ., ศศ.บ., ตวท. รุ่น 9, กอป. รุ่น 21 ปี 2548,ชัยยะขั้นพื้นฐาน</t>
  </si>
  <si>
    <t>ชัชชัย แสงจง</t>
  </si>
  <si>
    <t>2703 12314 0245</t>
  </si>
  <si>
    <t>2703 12334 0242</t>
  </si>
  <si>
    <t>ปวช., กอป. รุ่น 27, พิมพ์ลายนิ้วมือชั้นสูง ปี 2547</t>
  </si>
  <si>
    <t>2703 12314 0246</t>
  </si>
  <si>
    <t>2703 12334 0243</t>
  </si>
  <si>
    <t>2703 12314 0247</t>
  </si>
  <si>
    <t>2703 12334 0244</t>
  </si>
  <si>
    <t>2703 12314 0248</t>
  </si>
  <si>
    <t>2703 12334 0245</t>
  </si>
  <si>
    <t>2703 12314 0249</t>
  </si>
  <si>
    <t>2703 12334 0246</t>
  </si>
  <si>
    <t>2703 12314 0250</t>
  </si>
  <si>
    <t>2703 12334 0247</t>
  </si>
  <si>
    <t>ไมตรี พุดแดง</t>
  </si>
  <si>
    <t>2703 12314 0251</t>
  </si>
  <si>
    <t>2703 12334 0248</t>
  </si>
  <si>
    <t>ปวช., ปวส., วท.บ. (เทคโนโลยีอุตสาหกรรม), ตวท. รุ่น 2, กอป. รุ่น 19</t>
  </si>
  <si>
    <t>2703 12314 0252</t>
  </si>
  <si>
    <t>2703 12334 0249</t>
  </si>
  <si>
    <t>กฤษชญาดา แจ้งสนาม</t>
  </si>
  <si>
    <t>2703 12314 0253</t>
  </si>
  <si>
    <t>2703 12334 0250</t>
  </si>
  <si>
    <t>ปวช., บธ.บ. (การจัดการทั่วไป), ตวท. รุ่น 2, กอป. รุ่น 19,ชัยยะขั้นพื้นฐาน</t>
  </si>
  <si>
    <t>2703 12314 0254</t>
  </si>
  <si>
    <t>2703 12334 0251</t>
  </si>
  <si>
    <t>2703 12314 0255</t>
  </si>
  <si>
    <t>2703 12334 0252</t>
  </si>
  <si>
    <t>2703 12314 0256</t>
  </si>
  <si>
    <t>2703 12334 0253</t>
  </si>
  <si>
    <t>2703 12314 0257</t>
  </si>
  <si>
    <t>2703 12334 0254</t>
  </si>
  <si>
    <t>2703 12314 0258</t>
  </si>
  <si>
    <t>2703 12334 0255</t>
  </si>
  <si>
    <t>2703 12314 0259</t>
  </si>
  <si>
    <t>2703 12334 0256</t>
  </si>
  <si>
    <t>เจนจิรา พลสูงเนิน</t>
  </si>
  <si>
    <t>2703 12314 0260</t>
  </si>
  <si>
    <t>2703 12334 0257</t>
  </si>
  <si>
    <t>ศศ.บ. (การตลาด), ตวท. รุ่น 4, กอป. รุ่น 29</t>
  </si>
  <si>
    <t>รินภา เลิศดี</t>
  </si>
  <si>
    <t>2703 12314 0261</t>
  </si>
  <si>
    <t>2703 12334 0258</t>
  </si>
  <si>
    <t>บธ.บ. (การจัดการทั่วไป), ตวท. รุ่น 4, กอป. รุ่น 29</t>
  </si>
  <si>
    <t>ชุติมา นาเมืองรักษ์</t>
  </si>
  <si>
    <t>2703 12314 0262</t>
  </si>
  <si>
    <t>2703 12334 0259</t>
  </si>
  <si>
    <t>ปวช., บธ.บ. (สารสนเทศ), ตวท. รุ่น 10, กอป. ปี 2557</t>
  </si>
  <si>
    <t>ศศิวิมล มังชินา</t>
  </si>
  <si>
    <t>2703 12314 0263</t>
  </si>
  <si>
    <t>2703 12334 0260</t>
  </si>
  <si>
    <t>ปวช., บธ.บ.(คอมฯธุรกิจ), ตวท. รุ่น 10, กอป. ปี 2557</t>
  </si>
  <si>
    <t>อัญชลี เกิดผล</t>
  </si>
  <si>
    <t>2703 12314 0264</t>
  </si>
  <si>
    <t>2703 12334 0261</t>
  </si>
  <si>
    <t>ปวช., บธ.บ.(การบัญชี), กอป.(ปี57)</t>
  </si>
  <si>
    <t>2703 12314 0265</t>
  </si>
  <si>
    <t>2703 12334 0262</t>
  </si>
  <si>
    <t>2703 12314 0266</t>
  </si>
  <si>
    <t>2703 12334 0263</t>
  </si>
  <si>
    <t>2703 12314 0267</t>
  </si>
  <si>
    <t>2703 12334 0264</t>
  </si>
  <si>
    <t>2703 12314 0268</t>
  </si>
  <si>
    <t>2703 12334 0265</t>
  </si>
  <si>
    <t>ธัญลักษณ์ ชิ้นงูเหลือม</t>
  </si>
  <si>
    <t>2703 12314 0269</t>
  </si>
  <si>
    <t>2703 12334 0266</t>
  </si>
  <si>
    <t>ปวช., วศ.บ. (คอมพิวเตอร์), ตวท. รุ่น 10, กอป. ปี 2557</t>
  </si>
  <si>
    <t>ผบ.หมู่ ฝทว.7 ทว.</t>
  </si>
  <si>
    <t>2703 12301 0270</t>
  </si>
  <si>
    <t>2703 12357 0267</t>
  </si>
  <si>
    <t>2703 12301 0271</t>
  </si>
  <si>
    <t>2703 12357 0268</t>
  </si>
  <si>
    <t>2703 12301 0272</t>
  </si>
  <si>
    <t>2703 12357 0269</t>
  </si>
  <si>
    <t>ชิติพัทธ์  ก๋าถ้วย</t>
  </si>
  <si>
    <t>2703 12314 0273</t>
  </si>
  <si>
    <t>2703 12334 0270</t>
  </si>
  <si>
    <t>ศิริวรรณ ปุยแก้ว</t>
  </si>
  <si>
    <t>2703 12314 0274</t>
  </si>
  <si>
    <t>2703 12334 0271</t>
  </si>
  <si>
    <t>ปวช., กอป.(ปี39)</t>
  </si>
  <si>
    <t>สพฐ.ตร.39/56</t>
  </si>
  <si>
    <t>สรัญญา ภูมิจันทึก</t>
  </si>
  <si>
    <t>2703 12314 0275</t>
  </si>
  <si>
    <t>2703 12334 0272</t>
  </si>
  <si>
    <t>รศ.บ., กอป.(ปี44)</t>
  </si>
  <si>
    <t>สุธิดา ทองรอด</t>
  </si>
  <si>
    <t>2703 12314 0276</t>
  </si>
  <si>
    <t>2703 12334 0273</t>
  </si>
  <si>
    <t>ศศ.บ., กอป.(ปี44),ตวท.</t>
  </si>
  <si>
    <t>มยุรี อินธรรมระ</t>
  </si>
  <si>
    <t>2703 12314 0277</t>
  </si>
  <si>
    <t>2703 12334 0274</t>
  </si>
  <si>
    <t>ศศ.บ. (พัฒนาชุมชน), กอป.(ปี51),รป.ม.</t>
  </si>
  <si>
    <t>สพฐ.ตร.188/57</t>
  </si>
  <si>
    <t>สุนันทา ขำขาว</t>
  </si>
  <si>
    <t>รอง สว.(อก.) ฝทว.7 ทว.</t>
  </si>
  <si>
    <t>2703 12314 0278</t>
  </si>
  <si>
    <t>2703 12334 0275</t>
  </si>
  <si>
    <t>ศศ.บ., กอป.(ปี43),กดต.(อก.)</t>
  </si>
  <si>
    <t>สพฐ.ตร.68/64</t>
  </si>
  <si>
    <t>ประสิทธิ์สม วัชระคุปต์</t>
  </si>
  <si>
    <t>2703 12314 0279</t>
  </si>
  <si>
    <t>2703 12334 0276</t>
  </si>
  <si>
    <t>ปวช., กอป.(17),รป.ม.</t>
  </si>
  <si>
    <t>ศิริพร ชูเกิด</t>
  </si>
  <si>
    <t>2703 12314 0280</t>
  </si>
  <si>
    <t>2703 12334 0277</t>
  </si>
  <si>
    <t>ปวช., บธ.บ.,กอป.(9),ตวท.</t>
  </si>
  <si>
    <t>2703 12314 0281</t>
  </si>
  <si>
    <t>2703 12334 0278</t>
  </si>
  <si>
    <t>ปทิตญา  เลิกบางพลัด</t>
  </si>
  <si>
    <t>2703 12314 0282</t>
  </si>
  <si>
    <t>2703 12334 0279</t>
  </si>
  <si>
    <t>บธ.บ,ตวท.</t>
  </si>
  <si>
    <t>สุพร มาลารักษ์</t>
  </si>
  <si>
    <t>2703 12314 0283</t>
  </si>
  <si>
    <t>2703 12334 0280</t>
  </si>
  <si>
    <t>ศศ.บ. (รัฐศาสตร์), กอป.(18),รป.ม.,ตวท.</t>
  </si>
  <si>
    <t>พลรบ  ศรีสุวรรณ</t>
  </si>
  <si>
    <t>2703 12314 0284</t>
  </si>
  <si>
    <t>2703 12334 0281</t>
  </si>
  <si>
    <t>ธารภญ เอี่ยมกั๊ก</t>
  </si>
  <si>
    <t>2703 12314 0285</t>
  </si>
  <si>
    <t>2703 12334 0282</t>
  </si>
  <si>
    <t>ม.6, ปวส.,กอป.,ตวท.</t>
  </si>
  <si>
    <t>2703 12314 0286</t>
  </si>
  <si>
    <t>2703 12334 0283</t>
  </si>
  <si>
    <t>ปวริศา  ศิริกุล</t>
  </si>
  <si>
    <t>2703 12314 0287</t>
  </si>
  <si>
    <t>2703 12334 0284</t>
  </si>
  <si>
    <t>กุลณัฐ  ดำพลับ</t>
  </si>
  <si>
    <t>2703 12314 0288</t>
  </si>
  <si>
    <t>2703 12334 0285</t>
  </si>
  <si>
    <t>ธิดารัตน์  รอดเสน</t>
  </si>
  <si>
    <t>2703 12314 0289</t>
  </si>
  <si>
    <t>2703 12334 0286</t>
  </si>
  <si>
    <t>สิริรัตน์  พรหมมี</t>
  </si>
  <si>
    <t>2703 12314 0290</t>
  </si>
  <si>
    <t>2703 12334 0287</t>
  </si>
  <si>
    <t>นภาพร โพธิ์มีศรี</t>
  </si>
  <si>
    <t>2703 12314 0291</t>
  </si>
  <si>
    <t>2703 12334 0288</t>
  </si>
  <si>
    <t>ศศ.บ., กอป.(10),ตวท.</t>
  </si>
  <si>
    <t>2703 12314 0292</t>
  </si>
  <si>
    <t>2703 12334 0289</t>
  </si>
  <si>
    <t>นันทิกา เหมเปา</t>
  </si>
  <si>
    <t>2703 12314 0293</t>
  </si>
  <si>
    <t>2703 12334 0290</t>
  </si>
  <si>
    <t>ณัฐกรณ์ เส็งขาว</t>
  </si>
  <si>
    <t>2703 12314 0294</t>
  </si>
  <si>
    <t>2703 12334 0291</t>
  </si>
  <si>
    <t>ฏฏิณิชกุล นัฎกฤตา</t>
  </si>
  <si>
    <t>2703 12314 0295</t>
  </si>
  <si>
    <t>2703 12334 0292</t>
  </si>
  <si>
    <t>ยมาภรณ์ โกศายานนท์</t>
  </si>
  <si>
    <t>2703 12314 0296</t>
  </si>
  <si>
    <t>2703 12334 0293</t>
  </si>
  <si>
    <t>ทัศนีย์ จำนงนอก</t>
  </si>
  <si>
    <t>2703 12314 0297</t>
  </si>
  <si>
    <t>2703 12334 0294</t>
  </si>
  <si>
    <t>กนกวรรณ จันทร์หนู</t>
  </si>
  <si>
    <t>2703 12314 0298</t>
  </si>
  <si>
    <t>2703 12334 0295</t>
  </si>
  <si>
    <t>ประภัสสร นาคแย้ม</t>
  </si>
  <si>
    <t>2703 12314 0299</t>
  </si>
  <si>
    <t>2703 12334 0296</t>
  </si>
  <si>
    <t>กมลทิพย์ พรชัยธเนศกุล</t>
  </si>
  <si>
    <t>2703 12314 0300</t>
  </si>
  <si>
    <t>2703 12334 0297</t>
  </si>
  <si>
    <t>ธวัชชัย อินทร์สวัสดิ์</t>
  </si>
  <si>
    <t>2703 12314 0301</t>
  </si>
  <si>
    <t>2703 12334 0298</t>
  </si>
  <si>
    <t>ผุสดี มีแก้วน้อย</t>
  </si>
  <si>
    <t>2703 12314 0302</t>
  </si>
  <si>
    <t>2703 12334 0299</t>
  </si>
  <si>
    <t>ศศ.บ., กอป.(ปี47)</t>
  </si>
  <si>
    <t>สิงหนาท ธรรมเสนา</t>
  </si>
  <si>
    <t>2703 12314 0303</t>
  </si>
  <si>
    <t>2703 12334 0300</t>
  </si>
  <si>
    <t>ธีระชัย มุสิกะทัน</t>
  </si>
  <si>
    <t>2703 12314 0304</t>
  </si>
  <si>
    <t>2703 12334 0301</t>
  </si>
  <si>
    <t>พีรพัฒน์ แก้วทวี</t>
  </si>
  <si>
    <t>2703 12314 0305</t>
  </si>
  <si>
    <t>2703 12334 0302</t>
  </si>
  <si>
    <t>ธวัชชัย โคคำ</t>
  </si>
  <si>
    <t>2703 12314 0306</t>
  </si>
  <si>
    <t>2703 12334 0303</t>
  </si>
  <si>
    <t>กิติสภานันท์ กะพัง</t>
  </si>
  <si>
    <t>2703 12314 0307</t>
  </si>
  <si>
    <t>2703 12334 0304</t>
  </si>
  <si>
    <t>ณวีรินทร์ พัฒนะวรานันท์</t>
  </si>
  <si>
    <t>2703 12314 0308</t>
  </si>
  <si>
    <t>2703 12334 0305</t>
  </si>
  <si>
    <t>ปวช., กอป. ,ตวท.</t>
  </si>
  <si>
    <t>กริชชนะ ลาภไธสง</t>
  </si>
  <si>
    <t>2703 12314 0309</t>
  </si>
  <si>
    <t>2703 12334 0306</t>
  </si>
  <si>
    <t>ยุทธนา กระดังงา</t>
  </si>
  <si>
    <t>2703 12314 0310</t>
  </si>
  <si>
    <t>2703 12334 0307</t>
  </si>
  <si>
    <t>วท.บ. (วิทฯ การกีฬา), กอป.(ปี58)</t>
  </si>
  <si>
    <t>ชลธิต นิ่มโอด</t>
  </si>
  <si>
    <t>2703 12314 0311</t>
  </si>
  <si>
    <t>2703 12334 0308</t>
  </si>
  <si>
    <t>ชญาณนันท์ ผลจันทร์</t>
  </si>
  <si>
    <t>2703 12314 0312</t>
  </si>
  <si>
    <t>2703 12334 0309</t>
  </si>
  <si>
    <t>ธนเทพ ลบพื้น</t>
  </si>
  <si>
    <t>2703 12314 0313</t>
  </si>
  <si>
    <t>2703 12334 0310</t>
  </si>
  <si>
    <t>จิรวัฒน์ สุธรรมเกษม</t>
  </si>
  <si>
    <t>2703 12314 0314</t>
  </si>
  <si>
    <t>2703 12334 0311</t>
  </si>
  <si>
    <t>สุขสันต์ บุตรมนต์</t>
  </si>
  <si>
    <t>2703 12314 0315</t>
  </si>
  <si>
    <t>2703 12334 0312</t>
  </si>
  <si>
    <t>ณัฐพงค์ พรรณขาม</t>
  </si>
  <si>
    <t>2703 12314 0316</t>
  </si>
  <si>
    <t>2703 12334 0313</t>
  </si>
  <si>
    <t>พิชิต ตรีโอษฐ์</t>
  </si>
  <si>
    <t>2703 12314 0317</t>
  </si>
  <si>
    <t>2703 12334 0314</t>
  </si>
  <si>
    <t>ศศ.บ. (รัฐศาสตร์),ตวท.</t>
  </si>
  <si>
    <t>ยุทธนา ดำสมุทร</t>
  </si>
  <si>
    <t>2703 12314 0318</t>
  </si>
  <si>
    <t>2703 12334 0315</t>
  </si>
  <si>
    <t>อุทัย จันทร์เจือแก้ว</t>
  </si>
  <si>
    <t>2703 12314 0319</t>
  </si>
  <si>
    <t>2703 12334 0316</t>
  </si>
  <si>
    <t>2703 12314 0320</t>
  </si>
  <si>
    <t>2703 12334 0317</t>
  </si>
  <si>
    <t>ธนกร มณีอินทร์</t>
  </si>
  <si>
    <t>2703 12314 0321</t>
  </si>
  <si>
    <t>2703 12334 0318</t>
  </si>
  <si>
    <t>ฐาปกรณ์ พากเพียร</t>
  </si>
  <si>
    <t>2703 12314 0322</t>
  </si>
  <si>
    <t>2703 12334 0319</t>
  </si>
  <si>
    <t>กิตติยากร บุญมานัน</t>
  </si>
  <si>
    <t>2703 12314 0323</t>
  </si>
  <si>
    <t>2703 12334 0320</t>
  </si>
  <si>
    <t>ปวช.,รบ.,ตวท.</t>
  </si>
  <si>
    <t>ภาณุพงษ์ โสภา</t>
  </si>
  <si>
    <t>2703 12314 0324</t>
  </si>
  <si>
    <t>2703 12334 0321</t>
  </si>
  <si>
    <t>พิสิฐ จันทร์กรี</t>
  </si>
  <si>
    <t>2703 12314 0325</t>
  </si>
  <si>
    <t>2703 12334 0322</t>
  </si>
  <si>
    <t>พิสิฐ พรหมศร</t>
  </si>
  <si>
    <t>2703 12314 0326</t>
  </si>
  <si>
    <t>2703 12334 0323</t>
  </si>
  <si>
    <t>ศักดิ์ศิวา เนียมชมภู</t>
  </si>
  <si>
    <t>2703 12314 0327</t>
  </si>
  <si>
    <t>2703 12334 0324</t>
  </si>
  <si>
    <t>รัฐพงศ์ ภูมิกระจ่าง</t>
  </si>
  <si>
    <t>2703 12314 0328</t>
  </si>
  <si>
    <t>2703 12334 0325</t>
  </si>
  <si>
    <t>วรวิทย์ พิทาทอง</t>
  </si>
  <si>
    <t>2703 12314 0329</t>
  </si>
  <si>
    <t>2703 12334 0326</t>
  </si>
  <si>
    <t>กาญจนา บุญศรี</t>
  </si>
  <si>
    <t>2703 12314 0330</t>
  </si>
  <si>
    <t>2703 12334 0327</t>
  </si>
  <si>
    <t>ปวช., รบ.,กอป.(16),ตวท.</t>
  </si>
  <si>
    <t>ณัฐวุฒิ ทองสุดยอด</t>
  </si>
  <si>
    <t>2703 12314 0331</t>
  </si>
  <si>
    <t>2703 12334 0328</t>
  </si>
  <si>
    <t>กัณฑ์อเนก บุญสิม</t>
  </si>
  <si>
    <t>2703 12314 0332</t>
  </si>
  <si>
    <t>2703 12334 0329</t>
  </si>
  <si>
    <t>ธนพล แก้วกาหลง</t>
  </si>
  <si>
    <t>2703 12314 0333</t>
  </si>
  <si>
    <t>2703 12334 0330</t>
  </si>
  <si>
    <t>ธนาวุฒิ นรสาร</t>
  </si>
  <si>
    <t>2703 12314 0334</t>
  </si>
  <si>
    <t>2703 12334 0331</t>
  </si>
  <si>
    <t>2703 12314 0335</t>
  </si>
  <si>
    <t>2703 12334 0332</t>
  </si>
  <si>
    <t>ทรงสิทธิ์ คุณสวัสดิ์</t>
  </si>
  <si>
    <t>2703 12314 0336</t>
  </si>
  <si>
    <t>2703 12334 0333</t>
  </si>
  <si>
    <t>2703 12314 0337</t>
  </si>
  <si>
    <t>2703 12334 0334</t>
  </si>
  <si>
    <t>เขมชาติ ถนอมชาติ</t>
  </si>
  <si>
    <t>2703 12314 0338</t>
  </si>
  <si>
    <t>2703 12334 0335</t>
  </si>
  <si>
    <t>พิชญ์ดนัย ว่องไวเมธี</t>
  </si>
  <si>
    <t>2703 12314 0339</t>
  </si>
  <si>
    <t>2703 12334 0336</t>
  </si>
  <si>
    <t>สุรนาท ต๊ะคำมี</t>
  </si>
  <si>
    <t>2703 12314 0340</t>
  </si>
  <si>
    <t>2703 12334 0337</t>
  </si>
  <si>
    <t>เบญจา  เทียนนุ่ม</t>
  </si>
  <si>
    <t>2703 12314 0351</t>
  </si>
  <si>
    <t>2703 12334 0338</t>
  </si>
  <si>
    <t>ศศ.บ. (นิเทศศาสตร์), กอป.(ปี51),รป.ม.</t>
  </si>
  <si>
    <t>สุภาพร มณี</t>
  </si>
  <si>
    <t>2703 12314 0352</t>
  </si>
  <si>
    <t>2703 12334 0339</t>
  </si>
  <si>
    <t>บธ.บ. (การเงินและการธนาคาร), กอป.(ปี51),รป.ม.,ตวท.</t>
  </si>
  <si>
    <t>วันชัย กองอิ้ม</t>
  </si>
  <si>
    <t>2703 12314 0353</t>
  </si>
  <si>
    <t>2703 12334 0340</t>
  </si>
  <si>
    <t>จักกิตตินันท์ ภควาโศภิษฐ์</t>
  </si>
  <si>
    <t>2703 12314 0354</t>
  </si>
  <si>
    <t>2703 12334 0341</t>
  </si>
  <si>
    <t>2703 12314 0355</t>
  </si>
  <si>
    <t>2703 12334 0342</t>
  </si>
  <si>
    <t>ศศิกานต์ สลิดแก้ว</t>
  </si>
  <si>
    <t>2703 12314 0356</t>
  </si>
  <si>
    <t>2703 12334 0343</t>
  </si>
  <si>
    <t>ธนวัฒน์ มีแก้ว</t>
  </si>
  <si>
    <t>2703 12314 0357</t>
  </si>
  <si>
    <t>2703 12334 0344</t>
  </si>
  <si>
    <t>2703 12314 0358</t>
  </si>
  <si>
    <t>2703 12334 0345</t>
  </si>
  <si>
    <t>2703 12314 0359</t>
  </si>
  <si>
    <t>2703 12334 0346</t>
  </si>
  <si>
    <t>2703 12314 0360</t>
  </si>
  <si>
    <t>2703 12334 0347</t>
  </si>
  <si>
    <t>นรดา บุญนันท์</t>
  </si>
  <si>
    <t>2703 12314 0361</t>
  </si>
  <si>
    <t>2703 12334 0348</t>
  </si>
  <si>
    <t>ศศ.บ. (รัฐประศาสนศาสตร์), กอป.(ปี54),รป.ม.</t>
  </si>
  <si>
    <t>สพฐ.ตร.396/54</t>
  </si>
  <si>
    <t>2703 12314 0362</t>
  </si>
  <si>
    <t>2703 12334 0349</t>
  </si>
  <si>
    <t>2703 12314 0363</t>
  </si>
  <si>
    <t>2703 12334 0350</t>
  </si>
  <si>
    <t>อัญชลี ชาวนาฟาง</t>
  </si>
  <si>
    <t>2703 12314 0364</t>
  </si>
  <si>
    <t>2703 12334 0351</t>
  </si>
  <si>
    <t>ศศ.บ. (ภาษาอังกฤษ), กอป.(ปี54),รป.ม.</t>
  </si>
  <si>
    <t>2703 12314 0365</t>
  </si>
  <si>
    <t>2703 12334 0352</t>
  </si>
  <si>
    <t>2703 12314 0366</t>
  </si>
  <si>
    <t>2703 12334 0353</t>
  </si>
  <si>
    <t>กมลวรรณ คลังคำภา</t>
  </si>
  <si>
    <t>2703 12314 0367</t>
  </si>
  <si>
    <t>2703 12334 0354</t>
  </si>
  <si>
    <t>บธ.บ. (การจัดการ), กอป.(ปี54)</t>
  </si>
  <si>
    <t>2703 12314 0368</t>
  </si>
  <si>
    <t>2703 12334 0355</t>
  </si>
  <si>
    <t>2703 12314 0369</t>
  </si>
  <si>
    <t>2703 12334 0356</t>
  </si>
  <si>
    <t>2703 12314 0370</t>
  </si>
  <si>
    <t>2703 12334 0357</t>
  </si>
  <si>
    <t>2703 12314 0371</t>
  </si>
  <si>
    <t>2703 12334 0358</t>
  </si>
  <si>
    <t>2703 12314 0372</t>
  </si>
  <si>
    <t>2703 12334 0359</t>
  </si>
  <si>
    <t>2703 12314 0373</t>
  </si>
  <si>
    <t>2703 12334 0360</t>
  </si>
  <si>
    <t>พลอยไพริน สีสด</t>
  </si>
  <si>
    <t>2703 12314 0374</t>
  </si>
  <si>
    <t>2703 12334 0361</t>
  </si>
  <si>
    <t>บัณฑิต รัตนาวิบูลย์</t>
  </si>
  <si>
    <t>2703 12314 0375</t>
  </si>
  <si>
    <t>2703 12334 0362</t>
  </si>
  <si>
    <t>กอป.(ปี57),บธ.บ.,ตวท.,ร.ม.</t>
  </si>
  <si>
    <t>2703 12314 0376</t>
  </si>
  <si>
    <t>2703 12334 0363</t>
  </si>
  <si>
    <t>2703 12314 0377</t>
  </si>
  <si>
    <t>2703 12334 0364</t>
  </si>
  <si>
    <t>เกศรินทร์ ศรีเสน่ห์พร</t>
  </si>
  <si>
    <t>2703 12314 0378</t>
  </si>
  <si>
    <t>2703 12334 0365</t>
  </si>
  <si>
    <t>2703 12314 0379</t>
  </si>
  <si>
    <t>2703 12334 0366</t>
  </si>
  <si>
    <t>2703 12314 0380</t>
  </si>
  <si>
    <t>2703 12334 0367</t>
  </si>
  <si>
    <t>2703 12314 0381</t>
  </si>
  <si>
    <t>2703 12334 0368</t>
  </si>
  <si>
    <t>2703 12314 0382</t>
  </si>
  <si>
    <t>2703 12334 0369</t>
  </si>
  <si>
    <t>อุทัยวรรณ สันเมืองมูล</t>
  </si>
  <si>
    <t>2703 12314 0383</t>
  </si>
  <si>
    <t>2703 12334 0370</t>
  </si>
  <si>
    <t>ปวช., กอป.(ปี57),ตวท.</t>
  </si>
  <si>
    <t>2703 12314 0384</t>
  </si>
  <si>
    <t>2703 12334 0371</t>
  </si>
  <si>
    <t>2703 12314 0385</t>
  </si>
  <si>
    <t>2703 12334 0372</t>
  </si>
  <si>
    <t>2703 12314 0386</t>
  </si>
  <si>
    <t>2703 12334 0373</t>
  </si>
  <si>
    <t>2703 12314 0387</t>
  </si>
  <si>
    <t>2703 12334 0374</t>
  </si>
  <si>
    <t>ชัชวาลย์ หิรัญญสุทธิ์</t>
  </si>
  <si>
    <t>2703 12314 0388</t>
  </si>
  <si>
    <t>2703 12334 0375</t>
  </si>
  <si>
    <t>บช.บ.,ปวช., กอป.(ปี57),ตวท.</t>
  </si>
  <si>
    <t>2703 12314 0389</t>
  </si>
  <si>
    <t>2703 12334 0376</t>
  </si>
  <si>
    <t>2703 12314 0390</t>
  </si>
  <si>
    <t>2703 12334 0377</t>
  </si>
  <si>
    <t>2703 12314 0391</t>
  </si>
  <si>
    <t>2703 12334 0378</t>
  </si>
  <si>
    <t>2703 12314 0392</t>
  </si>
  <si>
    <t>2703 12334 0379</t>
  </si>
  <si>
    <t>2703 12314 0393</t>
  </si>
  <si>
    <t>2703 12334 0380</t>
  </si>
  <si>
    <t>2703 12314 0394</t>
  </si>
  <si>
    <t>2703 12334 0381</t>
  </si>
  <si>
    <t>2703 12314 0395</t>
  </si>
  <si>
    <t>2703 12334 0382</t>
  </si>
  <si>
    <t>2703 12314 0396</t>
  </si>
  <si>
    <t>2703 12334 0383</t>
  </si>
  <si>
    <t>2703 12314 0397</t>
  </si>
  <si>
    <t>2703 12334 0384</t>
  </si>
  <si>
    <t>2703 12314 0398</t>
  </si>
  <si>
    <t>2703 12334 0385</t>
  </si>
  <si>
    <t>2703 12314 0399</t>
  </si>
  <si>
    <t>2703 12334 0386</t>
  </si>
  <si>
    <t>2703 12314 0400</t>
  </si>
  <si>
    <t>2703 12334 0387</t>
  </si>
  <si>
    <t>2703 12314 0401</t>
  </si>
  <si>
    <t>2703 12334 0388</t>
  </si>
  <si>
    <t>2703 12314 0402</t>
  </si>
  <si>
    <t>2703 12334 0389</t>
  </si>
  <si>
    <t>ผบ.หมู่. กชช.ทว.</t>
  </si>
  <si>
    <t>2703 12301 0403</t>
  </si>
  <si>
    <t>2703 12357 0390</t>
  </si>
  <si>
    <t>2703 12301 0404</t>
  </si>
  <si>
    <t>2703 12357 0391</t>
  </si>
  <si>
    <t>2703 12301 0405</t>
  </si>
  <si>
    <t>2703 12357 0392</t>
  </si>
  <si>
    <t>ผบ.หมู่ พฐก.</t>
  </si>
  <si>
    <t>2702 12301 0001</t>
  </si>
  <si>
    <t>2702 12357 0001</t>
  </si>
  <si>
    <t>2702 12301 0002</t>
  </si>
  <si>
    <t>2702 12357 0002</t>
  </si>
  <si>
    <t>2702 12301 0003</t>
  </si>
  <si>
    <t>2702 12357 0003</t>
  </si>
  <si>
    <t>วิชัย ยะน้ำอ่าง</t>
  </si>
  <si>
    <t>รอง สว.(อก.) ฝอ.พฐก.</t>
  </si>
  <si>
    <t>2702 12301 0004</t>
  </si>
  <si>
    <t>2702 12357 0004</t>
  </si>
  <si>
    <t>ม.ต้น</t>
  </si>
  <si>
    <t>กันภิรมย์ แก้วใหม่</t>
  </si>
  <si>
    <t>ผบ.หมู่ ฝอ.พฐก</t>
  </si>
  <si>
    <t>2702 12301 0005</t>
  </si>
  <si>
    <t>2702 12357 0005</t>
  </si>
  <si>
    <t>นิพนธ์ พุทธรักษา</t>
  </si>
  <si>
    <t>รอง สว.(อก.) ฝอ.พฐก</t>
  </si>
  <si>
    <t>2702 12301 0006</t>
  </si>
  <si>
    <t>2702 12357 0006</t>
  </si>
  <si>
    <t>น.บ.,รป.ม.,กดต.(ปป)</t>
  </si>
  <si>
    <t>พฐก.81/64</t>
  </si>
  <si>
    <t>ผบ.หมู่ ฝอ.พฐก.</t>
  </si>
  <si>
    <t>2702 12301 0007</t>
  </si>
  <si>
    <t>2702 12357 0007</t>
  </si>
  <si>
    <t>2702 12301 0008</t>
  </si>
  <si>
    <t>2702 12357 0008</t>
  </si>
  <si>
    <t>ม.6,กอป.</t>
  </si>
  <si>
    <t>โชติรส โนประโคน</t>
  </si>
  <si>
    <t>2702 12301 0009</t>
  </si>
  <si>
    <t>2702 12357 0009</t>
  </si>
  <si>
    <t>ม.6,น.บ.</t>
  </si>
  <si>
    <t>ชนิกานต์ แก้วประดิษฐ์</t>
  </si>
  <si>
    <t>2702 12301 0010</t>
  </si>
  <si>
    <t>2702 12357 0010</t>
  </si>
  <si>
    <t>2702 12301 0011</t>
  </si>
  <si>
    <t>2702 12357 0011</t>
  </si>
  <si>
    <t>อรกานต์ แก้วจันทรา</t>
  </si>
  <si>
    <t>2702 12301 0012</t>
  </si>
  <si>
    <t>2702 12357 0012</t>
  </si>
  <si>
    <t>ม.6,ศศ.บ.</t>
  </si>
  <si>
    <t>ปวีณนุช กาญจนวงศ์</t>
  </si>
  <si>
    <t>2702 12301 0013</t>
  </si>
  <si>
    <t>2702 12357 0013</t>
  </si>
  <si>
    <t>2702 12301 0014</t>
  </si>
  <si>
    <t>2702 12357 0014</t>
  </si>
  <si>
    <t>2702 12301 0015</t>
  </si>
  <si>
    <t>2702 12357 0015</t>
  </si>
  <si>
    <t>2702 12301 0016</t>
  </si>
  <si>
    <t>2702 12357 0016</t>
  </si>
  <si>
    <t>2702 12301 0017</t>
  </si>
  <si>
    <t>2702 12357 0017</t>
  </si>
  <si>
    <t>2702 12301 0018</t>
  </si>
  <si>
    <t>2702 12357 0018</t>
  </si>
  <si>
    <t>2702 12301 0019</t>
  </si>
  <si>
    <t>2702 12357 0019</t>
  </si>
  <si>
    <t>2702 12301 0020</t>
  </si>
  <si>
    <t>2702 12357 0020</t>
  </si>
  <si>
    <t>2702 12301 0021</t>
  </si>
  <si>
    <t>2702 12357 0021</t>
  </si>
  <si>
    <t>2702 12301 0022</t>
  </si>
  <si>
    <t>2702 12357 0022</t>
  </si>
  <si>
    <t>2702 12301 0023</t>
  </si>
  <si>
    <t>2702 12357 0023</t>
  </si>
  <si>
    <t>2702 12301 0024</t>
  </si>
  <si>
    <t>2702 12357 0024</t>
  </si>
  <si>
    <t>2702 12301 0025</t>
  </si>
  <si>
    <t>2702 12357 0025</t>
  </si>
  <si>
    <t>2702 12301 0026</t>
  </si>
  <si>
    <t>2702 12357 0026</t>
  </si>
  <si>
    <t>2702 12301 0027</t>
  </si>
  <si>
    <t>2702 12357 0027</t>
  </si>
  <si>
    <t>2702 12301 0028</t>
  </si>
  <si>
    <t>2702 12357 0028</t>
  </si>
  <si>
    <t>2702 12301 0029</t>
  </si>
  <si>
    <t>2702 12357 0029</t>
  </si>
  <si>
    <t>2702 12301 0030</t>
  </si>
  <si>
    <t>2702 12357 0030</t>
  </si>
  <si>
    <t>2702 12301 0031</t>
  </si>
  <si>
    <t>2702 12357 0031</t>
  </si>
  <si>
    <t>2702 12301 0032</t>
  </si>
  <si>
    <t>2702 12357 0032</t>
  </si>
  <si>
    <t>2702 12301 0033</t>
  </si>
  <si>
    <t>2702 12357 0033</t>
  </si>
  <si>
    <t>2702 12301 0034</t>
  </si>
  <si>
    <t>2702 12357 0034</t>
  </si>
  <si>
    <t>2702 12301 0035</t>
  </si>
  <si>
    <t>2702 12357 0035</t>
  </si>
  <si>
    <t>2702 12301 0036</t>
  </si>
  <si>
    <t>2702 12357 0036</t>
  </si>
  <si>
    <t>2702 12301 0037</t>
  </si>
  <si>
    <t>2702 12357 0037</t>
  </si>
  <si>
    <t>ผบ.หมู่ กสก.พฐก.</t>
  </si>
  <si>
    <t>2702 12301 0040</t>
  </si>
  <si>
    <t>2702 12357 0038</t>
  </si>
  <si>
    <t>2702 12301 0041</t>
  </si>
  <si>
    <t>2702 12357 0039</t>
  </si>
  <si>
    <t>2702 12314 0042</t>
  </si>
  <si>
    <t>2702 12334 0040</t>
  </si>
  <si>
    <t>2702 12314 0043</t>
  </si>
  <si>
    <t>2702 12334 0041</t>
  </si>
  <si>
    <t>2702 12314 0044</t>
  </si>
  <si>
    <t>2702 12334 0042</t>
  </si>
  <si>
    <t>2702 12314 0045</t>
  </si>
  <si>
    <t>2702 12334 0043</t>
  </si>
  <si>
    <t>2702 12314 0046</t>
  </si>
  <si>
    <t>2702 12334 0044</t>
  </si>
  <si>
    <t>รอง สว.(อก.) กสก.พฐก.</t>
  </si>
  <si>
    <t>2702 12314 0047</t>
  </si>
  <si>
    <t>2702 12334 0045</t>
  </si>
  <si>
    <t>ปัญญา โพธิ์ทอง</t>
  </si>
  <si>
    <t>2702 12314 0048</t>
  </si>
  <si>
    <t>2702 12334 0046</t>
  </si>
  <si>
    <t>รป.บ./กอป.,ตวท.,สืบสวน</t>
  </si>
  <si>
    <t>2702 12314 0049</t>
  </si>
  <si>
    <t>2702 12334 0047</t>
  </si>
  <si>
    <t>2702 12314 0050</t>
  </si>
  <si>
    <t>2702 12334 0048</t>
  </si>
  <si>
    <t>2702 12314 0051</t>
  </si>
  <si>
    <t>2702 12334 0049</t>
  </si>
  <si>
    <t>2702 12314 0052</t>
  </si>
  <si>
    <t>2702 12334 0050</t>
  </si>
  <si>
    <t>สิทธิชัย สายวิเศษ</t>
  </si>
  <si>
    <t>2702 12314 0053</t>
  </si>
  <si>
    <t>2702 12334 0051</t>
  </si>
  <si>
    <t>ครุศาสตร์อุตสาหกรรม(วิศวกรรมเครื่องกล)/กอป.</t>
  </si>
  <si>
    <t>สพฐ.ตร.26/59</t>
  </si>
  <si>
    <t>2702 12314 0054</t>
  </si>
  <si>
    <t>2702 12334 0052</t>
  </si>
  <si>
    <t>2702 12314 0055</t>
  </si>
  <si>
    <t>2702 12334 0053</t>
  </si>
  <si>
    <t>นรินทร เสียงล้ำเลิศ</t>
  </si>
  <si>
    <t>2702 12314 0056</t>
  </si>
  <si>
    <t>2702 12334 0054</t>
  </si>
  <si>
    <t>ปวส./กอป.,ตวท.</t>
  </si>
  <si>
    <t>2702 12314 0057</t>
  </si>
  <si>
    <t>2702 12334 0055</t>
  </si>
  <si>
    <t>2702 12314 0058</t>
  </si>
  <si>
    <t>2702 12334 0056</t>
  </si>
  <si>
    <t>2702 12314 0059</t>
  </si>
  <si>
    <t>2702 12334 0057</t>
  </si>
  <si>
    <t>2702 12314 0060</t>
  </si>
  <si>
    <t>2702 12334 0058</t>
  </si>
  <si>
    <t>สมพงษ์ วงศ์สุวรรณ</t>
  </si>
  <si>
    <t>2702 12314 0061</t>
  </si>
  <si>
    <t>2702 12334 0059</t>
  </si>
  <si>
    <t>ม.6/กอป.,ตวท.,กดต.(อก.)</t>
  </si>
  <si>
    <t>2702 12314 0062</t>
  </si>
  <si>
    <t>2702 12334 0060</t>
  </si>
  <si>
    <t>ปัณณทัต ตินันวากุล</t>
  </si>
  <si>
    <t>2702 12314 0063</t>
  </si>
  <si>
    <t>2702 12334 0061</t>
  </si>
  <si>
    <t>ป.ตรี(การจัดการธุรกิจการบิน)/กอป.,ตวท</t>
  </si>
  <si>
    <t>รัชพล โรจนะวงษ์</t>
  </si>
  <si>
    <t>2702 12314 0064</t>
  </si>
  <si>
    <t>2702 12334 0062</t>
  </si>
  <si>
    <t>อส.บ./กอป.,ตวท.</t>
  </si>
  <si>
    <t>2702 12314 0065</t>
  </si>
  <si>
    <t>2702 12334 0063</t>
  </si>
  <si>
    <t>2702 12314 0066</t>
  </si>
  <si>
    <t>2702 12334 0064</t>
  </si>
  <si>
    <t>2702 12314 0067</t>
  </si>
  <si>
    <t>2702 12334 0065</t>
  </si>
  <si>
    <t>2702 12314 0068</t>
  </si>
  <si>
    <t>2702 12334 0066</t>
  </si>
  <si>
    <t>ม.6,ตวท.</t>
  </si>
  <si>
    <t>อัมรินทร์  หมดจด</t>
  </si>
  <si>
    <t>2702 12314 0069</t>
  </si>
  <si>
    <t>2702 12334 0067</t>
  </si>
  <si>
    <t>ม.6,กอป.,ตวท.</t>
  </si>
  <si>
    <t>วรดร  อินจุ้มสาย</t>
  </si>
  <si>
    <t>2702 12314 0070</t>
  </si>
  <si>
    <t>2702 12334 0068</t>
  </si>
  <si>
    <t>จิรภัทร  นิลณรงค์</t>
  </si>
  <si>
    <t>2702 12314 0071</t>
  </si>
  <si>
    <t>2702 12334 0069</t>
  </si>
  <si>
    <t>ชานน พลชัย</t>
  </si>
  <si>
    <t>2702 12314 0072</t>
  </si>
  <si>
    <t>2702 12334 0070</t>
  </si>
  <si>
    <t>2702 12314 0073</t>
  </si>
  <si>
    <t>2702 12334 0071</t>
  </si>
  <si>
    <t>อนุวัฒน์ เพชรโชติ</t>
  </si>
  <si>
    <t>2702 12314 0074</t>
  </si>
  <si>
    <t>2702 12334 0072</t>
  </si>
  <si>
    <t>ร.บ./ตวท.,กอป.</t>
  </si>
  <si>
    <t>อภิชาติ ช่วยนุ้ย</t>
  </si>
  <si>
    <t>2702 12314 0075</t>
  </si>
  <si>
    <t>2702 12334 0073</t>
  </si>
  <si>
    <t>บธ.บ.(การจัดการอุตสาหกรรม)/ตวท.กอป.</t>
  </si>
  <si>
    <t>ต้นบุญ  ทองดวง</t>
  </si>
  <si>
    <t>2702 12314 0076</t>
  </si>
  <si>
    <t>2702 12334 0074</t>
  </si>
  <si>
    <t>เฉลิมพล  ไชยโยธา</t>
  </si>
  <si>
    <t>2702 12314 0077</t>
  </si>
  <si>
    <t>2702 12334 0075</t>
  </si>
  <si>
    <t>เกริกเกียรติ  จันทร์งาม</t>
  </si>
  <si>
    <t>2702 12314 0078</t>
  </si>
  <si>
    <t>2702 12334 0076</t>
  </si>
  <si>
    <t>2702 12314 0079</t>
  </si>
  <si>
    <t>2702 12334 0077</t>
  </si>
  <si>
    <t>ภัทรพล  ติ่งแตง</t>
  </si>
  <si>
    <t>2702 12314 0080</t>
  </si>
  <si>
    <t>2702 12334 0078</t>
  </si>
  <si>
    <t>ปฤษฎี กลิ่นพยอม</t>
  </si>
  <si>
    <t>2702 12314 0081</t>
  </si>
  <si>
    <t>2702 12334 0079</t>
  </si>
  <si>
    <t>ปฏิณญา ขุนโต</t>
  </si>
  <si>
    <t>2702 12314 0082</t>
  </si>
  <si>
    <t>2702 12334 0080</t>
  </si>
  <si>
    <t>ฟีฟ่า นุ่งอาหลี</t>
  </si>
  <si>
    <t>2702 12314 0083</t>
  </si>
  <si>
    <t>2702 12334 0081</t>
  </si>
  <si>
    <t>2702 12314 0084</t>
  </si>
  <si>
    <t>2702 12334 0082</t>
  </si>
  <si>
    <t>2702 12314 0085</t>
  </si>
  <si>
    <t>2702 12334 0083</t>
  </si>
  <si>
    <t>ม.6,ตวท.,วท.บ.(ชีววิทยา), กศ.บ.(การศึกษา)</t>
  </si>
  <si>
    <t>2702 12314 0086</t>
  </si>
  <si>
    <t>2702 12334 0084</t>
  </si>
  <si>
    <t>ธนัญชนก  อินศรี</t>
  </si>
  <si>
    <t>2702 12314 0087</t>
  </si>
  <si>
    <t>2702 12334 0085</t>
  </si>
  <si>
    <t>2702 12314 0088</t>
  </si>
  <si>
    <t>2702 12334 0086</t>
  </si>
  <si>
    <t>2702 12314 0089</t>
  </si>
  <si>
    <t>2702 12334 0087</t>
  </si>
  <si>
    <t>2702 12314 0090</t>
  </si>
  <si>
    <t>2702 12334 0088</t>
  </si>
  <si>
    <t>2702 12314 0091</t>
  </si>
  <si>
    <t>2702 12334 0089</t>
  </si>
  <si>
    <t>2702 12314 0092</t>
  </si>
  <si>
    <t>2702 12334 0090</t>
  </si>
  <si>
    <t>2702 12314 0093</t>
  </si>
  <si>
    <t>2702 12334 0091</t>
  </si>
  <si>
    <t>2702 12314 0094</t>
  </si>
  <si>
    <t>2702 12334 0092</t>
  </si>
  <si>
    <t>2702 12314 0095</t>
  </si>
  <si>
    <t>2702 12334 0093</t>
  </si>
  <si>
    <t>2702 12314 0096</t>
  </si>
  <si>
    <t>2702 12334 0094</t>
  </si>
  <si>
    <t>2702 12314 0097</t>
  </si>
  <si>
    <t>2702 12334 0095</t>
  </si>
  <si>
    <t>2702 12314 0098</t>
  </si>
  <si>
    <t>2702 12334 0096</t>
  </si>
  <si>
    <t>2702 12314 0099</t>
  </si>
  <si>
    <t>2702 12334 0097</t>
  </si>
  <si>
    <t>2702 12314 0100</t>
  </si>
  <si>
    <t>2702 12334 0098</t>
  </si>
  <si>
    <t>2702 12314 0101</t>
  </si>
  <si>
    <t>2702 12334 0099</t>
  </si>
  <si>
    <t>2702 12314 0102</t>
  </si>
  <si>
    <t>2702 12334 0100</t>
  </si>
  <si>
    <t>2702 12314 0103</t>
  </si>
  <si>
    <t>2702 12334 0101</t>
  </si>
  <si>
    <t>2702 12314 0104</t>
  </si>
  <si>
    <t>2702 12334 0102</t>
  </si>
  <si>
    <t>2702 12314 0105</t>
  </si>
  <si>
    <t>2702 12334 0103</t>
  </si>
  <si>
    <t>2702 12314 0106</t>
  </si>
  <si>
    <t>2702 12334 0104</t>
  </si>
  <si>
    <t>2702 12314 0107</t>
  </si>
  <si>
    <t>2702 12334 0105</t>
  </si>
  <si>
    <t>ผบ.หมู่ กอส.พฐก.</t>
  </si>
  <si>
    <t>2702 12301 0120</t>
  </si>
  <si>
    <t>2702 12357 0106</t>
  </si>
  <si>
    <t>2702 12301 0121</t>
  </si>
  <si>
    <t>2702 12357 0107</t>
  </si>
  <si>
    <t>2702 12314 0122</t>
  </si>
  <si>
    <t>2702 12334 0108</t>
  </si>
  <si>
    <t>ธนภณ  ณ หนองคาย</t>
  </si>
  <si>
    <t>2702 12314 0123</t>
  </si>
  <si>
    <t>2702 12334 0109</t>
  </si>
  <si>
    <t>2702 12314 0124</t>
  </si>
  <si>
    <t>2702 12334 0110</t>
  </si>
  <si>
    <t>ม.6,น.บ.,ร.บ.(ความสัมพันธ์ระหว่างประเทศ),ตวท.,กอป.</t>
  </si>
  <si>
    <t>2702 12314 0125</t>
  </si>
  <si>
    <t>2702 12334 0111</t>
  </si>
  <si>
    <t>2702 12314 0126</t>
  </si>
  <si>
    <t>2702 12334 0112</t>
  </si>
  <si>
    <t>ม.6,ค.บ.(ภาษาอังกฤษ),ตวท.,กอป.</t>
  </si>
  <si>
    <t>มัลลิกา  พวงพันธ์</t>
  </si>
  <si>
    <t>2702 12314 0127</t>
  </si>
  <si>
    <t>2702 12334 0113</t>
  </si>
  <si>
    <t>ม.6,วท.บ.(เคมี),ตวท.,กอป.</t>
  </si>
  <si>
    <t>สิทธิโชค  ลาบุตร</t>
  </si>
  <si>
    <t>2702 12314 0128</t>
  </si>
  <si>
    <t>2702 12334 0114</t>
  </si>
  <si>
    <t>ณิชนันทน์  สีหาราช</t>
  </si>
  <si>
    <t>2702 12314 0129</t>
  </si>
  <si>
    <t>2702 12334 0115</t>
  </si>
  <si>
    <t>2702 12314 0130</t>
  </si>
  <si>
    <t>2702 12334 0116</t>
  </si>
  <si>
    <t>2702 12314 0131</t>
  </si>
  <si>
    <t>2702 12334 0117</t>
  </si>
  <si>
    <t>2702 12314 0132</t>
  </si>
  <si>
    <t>2702 12334 0118</t>
  </si>
  <si>
    <t>2702 12314 0133</t>
  </si>
  <si>
    <t>2702 12334 0119</t>
  </si>
  <si>
    <t>2702 12314 0134</t>
  </si>
  <si>
    <t>2702 12334 0120</t>
  </si>
  <si>
    <t>2702 12314 0135</t>
  </si>
  <si>
    <t>2702 12334 0121</t>
  </si>
  <si>
    <t>2702 12314 0136</t>
  </si>
  <si>
    <t>2702 12334 0122</t>
  </si>
  <si>
    <t>2702 12314 0137</t>
  </si>
  <si>
    <t>2702 12334 0123</t>
  </si>
  <si>
    <t>ผบ.หมู่ กอป.พฐก.</t>
  </si>
  <si>
    <t>2702 12301 0138</t>
  </si>
  <si>
    <t>2702 12357 0124</t>
  </si>
  <si>
    <t>2702 12301 0139</t>
  </si>
  <si>
    <t>2702 12357 0125</t>
  </si>
  <si>
    <t>กนกวรรณ  สุวรรณเวหา</t>
  </si>
  <si>
    <t>2702 12314 0140</t>
  </si>
  <si>
    <t>2702 12334 0126</t>
  </si>
  <si>
    <t>ม.6,กอป,ตวท.,วท.บ(วิทยาศาสตร์และเทคโนโลยีอาหาร)</t>
  </si>
  <si>
    <t>2702 12314 0141</t>
  </si>
  <si>
    <t>2702 12334 0127</t>
  </si>
  <si>
    <t>ม.6,ตวท.,กอป.</t>
  </si>
  <si>
    <t>รณการณ์  ธิปาละกุล</t>
  </si>
  <si>
    <t>2702 12314 0142</t>
  </si>
  <si>
    <t>2702 12334 0128</t>
  </si>
  <si>
    <t>ปุริมนาถ ขุ่ยหนองบัว</t>
  </si>
  <si>
    <t>2702 12314 0143</t>
  </si>
  <si>
    <t>2702 12334 0129</t>
  </si>
  <si>
    <t>ปวช./ กอป.รุ่น 15</t>
  </si>
  <si>
    <t>ฐิติรัตน์  ก้อนใจ</t>
  </si>
  <si>
    <t>2702 12314 0144</t>
  </si>
  <si>
    <t>2702 12334 0130</t>
  </si>
  <si>
    <t>2702 12314 0145</t>
  </si>
  <si>
    <t>2702 12334 0131</t>
  </si>
  <si>
    <t>2702 12314 0146</t>
  </si>
  <si>
    <t>2702 12334 0132</t>
  </si>
  <si>
    <t>ธนัชนันท์ธร อนุศักดิ์</t>
  </si>
  <si>
    <t>2702 12314 0147</t>
  </si>
  <si>
    <t>2702 12334 0133</t>
  </si>
  <si>
    <t>บธ.บ.(การจัดการทั่วไป) / กอป.</t>
  </si>
  <si>
    <t>วิโชค วุ่นจินา</t>
  </si>
  <si>
    <t>รอง สว.(อก.) กอป.พฐก.</t>
  </si>
  <si>
    <t>2702 12314 0148</t>
  </si>
  <si>
    <t>2702 12334 0134</t>
  </si>
  <si>
    <t>ปวช./กอป.</t>
  </si>
  <si>
    <t>2702 12314 0149</t>
  </si>
  <si>
    <t>2702 12334 0135</t>
  </si>
  <si>
    <t>2702 12314 0150</t>
  </si>
  <si>
    <t>2702 12334 0136</t>
  </si>
  <si>
    <t>2702 12314 0151</t>
  </si>
  <si>
    <t>2702 12334 0137</t>
  </si>
  <si>
    <t>2702 12314 0152</t>
  </si>
  <si>
    <t>2702 12334 0138</t>
  </si>
  <si>
    <t>ภูวดล สายสร</t>
  </si>
  <si>
    <t>2702 12314 0153</t>
  </si>
  <si>
    <t>2702 12334 0139</t>
  </si>
  <si>
    <t>ปวช./ตวท./กอป.</t>
  </si>
  <si>
    <t>2702 12314 0154</t>
  </si>
  <si>
    <t>2702 12334 0140</t>
  </si>
  <si>
    <t>2702 12314 0155</t>
  </si>
  <si>
    <t>2702 12334 0141</t>
  </si>
  <si>
    <t>ผบ.หมู่ กคม.พฐก.</t>
  </si>
  <si>
    <t>2702 12301 0156</t>
  </si>
  <si>
    <t>2702 12357 0142</t>
  </si>
  <si>
    <t>2702 12301 0157</t>
  </si>
  <si>
    <t>2702 12357 0143</t>
  </si>
  <si>
    <t>2702 12314 0158</t>
  </si>
  <si>
    <t>2702 12334 0144</t>
  </si>
  <si>
    <t>วุธิภัทร ตวงสุวรรณ</t>
  </si>
  <si>
    <t>2702 12314 0159</t>
  </si>
  <si>
    <t>2702 12334 0145</t>
  </si>
  <si>
    <t>2702 12314 0160</t>
  </si>
  <si>
    <t>2702 12334 0146</t>
  </si>
  <si>
    <t>2702 12314 0161</t>
  </si>
  <si>
    <t>2702 12334 0147</t>
  </si>
  <si>
    <t>ชยุต  ชื่นนิ่ม</t>
  </si>
  <si>
    <t>2702 12314 0162</t>
  </si>
  <si>
    <t>2702 12334 0148</t>
  </si>
  <si>
    <t>ณัฐภาส  เพชรอภิวงศ์</t>
  </si>
  <si>
    <t>2702 12314 0163</t>
  </si>
  <si>
    <t>2702 12334 0149</t>
  </si>
  <si>
    <t>2702 12314 0164</t>
  </si>
  <si>
    <t>2702 12334 0150</t>
  </si>
  <si>
    <t>2702 12314 0165</t>
  </si>
  <si>
    <t>2702 12334 0151</t>
  </si>
  <si>
    <t>นิธิพร  ก่านพรมมา</t>
  </si>
  <si>
    <t>2702 12314 0166</t>
  </si>
  <si>
    <t>2702 12334 0152</t>
  </si>
  <si>
    <t>2702 12314 0167</t>
  </si>
  <si>
    <t>2702 12334 0153</t>
  </si>
  <si>
    <t>2702 12314 0168</t>
  </si>
  <si>
    <t>2702 12334 0154</t>
  </si>
  <si>
    <t>2702 12314 0169</t>
  </si>
  <si>
    <t>2702 12334 0155</t>
  </si>
  <si>
    <t>2702 12314 0170</t>
  </si>
  <si>
    <t>2702 12334 0156</t>
  </si>
  <si>
    <t>2702 12314 0171</t>
  </si>
  <si>
    <t>2702 12334 0157</t>
  </si>
  <si>
    <t>2702 12314 0172</t>
  </si>
  <si>
    <t>2702 12334 0158</t>
  </si>
  <si>
    <t>2702 12314 0173</t>
  </si>
  <si>
    <t>2702 12334 0159</t>
  </si>
  <si>
    <t>ผบ.หมู่ กยส.พฐก.</t>
  </si>
  <si>
    <t>2702 12301 0174</t>
  </si>
  <si>
    <t>2702 12357 0160</t>
  </si>
  <si>
    <t>2702 12301 0175</t>
  </si>
  <si>
    <t>2702 12357 0161</t>
  </si>
  <si>
    <t>พิษณุ  อินวัน</t>
  </si>
  <si>
    <t>2702 12314 0176</t>
  </si>
  <si>
    <t>2702 12334 0162</t>
  </si>
  <si>
    <t>ณัฐณรงค์ ธีระสุนทรไท</t>
  </si>
  <si>
    <t>2702 12314 0177</t>
  </si>
  <si>
    <t>2702 12334 0163</t>
  </si>
  <si>
    <t>ม.6/วศ.บ./กอป.,ตวท.</t>
  </si>
  <si>
    <t>ธีรพัฒน์  สวนทอง</t>
  </si>
  <si>
    <t>2702 12314 0178</t>
  </si>
  <si>
    <t>2702 12334 0164</t>
  </si>
  <si>
    <t>ภีมวัจน์  มณีเนตร</t>
  </si>
  <si>
    <t>2702 12314 0179</t>
  </si>
  <si>
    <t>2702 12334 0165</t>
  </si>
  <si>
    <t>2702 12314 0180</t>
  </si>
  <si>
    <t>2702 12334 0166</t>
  </si>
  <si>
    <t>ม.6, กอป., ตวท., ร.บ.(ความสัมพันระหว่างประเทศ)</t>
  </si>
  <si>
    <t>2702 12314 0181</t>
  </si>
  <si>
    <t>2702 12334 0167</t>
  </si>
  <si>
    <t>ม.6, กอป., ตวท., บธ.บ.(การจัดการโรงแรม)</t>
  </si>
  <si>
    <t>2702 12314 0182</t>
  </si>
  <si>
    <t>2702 12334 0168</t>
  </si>
  <si>
    <t>2702 12314 0183</t>
  </si>
  <si>
    <t>2702 12334 0169</t>
  </si>
  <si>
    <t>สัมพันธมิตร จันทวะฤทธิ์</t>
  </si>
  <si>
    <t>2702 12314 0184</t>
  </si>
  <si>
    <t>2702 12334 0170</t>
  </si>
  <si>
    <t>ณฐภัทร ระวิชัย</t>
  </si>
  <si>
    <t>2702 12314 0185</t>
  </si>
  <si>
    <t>2702 12334 0171</t>
  </si>
  <si>
    <t>2702 12314 0186</t>
  </si>
  <si>
    <t>2702 12334 0172</t>
  </si>
  <si>
    <t>2702 12314 0187</t>
  </si>
  <si>
    <t>2702 12334 0173</t>
  </si>
  <si>
    <t>2702 12314 0188</t>
  </si>
  <si>
    <t>2702 12334 0174</t>
  </si>
  <si>
    <t>2702 12314 0189</t>
  </si>
  <si>
    <t>2702 12334 0175</t>
  </si>
  <si>
    <t>2702 12314 0190</t>
  </si>
  <si>
    <t>2702 12334 0176</t>
  </si>
  <si>
    <t>2702 12314 0191</t>
  </si>
  <si>
    <t>2702 12334 0177</t>
  </si>
  <si>
    <t>ผบ.หมู่ กนฝ.พฐก.</t>
  </si>
  <si>
    <t>2702 12301 0192</t>
  </si>
  <si>
    <t>2702 12357 0178</t>
  </si>
  <si>
    <t>2702 12301 0193</t>
  </si>
  <si>
    <t>2702 12357 0179</t>
  </si>
  <si>
    <t>2702 12314 0194</t>
  </si>
  <si>
    <t>2702 12334 0180</t>
  </si>
  <si>
    <t>วรัชยา คีรีวรรณ์</t>
  </si>
  <si>
    <t>2702 12314 0195</t>
  </si>
  <si>
    <t>2702 12334 0181</t>
  </si>
  <si>
    <t>2702 12314 0196</t>
  </si>
  <si>
    <t>2702 12334 0182</t>
  </si>
  <si>
    <t>2702 12314 0197</t>
  </si>
  <si>
    <t>2702 12334 0183</t>
  </si>
  <si>
    <t>เสาวลักษณ์  เพชรฤทธิ์</t>
  </si>
  <si>
    <t>2702 12314 0198</t>
  </si>
  <si>
    <t>2702 12334 0184</t>
  </si>
  <si>
    <t>2702 12314 0199</t>
  </si>
  <si>
    <t>2702 12334 0185</t>
  </si>
  <si>
    <t>ปัญญรัตน์  สอดสูงเนิน</t>
  </si>
  <si>
    <t>2702 12314 0200</t>
  </si>
  <si>
    <t>2702 12334 0186</t>
  </si>
  <si>
    <t>2702 12314 0201</t>
  </si>
  <si>
    <t>2702 12334 0187</t>
  </si>
  <si>
    <t>2702 12314 0202</t>
  </si>
  <si>
    <t>2702 12334 0188</t>
  </si>
  <si>
    <t>2702 12314 0203</t>
  </si>
  <si>
    <t>2702 12334 0189</t>
  </si>
  <si>
    <t>2702 12314 0204</t>
  </si>
  <si>
    <t>2702 12334 0190</t>
  </si>
  <si>
    <t>2702 12314 0205</t>
  </si>
  <si>
    <t>2702 12334 0191</t>
  </si>
  <si>
    <t>2702 12314 0206</t>
  </si>
  <si>
    <t>2702 12334 0192</t>
  </si>
  <si>
    <t>2702 12314 0207</t>
  </si>
  <si>
    <t>2702 12334 0193</t>
  </si>
  <si>
    <t>2702 12314 0208</t>
  </si>
  <si>
    <t>2702 12334 0194</t>
  </si>
  <si>
    <t>2702 12314 0209</t>
  </si>
  <si>
    <t>2702 12334 0195</t>
  </si>
  <si>
    <t>ผบ.หมู่ กชว.พฐก.</t>
  </si>
  <si>
    <t>2702 12301 0210</t>
  </si>
  <si>
    <t>2702 12357 0196</t>
  </si>
  <si>
    <t>2702 12301 0211</t>
  </si>
  <si>
    <t>2702 12357 0197</t>
  </si>
  <si>
    <t>ระเบียบ คะใจ</t>
  </si>
  <si>
    <t>2702 12314 0212</t>
  </si>
  <si>
    <t>2702 12334 0198</t>
  </si>
  <si>
    <t>รป.บ.(รัฐประศาสนศาสตร์),กอป.ตวท.</t>
  </si>
  <si>
    <t>อัญชลี โพธิ์สุข</t>
  </si>
  <si>
    <t>2702 12314 0213</t>
  </si>
  <si>
    <t>2702 12334 0199</t>
  </si>
  <si>
    <t>อนุปริญญา,กอป.</t>
  </si>
  <si>
    <t>ปิยนันต์ หลง</t>
  </si>
  <si>
    <t>2702 12314 0214</t>
  </si>
  <si>
    <t>2702 12334 0200</t>
  </si>
  <si>
    <t>ธนดล  วรสิทธิโชค</t>
  </si>
  <si>
    <t>2702 12314 0215</t>
  </si>
  <si>
    <t>2702 12334 0201</t>
  </si>
  <si>
    <t>ภูวนัย  ยวนศิริ</t>
  </si>
  <si>
    <t>2702 12314 0216</t>
  </si>
  <si>
    <t>2702 12334 0202</t>
  </si>
  <si>
    <t>ฐิตินันท์  เจนสุดรักวงศ์</t>
  </si>
  <si>
    <t>2702 12314 0217</t>
  </si>
  <si>
    <t>2702 12334 0203</t>
  </si>
  <si>
    <t>ขวัญฤดี  จันทร์พิทักษ์</t>
  </si>
  <si>
    <t>2702 12314 0218</t>
  </si>
  <si>
    <t>2702 12334 0204</t>
  </si>
  <si>
    <t>พรรณผกา สมแก้ว</t>
  </si>
  <si>
    <t>2702 12314 0219</t>
  </si>
  <si>
    <t>2702 12334 0205</t>
  </si>
  <si>
    <t>อรกัญญา  บุญสังข์</t>
  </si>
  <si>
    <t>2702 12314 0220</t>
  </si>
  <si>
    <t>2702 12334 0206</t>
  </si>
  <si>
    <t>ชัชชลี  เอี่ยมชำนาญ</t>
  </si>
  <si>
    <t>2702 12314 0221</t>
  </si>
  <si>
    <t>2702 12334 0207</t>
  </si>
  <si>
    <t>2702 12314 0222</t>
  </si>
  <si>
    <t>2702 12334 0208</t>
  </si>
  <si>
    <t>2702 12314 0223</t>
  </si>
  <si>
    <t>2702 12334 0209</t>
  </si>
  <si>
    <t>2702 12314 0224</t>
  </si>
  <si>
    <t>2702 12334 0210</t>
  </si>
  <si>
    <t>2702 12314 0225</t>
  </si>
  <si>
    <t>2702 12334 0211</t>
  </si>
  <si>
    <t>2702 12314 0226</t>
  </si>
  <si>
    <t>2702 12334 0212</t>
  </si>
  <si>
    <t>2702 12314 0227</t>
  </si>
  <si>
    <t>2702 12334 0213</t>
  </si>
  <si>
    <t>ผบ.หมู่ กคพ.พฐก.</t>
  </si>
  <si>
    <t>2702 12301 0228</t>
  </si>
  <si>
    <t>2702 12357 0214</t>
  </si>
  <si>
    <t>2702 12301 0229</t>
  </si>
  <si>
    <t>2702 12357 0215</t>
  </si>
  <si>
    <t>ภูวิศ  อินทวงศ์</t>
  </si>
  <si>
    <t>2702 12314 0230</t>
  </si>
  <si>
    <t>2702 12334 0216</t>
  </si>
  <si>
    <t>ม.6 กอป.,ตวท.</t>
  </si>
  <si>
    <t>2702 12314 0231</t>
  </si>
  <si>
    <t>2702 12334 0217</t>
  </si>
  <si>
    <t>อดิศร  ครรชิต</t>
  </si>
  <si>
    <t>2702 12314 0232</t>
  </si>
  <si>
    <t>2702 12334 0218</t>
  </si>
  <si>
    <t>ม.6 กอป.,ตวท.,วศ.บ.(เครื่องกล)</t>
  </si>
  <si>
    <t>สุกัญญา  กลิ่นทวี</t>
  </si>
  <si>
    <t>2702 12314 0233</t>
  </si>
  <si>
    <t>2702 12334 0219</t>
  </si>
  <si>
    <t>2702 12314 0234</t>
  </si>
  <si>
    <t>2702 12334 0220</t>
  </si>
  <si>
    <t>2702 12314 0235</t>
  </si>
  <si>
    <t>2702 12334 0221</t>
  </si>
  <si>
    <t>2702 12314 0236</t>
  </si>
  <si>
    <t>2702 12334 0222</t>
  </si>
  <si>
    <t>ต่อตระกูล เกรียงกิตติไกร</t>
  </si>
  <si>
    <t>2702 12314 0237</t>
  </si>
  <si>
    <t>2702 12334 0223</t>
  </si>
  <si>
    <t>ปวส. / กอป.,ตวท.,วท.บ.(เทคโนโลยีสารสรเทศ)</t>
  </si>
  <si>
    <t>วศิน  มุ่งเจริญ</t>
  </si>
  <si>
    <t>2702 12314 0238</t>
  </si>
  <si>
    <t>2702 12334 0224</t>
  </si>
  <si>
    <t>ม.6,กอป.,ตวท.,บธ.บ.(การเงิน)</t>
  </si>
  <si>
    <t>อริฌา  สุขเจริญ</t>
  </si>
  <si>
    <t>2702 12314 0239</t>
  </si>
  <si>
    <t>2702 12334 0225</t>
  </si>
  <si>
    <t>2702 12314 0240</t>
  </si>
  <si>
    <t>2702 12334 0226</t>
  </si>
  <si>
    <t>ม.6,กอป.,ตวท.,ศศ.บ.​(สื่อสารมวลชน)</t>
  </si>
  <si>
    <t>2702 12314 0241</t>
  </si>
  <si>
    <t>2702 12334 0227</t>
  </si>
  <si>
    <t>2702 12314 0242</t>
  </si>
  <si>
    <t>2702 12334 0228</t>
  </si>
  <si>
    <t>2702 12314 0243</t>
  </si>
  <si>
    <t>2702 12334 0229</t>
  </si>
  <si>
    <t>2702 12314 0244</t>
  </si>
  <si>
    <t>2702 12334 0230</t>
  </si>
  <si>
    <t>2702 12314 0245</t>
  </si>
  <si>
    <t>2702 12334 0231</t>
  </si>
  <si>
    <t>ผบ.หมู่ กชช.พฐก.</t>
  </si>
  <si>
    <t>2702 12314 0246</t>
  </si>
  <si>
    <t>2702 12334 0232</t>
  </si>
  <si>
    <t>2702 12314 0247</t>
  </si>
  <si>
    <t>2702 12334 0233</t>
  </si>
  <si>
    <t>2702 12314 0248</t>
  </si>
  <si>
    <t>2702 12334 0234</t>
  </si>
  <si>
    <t>ผบ.หมู่ สฝจ.</t>
  </si>
  <si>
    <t>2714 12301 0001</t>
  </si>
  <si>
    <t>2714 12357 0001</t>
  </si>
  <si>
    <t>2714 12301 0002</t>
  </si>
  <si>
    <t>2714 12357 0002</t>
  </si>
  <si>
    <t>2714 12301 0003</t>
  </si>
  <si>
    <t>2714 12357 0003</t>
  </si>
  <si>
    <t>อาสาฬดา  จันทร์แก้วแร่</t>
  </si>
  <si>
    <t>ผบ.หมู่ ฝอ.สฝจ.</t>
  </si>
  <si>
    <t>2714 12301 0004</t>
  </si>
  <si>
    <t>2714 12357 0004</t>
  </si>
  <si>
    <t>2714 12301 0005</t>
  </si>
  <si>
    <t>2714 12357 0005</t>
  </si>
  <si>
    <t>2714 12301 0006</t>
  </si>
  <si>
    <t>2714 12357 0006</t>
  </si>
  <si>
    <t>2714 12301 0007</t>
  </si>
  <si>
    <t>2714 12357 0007</t>
  </si>
  <si>
    <t>2714 12301 0008</t>
  </si>
  <si>
    <t>2714 12357 0008</t>
  </si>
  <si>
    <t>2714 12301 0009</t>
  </si>
  <si>
    <t>2714 12357 0009</t>
  </si>
  <si>
    <t>รัติยากร กลับไทย</t>
  </si>
  <si>
    <t>2714 12301 0010</t>
  </si>
  <si>
    <t>2714 12357 0010</t>
  </si>
  <si>
    <t>เดมิกา สิงขรอาจ</t>
  </si>
  <si>
    <t>2714 12301 0011</t>
  </si>
  <si>
    <t>2714 12357 0011</t>
  </si>
  <si>
    <t>2714 12301 0012</t>
  </si>
  <si>
    <t>2714 12357 0012</t>
  </si>
  <si>
    <t>2714 12301 0013</t>
  </si>
  <si>
    <t>2714 12357 0013</t>
  </si>
  <si>
    <t>ผบ.หมู่ ฝ่ายฝึกอบรม สฝจ.</t>
  </si>
  <si>
    <t>2714 12301 0018</t>
  </si>
  <si>
    <t>2714 12357 0014</t>
  </si>
  <si>
    <t>ธันย์ชนก หงษ์โต</t>
  </si>
  <si>
    <t>2714 12301 0019</t>
  </si>
  <si>
    <t>2714 12357 0015</t>
  </si>
  <si>
    <t>สุดารัตน์ วงษ์วาน</t>
  </si>
  <si>
    <t>2714 12301 0020</t>
  </si>
  <si>
    <t>2714 12357 0016</t>
  </si>
  <si>
    <t>2714 12301 0021</t>
  </si>
  <si>
    <t>2714 12357 0017</t>
  </si>
  <si>
    <t>2714 12301 0022</t>
  </si>
  <si>
    <t>2714 12357 0018</t>
  </si>
  <si>
    <t>2714 12301 0023</t>
  </si>
  <si>
    <t>2714 12357 0019</t>
  </si>
  <si>
    <t>2714 12301 0024</t>
  </si>
  <si>
    <t>2714 12357 0020</t>
  </si>
  <si>
    <t>2714 12301 0025</t>
  </si>
  <si>
    <t>2714 12357 0021</t>
  </si>
  <si>
    <t>2714 12301 0026</t>
  </si>
  <si>
    <t>2714 12357 0022</t>
  </si>
  <si>
    <t>2714 12301 0027</t>
  </si>
  <si>
    <t>2714 12357 0023</t>
  </si>
  <si>
    <t>2714 12301 0028</t>
  </si>
  <si>
    <t>2714 12357 0024</t>
  </si>
  <si>
    <t>2714 12301 0029</t>
  </si>
  <si>
    <t>2714 12357 0025</t>
  </si>
  <si>
    <t>2714 12301 0030</t>
  </si>
  <si>
    <t>2714 12357 0026</t>
  </si>
  <si>
    <t>เขษม ตะไลย์</t>
  </si>
  <si>
    <t>ผบ.หมู่ ฝ่ายพัฒนา สฝจ.</t>
  </si>
  <si>
    <t>2714 12301 0034</t>
  </si>
  <si>
    <t>2714 12357 0027</t>
  </si>
  <si>
    <t>สุดารัตน์ จีนเต็ม</t>
  </si>
  <si>
    <t>2714 12301 0035</t>
  </si>
  <si>
    <t>2714 12357 0028</t>
  </si>
  <si>
    <t>2714 12301 0036</t>
  </si>
  <si>
    <t>2714 12357 0029</t>
  </si>
  <si>
    <t>2714 12301 0037</t>
  </si>
  <si>
    <t>2714 12357 0030</t>
  </si>
  <si>
    <t>2714 12301 0038</t>
  </si>
  <si>
    <t>2714 12357 0031</t>
  </si>
  <si>
    <t>2714 12301 0039</t>
  </si>
  <si>
    <t>2714 12357 0032</t>
  </si>
  <si>
    <t>2714 12301 0040</t>
  </si>
  <si>
    <t>2714 12357 0033</t>
  </si>
  <si>
    <t>2714 12301 0041</t>
  </si>
  <si>
    <t>2714 12357 0034</t>
  </si>
  <si>
    <t>2714 12301 0042</t>
  </si>
  <si>
    <t>2714 12357 0035</t>
  </si>
  <si>
    <t>2714 12301 0043</t>
  </si>
  <si>
    <t>2714 12357 0036</t>
  </si>
  <si>
    <t>รอง สว.(อก.) ฝ่ายปกครอง สฝจ.</t>
  </si>
  <si>
    <t>2714 12301 0044</t>
  </si>
  <si>
    <t>2714 12357 0037</t>
  </si>
  <si>
    <t>ศศ.บ., กอป.</t>
  </si>
  <si>
    <t>ปราณี ขวัญเมือง</t>
  </si>
  <si>
    <t>2714 12301 0045</t>
  </si>
  <si>
    <t>2714 12357 0038</t>
  </si>
  <si>
    <t>ศศ.บ., กอป.,กดต.รุ่นที่ 12</t>
  </si>
  <si>
    <t>สุรินทร์  กระฐินทอง</t>
  </si>
  <si>
    <t>ผบ.หมู่ ฝ่ายปกครอง สฝจ.</t>
  </si>
  <si>
    <t>2714 12301 0046</t>
  </si>
  <si>
    <t>2714 12357 0039</t>
  </si>
  <si>
    <t>ธัญพิสิษฐ์ มีอิ่ม</t>
  </si>
  <si>
    <t>2714 12301 0047</t>
  </si>
  <si>
    <t>2714 12357 0040</t>
  </si>
  <si>
    <t>2714 12301 0048</t>
  </si>
  <si>
    <t>2714 12357 0041</t>
  </si>
  <si>
    <t>สิริรัตน์ สืบสกุล</t>
  </si>
  <si>
    <t>2714 12301 0049</t>
  </si>
  <si>
    <t>2714 12357 0042</t>
  </si>
  <si>
    <t>2714 12301 0050</t>
  </si>
  <si>
    <t>2714 12357 0043</t>
  </si>
  <si>
    <t>2714 12301 0051</t>
  </si>
  <si>
    <t>2714 12357 0044</t>
  </si>
  <si>
    <t>2714 12301 0052</t>
  </si>
  <si>
    <t>2714 12357 0045</t>
  </si>
  <si>
    <t>2714 12301 0053</t>
  </si>
  <si>
    <t>2714 12357 0046</t>
  </si>
  <si>
    <t>2714 12301 0054</t>
  </si>
  <si>
    <t>2714 12357 0047</t>
  </si>
  <si>
    <t>2714 12301 0055</t>
  </si>
  <si>
    <t>2714 12357 0048</t>
  </si>
  <si>
    <t>2714 12301 0056</t>
  </si>
  <si>
    <t>2714 12357 0049</t>
  </si>
  <si>
    <t>2714 12301 0057</t>
  </si>
  <si>
    <t>2714 12357 0050</t>
  </si>
  <si>
    <t>2714 12301 0058</t>
  </si>
  <si>
    <t>2714 12357 0051</t>
  </si>
  <si>
    <t>ชมันตา คุณคณากาน</t>
  </si>
  <si>
    <t>ผบ.หมู่ กลุ่มงานมาตรฐาน สฝจ.</t>
  </si>
  <si>
    <t>2714 12301 0062</t>
  </si>
  <si>
    <t>2714 12357 0052</t>
  </si>
  <si>
    <t>พัชริดา เดชรัก</t>
  </si>
  <si>
    <t>2714 12301 0063</t>
  </si>
  <si>
    <t>2714 12357 0053</t>
  </si>
  <si>
    <t>2714 12301 0064</t>
  </si>
  <si>
    <t>2714 12357 0054</t>
  </si>
  <si>
    <t>2714 12301 0065</t>
  </si>
  <si>
    <t>2714 12357 0055</t>
  </si>
  <si>
    <t>2714 12301 0066</t>
  </si>
  <si>
    <t>2714 12357 0056</t>
  </si>
  <si>
    <t>2714 12301 0067</t>
  </si>
  <si>
    <t>2714 12357 0057</t>
  </si>
  <si>
    <t>2714 12301 0068</t>
  </si>
  <si>
    <t>2714 12357 0058</t>
  </si>
  <si>
    <t>2714 12301 0069</t>
  </si>
  <si>
    <t>2714 12357 0059</t>
  </si>
  <si>
    <t>2714 12301 0070</t>
  </si>
  <si>
    <t>2714 12357 0060</t>
  </si>
  <si>
    <t>2714 12301 0071</t>
  </si>
  <si>
    <t>2714 12357 0061</t>
  </si>
  <si>
    <t>ผบ.หมู่ ศพฐ.1</t>
  </si>
  <si>
    <t>2704 12301 0001</t>
  </si>
  <si>
    <t>2704 12357 0001</t>
  </si>
  <si>
    <t>2704 12301 0002</t>
  </si>
  <si>
    <t>2704 12357 0002</t>
  </si>
  <si>
    <t>ตรีวิทย์  ทีรวม</t>
  </si>
  <si>
    <t>ผบ.หมู่ ฝอ.ศพฐ.1</t>
  </si>
  <si>
    <t>2704 12301 0255</t>
  </si>
  <si>
    <t>2704 12357 0003</t>
  </si>
  <si>
    <t>2704 12301 0256</t>
  </si>
  <si>
    <t>2704 12357 0004</t>
  </si>
  <si>
    <t>2704 12301 0257</t>
  </si>
  <si>
    <t>2704 12357 0005</t>
  </si>
  <si>
    <t>2704 12301 0258</t>
  </si>
  <si>
    <t>2704 12357 0006</t>
  </si>
  <si>
    <t>2704 12301 0259</t>
  </si>
  <si>
    <t>2704 12357 0007</t>
  </si>
  <si>
    <t>2704 12301 0260</t>
  </si>
  <si>
    <t>2704 12357 0008</t>
  </si>
  <si>
    <t>2704 12301 0261</t>
  </si>
  <si>
    <t>2704 12357 0009</t>
  </si>
  <si>
    <t>2704 12301 0262</t>
  </si>
  <si>
    <t>2704 12357 0010</t>
  </si>
  <si>
    <t>2704 12301 0263</t>
  </si>
  <si>
    <t>2704 12357 0011</t>
  </si>
  <si>
    <t>ราตรี สวาย</t>
  </si>
  <si>
    <t>2704 12314 0264</t>
  </si>
  <si>
    <t>2704 12334 0013</t>
  </si>
  <si>
    <t>บช.บ./ร.ป.ม.</t>
  </si>
  <si>
    <t>วรลักษณ์ สุขีโมกข์</t>
  </si>
  <si>
    <t>2704 12314 0265</t>
  </si>
  <si>
    <t>2704 12334 0014</t>
  </si>
  <si>
    <t>ค.บ./ร.ป.ม.</t>
  </si>
  <si>
    <t>รินรดา คมสัน</t>
  </si>
  <si>
    <t>2704 12314 0266</t>
  </si>
  <si>
    <t>2704 12334 0015</t>
  </si>
  <si>
    <t>ปวช., ปวส., บธ.บ.</t>
  </si>
  <si>
    <t>นุชจรี ทองหล่อ</t>
  </si>
  <si>
    <t>รอง สว.(อก.) ฝอ.ศพฐ.1</t>
  </si>
  <si>
    <t>2704 12314 0267</t>
  </si>
  <si>
    <t>2704 12334 0016</t>
  </si>
  <si>
    <r>
      <t>ตวท.</t>
    </r>
    <r>
      <rPr>
        <sz val="16"/>
        <color rgb="FFFF0000"/>
        <rFont val="Angsana New"/>
        <family val="1"/>
      </rPr>
      <t>, ปวช., ศศ.บ</t>
    </r>
    <r>
      <rPr>
        <sz val="16"/>
        <rFont val="Angsana New"/>
        <family val="1"/>
      </rPr>
      <t>.</t>
    </r>
  </si>
  <si>
    <t>2704 12314 0268</t>
  </si>
  <si>
    <t>2704 12334 0017</t>
  </si>
  <si>
    <t>เนตรนภา  วิชา</t>
  </si>
  <si>
    <t>2704 12314 0269</t>
  </si>
  <si>
    <t>2704 12334 0018</t>
  </si>
  <si>
    <t>ม.6, บธ.บ., ชัยยะ</t>
  </si>
  <si>
    <t>ณัฏฐณิชา เทพกูล</t>
  </si>
  <si>
    <t>2704 12314 0270</t>
  </si>
  <si>
    <t>2704 12334 0019</t>
  </si>
  <si>
    <t>กมลชนก แก้วโส</t>
  </si>
  <si>
    <t>2704 12314 0271</t>
  </si>
  <si>
    <t>2704 12334 0020</t>
  </si>
  <si>
    <t>2704 12314 0272</t>
  </si>
  <si>
    <t>2704 12334 0021</t>
  </si>
  <si>
    <t>2704 12314 0273</t>
  </si>
  <si>
    <t>2704 12334 0022</t>
  </si>
  <si>
    <t>2704 12301 0274</t>
  </si>
  <si>
    <t>2704 12327 0012</t>
  </si>
  <si>
    <t>ธนภูมิ  เอกจิตร์</t>
  </si>
  <si>
    <t>ผบ.หมู่ กสก.ศพฐ.1</t>
  </si>
  <si>
    <t>2704 12314 0275</t>
  </si>
  <si>
    <t>2704 12334 0023</t>
  </si>
  <si>
    <t>สพฐ.ตร.230/63</t>
  </si>
  <si>
    <t>ภาณุเดช  เลี้ยงชีพ</t>
  </si>
  <si>
    <t>2704 12314 0276</t>
  </si>
  <si>
    <t>2704 12334 0024</t>
  </si>
  <si>
    <t>โอฬาร  เขียวหวาน</t>
  </si>
  <si>
    <t>2704 12314 0277</t>
  </si>
  <si>
    <t>2704 12334 0025</t>
  </si>
  <si>
    <t>ภูมินทร์  ขุนศรี</t>
  </si>
  <si>
    <t>2704 12314 0278</t>
  </si>
  <si>
    <t>2704 12334 0026</t>
  </si>
  <si>
    <t>กรวิการ์  สำรีปั้น</t>
  </si>
  <si>
    <t>2704 12314 0279</t>
  </si>
  <si>
    <t>2704 12334 0027</t>
  </si>
  <si>
    <t>2704 12314 0280</t>
  </si>
  <si>
    <t>2704 12334 0028</t>
  </si>
  <si>
    <t>พัทธพล  ศรีเชื้อ</t>
  </si>
  <si>
    <t>2704 12314 0281</t>
  </si>
  <si>
    <t>2704 12334 0029</t>
  </si>
  <si>
    <t>ปรียา  กุลนาแปง</t>
  </si>
  <si>
    <t>2704 12314 0282</t>
  </si>
  <si>
    <t>2704 12334 0030</t>
  </si>
  <si>
    <t>มณธิรา  ยั่งยืนนาน</t>
  </si>
  <si>
    <t>2704 12314 0283</t>
  </si>
  <si>
    <t>2704 12334 0031</t>
  </si>
  <si>
    <t>ธฤตศวร  คันศร</t>
  </si>
  <si>
    <t>2704 12314 0284</t>
  </si>
  <si>
    <t>2704 12334 0032</t>
  </si>
  <si>
    <t>อัศม์เดช  มูลศรี</t>
  </si>
  <si>
    <t>2704 12314 0285</t>
  </si>
  <si>
    <t>2704 12334 0033</t>
  </si>
  <si>
    <t>อภิตรา  ยะมา</t>
  </si>
  <si>
    <t>ผบ.หมู่ กอส.ศพฐ.1</t>
  </si>
  <si>
    <t>2704 12314 0286</t>
  </si>
  <si>
    <t>2704 12334 0034</t>
  </si>
  <si>
    <t>ชนะชัย  เสนนะ</t>
  </si>
  <si>
    <t>2704 12314 0287</t>
  </si>
  <si>
    <t>2704 12334 0035</t>
  </si>
  <si>
    <t>2704 12314 0288</t>
  </si>
  <si>
    <t>2704 12334 0036</t>
  </si>
  <si>
    <t>2704 12314 0289</t>
  </si>
  <si>
    <t>2704 12334 0037</t>
  </si>
  <si>
    <t>บุณยกร  ยอดวงค์</t>
  </si>
  <si>
    <t>ผบ.หมู่ กอป.ศพฐ.1</t>
  </si>
  <si>
    <t>2704 12314 0290</t>
  </si>
  <si>
    <t>2704 12334 0038</t>
  </si>
  <si>
    <t>ธีรภัทร  ยลศิริธรรม</t>
  </si>
  <si>
    <t>2704 12314 0291</t>
  </si>
  <si>
    <t>2704 12334 0039</t>
  </si>
  <si>
    <t>รัตนาภรณ์  มาฉิม</t>
  </si>
  <si>
    <t>2704 12314 0292</t>
  </si>
  <si>
    <t>2704 12334 0040</t>
  </si>
  <si>
    <t>พยุหพล  ฟุ้งสุข</t>
  </si>
  <si>
    <t>2704 12314 0293</t>
  </si>
  <si>
    <t>2704 12334 0041</t>
  </si>
  <si>
    <t>2704 12314 0294</t>
  </si>
  <si>
    <t>2704 12334 0042</t>
  </si>
  <si>
    <t>2704 12314 0295</t>
  </si>
  <si>
    <t>2704 12334 0043</t>
  </si>
  <si>
    <t>2704 12314 0296</t>
  </si>
  <si>
    <t>2704 12334 0044</t>
  </si>
  <si>
    <t>จรัสพร  บุญญะวัด</t>
  </si>
  <si>
    <t>ผบ.หมู่ กคม.ศพฐ.1</t>
  </si>
  <si>
    <t>2704 12314 0297</t>
  </si>
  <si>
    <t>2704 12334 0045</t>
  </si>
  <si>
    <t>2704 12314 0298</t>
  </si>
  <si>
    <t>2704 12334 0046</t>
  </si>
  <si>
    <t>ดุรงค์ฤทธิ์  แสงสุวรรณ์</t>
  </si>
  <si>
    <t>2704 12314 0299</t>
  </si>
  <si>
    <t>2704 12334 0047</t>
  </si>
  <si>
    <t>สพฐ.ตร.235/63</t>
  </si>
  <si>
    <t>2704 12314 0300</t>
  </si>
  <si>
    <t>2704 12334 0048</t>
  </si>
  <si>
    <t>ดิถีวัฒน์  เวชวิทย์</t>
  </si>
  <si>
    <t>ผบ.หมู่ กยส.ศพฐ.1</t>
  </si>
  <si>
    <t>2704 12314 0301</t>
  </si>
  <si>
    <t>2704 12334 0049</t>
  </si>
  <si>
    <t>2704 12314 0302</t>
  </si>
  <si>
    <t>2704 12334 0050</t>
  </si>
  <si>
    <t>กาญจนี อำขำ</t>
  </si>
  <si>
    <t>2704 12314 0303</t>
  </si>
  <si>
    <t>2704 12334 0051</t>
  </si>
  <si>
    <t>2704 12314 0304</t>
  </si>
  <si>
    <t>2704 12334 0052</t>
  </si>
  <si>
    <t>ผบ.หมู่ กนฝ.ศพฐ.1</t>
  </si>
  <si>
    <t>2704 12314 0305</t>
  </si>
  <si>
    <t>2704 12334 0053</t>
  </si>
  <si>
    <t>2704 12314 0306</t>
  </si>
  <si>
    <t>2704 12334 0054</t>
  </si>
  <si>
    <t>ป่านฤทัย  สุทธิรัตน์เสรีกุล</t>
  </si>
  <si>
    <t>2704 12314 0307</t>
  </si>
  <si>
    <t>2704 12334 0055</t>
  </si>
  <si>
    <t>2704 12314 0308</t>
  </si>
  <si>
    <t>2704 12334 0056</t>
  </si>
  <si>
    <t>2704 12314 0309</t>
  </si>
  <si>
    <t>2704 12334 0057</t>
  </si>
  <si>
    <t>ผบ.หมู่ กชว.ศพฐ.1</t>
  </si>
  <si>
    <t>2704 12314 0310</t>
  </si>
  <si>
    <t>2704 12334 0058</t>
  </si>
  <si>
    <t>2704 12314 0311</t>
  </si>
  <si>
    <t>2704 12334 0059</t>
  </si>
  <si>
    <t>รดา พงษ์ปราโมทย์</t>
  </si>
  <si>
    <t>2704 12314 0312</t>
  </si>
  <si>
    <t>2704 12334 0060</t>
  </si>
  <si>
    <t>2704 12314 0313</t>
  </si>
  <si>
    <t>2704 12334 0061</t>
  </si>
  <si>
    <t>ผบ.หมู่ กคพ.ศพฐ.1</t>
  </si>
  <si>
    <t>2704 12314 0314</t>
  </si>
  <si>
    <t>2704 12334 0062</t>
  </si>
  <si>
    <t>2704 12314 0315</t>
  </si>
  <si>
    <t>2704 12334 0063</t>
  </si>
  <si>
    <t>นวราช ฝ่ายโพธิ์</t>
  </si>
  <si>
    <t>2704 12314 0316</t>
  </si>
  <si>
    <t>2704 12334 0064</t>
  </si>
  <si>
    <t>2704 12314 0317</t>
  </si>
  <si>
    <t>2704 12334 0065</t>
  </si>
  <si>
    <t>ผบ.หมู่ กชช.ศพฐ.1</t>
  </si>
  <si>
    <t>2704 12314 0318</t>
  </si>
  <si>
    <t>2704 12334 0066</t>
  </si>
  <si>
    <t>ผบ.หมู่ พฐ.จว.นนทบุรี</t>
  </si>
  <si>
    <t>2704 12314 0319</t>
  </si>
  <si>
    <t>2704 12334 0067</t>
  </si>
  <si>
    <t>นาตยา  สุดแสวง</t>
  </si>
  <si>
    <t>2704 12314 0320</t>
  </si>
  <si>
    <t>2704 12334 0068</t>
  </si>
  <si>
    <t>อดิเทพ  สุทธิศักดิ์</t>
  </si>
  <si>
    <t>2704 12314 0321</t>
  </si>
  <si>
    <t>2704 12334 0069</t>
  </si>
  <si>
    <t>ศักดิ์สิทธิ์ เพชรชวาลวัฒน์</t>
  </si>
  <si>
    <t>2704 12314 0322</t>
  </si>
  <si>
    <t>2704 12334 0070</t>
  </si>
  <si>
    <t>ปวส.(คอมพิวเตอร์ธุรกิจ)</t>
  </si>
  <si>
    <t>ตร.268/61</t>
  </si>
  <si>
    <t>2704 12314 0323</t>
  </si>
  <si>
    <t>2704 12334 0071</t>
  </si>
  <si>
    <t>ม.6, ศศ.บ.</t>
  </si>
  <si>
    <t>ปัญญา ภู่พันธุ์</t>
  </si>
  <si>
    <t>รอง สว.(อก.) พฐ.จว.นนทบุรี</t>
  </si>
  <si>
    <t>2704 12314 0324</t>
  </si>
  <si>
    <t>2704 12334 0072</t>
  </si>
  <si>
    <t>ม.6/กอป.</t>
  </si>
  <si>
    <t>2704 12314 0325</t>
  </si>
  <si>
    <t>2704 12334 0073</t>
  </si>
  <si>
    <t>อิสระพงษ์  สัชนะกูล</t>
  </si>
  <si>
    <t>2704 12314 0326</t>
  </si>
  <si>
    <t>2704 12334 0074</t>
  </si>
  <si>
    <t>มณฑิรา สังข์ศิริ</t>
  </si>
  <si>
    <t>2704 12314 0327</t>
  </si>
  <si>
    <t>2704 12334 0075</t>
  </si>
  <si>
    <t>ม.6, บธ.บ.</t>
  </si>
  <si>
    <t>ประทุมวรรณ เศรษฐี</t>
  </si>
  <si>
    <t>2704 12314 0328</t>
  </si>
  <si>
    <t>2704 12334 0076</t>
  </si>
  <si>
    <t>ปวช., บช.บ.</t>
  </si>
  <si>
    <t>ณัฐิดา กิตติดุษฎีกุล</t>
  </si>
  <si>
    <t>2704 12314 0329</t>
  </si>
  <si>
    <t>2704 12334 0077</t>
  </si>
  <si>
    <t>สพฐ.ตร.71/66</t>
  </si>
  <si>
    <t>2704 12314 0330</t>
  </si>
  <si>
    <t>2704 12334 0078</t>
  </si>
  <si>
    <t>2704 12314 0331</t>
  </si>
  <si>
    <t>2704 12334 0079</t>
  </si>
  <si>
    <t>2704 12314 0332</t>
  </si>
  <si>
    <t>2704 12334 0080</t>
  </si>
  <si>
    <t>2704 12314 0333</t>
  </si>
  <si>
    <t>2704 12334 0081</t>
  </si>
  <si>
    <t>2704 12314 0334</t>
  </si>
  <si>
    <t>2704 12334 0082</t>
  </si>
  <si>
    <t>2704 12314 0335</t>
  </si>
  <si>
    <t>2704 12334 0083</t>
  </si>
  <si>
    <t>ณัฐนันท์ ไชยพล</t>
  </si>
  <si>
    <t>ผบ.หมู่ พฐ.จว.สมุทรปราการ</t>
  </si>
  <si>
    <t>2704 12314 0336</t>
  </si>
  <si>
    <t>2704 12334 0132</t>
  </si>
  <si>
    <t>พิชิต มนัสสา</t>
  </si>
  <si>
    <t>2704 12314 0337</t>
  </si>
  <si>
    <t>2704 12334 0133</t>
  </si>
  <si>
    <t>2704 12314 0338</t>
  </si>
  <si>
    <t>2704 12334 0134</t>
  </si>
  <si>
    <t>2704 12314 0339</t>
  </si>
  <si>
    <t>2704 12334 0135</t>
  </si>
  <si>
    <t>2704 12314 0340</t>
  </si>
  <si>
    <t>2704 12334 0136</t>
  </si>
  <si>
    <t>2704 12314 0341</t>
  </si>
  <si>
    <t>2704 12334 0137</t>
  </si>
  <si>
    <t>วิวัฒน์ ติมสันเทียะ</t>
  </si>
  <si>
    <t>2704 12314 0342</t>
  </si>
  <si>
    <t>2704 12334 0138</t>
  </si>
  <si>
    <t>ศิวกร โยธายุทธ</t>
  </si>
  <si>
    <t>2704 12314 0343</t>
  </si>
  <si>
    <t>2704 12334 0139</t>
  </si>
  <si>
    <t>2704 12314 0344</t>
  </si>
  <si>
    <t>2704 12334 0140</t>
  </si>
  <si>
    <t>2704 12314 0345</t>
  </si>
  <si>
    <t>2704 12334 0141</t>
  </si>
  <si>
    <t>เกียรติศักดิ์  สมบัติมาก</t>
  </si>
  <si>
    <t>2704 12314 0346</t>
  </si>
  <si>
    <t>2704 12334 0142</t>
  </si>
  <si>
    <t>รัตนธิดา  แดงเกิด</t>
  </si>
  <si>
    <t>2704 12314 0347</t>
  </si>
  <si>
    <t>2704 12334 0143</t>
  </si>
  <si>
    <t>2704 12314 0348</t>
  </si>
  <si>
    <t>2704 12334 0144</t>
  </si>
  <si>
    <t>2704 12314 0349</t>
  </si>
  <si>
    <t>2704 12334 0145</t>
  </si>
  <si>
    <t>2704 12314 0350</t>
  </si>
  <si>
    <t>2704 12334 0146</t>
  </si>
  <si>
    <t>2704 12314 0351</t>
  </si>
  <si>
    <t>2704 12334 0147</t>
  </si>
  <si>
    <t>2704 12314 0352</t>
  </si>
  <si>
    <t>2704 12334 0148</t>
  </si>
  <si>
    <t>รัตนา คุ้มเหย้า</t>
  </si>
  <si>
    <t>รอง สว.(อก.) พฐ.จว.พระนครศรีอยุธยา</t>
  </si>
  <si>
    <t>2704 12314 0353</t>
  </si>
  <si>
    <t>2704 12334 0101</t>
  </si>
  <si>
    <t>ศศ.บ.(การจัดการ)</t>
  </si>
  <si>
    <t>สพฐ.ตร.47/2562</t>
  </si>
  <si>
    <t>กฤตยา  ช้างอยู่</t>
  </si>
  <si>
    <t>ผบ.หมู่ พฐ.จว.พระนครศรีอยุธยา</t>
  </si>
  <si>
    <t>2704 12314 0354</t>
  </si>
  <si>
    <t>2704 12334 0102</t>
  </si>
  <si>
    <t>2704 12314 0355</t>
  </si>
  <si>
    <t>2704 12334 0103</t>
  </si>
  <si>
    <t>น้ำฝน จันทร์คง</t>
  </si>
  <si>
    <t>2704 12314 0356</t>
  </si>
  <si>
    <t>2704 12334 0104</t>
  </si>
  <si>
    <t>ตวท.</t>
  </si>
  <si>
    <t>สพฐ.ตร. 26/65</t>
  </si>
  <si>
    <t>2704 12314 0357</t>
  </si>
  <si>
    <t>2704 12334 0105</t>
  </si>
  <si>
    <t>พัชรินทร์ สุพรรณ</t>
  </si>
  <si>
    <t>2704 12314 0358</t>
  </si>
  <si>
    <t>2704 12334 0106</t>
  </si>
  <si>
    <t>พิทักษ์ โสดาจันทร์</t>
  </si>
  <si>
    <t>2704 12314 0359</t>
  </si>
  <si>
    <t>2704 12334 0107</t>
  </si>
  <si>
    <t>ม.6/นพต./ชัยยะ</t>
  </si>
  <si>
    <t>2704 12314 0360</t>
  </si>
  <si>
    <t>2704 12334 0108</t>
  </si>
  <si>
    <t>วารินทร์ ผ่องศิริ</t>
  </si>
  <si>
    <t>2704 12314 0361</t>
  </si>
  <si>
    <t>2704 12334 0109</t>
  </si>
  <si>
    <t>มนตรี ตรีทิพย์</t>
  </si>
  <si>
    <t>2704 12314 0362</t>
  </si>
  <si>
    <t>2704 12334 0110</t>
  </si>
  <si>
    <t>2704 12314 0363</t>
  </si>
  <si>
    <t>2704 12334 0111</t>
  </si>
  <si>
    <t>พรหมชัย โพธิ์เงิน</t>
  </si>
  <si>
    <t>2704 12314 0364</t>
  </si>
  <si>
    <t>2704 12334 0112</t>
  </si>
  <si>
    <t>ม.6,กดต.(ปป.),ตวท.</t>
  </si>
  <si>
    <t>2704 12314 0365</t>
  </si>
  <si>
    <t>2704 12334 0113</t>
  </si>
  <si>
    <t>ธงชัย วรรณจิตร</t>
  </si>
  <si>
    <t>2704 12314 0366</t>
  </si>
  <si>
    <t>2704 12334 0114</t>
  </si>
  <si>
    <t>ปรีชา เชาว์ขุนทด</t>
  </si>
  <si>
    <t>2704 12314 0367</t>
  </si>
  <si>
    <t>2704 12334 0115</t>
  </si>
  <si>
    <t>อัญชลี ชมชื่น</t>
  </si>
  <si>
    <t>2704 12314 0368</t>
  </si>
  <si>
    <t>2704 12334 0116</t>
  </si>
  <si>
    <t>สมชาย ไชยสงวนสุข</t>
  </si>
  <si>
    <t>2704 12314 0369</t>
  </si>
  <si>
    <t>2704 12334 0117</t>
  </si>
  <si>
    <t>สพฐ.ตร.124/63</t>
  </si>
  <si>
    <t>ผบ.หมู่ พฐ.จว.ชัยนาท</t>
  </si>
  <si>
    <t>2704 12314 0370</t>
  </si>
  <si>
    <t>2704 12334 0177</t>
  </si>
  <si>
    <t>ธนู ย้อยฝอย</t>
  </si>
  <si>
    <t>2704 12314 0371</t>
  </si>
  <si>
    <t>2704 12334 0178</t>
  </si>
  <si>
    <t>2704 12314 0372</t>
  </si>
  <si>
    <t>2704 12334 0179</t>
  </si>
  <si>
    <t>2704 12314 0373</t>
  </si>
  <si>
    <t>2704 12334 0180</t>
  </si>
  <si>
    <t>2704 12314 0374</t>
  </si>
  <si>
    <t>2704 12334 0181</t>
  </si>
  <si>
    <t>อัศรินทร์  อเนก</t>
  </si>
  <si>
    <t>2704 12314 0375</t>
  </si>
  <si>
    <t>2704 12334 0182</t>
  </si>
  <si>
    <t>สิริรัตน์  ยกโต</t>
  </si>
  <si>
    <t>2704 12314 0376</t>
  </si>
  <si>
    <t>2704 12334 0183</t>
  </si>
  <si>
    <t>ธนพัฒน์  ศรีบุตร</t>
  </si>
  <si>
    <t>2704 12314 0377</t>
  </si>
  <si>
    <t>2704 12334 0184</t>
  </si>
  <si>
    <t>อนุวัต เทอดนิเวศน์</t>
  </si>
  <si>
    <t>2704 12314 0378</t>
  </si>
  <si>
    <t>2704 12334 0185</t>
  </si>
  <si>
    <t>สงคราม  ล้อมนาค</t>
  </si>
  <si>
    <t>2704 12314 0379</t>
  </si>
  <si>
    <t>2704 12334 0186</t>
  </si>
  <si>
    <t>2704 12314 0380</t>
  </si>
  <si>
    <t>2704 12334 0187</t>
  </si>
  <si>
    <t>2704 12314 0381</t>
  </si>
  <si>
    <t>2704 12334 0188</t>
  </si>
  <si>
    <t>2704 12314 0382</t>
  </si>
  <si>
    <t>2704 12334 0189</t>
  </si>
  <si>
    <t>2704 12314 0383</t>
  </si>
  <si>
    <t>2704 12334 0190</t>
  </si>
  <si>
    <t>พัชรี กมุทชาติ</t>
  </si>
  <si>
    <t>ผบ.หมู่ พฐ.จว.ลพบุรี</t>
  </si>
  <si>
    <t>2704 12314 0384</t>
  </si>
  <si>
    <t>2704 12334 0118</t>
  </si>
  <si>
    <t>กาญจนา  คนดี</t>
  </si>
  <si>
    <t>2704 12314 0385</t>
  </si>
  <si>
    <t>2704 12334 0119</t>
  </si>
  <si>
    <t>บุญทวี เนียมหอม</t>
  </si>
  <si>
    <t>รอง สว.(อก.) พฐ.จว.ลพบุรี</t>
  </si>
  <si>
    <t>2704 12314 0386</t>
  </si>
  <si>
    <t>2704 12334 0120</t>
  </si>
  <si>
    <t>2704 12314 0387</t>
  </si>
  <si>
    <t>2704 12334 0121</t>
  </si>
  <si>
    <t>2704 12314 0388</t>
  </si>
  <si>
    <t>2704 12334 0122</t>
  </si>
  <si>
    <t>วารี ทองเอม</t>
  </si>
  <si>
    <t>2704 12314 0389</t>
  </si>
  <si>
    <t>2704 12334 0123</t>
  </si>
  <si>
    <t>ศศ.บ.,กดต.(อก.)</t>
  </si>
  <si>
    <t>กฤษณา วงษาหาร</t>
  </si>
  <si>
    <t>2704 12314 0390</t>
  </si>
  <si>
    <t>2704 12334 0124</t>
  </si>
  <si>
    <t>2704 12314 0391</t>
  </si>
  <si>
    <t>2704 12334 0125</t>
  </si>
  <si>
    <t>ปิยะกานต์  ลาเหลา</t>
  </si>
  <si>
    <t>2704 12314 0392</t>
  </si>
  <si>
    <t>2704 12334 0126</t>
  </si>
  <si>
    <t>2704 12314 0393</t>
  </si>
  <si>
    <t>2704 12334 0127</t>
  </si>
  <si>
    <t>อมรรัตน์ ศิริสลุง</t>
  </si>
  <si>
    <t>2704 12314 0394</t>
  </si>
  <si>
    <t>2704 12334 0128</t>
  </si>
  <si>
    <t>อุษา สระโสภา</t>
  </si>
  <si>
    <t>2704 12314 0395</t>
  </si>
  <si>
    <t>2704 12334 0129</t>
  </si>
  <si>
    <t>ตร.415/60</t>
  </si>
  <si>
    <t>นันท์นภัส ต่อคุ้ม</t>
  </si>
  <si>
    <t>2704 12314 0396</t>
  </si>
  <si>
    <t>2704 12334 0130</t>
  </si>
  <si>
    <t>2704 12314 0397</t>
  </si>
  <si>
    <t>2704 12334 0131</t>
  </si>
  <si>
    <t>ณัฐนพิน ภู่ทอง</t>
  </si>
  <si>
    <t>ผบ.หมู่ พฐ.จว.สระบุรี</t>
  </si>
  <si>
    <t>2704 12314 0398</t>
  </si>
  <si>
    <t>2704 12334 0084</t>
  </si>
  <si>
    <t>รอง สว.(อก.) พฐ.จว.สระบุรี</t>
  </si>
  <si>
    <t>2704 12314 0399</t>
  </si>
  <si>
    <t>2704 12334 0085</t>
  </si>
  <si>
    <t>ภิรม พูลผล</t>
  </si>
  <si>
    <t>2704 12314 0400</t>
  </si>
  <si>
    <t>2704 12334 0086</t>
  </si>
  <si>
    <t>2704 12314 0401</t>
  </si>
  <si>
    <t>2704 12334 0087</t>
  </si>
  <si>
    <t>2704 12314 0402</t>
  </si>
  <si>
    <t>2704 12334 0088</t>
  </si>
  <si>
    <t>นาถฤดี  ยมนา</t>
  </si>
  <si>
    <t>2704 12314 0403</t>
  </si>
  <si>
    <t>2704 12334 0089</t>
  </si>
  <si>
    <t>สพฐ.ตร.182/62</t>
  </si>
  <si>
    <t>2704 12314 0404</t>
  </si>
  <si>
    <t>2704 12334 0090</t>
  </si>
  <si>
    <t>2704 12314 0405</t>
  </si>
  <si>
    <t>2704 12334 0091</t>
  </si>
  <si>
    <t>2704 12314 0406</t>
  </si>
  <si>
    <t>2704 12334 0092</t>
  </si>
  <si>
    <t>2704 12314 0407</t>
  </si>
  <si>
    <t>2704 12334 0093</t>
  </si>
  <si>
    <t>2704 12314 0408</t>
  </si>
  <si>
    <t>2704 12334 0094</t>
  </si>
  <si>
    <t>ราตรี สว่างพลกรัง</t>
  </si>
  <si>
    <t>2704 12314 0409</t>
  </si>
  <si>
    <t>2704 12334 0095</t>
  </si>
  <si>
    <t>สุนทรี โสพรม</t>
  </si>
  <si>
    <t>2704 12314 0410</t>
  </si>
  <si>
    <t>2704 12334 0096</t>
  </si>
  <si>
    <t>2704 12314 0411</t>
  </si>
  <si>
    <t>2704 12334 0097</t>
  </si>
  <si>
    <t>อรอมล เหมือนโพธิ์</t>
  </si>
  <si>
    <t>2704 12314 0412</t>
  </si>
  <si>
    <t>2704 12334 0098</t>
  </si>
  <si>
    <t>วิเชษฐ  ใจเฉพาะ</t>
  </si>
  <si>
    <t>2704 12314 0413</t>
  </si>
  <si>
    <t>2704 12334 0099</t>
  </si>
  <si>
    <t>สุดาพร บำรุง</t>
  </si>
  <si>
    <t>2704 12314 0414</t>
  </si>
  <si>
    <t>2704 12334 0100</t>
  </si>
  <si>
    <t>อลงกรณ์ หอมเนียม</t>
  </si>
  <si>
    <t>รอง สว.(อก.) พฐ.จว.สิงห์บุรี</t>
  </si>
  <si>
    <t>2704 12314 0415</t>
  </si>
  <si>
    <t>2704 12334 0163</t>
  </si>
  <si>
    <t>ค.บ.,กดต.(อก.)</t>
  </si>
  <si>
    <t>วันชัย นามผล</t>
  </si>
  <si>
    <t>ผบ.หมู่ พฐ.จว.สิงห์บุรี</t>
  </si>
  <si>
    <t>2704 12314 0416</t>
  </si>
  <si>
    <t>2704 12334 0164</t>
  </si>
  <si>
    <t>รบ.</t>
  </si>
  <si>
    <t>2704 12314 0417</t>
  </si>
  <si>
    <t>2704 12334 0165</t>
  </si>
  <si>
    <t>นิพนธ์ ทัดทอง</t>
  </si>
  <si>
    <t>2704 12314 0418</t>
  </si>
  <si>
    <t>2704 12334 0166</t>
  </si>
  <si>
    <t>นักเรียนจ่า, กดต.(อก.),ตวท.</t>
  </si>
  <si>
    <t>สุเทพ น้อยบุ่งค้า</t>
  </si>
  <si>
    <t>2704 12314 0419</t>
  </si>
  <si>
    <t>2704 12334 0167</t>
  </si>
  <si>
    <r>
      <t>ตวท.</t>
    </r>
    <r>
      <rPr>
        <sz val="16"/>
        <color rgb="FFFF0000"/>
        <rFont val="Angsana New"/>
        <family val="1"/>
      </rPr>
      <t>, ม.6</t>
    </r>
  </si>
  <si>
    <t>สุจิตรา สีสัญ</t>
  </si>
  <si>
    <t>2704 12314 0420</t>
  </si>
  <si>
    <t>2704 12334 0168</t>
  </si>
  <si>
    <t>ณิชาภัทร คงเกษม</t>
  </si>
  <si>
    <t>2704 12314 0421</t>
  </si>
  <si>
    <t>2704 12334 0169</t>
  </si>
  <si>
    <r>
      <t>ตวท.</t>
    </r>
    <r>
      <rPr>
        <sz val="16"/>
        <color rgb="FFFF0000"/>
        <rFont val="Angsana New"/>
        <family val="1"/>
      </rPr>
      <t>, บธ.บ., รป.บ.</t>
    </r>
  </si>
  <si>
    <t>ไพรินทร์  แก้วอ่อง</t>
  </si>
  <si>
    <t>2704 12314 0422</t>
  </si>
  <si>
    <t>2704 12334 0170</t>
  </si>
  <si>
    <t>จรัญ บุญครอบ</t>
  </si>
  <si>
    <t>2704 12314 0423</t>
  </si>
  <si>
    <t>2704 12334 0171</t>
  </si>
  <si>
    <t>ปวท.</t>
  </si>
  <si>
    <t>สพฐ.ตร.71/65</t>
  </si>
  <si>
    <t>มานะ พูลสาริกิจ</t>
  </si>
  <si>
    <t>2704 12314 0424</t>
  </si>
  <si>
    <t>2704 12334 0172</t>
  </si>
  <si>
    <t>ปวีณา สักการะ</t>
  </si>
  <si>
    <t>2704 12314 0425</t>
  </si>
  <si>
    <t>2704 12334 0173</t>
  </si>
  <si>
    <t>เดโช บุญชี</t>
  </si>
  <si>
    <t>2704 12314 0426</t>
  </si>
  <si>
    <t>2704 12334 0174</t>
  </si>
  <si>
    <t>พิมลรัตน์ น้ำดอกไม้</t>
  </si>
  <si>
    <t>2704 12314 0427</t>
  </si>
  <si>
    <t>2704 12334 0175</t>
  </si>
  <si>
    <t>2704 12314 0428</t>
  </si>
  <si>
    <t>2704 12334 0176</t>
  </si>
  <si>
    <t>ผบ.หมู่ พฐ.จว.อ่างทอง</t>
  </si>
  <si>
    <t>2704 12314 0429</t>
  </si>
  <si>
    <t>2704 12334 0149</t>
  </si>
  <si>
    <t>มงคล  นิลกรณ์</t>
  </si>
  <si>
    <t>2704 12314 0430</t>
  </si>
  <si>
    <t>2704 12334 0150</t>
  </si>
  <si>
    <t>ธีรวัฒน์  มากบุญ</t>
  </si>
  <si>
    <t>2704 12314 0431</t>
  </si>
  <si>
    <t>2704 12334 0151</t>
  </si>
  <si>
    <t>รอง สว.(อก.) พฐ.จว.อ่างทอง</t>
  </si>
  <si>
    <t>2704 12314 0432</t>
  </si>
  <si>
    <t>2704 12334 0152</t>
  </si>
  <si>
    <t>สพฐ.ตร. 27/65</t>
  </si>
  <si>
    <t>2704 12314 0433</t>
  </si>
  <si>
    <t>2704 12334 0153</t>
  </si>
  <si>
    <t>2704 12314 0434</t>
  </si>
  <si>
    <t>2704 12334 0154</t>
  </si>
  <si>
    <t>2704 12314 0435</t>
  </si>
  <si>
    <t>2704 12334 0155</t>
  </si>
  <si>
    <t>2704 12314 0436</t>
  </si>
  <si>
    <t>2704 12334 0156</t>
  </si>
  <si>
    <t>สพฐ.ตร.47/62</t>
  </si>
  <si>
    <t>2704 12314 0437</t>
  </si>
  <si>
    <t>2704 12334 0157</t>
  </si>
  <si>
    <t>2704 12314 0438</t>
  </si>
  <si>
    <t>2704 12334 0158</t>
  </si>
  <si>
    <t>2704 12314 0439</t>
  </si>
  <si>
    <t>2704 12334 0159</t>
  </si>
  <si>
    <t>2704 12314 0440</t>
  </si>
  <si>
    <t>2704 12334 0160</t>
  </si>
  <si>
    <t>เยาวเรศ ชัยพฤกษ์</t>
  </si>
  <si>
    <t>2704 12314 0441</t>
  </si>
  <si>
    <t>2704 12334 0161</t>
  </si>
  <si>
    <t>2704 12314 0442</t>
  </si>
  <si>
    <t>2704 12334 0162</t>
  </si>
  <si>
    <t>ผบ.หมู่ ศพฐ.2</t>
  </si>
  <si>
    <t>2705 12301 0001</t>
  </si>
  <si>
    <t>2705 12357 0001</t>
  </si>
  <si>
    <t>2705 12301 0002</t>
  </si>
  <si>
    <t>2705 12357 0002</t>
  </si>
  <si>
    <t>2705 12301 0003</t>
  </si>
  <si>
    <t>2705 12357 0003</t>
  </si>
  <si>
    <t>ผบ.หมู่ ฝอ.ศพฐ.2</t>
  </si>
  <si>
    <t>2705 12301 0270</t>
  </si>
  <si>
    <t>2705 12357 0004</t>
  </si>
  <si>
    <t>2705 12301 0271</t>
  </si>
  <si>
    <t>2705 12357 0005</t>
  </si>
  <si>
    <t>2705 12301 0272</t>
  </si>
  <si>
    <t>2705 12357 0006</t>
  </si>
  <si>
    <t>2705 12301 0273</t>
  </si>
  <si>
    <t>2705 12357 0007</t>
  </si>
  <si>
    <t>2705 12301 0274</t>
  </si>
  <si>
    <t>2705 12357 0008</t>
  </si>
  <si>
    <t>2705 12301 0275</t>
  </si>
  <si>
    <t>2705 12357 0009</t>
  </si>
  <si>
    <t>2705 12301 0276</t>
  </si>
  <si>
    <t>2705 12357 0010</t>
  </si>
  <si>
    <t>2705 12301 0277</t>
  </si>
  <si>
    <t>2705 12357 0011</t>
  </si>
  <si>
    <t>2705 12301 0278</t>
  </si>
  <si>
    <t>2705 12357 0012</t>
  </si>
  <si>
    <t>ศุภนุ มะโนบาล</t>
  </si>
  <si>
    <t>2705 12314 0279</t>
  </si>
  <si>
    <t>2705 12334 0014</t>
  </si>
  <si>
    <t>ม.6 .ปวส.</t>
  </si>
  <si>
    <t>รอง สว.(อก.) ฝอ.ศพฐ.2</t>
  </si>
  <si>
    <t>2705 12314 0280</t>
  </si>
  <si>
    <t>2705 12334 0015</t>
  </si>
  <si>
    <t>บรรยา สียานเก็ม</t>
  </si>
  <si>
    <t>2705 12314 0281</t>
  </si>
  <si>
    <t>2705 12334 0016</t>
  </si>
  <si>
    <t>นุศรา วงศ์ใหญ่</t>
  </si>
  <si>
    <t>2705 12314 0282</t>
  </si>
  <si>
    <t>2705 12334 0017</t>
  </si>
  <si>
    <t>ศ.บ. (เทคโนฯ และการประเมินผลการศึกษา), กอป.(ปี54)</t>
  </si>
  <si>
    <t>เข็มเพชร จิมจวน</t>
  </si>
  <si>
    <t>2705 12314 0283</t>
  </si>
  <si>
    <t>2705 12334 0018</t>
  </si>
  <si>
    <t>สุทธิพงศ์ พันธ์พุทธ</t>
  </si>
  <si>
    <t>รอง สว.(อก.)  ฝอ.ศพฐ.2</t>
  </si>
  <si>
    <t>2705 12314 0284</t>
  </si>
  <si>
    <t>2705 12334 0019</t>
  </si>
  <si>
    <t>ศศ.บ.(การจัดการ), ต.ว.ท.</t>
  </si>
  <si>
    <t>2705 12314 0285</t>
  </si>
  <si>
    <t>2705 12334 0020</t>
  </si>
  <si>
    <t>2705 12314 0286</t>
  </si>
  <si>
    <t>2705 12334 0021</t>
  </si>
  <si>
    <t>2705 12314 0287</t>
  </si>
  <si>
    <t>2705 12334 0022</t>
  </si>
  <si>
    <t>2705 12314 0288</t>
  </si>
  <si>
    <t>2705 12334 0023</t>
  </si>
  <si>
    <t>ชัญญาฎา  สลุงอยู่</t>
  </si>
  <si>
    <t>2705 12301 0289</t>
  </si>
  <si>
    <t>2705 12327 0013</t>
  </si>
  <si>
    <t>ผบ.หมู่ กสก.ศพฐ.2</t>
  </si>
  <si>
    <t>2705 12314 0290</t>
  </si>
  <si>
    <t>2705 12334 0024</t>
  </si>
  <si>
    <t>2705 12314 0291</t>
  </si>
  <si>
    <t>2705 12334 0025</t>
  </si>
  <si>
    <t>ธนกฤต  ธนรัตนานนท์</t>
  </si>
  <si>
    <t>2705 12314 0292</t>
  </si>
  <si>
    <t>2705 12334 0026</t>
  </si>
  <si>
    <t>2705 12314 0293</t>
  </si>
  <si>
    <t>2705 12334 0027</t>
  </si>
  <si>
    <t>ชนะ ชื้อทัศนประสิทธิ์</t>
  </si>
  <si>
    <t>2705 12314 0294</t>
  </si>
  <si>
    <t>2705 12334 0028</t>
  </si>
  <si>
    <t>กริช ลียากาศ</t>
  </si>
  <si>
    <t>2705 12314 0295</t>
  </si>
  <si>
    <t>2705 12334 0029</t>
  </si>
  <si>
    <t>ปวช. /กอป.</t>
  </si>
  <si>
    <t>พีระวิทย์ วังใบสนธนโชติ</t>
  </si>
  <si>
    <t>2705 12314 0296</t>
  </si>
  <si>
    <t>2705 12334 0030</t>
  </si>
  <si>
    <t>2705 12314 0297</t>
  </si>
  <si>
    <t>2705 12334 0031</t>
  </si>
  <si>
    <t>ธนวรรธน์  ละอองคำ</t>
  </si>
  <si>
    <t>2705 12314 0298</t>
  </si>
  <si>
    <t>2705 12334 0032</t>
  </si>
  <si>
    <t>ภาสวิชญ์ป์  มิสิรัศนันท์</t>
  </si>
  <si>
    <t>2705 12314 0299</t>
  </si>
  <si>
    <t>2705 12334 0033</t>
  </si>
  <si>
    <t>กวีวรรณ ตระกูลธรรม</t>
  </si>
  <si>
    <t>2705 12314 0300</t>
  </si>
  <si>
    <t>2705 12334 0034</t>
  </si>
  <si>
    <t>ชลณี  ใจคง</t>
  </si>
  <si>
    <t>รอง สว.(อก.) กอส.ศพฐ.2</t>
  </si>
  <si>
    <t>2705 12314 0301</t>
  </si>
  <si>
    <t>2705 12334 0035</t>
  </si>
  <si>
    <t>ศศ.บ. (การจัดการ), กอป.</t>
  </si>
  <si>
    <t>ผบ.หมู่ กอส.ศพฐ.2</t>
  </si>
  <si>
    <t>2705 12314 0302</t>
  </si>
  <si>
    <t>2705 12334 0036</t>
  </si>
  <si>
    <t>2705 12314 0303</t>
  </si>
  <si>
    <t>2705 12334 0037</t>
  </si>
  <si>
    <t>2705 12314 0304</t>
  </si>
  <si>
    <t>2705 12334 0038</t>
  </si>
  <si>
    <t>ผบ.หมู่ กอป.ศพฐ.2</t>
  </si>
  <si>
    <t>2705 12314 0305</t>
  </si>
  <si>
    <t>2705 12334 0039</t>
  </si>
  <si>
    <t>กันต์ ชัยสิทธิ์</t>
  </si>
  <si>
    <t>2705 12314 0306</t>
  </si>
  <si>
    <t>2705 12334 0040</t>
  </si>
  <si>
    <t>จุฑามาศ เผยฉวี</t>
  </si>
  <si>
    <t>2705 12314 0307</t>
  </si>
  <si>
    <t>2705 12334 0041</t>
  </si>
  <si>
    <t>2705 12314 0308</t>
  </si>
  <si>
    <t>2705 12334 0042</t>
  </si>
  <si>
    <t>2705 12314 0309</t>
  </si>
  <si>
    <t>2705 12334 0043</t>
  </si>
  <si>
    <t>2705 12314 0310</t>
  </si>
  <si>
    <t>2705 12334 0044</t>
  </si>
  <si>
    <t>2705 12314 0311</t>
  </si>
  <si>
    <t>2705 12334 0045</t>
  </si>
  <si>
    <t>นฤพนธ์ ผดุงกิจจานนท์</t>
  </si>
  <si>
    <t>รอง สว.(อก.) กคม.ศพฐ.2</t>
  </si>
  <si>
    <t>2705 12314 0312</t>
  </si>
  <si>
    <t>2705 12334 0046</t>
  </si>
  <si>
    <t>ปวช. /กอป.,กดต.</t>
  </si>
  <si>
    <t>ผบ.หมู่ กคม.ศพฐ.2</t>
  </si>
  <si>
    <t>2705 12314 0313</t>
  </si>
  <si>
    <t>2705 12334 0047</t>
  </si>
  <si>
    <t>สุรชาติ  ชื่นบาน</t>
  </si>
  <si>
    <t>2705 12314 0314</t>
  </si>
  <si>
    <t>2705 12334 0048</t>
  </si>
  <si>
    <t>ปวช., กอป. ,กดต.(อก.)</t>
  </si>
  <si>
    <t>ณัฐธนนท์ แฮดเมย</t>
  </si>
  <si>
    <t>2705 12314 0315</t>
  </si>
  <si>
    <t>2705 12334 0049</t>
  </si>
  <si>
    <t>ปวช./ นสต.</t>
  </si>
  <si>
    <t>ผบ.หมู่ กยส.ศพฐ.2</t>
  </si>
  <si>
    <t>2705 12314 0316</t>
  </si>
  <si>
    <t>2705 12334 0050</t>
  </si>
  <si>
    <t>ศรันยู  ภูโสภา</t>
  </si>
  <si>
    <t>2705 12314 0317</t>
  </si>
  <si>
    <t>2705 12334 0051</t>
  </si>
  <si>
    <t>ม.6.</t>
  </si>
  <si>
    <t>2705 12314 0318</t>
  </si>
  <si>
    <t>2705 12334 0052</t>
  </si>
  <si>
    <t>2705 12314 0319</t>
  </si>
  <si>
    <t>2705 12334 0053</t>
  </si>
  <si>
    <t>ผบ.หมู่ กนฝ.ศพฐ.2</t>
  </si>
  <si>
    <t>2705 12314 0320</t>
  </si>
  <si>
    <t>2705 12334 0054</t>
  </si>
  <si>
    <t>2705 12314 0321</t>
  </si>
  <si>
    <t>2705 12334 0055</t>
  </si>
  <si>
    <t>นนทิยา  สุขสำราญ</t>
  </si>
  <si>
    <t>2705 12314 0322</t>
  </si>
  <si>
    <t>2705 12334 0056</t>
  </si>
  <si>
    <t>2705 12314 0323</t>
  </si>
  <si>
    <t>2705 12334 0057</t>
  </si>
  <si>
    <t>2705 12314 0324</t>
  </si>
  <si>
    <t>2705 12334 0058</t>
  </si>
  <si>
    <t>ผบ.หมู่ กชว.ศพฐ.2</t>
  </si>
  <si>
    <t>2705 12314 0325</t>
  </si>
  <si>
    <t>2705 12334 0059</t>
  </si>
  <si>
    <t>สโรชินี วิสาณ</t>
  </si>
  <si>
    <t>2705 12314 0326</t>
  </si>
  <si>
    <t>2705 12334 0060</t>
  </si>
  <si>
    <t>บุณยานุช คำจูม</t>
  </si>
  <si>
    <t>2705 12314 0327</t>
  </si>
  <si>
    <t>2705 12334 0061</t>
  </si>
  <si>
    <t>2705 12314 0328</t>
  </si>
  <si>
    <t>2705 12334 0062</t>
  </si>
  <si>
    <t>ชลิตวีร์ สิงห์แก้ว</t>
  </si>
  <si>
    <t>ผบ.หมู่ กคพ.ศพฐ.2</t>
  </si>
  <si>
    <t>2705 12314 0329</t>
  </si>
  <si>
    <t>2705 12334 0063</t>
  </si>
  <si>
    <t>รวี อุยเจริญ</t>
  </si>
  <si>
    <t>2705 12314 0330</t>
  </si>
  <si>
    <t>2705 12334 0064</t>
  </si>
  <si>
    <t>2705 12314 0331</t>
  </si>
  <si>
    <t>2705 12334 0065</t>
  </si>
  <si>
    <t>2705 12314 0332</t>
  </si>
  <si>
    <t>2705 12334 0066</t>
  </si>
  <si>
    <t>ผบ.หมู่ กชช.ศพฐ.2</t>
  </si>
  <si>
    <t>2705 12314 0333</t>
  </si>
  <si>
    <t>2705 12334 0067</t>
  </si>
  <si>
    <t>จีราภรณ์  พรมมา</t>
  </si>
  <si>
    <t>ผบ.หมู่ พฐ.จว.ระยอง</t>
  </si>
  <si>
    <t>2705 12314 0334</t>
  </si>
  <si>
    <t>2705 12334 0068</t>
  </si>
  <si>
    <t>ปริญญาโท(เทคโนโลยี)</t>
  </si>
  <si>
    <t>2705 12314 0335</t>
  </si>
  <si>
    <t>2705 12334 0069</t>
  </si>
  <si>
    <t>2705 12314 0336</t>
  </si>
  <si>
    <t>2705 12334 0070</t>
  </si>
  <si>
    <t>ชรินทร์ทิพย์ รังสรรค์</t>
  </si>
  <si>
    <t>2705 12314 0337</t>
  </si>
  <si>
    <t>2705 12334 0071</t>
  </si>
  <si>
    <t>2705 12314 0338</t>
  </si>
  <si>
    <t>2705 12334 0072</t>
  </si>
  <si>
    <t>จักรกฤช แสนอุ่น</t>
  </si>
  <si>
    <t>รอง สว.(อก.) พฐ.จว.ระยอง</t>
  </si>
  <si>
    <t>2705 12314 0339</t>
  </si>
  <si>
    <t>2705 12334 0073</t>
  </si>
  <si>
    <t>ร.บ., นพต.</t>
  </si>
  <si>
    <t>2705 12314 0340</t>
  </si>
  <si>
    <t>2705 12334 0074</t>
  </si>
  <si>
    <t>เศรษฐพิชญ์ คำเกาะ</t>
  </si>
  <si>
    <t>2705 12314 0341</t>
  </si>
  <si>
    <t>2705 12334 0075</t>
  </si>
  <si>
    <t>ม.6/ นสต.</t>
  </si>
  <si>
    <t>2705 12314 0342</t>
  </si>
  <si>
    <t>2705 12334 0076</t>
  </si>
  <si>
    <t>2705 12314 0343</t>
  </si>
  <si>
    <t>2705 12334 0077</t>
  </si>
  <si>
    <t>อธิพงศ์ วงษ์พัฒน์</t>
  </si>
  <si>
    <t>2705 12314 0344</t>
  </si>
  <si>
    <t>2705 12334 0078</t>
  </si>
  <si>
    <t>น.บ. นพต.</t>
  </si>
  <si>
    <t>2705 12314 0345</t>
  </si>
  <si>
    <t>2705 12334 0079</t>
  </si>
  <si>
    <t>2705 12314 0346</t>
  </si>
  <si>
    <t>2705 12334 0080</t>
  </si>
  <si>
    <t>นันทรัตน์ สุวรรณศิริ</t>
  </si>
  <si>
    <t>2705 12314 0347</t>
  </si>
  <si>
    <t>2705 12334 0081</t>
  </si>
  <si>
    <t>ปวช., กอป. </t>
  </si>
  <si>
    <t>ปรีชา มหาเสน</t>
  </si>
  <si>
    <t>2705 12314 0348</t>
  </si>
  <si>
    <t>2705 12334 0082</t>
  </si>
  <si>
    <t>ศศ.บ. (การจัดการทั่วไป), กอป.</t>
  </si>
  <si>
    <t>2705 12314 0349</t>
  </si>
  <si>
    <t>2705 12334 0083</t>
  </si>
  <si>
    <t>2705 12314 0350</t>
  </si>
  <si>
    <t>2705 12334 0084</t>
  </si>
  <si>
    <t>ไชยา สิทธิไพร</t>
  </si>
  <si>
    <t>ผบ.หมู่ พฐ.จว.จันทบุรี</t>
  </si>
  <si>
    <t>2705 12314 0351</t>
  </si>
  <si>
    <t>2705 12334 0116</t>
  </si>
  <si>
    <t>ปวช. กอป.</t>
  </si>
  <si>
    <t>นิติวุฒิ อิ่มสมบูรณ์</t>
  </si>
  <si>
    <t>2705 12314 0352</t>
  </si>
  <si>
    <t>2705 12334 0117</t>
  </si>
  <si>
    <t>ณัฐพล เมืองแสน</t>
  </si>
  <si>
    <t>2705 12314 0353</t>
  </si>
  <si>
    <t>2705 12334 0118</t>
  </si>
  <si>
    <t>2705 12314 0354</t>
  </si>
  <si>
    <t>2705 12334 0119</t>
  </si>
  <si>
    <t>ภูวพล เยี่ยมสันเทียะ</t>
  </si>
  <si>
    <t>2705 12314 0355</t>
  </si>
  <si>
    <t>2705 12334 0120</t>
  </si>
  <si>
    <t>มนตรี นรลักษณ์</t>
  </si>
  <si>
    <t>รอง สว.(อก.) พฐ.จว.จันทบุรี</t>
  </si>
  <si>
    <t>2705 12314 0356</t>
  </si>
  <si>
    <t>2705 12334 0121</t>
  </si>
  <si>
    <t>มศ.3 , นพต. , ม.6</t>
  </si>
  <si>
    <t>ภัทราวรรณ พันธุ์เสือ</t>
  </si>
  <si>
    <t>2705 12314 0357</t>
  </si>
  <si>
    <t>2705 12334 0122</t>
  </si>
  <si>
    <t>ณัฐพล สกลไชย</t>
  </si>
  <si>
    <t>2705 12314 0358</t>
  </si>
  <si>
    <t>2705 12334 0123</t>
  </si>
  <si>
    <t>ปวช., บธ.บ., กอป.</t>
  </si>
  <si>
    <t>รุ่งฤดี เพชรชำนาญ</t>
  </si>
  <si>
    <t>2705 12314 0359</t>
  </si>
  <si>
    <t>2705 12334 0124</t>
  </si>
  <si>
    <t>ดวงแก้ว งามแก้ว</t>
  </si>
  <si>
    <t>2705 12314 0360</t>
  </si>
  <si>
    <t>2705 12334 0125</t>
  </si>
  <si>
    <t>ม.6, ค.บ.,กอป.31</t>
  </si>
  <si>
    <t>2705 12314 0361</t>
  </si>
  <si>
    <t>2705 12334 0126</t>
  </si>
  <si>
    <t>นฤมล  บุญยืน</t>
  </si>
  <si>
    <t>2705 12314 0362</t>
  </si>
  <si>
    <t>2705 12334 0127</t>
  </si>
  <si>
    <t>2705 12314 0363</t>
  </si>
  <si>
    <t>2705 12334 0128</t>
  </si>
  <si>
    <t>2705 12314 0364</t>
  </si>
  <si>
    <t>2705 12334 0129</t>
  </si>
  <si>
    <t>2705 12314 0365</t>
  </si>
  <si>
    <t>2705 12334 0130</t>
  </si>
  <si>
    <t>2705 12314 0366</t>
  </si>
  <si>
    <t>2705 12334 0131</t>
  </si>
  <si>
    <t>สุจิรา สุทธิสุข</t>
  </si>
  <si>
    <t>2705 12314 0367</t>
  </si>
  <si>
    <t>2705 12334 0132</t>
  </si>
  <si>
    <t>ศศบ., กอป.</t>
  </si>
  <si>
    <t>ผบ.หมู่ พฐ.จว.ตราด</t>
  </si>
  <si>
    <t>2705 12314 0368</t>
  </si>
  <si>
    <t>2705 12334 0133</t>
  </si>
  <si>
    <t>2705 12314 0369</t>
  </si>
  <si>
    <t>2705 12334 0134</t>
  </si>
  <si>
    <t>เสรี หมื่นอินทร์</t>
  </si>
  <si>
    <t>รอง สว.(อก.) พฐ.จว.ตราด</t>
  </si>
  <si>
    <t>2705 12314 0370</t>
  </si>
  <si>
    <t>2705 12334 0135</t>
  </si>
  <si>
    <t>เปรมศักดิ์ อัตถาภูมิ</t>
  </si>
  <si>
    <t>2705 12314 0371</t>
  </si>
  <si>
    <t>2705 12334 0136</t>
  </si>
  <si>
    <t xml:space="preserve"> ม.6</t>
  </si>
  <si>
    <t>2705 12314 0372</t>
  </si>
  <si>
    <t>2705 12334 0137</t>
  </si>
  <si>
    <t>พัชรา สว่างดี</t>
  </si>
  <si>
    <t>2705 12314 0373</t>
  </si>
  <si>
    <t>2705 12334 0138</t>
  </si>
  <si>
    <t>2705 12314 0374</t>
  </si>
  <si>
    <t>2705 12334 0139</t>
  </si>
  <si>
    <t xml:space="preserve">มฐา คำเพชรดี </t>
  </si>
  <si>
    <t>2705 12314 0375</t>
  </si>
  <si>
    <t>2705 12334 0140</t>
  </si>
  <si>
    <t>ปรารถนา โชควิริยะประเสริฐ</t>
  </si>
  <si>
    <t>2705 12314 0376</t>
  </si>
  <si>
    <t>2705 12334 0141</t>
  </si>
  <si>
    <t>2705 12314 0377</t>
  </si>
  <si>
    <t>2705 12334 0142</t>
  </si>
  <si>
    <t>2705 12314 0378</t>
  </si>
  <si>
    <t>2705 12334 0143</t>
  </si>
  <si>
    <t>2705 12314 0379</t>
  </si>
  <si>
    <t>2705 12334 0144</t>
  </si>
  <si>
    <t>2705 12314 0380</t>
  </si>
  <si>
    <t>2705 12334 0145</t>
  </si>
  <si>
    <t>2705 12314 0381</t>
  </si>
  <si>
    <t>2705 12334 0146</t>
  </si>
  <si>
    <t>ผบ.หมู่ พฐ.จว.ปราจีนบุรี</t>
  </si>
  <si>
    <t>2705 12314 0382</t>
  </si>
  <si>
    <t>2705 12334 0161</t>
  </si>
  <si>
    <t>พิมพ์วลัญช์ จันทร์กระจ่าง</t>
  </si>
  <si>
    <t>2705 12314 0383</t>
  </si>
  <si>
    <t>2705 12334 0162</t>
  </si>
  <si>
    <t>ศศ.บ</t>
  </si>
  <si>
    <t>วิชัย  สีนนท์</t>
  </si>
  <si>
    <t>รอง สว.(อก.) พฐ.จว.ปราจีนบุรี</t>
  </si>
  <si>
    <t>2705 12314 0384</t>
  </si>
  <si>
    <t>2705 12334 0163</t>
  </si>
  <si>
    <t>จำนงค์ ศรียาโยชน์</t>
  </si>
  <si>
    <t>2705 12314 0385</t>
  </si>
  <si>
    <t>2705 12334 0164</t>
  </si>
  <si>
    <t>มงคล นัดหา</t>
  </si>
  <si>
    <t>2705 12314 0386</t>
  </si>
  <si>
    <t>2705 12334 0165</t>
  </si>
  <si>
    <t>รป.ศ.</t>
  </si>
  <si>
    <t>กษิดิษ ฉันทวัธน์</t>
  </si>
  <si>
    <t>2705 12314 0387</t>
  </si>
  <si>
    <t>2705 12334 0166</t>
  </si>
  <si>
    <t>2705 12314 0388</t>
  </si>
  <si>
    <t>2705 12334 0167</t>
  </si>
  <si>
    <t>2705 12314 0389</t>
  </si>
  <si>
    <t>2705 12334 0168</t>
  </si>
  <si>
    <t>2705 12314 0390</t>
  </si>
  <si>
    <t>2705 12334 0169</t>
  </si>
  <si>
    <t>อธิปัตย์  ทุมมา</t>
  </si>
  <si>
    <t>2705 12314 0391</t>
  </si>
  <si>
    <t>2705 12334 0170</t>
  </si>
  <si>
    <t>รปม.</t>
  </si>
  <si>
    <t>2705 12314 0392</t>
  </si>
  <si>
    <t>2705 12334 0171</t>
  </si>
  <si>
    <t>สมพงษ์ พรมวิเศษ</t>
  </si>
  <si>
    <t>2705 12314 0393</t>
  </si>
  <si>
    <t>2705 12334 0172</t>
  </si>
  <si>
    <t>2705 12314 0394</t>
  </si>
  <si>
    <t>2705 12334 0173</t>
  </si>
  <si>
    <t>ชาตรี อ่อนเกษ</t>
  </si>
  <si>
    <t>2705 12314 0395</t>
  </si>
  <si>
    <t>2705 12334 0174</t>
  </si>
  <si>
    <t>ผบ.หมู่ พฐ.จว.ฉะเชิงเทรา</t>
  </si>
  <si>
    <t>2705 12314 0396</t>
  </si>
  <si>
    <t>2705 12334 0099</t>
  </si>
  <si>
    <t>ปวรุตม์  สว่างกุล</t>
  </si>
  <si>
    <t>2705 12314 0397</t>
  </si>
  <si>
    <t>2705 12334 0100</t>
  </si>
  <si>
    <t>พิทักษ์พงษ์  รินเที่ยง</t>
  </si>
  <si>
    <t>2705 12314 0398</t>
  </si>
  <si>
    <t>2705 12334 0101</t>
  </si>
  <si>
    <t>2705 12314 0399</t>
  </si>
  <si>
    <t>2705 12334 0102</t>
  </si>
  <si>
    <t>พงศกร ภู่มณี</t>
  </si>
  <si>
    <t>2705 12314 0400</t>
  </si>
  <si>
    <t>2705 12334 0103</t>
  </si>
  <si>
    <t>ศราวุฒิ โพธิ์พาน</t>
  </si>
  <si>
    <t>2705 12314 0401</t>
  </si>
  <si>
    <t>2705 12334 0104</t>
  </si>
  <si>
    <t>2705 12314 0402</t>
  </si>
  <si>
    <t>2705 12334 0105</t>
  </si>
  <si>
    <t>2705 12314 0403</t>
  </si>
  <si>
    <t>2705 12334 0106</t>
  </si>
  <si>
    <t>2705 12314 0404</t>
  </si>
  <si>
    <t>2705 12334 0107</t>
  </si>
  <si>
    <t>2705 12314 0405</t>
  </si>
  <si>
    <t>2705 12334 0108</t>
  </si>
  <si>
    <t>2705 12314 0406</t>
  </si>
  <si>
    <t>2705 12334 0109</t>
  </si>
  <si>
    <t>กชกัญจ์  วิริยาพันธ์</t>
  </si>
  <si>
    <t>2705 12314 0407</t>
  </si>
  <si>
    <t>2705 12334 0110</t>
  </si>
  <si>
    <t>ณัฐชาพิมญชุ์ จอมชัยฤทธิ์</t>
  </si>
  <si>
    <t>2705 12314 0408</t>
  </si>
  <si>
    <t>2705 12334 0111</t>
  </si>
  <si>
    <t>ปวช., ตวท.</t>
  </si>
  <si>
    <t>2705 12314 0409</t>
  </si>
  <si>
    <t>2705 12334 0112</t>
  </si>
  <si>
    <t>2705 12314 0410</t>
  </si>
  <si>
    <t>2705 12334 0113</t>
  </si>
  <si>
    <t>2705 12314 0411</t>
  </si>
  <si>
    <t>2705 12334 0114</t>
  </si>
  <si>
    <t>2705 12314 0412</t>
  </si>
  <si>
    <t>2705 12334 0115</t>
  </si>
  <si>
    <t>ภูริภัต สว่างอารมย์</t>
  </si>
  <si>
    <t>ผบ.หมู่ พฐ.จว.นครนายก</t>
  </si>
  <si>
    <t>2705 12314 0413</t>
  </si>
  <si>
    <t>2705 12334 0085</t>
  </si>
  <si>
    <t>ภูมิพัฒน์ โคกแดง</t>
  </si>
  <si>
    <t>2705 12314 0414</t>
  </si>
  <si>
    <t>2705 12334 0086</t>
  </si>
  <si>
    <t>ม.6, กอป.</t>
  </si>
  <si>
    <t>มานพ บุญอินทร์</t>
  </si>
  <si>
    <t>2705 12314 0415</t>
  </si>
  <si>
    <t>2705 12334 0087</t>
  </si>
  <si>
    <t>ภาณุพงศ์  น้อยปา</t>
  </si>
  <si>
    <t>2705 12314 0416</t>
  </si>
  <si>
    <t>2705 12334 0088</t>
  </si>
  <si>
    <t>วิโรจน์  แดงดี</t>
  </si>
  <si>
    <t>2705 12314 0417</t>
  </si>
  <si>
    <t>2705 12334 0089</t>
  </si>
  <si>
    <t>สุรีย์ มุกสิก</t>
  </si>
  <si>
    <t>2705 12314 0418</t>
  </si>
  <si>
    <t>2705 12334 0090</t>
  </si>
  <si>
    <t>ภาวิณี มาสซาโรติ</t>
  </si>
  <si>
    <t>2705 12314 0419</t>
  </si>
  <si>
    <t>2705 12334 0091</t>
  </si>
  <si>
    <t>ประดิษฐ์ ทัศนา</t>
  </si>
  <si>
    <t>รอง สว.(อก.) พฐ.จว.นครนายก</t>
  </si>
  <si>
    <t>2705 12314 0420</t>
  </si>
  <si>
    <t>2705 12334 0092</t>
  </si>
  <si>
    <t>2705 12314 0421</t>
  </si>
  <si>
    <t>2705 12334 0093</t>
  </si>
  <si>
    <t>ศุภฤกษ์  สุขเจริญ</t>
  </si>
  <si>
    <t>2705 12314 0422</t>
  </si>
  <si>
    <t>2705 12334 0094</t>
  </si>
  <si>
    <t>มานะชัย เหล็กจาน</t>
  </si>
  <si>
    <t>2705 12314 0423</t>
  </si>
  <si>
    <t>2705 12334 0095</t>
  </si>
  <si>
    <t>ศศ.บ., ชัยยะ</t>
  </si>
  <si>
    <t>2705 12314 0424</t>
  </si>
  <si>
    <t>2705 12334 0096</t>
  </si>
  <si>
    <t>2705 12314 0425</t>
  </si>
  <si>
    <t>2705 12334 0097</t>
  </si>
  <si>
    <t>2705 12314 0426</t>
  </si>
  <si>
    <t>2705 12334 0098</t>
  </si>
  <si>
    <t>รอง สว.(อก.) พฐ.จว.สระแก้ว</t>
  </si>
  <si>
    <t>2705 12314 0427</t>
  </si>
  <si>
    <t>2705 12334 0147</t>
  </si>
  <si>
    <t>2705 12314 0428</t>
  </si>
  <si>
    <t>2705 12334 0148</t>
  </si>
  <si>
    <t>ผบ.หมู่ พฐ.จว.สระแก้ว</t>
  </si>
  <si>
    <t>2705 12314 0429</t>
  </si>
  <si>
    <t>2705 12334 0149</t>
  </si>
  <si>
    <t>สุชัย  พูลจินดา</t>
  </si>
  <si>
    <t>2705 12314 0430</t>
  </si>
  <si>
    <t>2705 12334 0150</t>
  </si>
  <si>
    <t>2705 12314 0431</t>
  </si>
  <si>
    <t>2705 12334 0151</t>
  </si>
  <si>
    <t>วรวรงค์ บมขุนทด</t>
  </si>
  <si>
    <t>2705 12314 0432</t>
  </si>
  <si>
    <t>2705 12334 0152</t>
  </si>
  <si>
    <t>สรวิศ ศรีสิงห์</t>
  </si>
  <si>
    <t>2705 12314 0433</t>
  </si>
  <si>
    <t>2705 12334 0153</t>
  </si>
  <si>
    <t>กฤษฎ์ ไชยงาม</t>
  </si>
  <si>
    <t>2705 12314 0434</t>
  </si>
  <si>
    <t>2705 12334 0154</t>
  </si>
  <si>
    <t xml:space="preserve"> ปวช.</t>
  </si>
  <si>
    <t>2705 12314 0435</t>
  </si>
  <si>
    <t>2705 12334 0155</t>
  </si>
  <si>
    <t>2705 12314 0436</t>
  </si>
  <si>
    <t>2705 12334 0156</t>
  </si>
  <si>
    <t>2705 12314 0437</t>
  </si>
  <si>
    <t>2705 12334 0157</t>
  </si>
  <si>
    <t>2705 12314 0438</t>
  </si>
  <si>
    <t>2705 12334 0158</t>
  </si>
  <si>
    <t>วัชรินทร์ แก้วจันดา</t>
  </si>
  <si>
    <t>2705 12314 0439</t>
  </si>
  <si>
    <t>2705 12334 0159</t>
  </si>
  <si>
    <t>ตร.606/59</t>
  </si>
  <si>
    <t>2705 12314 0440</t>
  </si>
  <si>
    <t>2705 12334 0160</t>
  </si>
  <si>
    <t>ผบ.หมู่ ศพฐ.3</t>
  </si>
  <si>
    <t>2706 12301 0001</t>
  </si>
  <si>
    <t>2706 12357 0001</t>
  </si>
  <si>
    <t>2706 12301 0002</t>
  </si>
  <si>
    <t>2706 12357 0002</t>
  </si>
  <si>
    <t>2706 12301 0003</t>
  </si>
  <si>
    <t>2706 12357 0003</t>
  </si>
  <si>
    <t>ผบ.หมู่ ฝอ.ศพฐ.3</t>
  </si>
  <si>
    <t>2706 12301 0276</t>
  </si>
  <si>
    <t>2706 12357 0004</t>
  </si>
  <si>
    <t>2706 12301 0277</t>
  </si>
  <si>
    <t>2706 12357 0005</t>
  </si>
  <si>
    <t>2706 12301 0278</t>
  </si>
  <si>
    <t>2706 12357 0006</t>
  </si>
  <si>
    <t>2706 12301 0279</t>
  </si>
  <si>
    <t>2706 12357 0007</t>
  </si>
  <si>
    <t>2706 12301 0280</t>
  </si>
  <si>
    <t>2706 12357 0008</t>
  </si>
  <si>
    <t>2706 12301 0281</t>
  </si>
  <si>
    <t>2706 12357 0009</t>
  </si>
  <si>
    <t>2706 12301 0282</t>
  </si>
  <si>
    <t>2706 12357 0010</t>
  </si>
  <si>
    <t>2706 12301 0283</t>
  </si>
  <si>
    <t>2706 12357 0011</t>
  </si>
  <si>
    <t>2706 12301 0284</t>
  </si>
  <si>
    <t>2706 12357 0012</t>
  </si>
  <si>
    <t>2706 12314 0285</t>
  </si>
  <si>
    <t>2706 12334 0014</t>
  </si>
  <si>
    <t>2706 12314 0286</t>
  </si>
  <si>
    <t>2706 12334 0015</t>
  </si>
  <si>
    <t>ปรัชญ์ฐาภัทร  จันทร์สอน</t>
  </si>
  <si>
    <t>2706 12314 0287</t>
  </si>
  <si>
    <t>2706 12334 0016</t>
  </si>
  <si>
    <t>ปวช.,กอป.</t>
  </si>
  <si>
    <t>2706 12314 0288</t>
  </si>
  <si>
    <t>2706 12334 0017</t>
  </si>
  <si>
    <t>ดารุณี อาภรณ์แก้ว</t>
  </si>
  <si>
    <t>2706 12314 0289</t>
  </si>
  <si>
    <t>2706 12334 0018</t>
  </si>
  <si>
    <t>บธ.บ.(คอมฯ),กอป.,ตวท.ประทวนรุ่น 11,ตวท.ทว.รุ่น26</t>
  </si>
  <si>
    <t>2706 12314 0290</t>
  </si>
  <si>
    <t>2706 12334 0019</t>
  </si>
  <si>
    <t>2706 12314 0291</t>
  </si>
  <si>
    <t>2706 12334 0020</t>
  </si>
  <si>
    <t>ตร.47/62</t>
  </si>
  <si>
    <t>รุ่งฤดี  ประดับบุตร</t>
  </si>
  <si>
    <t>2706 12314 0292</t>
  </si>
  <si>
    <t>2706 12334 0021</t>
  </si>
  <si>
    <t>ปวช.,กอป.รุ่น 18,อนุปริญญา(ศศบ.),พิมพ์มือชั้นสูง</t>
  </si>
  <si>
    <t>เบ็ญจลักษณ์  นิลใหม่</t>
  </si>
  <si>
    <t>2706 12314 0293</t>
  </si>
  <si>
    <t>2706 12334 0022</t>
  </si>
  <si>
    <t>ศศบ.,กอป.รุ่น 15 ตวท.ปี53</t>
  </si>
  <si>
    <t>นิตยา  สระคำจันทร์</t>
  </si>
  <si>
    <t>2706 12314 0294</t>
  </si>
  <si>
    <t>2706 12334 0023</t>
  </si>
  <si>
    <t>กอป.,ศศบ.,ต.ว.ท.รุ่น 17</t>
  </si>
  <si>
    <t>2706 12301 0295</t>
  </si>
  <si>
    <t>2706 12327 0013</t>
  </si>
  <si>
    <t>ประดุงสิน  บ่อยกระโทก</t>
  </si>
  <si>
    <t>ผบ.หมู่ กสก.ศพฐ.3</t>
  </si>
  <si>
    <t>2706 12314 0296</t>
  </si>
  <si>
    <t>2706 12334 0024</t>
  </si>
  <si>
    <t>ม.6,กอป.รุ่น 16</t>
  </si>
  <si>
    <t>พิพัฒน์  จึงสัจจานุสรณ์</t>
  </si>
  <si>
    <t>2706 12314 0297</t>
  </si>
  <si>
    <t>2706 12334 0025</t>
  </si>
  <si>
    <t>ปวช.,กอป.รุ่น 21,บธบ.,ต.ว.ท.</t>
  </si>
  <si>
    <t>รอง สว.(อก.) กสก.ศพฐ.3</t>
  </si>
  <si>
    <t>2706 12314 0298</t>
  </si>
  <si>
    <t>2706 12334 0026</t>
  </si>
  <si>
    <t>จักรพันธุ์  หันจรัส</t>
  </si>
  <si>
    <t>2706 12314 0299</t>
  </si>
  <si>
    <t>2706 12334 0027</t>
  </si>
  <si>
    <t>ม.6,กอป.39,ตวท.28</t>
  </si>
  <si>
    <t>วิรพล ตัวเสาร์</t>
  </si>
  <si>
    <t>2706 12314 0300</t>
  </si>
  <si>
    <t>2706 12334 0028</t>
  </si>
  <si>
    <t>กรณ์  เกิดชื่น</t>
  </si>
  <si>
    <t>2706 12314 0301</t>
  </si>
  <si>
    <t>2706 12334 0029</t>
  </si>
  <si>
    <t>พสิษฐ์ โชติสุวรรณกลาง</t>
  </si>
  <si>
    <t>2706 12314 0302</t>
  </si>
  <si>
    <t>2706 12334 0030</t>
  </si>
  <si>
    <t>ค.บ.การศึกษา,กปป.ศชต.ปี 54,ตวท.รุ่น 15</t>
  </si>
  <si>
    <t>คมชาญ ทาซ้าย</t>
  </si>
  <si>
    <t>ผบ.หมู่  กสก.ศพฐ.3</t>
  </si>
  <si>
    <t>2706 12314 0303</t>
  </si>
  <si>
    <t>2706 12334 0031</t>
  </si>
  <si>
    <t>2706 12314 0304</t>
  </si>
  <si>
    <t>2706 12334 0032</t>
  </si>
  <si>
    <t>ทิวัตถ์  สิถิละวรรณ</t>
  </si>
  <si>
    <t>2706 12314 0305</t>
  </si>
  <si>
    <t>2706 12334 0033</t>
  </si>
  <si>
    <t>2706 12314 0306</t>
  </si>
  <si>
    <t>2706 12334 0034</t>
  </si>
  <si>
    <t>พิมพ์ชนก การรัตน์</t>
  </si>
  <si>
    <t>ผบ.หมู่ กอส.ศพฐ.3</t>
  </si>
  <si>
    <t>2706 12314 0307</t>
  </si>
  <si>
    <t>2706 12334 0035</t>
  </si>
  <si>
    <t>ม.6,กอป.,ตวท.ที่เกิดเหตุ รุ่นที่26</t>
  </si>
  <si>
    <t>ปสุตา อินประเสริฐ</t>
  </si>
  <si>
    <t>2706 12314 0308</t>
  </si>
  <si>
    <t>2706 12334 0036</t>
  </si>
  <si>
    <t>ตร.266/61</t>
  </si>
  <si>
    <t>2706 12314 0309</t>
  </si>
  <si>
    <t>2706 12334 0037</t>
  </si>
  <si>
    <t>สุวภัทร พวงมะเทศ</t>
  </si>
  <si>
    <t>2706 12314 0310</t>
  </si>
  <si>
    <t>2706 12334 0038</t>
  </si>
  <si>
    <t>ศศ.บ.รัฐศาสตร์,กอป.ปี 51,ตวท.รุ่น 6</t>
  </si>
  <si>
    <t>สุทิน  แคมงคลสุข</t>
  </si>
  <si>
    <t>รอง สว.(อก.) กอป.ศพฐ.3</t>
  </si>
  <si>
    <t>2706 12314 0311</t>
  </si>
  <si>
    <t>2706 12334 0039</t>
  </si>
  <si>
    <t>ม.6,นพต.รุ่น42จอหอ,ตวท.รุ่น21,กดต. รุ่น11,ตวท.รุ่น27</t>
  </si>
  <si>
    <t>ศุภวิชญ์ ตรีเหรา</t>
  </si>
  <si>
    <t>ผบ.หมู่ กอป.ศพฐ.3</t>
  </si>
  <si>
    <t>2706 12314 0312</t>
  </si>
  <si>
    <t>2706 12334 0040</t>
  </si>
  <si>
    <t>ม.6,กอป.,ตวท.รุ่น 13</t>
  </si>
  <si>
    <t>2706 12314 0313</t>
  </si>
  <si>
    <t>2706 12334 0041</t>
  </si>
  <si>
    <t>2706 12314 0314</t>
  </si>
  <si>
    <t>2706 12334 0042</t>
  </si>
  <si>
    <t>อดิศักดิ์  ศรีวะรมย์</t>
  </si>
  <si>
    <t>2706 12314 0315</t>
  </si>
  <si>
    <t>2706 12334 0043</t>
  </si>
  <si>
    <t>2706 12314 0316</t>
  </si>
  <si>
    <t>2706 12334 0044</t>
  </si>
  <si>
    <t>2706 12314 0317</t>
  </si>
  <si>
    <t>2706 12334 0045</t>
  </si>
  <si>
    <t>ผบ.หมู่ กคม.ศพฐ.3</t>
  </si>
  <si>
    <t>2706 12314 0318</t>
  </si>
  <si>
    <t>2706 12334 0046</t>
  </si>
  <si>
    <t>ศิริพล เครือศรี</t>
  </si>
  <si>
    <t>รอง สว.(อก.) กคม.ศพฐ.3</t>
  </si>
  <si>
    <t>2706 12314 0319</t>
  </si>
  <si>
    <t>2706 12334 0047</t>
  </si>
  <si>
    <t>ม.6,กอป.รุ่น 9,สกบ.รุ่น 21,ตวท.ปี 53,กดต.(อก.)</t>
  </si>
  <si>
    <t>ธีรพร อึงพุดซา</t>
  </si>
  <si>
    <t>2706 12314 0320</t>
  </si>
  <si>
    <t>2706 12334 0048</t>
  </si>
  <si>
    <t>ศศ.บ.กอป.รุ่น 9,ตวท.</t>
  </si>
  <si>
    <t>ธีรวัฒน์ รักชาติประชาชน</t>
  </si>
  <si>
    <t>2706 12314 0321</t>
  </si>
  <si>
    <t>2706 12334 0049</t>
  </si>
  <si>
    <t>วิศกรรมศาสตร์,ม.6,กอป.57</t>
  </si>
  <si>
    <t>ผบ.หมู่ กยส.ศพฐ.3</t>
  </si>
  <si>
    <t>2706 12314 0322</t>
  </si>
  <si>
    <t>2706 12334 0050</t>
  </si>
  <si>
    <t>2706 12314 0323</t>
  </si>
  <si>
    <t>2706 12334 0051</t>
  </si>
  <si>
    <t>สุพัตรา บุบผาวัลย์</t>
  </si>
  <si>
    <t>2706 12314 0324</t>
  </si>
  <si>
    <t>2706 12334 0052</t>
  </si>
  <si>
    <t>ปวช.,ปวส.คอม, กอป.,บธ.บ.,ตวท.ปี 53</t>
  </si>
  <si>
    <t>2706 12314 0325</t>
  </si>
  <si>
    <t>2706 12334 0053</t>
  </si>
  <si>
    <t>วิภาพร กิรณะวัฒน์</t>
  </si>
  <si>
    <t>ผบ.หมู่ กนฝ.ศพฐ.3</t>
  </si>
  <si>
    <t>2706 12314 0326</t>
  </si>
  <si>
    <t>2706 12334 0054</t>
  </si>
  <si>
    <t>บธ.บ.,กอป.รุ่น 9,พิมพ์มือชั้นสูง</t>
  </si>
  <si>
    <t>เสาวนีย์ ธนรัญชน์กุล</t>
  </si>
  <si>
    <t>2706 12314 0327</t>
  </si>
  <si>
    <t>2706 12334 0055</t>
  </si>
  <si>
    <t>ศศ.บ.,กอป.รุ่น 14,พิมพ์มือชั้นสูง</t>
  </si>
  <si>
    <t>ภาวิณี เฉลียวศิลป์</t>
  </si>
  <si>
    <t>2706 12314 0328</t>
  </si>
  <si>
    <t>2706 12334 0056</t>
  </si>
  <si>
    <t>ตวท.28,กอป.ปี58, ศศ.บ.</t>
  </si>
  <si>
    <t>สนิด ลมจะโปะ</t>
  </si>
  <si>
    <t>รอง สว.(อก.) กนฝ.ศพฐ.3</t>
  </si>
  <si>
    <t>2706 12314 0329</t>
  </si>
  <si>
    <t>2706 12334 0057</t>
  </si>
  <si>
    <t>ปวช.,อบรม กอป.,กดต.(อก.)</t>
  </si>
  <si>
    <t>2706 12314 0330</t>
  </si>
  <si>
    <t>2706 12334 0058</t>
  </si>
  <si>
    <t>ผบ.หมู่ กชว.ศพฐ.3</t>
  </si>
  <si>
    <t>2706 12314 0331</t>
  </si>
  <si>
    <t>2706 12334 0059</t>
  </si>
  <si>
    <t>2706 12314 0332</t>
  </si>
  <si>
    <t>2706 12334 0060</t>
  </si>
  <si>
    <t>ผบ.หมู่  กชว.ศพฐ.3</t>
  </si>
  <si>
    <t>2706 12314 0333</t>
  </si>
  <si>
    <t>2706 12334 0061</t>
  </si>
  <si>
    <t>นันทภพ สุวรรณเก</t>
  </si>
  <si>
    <t>2706 12314 0334</t>
  </si>
  <si>
    <t>2706 12334 0062</t>
  </si>
  <si>
    <t>ปวช.,อนุปริญญา,ตวท.ปี 53,กอป.รุ่น 8</t>
  </si>
  <si>
    <t>รอง สว.(อก.) กคพ.ศพฐ.3</t>
  </si>
  <si>
    <t>2706 12314 0335</t>
  </si>
  <si>
    <t>2706 12334 0063</t>
  </si>
  <si>
    <t>ธนพนธ์ สะสม</t>
  </si>
  <si>
    <t>2706 12314 0336</t>
  </si>
  <si>
    <t>2706 12334 0064</t>
  </si>
  <si>
    <t>นพต.,น.บ.,ชัยยะ,กดต.รุ่น 12</t>
  </si>
  <si>
    <t>ณิชนันทน์ บานฤทัย</t>
  </si>
  <si>
    <t>ผบ.หมู่ กคพ.ศพฐ.3</t>
  </si>
  <si>
    <t>2706 12314 0337</t>
  </si>
  <si>
    <t>2706 12334 0065</t>
  </si>
  <si>
    <t>ปวช.,กอป.รุ่น 11,ศศบ.รัฐศาสตร์,ตวท.ปี 53</t>
  </si>
  <si>
    <t>2706 12314 0338</t>
  </si>
  <si>
    <t>2706 12334 0066</t>
  </si>
  <si>
    <t>2706 12314 0339</t>
  </si>
  <si>
    <t>2706 12334 0067</t>
  </si>
  <si>
    <t>ศักดิ์ดา พลอยครบุรี</t>
  </si>
  <si>
    <t>รอง สว.(อก.) พฐ.จว.ชัยภูมิ</t>
  </si>
  <si>
    <t>2706 12314 0340</t>
  </si>
  <si>
    <t>2706 12334 0068</t>
  </si>
  <si>
    <t>นพต.รุ่น 39,น.บ.,ตวท.รุ่น 3,ตวท.24,กดต.9</t>
  </si>
  <si>
    <t>รัตน์มณี ทรงศรีชัยนันท์</t>
  </si>
  <si>
    <t>2706 12314 0341</t>
  </si>
  <si>
    <t>2706 12334 0069</t>
  </si>
  <si>
    <t>ศศ.บ.,อบรม กอป.รุ่น 9,ตวท.26,กดต.12</t>
  </si>
  <si>
    <t>พีรวงศ์ หิรัญเกิด</t>
  </si>
  <si>
    <t>2706 12314 0342</t>
  </si>
  <si>
    <t>2706 12334 0070</t>
  </si>
  <si>
    <t>วท.บ.,ศศ.ม.,ธุรการ รุ่น13,สกบ.รุ่น29,วท.ม.นิติวิทฯ,กดต.</t>
  </si>
  <si>
    <t>บรรณา  โชคสวัสดิ์</t>
  </si>
  <si>
    <t>2706 12314 0343</t>
  </si>
  <si>
    <t>2706 12334 0071</t>
  </si>
  <si>
    <t>ตวท.ที่เกิดเหตุ 26 ,กดต.12</t>
  </si>
  <si>
    <t>ผบ.หมู่ พฐ.จว.ชัยภูมิ</t>
  </si>
  <si>
    <t>2706 12314 0344</t>
  </si>
  <si>
    <t>2706 12334 0072</t>
  </si>
  <si>
    <t>2706 12314 0345</t>
  </si>
  <si>
    <t>2706 12334 0073</t>
  </si>
  <si>
    <t>วิมลมาศ ทูลพุทธา</t>
  </si>
  <si>
    <t>2706 12314 0346</t>
  </si>
  <si>
    <t>2706 12334 0074</t>
  </si>
  <si>
    <t>บธ.บ.,ปวช.,กอป.,ตวท.รุ่น 6</t>
  </si>
  <si>
    <t>2706 12314 0347</t>
  </si>
  <si>
    <t>2706 12334 0075</t>
  </si>
  <si>
    <t>สุเนตร  ภิญโญยาง</t>
  </si>
  <si>
    <t>2706 12314 0348</t>
  </si>
  <si>
    <t>2706 12334 0076</t>
  </si>
  <si>
    <t>ม.6,นพต.รุ่น76,พนักงานสื่อสารรุ่น14</t>
  </si>
  <si>
    <t>2706 12314 0349</t>
  </si>
  <si>
    <t>2706 12334 0077</t>
  </si>
  <si>
    <t>สำรวย งอกงาม</t>
  </si>
  <si>
    <t>2706 12314 0350</t>
  </si>
  <si>
    <t>2706 12334 0078</t>
  </si>
  <si>
    <t>ร.บ.,นพต.,กดต.8</t>
  </si>
  <si>
    <t>สุขณัชชา  ธงภักดิ์</t>
  </si>
  <si>
    <t>2706 12314 0351</t>
  </si>
  <si>
    <t>2706 12334 0079</t>
  </si>
  <si>
    <t>กอป.รุ่น16,ศศ.บ.รัฐศาสตร์,กฎหมาย 3 วิชา ตวท.รุ่น5</t>
  </si>
  <si>
    <t>2706 12314 0352</t>
  </si>
  <si>
    <t>2706 12334 0080</t>
  </si>
  <si>
    <t>เพ็ญแข ตอพรหม</t>
  </si>
  <si>
    <t>2706 12314 0353</t>
  </si>
  <si>
    <t>2706 12334 0081</t>
  </si>
  <si>
    <t>ศศ.บ.กอป.รุ่น 10</t>
  </si>
  <si>
    <t>ภาวิณี พิเศษฤทธิ์</t>
  </si>
  <si>
    <t>2706 12314 0354</t>
  </si>
  <si>
    <t>2706 12334 0082</t>
  </si>
  <si>
    <t>ม.6,ร.บ.(รัฐศาสตรบัณฑิต), ร.ม. (การบริหารรัฐกิจและกฎหมาย) ตวท.(ปี56), กอป.(ปี59)</t>
  </si>
  <si>
    <t>มิตรชัย แรมประชา</t>
  </si>
  <si>
    <t>2706 12314 0355</t>
  </si>
  <si>
    <t>2706 12334 0083</t>
  </si>
  <si>
    <t>นพต.,ม.6,น.บ.,กดต.8</t>
  </si>
  <si>
    <t>สิริวรรณ  ระดาบุตร</t>
  </si>
  <si>
    <t>2706 12314 0356</t>
  </si>
  <si>
    <t>2706 12334 0084</t>
  </si>
  <si>
    <t>บธ.บ.,ร.ม.,ตวท.รุ่น21</t>
  </si>
  <si>
    <t>ไชยยา จันทร์ศรจักร</t>
  </si>
  <si>
    <t>ผบ.หมู่ พฐ.จว.บุรีรัมย์</t>
  </si>
  <si>
    <t>2706 12314 0357</t>
  </si>
  <si>
    <t>2706 12334 0113</t>
  </si>
  <si>
    <t>ปวส.,ปวช.,กอป.รุ่น 9,ตวท.รุ่น 13</t>
  </si>
  <si>
    <t>วิเสก โตอนันต์</t>
  </si>
  <si>
    <t>2706 12314 0358</t>
  </si>
  <si>
    <t>2706 12334 0114</t>
  </si>
  <si>
    <t>ศศ.บ.,กอป.รุ่น 9,ตวท.ปี 54</t>
  </si>
  <si>
    <t>เกียรติขจร พิชญ์ประเสริฐ</t>
  </si>
  <si>
    <t>รอง สว.(อก.) พฐ.จว.บุรีรัมย์</t>
  </si>
  <si>
    <t>2706 12314 0359</t>
  </si>
  <si>
    <t>2706 12334 0115</t>
  </si>
  <si>
    <t>ค.บ.,อบรม กอป.</t>
  </si>
  <si>
    <t>เอนก ปาร์มวงศ์</t>
  </si>
  <si>
    <t>2706 12314 0360</t>
  </si>
  <si>
    <t>2706 12334 0116</t>
  </si>
  <si>
    <t>นพต.,น.บ.,กดต.</t>
  </si>
  <si>
    <t>ยุพา ถาวร</t>
  </si>
  <si>
    <t>2706 12314 0361</t>
  </si>
  <si>
    <t>2706 12334 0117</t>
  </si>
  <si>
    <t>ปวช.,อบรม กอป.,ปวส.,บธ.บ.</t>
  </si>
  <si>
    <t>อนิรุทธ์ เนียนไธสง</t>
  </si>
  <si>
    <t>2706 12314 0362</t>
  </si>
  <si>
    <t>2706 12334 0118</t>
  </si>
  <si>
    <t>ม.6, กอป.ตวท.รุ่น 14</t>
  </si>
  <si>
    <t>ผกาพรรณ เรืองวัชรศักดิ์</t>
  </si>
  <si>
    <t>2706 12314 0363</t>
  </si>
  <si>
    <t>2706 12334 0119</t>
  </si>
  <si>
    <t>ศศ.บ.(รัฐศาสตร์),ร.ม.,กอป.รุ่น10</t>
  </si>
  <si>
    <t>2706 12314 0364</t>
  </si>
  <si>
    <t>2706 12334 0120</t>
  </si>
  <si>
    <t>สุวิทย์ ทองคร่ำ</t>
  </si>
  <si>
    <t>2706 12314 0365</t>
  </si>
  <si>
    <t>2706 12334 0121</t>
  </si>
  <si>
    <t>2706 12314 0366</t>
  </si>
  <si>
    <t>2706 12334 0122</t>
  </si>
  <si>
    <t>2706 12314 0367</t>
  </si>
  <si>
    <t>2706 12334 0123</t>
  </si>
  <si>
    <t>พลชัย เนื่องจำนงค์</t>
  </si>
  <si>
    <t>2706 12314 0368</t>
  </si>
  <si>
    <t>2706 12334 0124</t>
  </si>
  <si>
    <t>ปวช.,อบรม กอป.,ศศ.บ.</t>
  </si>
  <si>
    <t>มณี ปักกาโต</t>
  </si>
  <si>
    <t>2706 12314 0369</t>
  </si>
  <si>
    <t>2706 12334 0125</t>
  </si>
  <si>
    <t>ปวช.,พิมพ์มือชั้นสูง,รป.บ.,กอป.รุ่น 11</t>
  </si>
  <si>
    <t>ธนภัทร ยาวรัมย์</t>
  </si>
  <si>
    <t>2706 12314 0370</t>
  </si>
  <si>
    <t>2706 12334 0126</t>
  </si>
  <si>
    <t>ธนวัต มากพูน</t>
  </si>
  <si>
    <t>2706 12314 0371</t>
  </si>
  <si>
    <t>2706 12334 0127</t>
  </si>
  <si>
    <t>วิทยา เครือวัลย์</t>
  </si>
  <si>
    <t>2706 12314 0372</t>
  </si>
  <si>
    <t>2706 12334 0128</t>
  </si>
  <si>
    <t>ณัฐพล ฤทธิรณ</t>
  </si>
  <si>
    <t>2706 12314 0373</t>
  </si>
  <si>
    <t>2706 12334 0129</t>
  </si>
  <si>
    <t>ปวช., ปวส.,กอป.,ตวท.รุ่น 13</t>
  </si>
  <si>
    <t>สุพร  มีแก้ว</t>
  </si>
  <si>
    <t>ผบ.หมู่ พฐ.จว.สุรินทร์</t>
  </si>
  <si>
    <t>2706 12314 0374</t>
  </si>
  <si>
    <t>2706 12334 0130</t>
  </si>
  <si>
    <t>ศศ.บ.รัฐศาสตร์,กปป.(อก)ปี53,ตวท.รุ่น26</t>
  </si>
  <si>
    <t>อำนาจ  ราศรีนวล</t>
  </si>
  <si>
    <t>รอง สว.(อก.) พฐ.จว.สุรินทร์</t>
  </si>
  <si>
    <t>2706 12314 0375</t>
  </si>
  <si>
    <t>2706 12334 0131</t>
  </si>
  <si>
    <t>ปวช.,ชัยยะรุ่น 8,ศศบ.</t>
  </si>
  <si>
    <t>เพชรรุ่ง กิตติยศอัครนิจ</t>
  </si>
  <si>
    <t>2706 12314 0376</t>
  </si>
  <si>
    <t>2706 12334 0132</t>
  </si>
  <si>
    <t>ศศิธร ไขกระโทก</t>
  </si>
  <si>
    <t>2706 12314 0377</t>
  </si>
  <si>
    <t>2706 12334 0133</t>
  </si>
  <si>
    <t>2706 12314 0378</t>
  </si>
  <si>
    <t>2706 12334 0134</t>
  </si>
  <si>
    <t>2706 12314 0379</t>
  </si>
  <si>
    <t>2706 12334 0135</t>
  </si>
  <si>
    <t>2706 12314 0380</t>
  </si>
  <si>
    <t>2706 12334 0136</t>
  </si>
  <si>
    <t>พนิตนาฎ ชุ่มสูงเนิน</t>
  </si>
  <si>
    <t>2706 12314 0381</t>
  </si>
  <si>
    <t>2706 12334 0137</t>
  </si>
  <si>
    <t>บธ.บ.,ตวท.รุ่น 3</t>
  </si>
  <si>
    <t>ประสิทธิ์ เป็นสำราญ</t>
  </si>
  <si>
    <t>2706 12314 0382</t>
  </si>
  <si>
    <t>2706 12334 0138</t>
  </si>
  <si>
    <t>ม.6,นพต.,ชัยยะ,กดต.</t>
  </si>
  <si>
    <t>สมบูรณ์ เนียมบุญ</t>
  </si>
  <si>
    <t>2706 12314 0383</t>
  </si>
  <si>
    <t>2706 12334 0139</t>
  </si>
  <si>
    <t>ศศ.บ.,กอป.รุ่น 11,กดต.(อก.)</t>
  </si>
  <si>
    <t>ฉัตรชัย สร้อยระย้า</t>
  </si>
  <si>
    <t>2706 12314 0384</t>
  </si>
  <si>
    <t>2706 12334 0140</t>
  </si>
  <si>
    <t>นพต.รุ่น 39,น.บ.,ตวท.รุ่น 15,กอต.(อก.)</t>
  </si>
  <si>
    <t>ฉันทนา บัวลี</t>
  </si>
  <si>
    <t>2706 12314 0385</t>
  </si>
  <si>
    <t>2706 12334 0141</t>
  </si>
  <si>
    <t>ศศ.บ.,อบรม กอป.,งบประมาณการเงิน</t>
  </si>
  <si>
    <t>จักรกฤษณ์ พวงเพชร</t>
  </si>
  <si>
    <t>2706 12314 0386</t>
  </si>
  <si>
    <t>2706 12334 0142</t>
  </si>
  <si>
    <t>ปวช.,ตวท.ปี 52,กอป.รุ่น 19,ชัยยะ</t>
  </si>
  <si>
    <t>บัญชา  สาลีเทศ</t>
  </si>
  <si>
    <t>2706 12314 0387</t>
  </si>
  <si>
    <t>2706 12334 0143</t>
  </si>
  <si>
    <t>ม.6,ตวท.รุ่น19</t>
  </si>
  <si>
    <t>ตร.263/61</t>
  </si>
  <si>
    <t>จิราวรรณ กระจ่างทอง</t>
  </si>
  <si>
    <t>2706 12314 0388</t>
  </si>
  <si>
    <t>2706 12334 0144</t>
  </si>
  <si>
    <t>ศศ.บ.,กอป.,กดต.(อก.)</t>
  </si>
  <si>
    <t>ผบ.หมู่  พฐ.จว.สุรินทร์</t>
  </si>
  <si>
    <t>2706 12314 0389</t>
  </si>
  <si>
    <t>2706 12334 0145</t>
  </si>
  <si>
    <t>ยุติธรรม พากเพียร</t>
  </si>
  <si>
    <t>2706 12314 0390</t>
  </si>
  <si>
    <t>2706 12334 0146</t>
  </si>
  <si>
    <t>นพต.,ม.6,ชัยยะ,กดต.(อก.)</t>
  </si>
  <si>
    <t>สรรพสิริ ศิริรังสรรค์กุล</t>
  </si>
  <si>
    <t>ผบ.หมู่ พฐ.จว.อุบลราชธานี</t>
  </si>
  <si>
    <t>2706 12314 0391</t>
  </si>
  <si>
    <t>2706 12334 0164</t>
  </si>
  <si>
    <t>กอป.,ตวท.ปี 53,ศศ.บ.</t>
  </si>
  <si>
    <t>วาสนา นีระมนต์</t>
  </si>
  <si>
    <t>2706 12314 0392</t>
  </si>
  <si>
    <t>2706 12334 0165</t>
  </si>
  <si>
    <t>รศบ.การปกครอง,ต.ว.ท.รุ่น15</t>
  </si>
  <si>
    <t>อุทัยวรรณ จันทร์แดง</t>
  </si>
  <si>
    <t>2706 12314 0393</t>
  </si>
  <si>
    <t>2706 12334 0166</t>
  </si>
  <si>
    <t>ชัยภัทร ประทุมเทศ</t>
  </si>
  <si>
    <t>รอง สว.(อก.) พฐ.จว.อุบลราชธานี</t>
  </si>
  <si>
    <t>2706 12314 0394</t>
  </si>
  <si>
    <t>2706 12334 0167</t>
  </si>
  <si>
    <t>ม.6,น.บ.,กดต.11</t>
  </si>
  <si>
    <t>วารุณี  สิงจานุสงค์</t>
  </si>
  <si>
    <t>2706 12314 0395</t>
  </si>
  <si>
    <t>2706 12334 0168</t>
  </si>
  <si>
    <t>ศศ.บ.,วท.บ.เคมี,รศ.ม.,กฎหมาย 3 วิชา,กอป.,ตวท.รุ่น19</t>
  </si>
  <si>
    <t>ตร.267/61</t>
  </si>
  <si>
    <t>รัตนา จันทร์อ่อน</t>
  </si>
  <si>
    <t>2706 12314 0396</t>
  </si>
  <si>
    <t>2706 12334 0169</t>
  </si>
  <si>
    <t>ศศ.บ.,กอป.รุ่น 10,กดต.11</t>
  </si>
  <si>
    <t>บริพัตร เนื่องขันตี</t>
  </si>
  <si>
    <t>2706 12314 0397</t>
  </si>
  <si>
    <t>2706 12334 0170</t>
  </si>
  <si>
    <t>มศ.3,รัฐศาสตรบัณฑิต,ตวท.รุ่น 5</t>
  </si>
  <si>
    <t>2706 12314 0398</t>
  </si>
  <si>
    <t>2706 12334 0171</t>
  </si>
  <si>
    <t>ทัศณีย์วรรณ ธงภักดี</t>
  </si>
  <si>
    <t>2706 12314 0399</t>
  </si>
  <si>
    <t>2706 12334 0172</t>
  </si>
  <si>
    <t>ศศ.บ.,กอป.รุ่น 14,ตวท.รุ่น 9</t>
  </si>
  <si>
    <t>หาญณรงค์ ขันตี</t>
  </si>
  <si>
    <t>2706 12314 0400</t>
  </si>
  <si>
    <t>2706 12334 0173</t>
  </si>
  <si>
    <t>ปวช., วศ.บ. (ไฟฟ้ากำลัง), ตวท. รุ่น 10, กอป. ปี 2557</t>
  </si>
  <si>
    <t>แสงอรุณ ศิลารักษ์</t>
  </si>
  <si>
    <t>2706 12314 0401</t>
  </si>
  <si>
    <t>2706 12334 0174</t>
  </si>
  <si>
    <t>บธ.บ.,กอป.รุ่น 15</t>
  </si>
  <si>
    <t>สมคิด ชูมาตย์</t>
  </si>
  <si>
    <t>2706 12314 0402</t>
  </si>
  <si>
    <t>2706 12334 0175</t>
  </si>
  <si>
    <t>ศศ.บ.,กอป.รุ่น 7,กดต.11</t>
  </si>
  <si>
    <t>อุษา แย้มบัญชา</t>
  </si>
  <si>
    <t>2706 12314 0403</t>
  </si>
  <si>
    <t>2706 12334 0176</t>
  </si>
  <si>
    <t>ปวช.,ศศ.บ.,กอป.รุ่น 8</t>
  </si>
  <si>
    <t>นงนุช วงศ์กัลยา</t>
  </si>
  <si>
    <t>2706 12314 0404</t>
  </si>
  <si>
    <t>2706 12334 0177</t>
  </si>
  <si>
    <t xml:space="preserve">  ศศ.บ.,กอป31,ตวท.29</t>
  </si>
  <si>
    <t>จตุพร เพียแก้ว</t>
  </si>
  <si>
    <t>2706 12314 0405</t>
  </si>
  <si>
    <t>2706 12334 0178</t>
  </si>
  <si>
    <t>ณฤดี สอนอาจ</t>
  </si>
  <si>
    <t>2706 12314 0406</t>
  </si>
  <si>
    <t>2706 12334 0179</t>
  </si>
  <si>
    <t>2706 12314 0407</t>
  </si>
  <si>
    <t>2706 12334 0180</t>
  </si>
  <si>
    <t>เดวิส คณาชอบ</t>
  </si>
  <si>
    <t>ผบ.หมู่ พฐ.จว.อำนาจเจริญ</t>
  </si>
  <si>
    <t>2706 12314 0408</t>
  </si>
  <si>
    <t>2706 12334 0099</t>
  </si>
  <si>
    <t>ปวช., กอป.(19),ต.ว.ท.รุ่น 9</t>
  </si>
  <si>
    <t>ตร.261/61</t>
  </si>
  <si>
    <t>ตีณิศราลิล สีลาดเลา</t>
  </si>
  <si>
    <t>2706 12314 0409</t>
  </si>
  <si>
    <t>2706 12334 0100</t>
  </si>
  <si>
    <t>ศาสนศาสตรบัณฑิต,ตวท.,กอป.ปี 51,ชัยยะ,การเงินรุ่น 27</t>
  </si>
  <si>
    <t>เกษมสันติ  ไชยแสง</t>
  </si>
  <si>
    <t>2706 12314 0410</t>
  </si>
  <si>
    <t>2706 12334 0101</t>
  </si>
  <si>
    <t>น.บ.,กปป.(ปป.),ตวท.รุ่น 21</t>
  </si>
  <si>
    <t>กนก ศรีมาชัย</t>
  </si>
  <si>
    <t>2706 12314 0411</t>
  </si>
  <si>
    <t>2706 12334 0102</t>
  </si>
  <si>
    <t>บธ.บ(การจัดการ),กปป.(ปป.),ชัยยะ</t>
  </si>
  <si>
    <t>กาญจนา อมาตย์มนตรี</t>
  </si>
  <si>
    <t>2706 12314 0412</t>
  </si>
  <si>
    <t>2706 12334 0103</t>
  </si>
  <si>
    <t>บธบ.คอมพิวเตอร์ธุรกิจ,กอป.ปี51,ต.ว.ท.รุ่น 6</t>
  </si>
  <si>
    <t>2706 12314 0413</t>
  </si>
  <si>
    <t>2706 12334 0104</t>
  </si>
  <si>
    <t>2706 12314 0414</t>
  </si>
  <si>
    <t>2706 12334 0105</t>
  </si>
  <si>
    <t>เอกวัฒน์ ดำเอี่ยมดี</t>
  </si>
  <si>
    <t>รอง สว.(อก.) พฐ.จว.อำนาจเจริญ</t>
  </si>
  <si>
    <t>2706 12314 0415</t>
  </si>
  <si>
    <t>2706 12334 0106</t>
  </si>
  <si>
    <t>ม.6,นพต.รุ่น 43,ค.บ.,ตวท.รุ่น 6,ชัยยะ</t>
  </si>
  <si>
    <t>ธวนิช เศษฤทธิ์</t>
  </si>
  <si>
    <t>2706 12314 0416</t>
  </si>
  <si>
    <t>2706 12334 0107</t>
  </si>
  <si>
    <t>2706 12314 0417</t>
  </si>
  <si>
    <t>2706 12334 0108</t>
  </si>
  <si>
    <t>2706 12314 0418</t>
  </si>
  <si>
    <t>2706 12334 0109</t>
  </si>
  <si>
    <t>2706 12314 0419</t>
  </si>
  <si>
    <t>2706 12334 0110</t>
  </si>
  <si>
    <t>2706 12314 0420</t>
  </si>
  <si>
    <t>2706 12334 0111</t>
  </si>
  <si>
    <t>2706 12314 0421</t>
  </si>
  <si>
    <t>2706 12334 0112</t>
  </si>
  <si>
    <t>วิไล แสงสุวรรณ์</t>
  </si>
  <si>
    <t>ผบ.หมู่ พฐ.จว.ยโสธร</t>
  </si>
  <si>
    <t>2706 12314 0422</t>
  </si>
  <si>
    <t>2706 12334 0085</t>
  </si>
  <si>
    <t>ปวช.,ตวท.พิมพ์มือรุ่น10,กอป.,บธ.บ.คอมฯ</t>
  </si>
  <si>
    <t>เกศณี ไวพจน์</t>
  </si>
  <si>
    <t>2706 12314 0423</t>
  </si>
  <si>
    <t>2706 12334 0086</t>
  </si>
  <si>
    <t>ปวช.,ศศ.บ.,กอป.รุ่น 7,รป.ม.</t>
  </si>
  <si>
    <t>2706 12314 0424</t>
  </si>
  <si>
    <t>2706 12334 0087</t>
  </si>
  <si>
    <t>ธวพล ปราบณรงค์</t>
  </si>
  <si>
    <t>2706 12314 0425</t>
  </si>
  <si>
    <t>2706 12334 0088</t>
  </si>
  <si>
    <t>ปวช.อิเล็กทรอนิกส์</t>
  </si>
  <si>
    <t>ธนกฤต ตุระซอง</t>
  </si>
  <si>
    <t>2706 12314 0426</t>
  </si>
  <si>
    <t>2706 12334 0089</t>
  </si>
  <si>
    <t>กอป.รุ่น 21,รศ.บ.,กฎหมาย 3 วิชา,ชัยยะ</t>
  </si>
  <si>
    <t>2706 12314 0427</t>
  </si>
  <si>
    <t>2706 12334 0090</t>
  </si>
  <si>
    <t>ปวช.,ศศ.บ.,กอป.รุ่น 16,ตวท.ปี 54</t>
  </si>
  <si>
    <t>ณัฐชานันท์  สุวรรณเพ็ชร</t>
  </si>
  <si>
    <t>รอง สว.(อก.) พฐ.จว.ยโสธร</t>
  </si>
  <si>
    <t>2706 12314 0428</t>
  </si>
  <si>
    <t>2706 12334 0091</t>
  </si>
  <si>
    <t>ชุลีกร บุตรเรือง</t>
  </si>
  <si>
    <t>2706 12314 0429</t>
  </si>
  <si>
    <t>2706 12334 0092</t>
  </si>
  <si>
    <t>บธ.บ.,กอป.รุ่น 9</t>
  </si>
  <si>
    <t>ทยิดา ไม่โศก</t>
  </si>
  <si>
    <t>2706 12314 0430</t>
  </si>
  <si>
    <t>2706 12334 0093</t>
  </si>
  <si>
    <t>ปวช.,กอป.รุ่น 14,ค.บ.</t>
  </si>
  <si>
    <t>ปราณี งามล้วน</t>
  </si>
  <si>
    <t>2706 12314 0431</t>
  </si>
  <si>
    <t>2706 12334 0094</t>
  </si>
  <si>
    <t>อธิราช  ทองเรือง</t>
  </si>
  <si>
    <t>2706 12314 0432</t>
  </si>
  <si>
    <t>2706 12334 0095</t>
  </si>
  <si>
    <t>ปวส., นบ., ตปส., ตวท.รุ่นที่26</t>
  </si>
  <si>
    <t>ศิริรัตน์ บุญศรี</t>
  </si>
  <si>
    <t>2706 12314 0433</t>
  </si>
  <si>
    <t>2706 12334 0096</t>
  </si>
  <si>
    <t>ปริญญาตรี, ชัยยะระดับพื้นฐาน</t>
  </si>
  <si>
    <t>ฉัตรสุดา ทองใบ</t>
  </si>
  <si>
    <t>2706 12314 0434</t>
  </si>
  <si>
    <t>2706 12334 0097</t>
  </si>
  <si>
    <t>วท.บ.(สาธารณสุขชุมชน)</t>
  </si>
  <si>
    <t>สมบัติ ไชยธงรัตน์</t>
  </si>
  <si>
    <t>2706 12314 0435</t>
  </si>
  <si>
    <t>2706 12334 0098</t>
  </si>
  <si>
    <t>ปวช., ปริญญาตรี (รัฐประสาสนศาสตร์)</t>
  </si>
  <si>
    <t>ผบ.หมู่ พฐ.จว.ศรีสะเกษ</t>
  </si>
  <si>
    <t>2706 12314 0436</t>
  </si>
  <si>
    <t>2706 12334 0147</t>
  </si>
  <si>
    <t>2706 12314 0437</t>
  </si>
  <si>
    <t>2706 12334 0148</t>
  </si>
  <si>
    <t>เพ็ญพักตร์  เอี่ยมฉวี</t>
  </si>
  <si>
    <t>2706 12314 0438</t>
  </si>
  <si>
    <t>2706 12334 0149</t>
  </si>
  <si>
    <t>ค.บ.,ศศ.บ.,ศาสนศาสตรมหาบัณฑิต,กอป.รุ่น 8</t>
  </si>
  <si>
    <t>สุพิศ สุดสวาท</t>
  </si>
  <si>
    <t>รอง สว.(อก.) พฐ.จว.ศรีสะเกษ</t>
  </si>
  <si>
    <t>2706 12314 0439</t>
  </si>
  <si>
    <t>2706 12334 0150</t>
  </si>
  <si>
    <t>ปวช.,กอป.รุ่น 5</t>
  </si>
  <si>
    <t>เปรมอนันต์ ไชยนุประภา</t>
  </si>
  <si>
    <t>2706 12314 0440</t>
  </si>
  <si>
    <t>2706 12334 0151</t>
  </si>
  <si>
    <t>ม.6, ปวส.,กอป.</t>
  </si>
  <si>
    <t>จิตกร กันยา</t>
  </si>
  <si>
    <t>2706 12314 0441</t>
  </si>
  <si>
    <t>2706 12334 0152</t>
  </si>
  <si>
    <t>นพต.รุ่น 66,ม.6,ตวท.พิมพ์มือ รุ่น 11,พ.บ.</t>
  </si>
  <si>
    <t>ปภาวรัตน์ สาคร</t>
  </si>
  <si>
    <t>2706 12314 0442</t>
  </si>
  <si>
    <t>2706 12334 0153</t>
  </si>
  <si>
    <t>ปวช.,กอป.รุ่น 15,ศศ.บ.,พิมพ์มือชั้นสูง</t>
  </si>
  <si>
    <t>2706 12314 0443</t>
  </si>
  <si>
    <t>2706 12334 0154</t>
  </si>
  <si>
    <t>กิตติชัย ไชยศร</t>
  </si>
  <si>
    <t>2706 12314 0444</t>
  </si>
  <si>
    <t>2706 12334 0155</t>
  </si>
  <si>
    <t>ณัฐพงษ์  มาพระลับ</t>
  </si>
  <si>
    <t>2706 12314 0445</t>
  </si>
  <si>
    <t>2706 12334 0156</t>
  </si>
  <si>
    <t>ปวช., ตวท.ที่เกิดเหตุรุ่นที่26, กอป.</t>
  </si>
  <si>
    <t>2706 12314 0446</t>
  </si>
  <si>
    <t>2706 12334 0157</t>
  </si>
  <si>
    <t>2706 12314 0447</t>
  </si>
  <si>
    <t>2706 12334 0158</t>
  </si>
  <si>
    <t>2706 12314 0448</t>
  </si>
  <si>
    <t>2706 12334 0159</t>
  </si>
  <si>
    <t>2706 12314 0449</t>
  </si>
  <si>
    <t>2706 12334 0160</t>
  </si>
  <si>
    <t>2706 12314 0450</t>
  </si>
  <si>
    <t>2706 12334 0161</t>
  </si>
  <si>
    <t>2706 12314 0451</t>
  </si>
  <si>
    <t>2706 12334 0162</t>
  </si>
  <si>
    <t>2706 12314 0452</t>
  </si>
  <si>
    <t>2706 12334 0163</t>
  </si>
  <si>
    <t>วริสรา ญาติโสม</t>
  </si>
  <si>
    <t>ผบ.หมู่ ศพฐ.4</t>
  </si>
  <si>
    <t>2707 12301 0001</t>
  </si>
  <si>
    <t>2707 12357 0001</t>
  </si>
  <si>
    <t>2707 12301 0002</t>
  </si>
  <si>
    <t>2707 12357 0002</t>
  </si>
  <si>
    <t>ศศ.บ., รป.ม.</t>
  </si>
  <si>
    <t>ผบ.หมู่ ฝอ.ศพฐ.4</t>
  </si>
  <si>
    <t>2707 12301 0326</t>
  </si>
  <si>
    <t>2707 12357 0003</t>
  </si>
  <si>
    <t>สุนิน อรรคนันท์</t>
  </si>
  <si>
    <t>2707 12301 0327</t>
  </si>
  <si>
    <t>2707 12357 0004</t>
  </si>
  <si>
    <t>ปวช., วท.บ.(คอมพิวเตอร์)</t>
  </si>
  <si>
    <t>2707 12301 0328</t>
  </si>
  <si>
    <t>2707 12357 0005</t>
  </si>
  <si>
    <t>2707 12301 0329</t>
  </si>
  <si>
    <t>2707 12357 0006</t>
  </si>
  <si>
    <t>2707 12301 0330</t>
  </si>
  <si>
    <t>2707 12357 0007</t>
  </si>
  <si>
    <t>2707 12301 0331</t>
  </si>
  <si>
    <t>2707 12357 0008</t>
  </si>
  <si>
    <t>2707 12301 0332</t>
  </si>
  <si>
    <t>2707 12357 0009</t>
  </si>
  <si>
    <t>2707 12301 0333</t>
  </si>
  <si>
    <t>2707 12357 0010</t>
  </si>
  <si>
    <t>2707 12301 0334</t>
  </si>
  <si>
    <t>2707 12357 0011</t>
  </si>
  <si>
    <t>ปิ่นสุดา จุทะแสง</t>
  </si>
  <si>
    <t>2707 12314 0335</t>
  </si>
  <si>
    <t>2707 12334 0013</t>
  </si>
  <si>
    <t>ตร.264/61</t>
  </si>
  <si>
    <t>ตรีสุคนธ์  คณานิตย์</t>
  </si>
  <si>
    <t>2707 12314 0336</t>
  </si>
  <si>
    <t>2707 12334 0014</t>
  </si>
  <si>
    <t>ศ.บ. (เศรษฐศาสตร์)</t>
  </si>
  <si>
    <t>สุรีรัตน์ ไชยเพชร</t>
  </si>
  <si>
    <t>2707 12314 0337</t>
  </si>
  <si>
    <t>2707 12334 0015</t>
  </si>
  <si>
    <t>ปวช.,ศิลปศาสตรบัณฑิต</t>
  </si>
  <si>
    <t>2707 12314 0338</t>
  </si>
  <si>
    <t>2707 12334 0016</t>
  </si>
  <si>
    <t>กัณฐกาญจน์ จำปาวะตะ</t>
  </si>
  <si>
    <t>รอง สว.(อก.) ฝอ.ศพฐ.4</t>
  </si>
  <si>
    <t>2707 12314 0339</t>
  </si>
  <si>
    <t>2707 12334 0017</t>
  </si>
  <si>
    <t>ปวช.,รป.บ.</t>
  </si>
  <si>
    <t>โชติกา บุญยืน</t>
  </si>
  <si>
    <t>2707 12314 0340</t>
  </si>
  <si>
    <t>2707 12334 0018</t>
  </si>
  <si>
    <t>2707 12314 0341</t>
  </si>
  <si>
    <t>2707 12334 0019</t>
  </si>
  <si>
    <t>พรชนก ขัติยนนท์</t>
  </si>
  <si>
    <t>2707 12314 0342</t>
  </si>
  <si>
    <t>2707 12334 0020</t>
  </si>
  <si>
    <t>ปวช.,ศศ.บ.</t>
  </si>
  <si>
    <t>อธิพงษ์ เหล่าอุตส์</t>
  </si>
  <si>
    <t>2707 12314 0343</t>
  </si>
  <si>
    <t>2707 12334 0021</t>
  </si>
  <si>
    <t>ม.6,นพต.</t>
  </si>
  <si>
    <t>สุมิตรา ไชยสงค์</t>
  </si>
  <si>
    <t>2707 12314 0344</t>
  </si>
  <si>
    <t>2707 12334 0022</t>
  </si>
  <si>
    <t>2707 12301 0345</t>
  </si>
  <si>
    <t>2707 12327 0012</t>
  </si>
  <si>
    <t>ปวช.(การบัญชี), ป.ตรี (บัญชี)</t>
  </si>
  <si>
    <t>พิศาล อุดชาชน</t>
  </si>
  <si>
    <t>ผบ.หมู่ กสก.ศพฐ.4</t>
  </si>
  <si>
    <t>2707 12314 0346</t>
  </si>
  <si>
    <t>2707 12334 0023</t>
  </si>
  <si>
    <t>วท.บ.(อิเล็กทรอนิกส์)</t>
  </si>
  <si>
    <t>ตร.412/60</t>
  </si>
  <si>
    <t>พัฒนศักดิ์ อุดม</t>
  </si>
  <si>
    <t>2707 12314 0347</t>
  </si>
  <si>
    <t>2707 12334 0024</t>
  </si>
  <si>
    <t>รศ.บ.</t>
  </si>
  <si>
    <t>พิชญาภัค สีวันดี</t>
  </si>
  <si>
    <t>2707 12314 0348</t>
  </si>
  <si>
    <t>2707 12334 0025</t>
  </si>
  <si>
    <t>ปวช.,ตวท.ที่เกิดเหตุรุ่น10,กอป.,ศศบ.รัฐศาสตร์</t>
  </si>
  <si>
    <t>วิริยศักดิ์ เพชรภา</t>
  </si>
  <si>
    <t>2707 12314 0349</t>
  </si>
  <si>
    <t>2707 12334 0026</t>
  </si>
  <si>
    <t>ศักดิ์สิทธิ์  พิจารโชติ</t>
  </si>
  <si>
    <t>2707 12314 0350</t>
  </si>
  <si>
    <t>2707 12334 0027</t>
  </si>
  <si>
    <t>ปวช., กอป.</t>
  </si>
  <si>
    <t>ประพัทธ์ เถาว์ทิพย์</t>
  </si>
  <si>
    <t>รอง สว.(อก.) กสก.ศพฐ.4</t>
  </si>
  <si>
    <t>2707 12314 0351</t>
  </si>
  <si>
    <t>2707 12334 0028</t>
  </si>
  <si>
    <t>ปวช.,ศศ.บ.,น.บ.,กดต.(ปป.)</t>
  </si>
  <si>
    <t>พิชชากานต์ ศรีภูธร</t>
  </si>
  <si>
    <t>2707 12314 0352</t>
  </si>
  <si>
    <t>2707 12334 0029</t>
  </si>
  <si>
    <t>อุมาภรณ์ เวียงสิมมา</t>
  </si>
  <si>
    <t>2707 12314 0353</t>
  </si>
  <si>
    <t>2707 12334 0030</t>
  </si>
  <si>
    <t>แสงอรุณ สุ่มมาตย์</t>
  </si>
  <si>
    <t>2707 12314 0354</t>
  </si>
  <si>
    <t>2707 12334 0031</t>
  </si>
  <si>
    <t>อรวรรณ ธรรมมูลตรี</t>
  </si>
  <si>
    <t>2707 12314 0355</t>
  </si>
  <si>
    <t>2707 12334 0032</t>
  </si>
  <si>
    <t>ไพรัช ทับอาษา</t>
  </si>
  <si>
    <t>2707 12314 0356</t>
  </si>
  <si>
    <t>2707 12334 0033</t>
  </si>
  <si>
    <t>ตร.265/61</t>
  </si>
  <si>
    <t>บุญนภัส ยงกิตติโกมล</t>
  </si>
  <si>
    <t>ผบ.หมู่ กอส.ศพฐ.4</t>
  </si>
  <si>
    <t>2707 12314 0357</t>
  </si>
  <si>
    <t>2707 12334 0034</t>
  </si>
  <si>
    <t>ธัญยรัตน์ ภูโบราณ</t>
  </si>
  <si>
    <t>2707 12314 0358</t>
  </si>
  <si>
    <t>2707 12334 0035</t>
  </si>
  <si>
    <t>ค.บ.</t>
  </si>
  <si>
    <t>กีวานัน แก้วสิมมา</t>
  </si>
  <si>
    <t>2707 12314 0359</t>
  </si>
  <si>
    <t>2707 12334 0036</t>
  </si>
  <si>
    <t>เสาวณิต ศรีชาติ</t>
  </si>
  <si>
    <t>2707 12314 0360</t>
  </si>
  <si>
    <t>2707 12334 0037</t>
  </si>
  <si>
    <t>นบ.,รป.ม.</t>
  </si>
  <si>
    <t>พีรวัฒน์ ไชยสว่าง</t>
  </si>
  <si>
    <t>ผบ.หมู่ กอป.ศพฐ.4</t>
  </si>
  <si>
    <t>2707 12314 0361</t>
  </si>
  <si>
    <t>2707 12334 0038</t>
  </si>
  <si>
    <t>ศิริภรณ์ นุศรีอัน</t>
  </si>
  <si>
    <t>รอง สว.(อก.) กอป.ศพฐ.4</t>
  </si>
  <si>
    <t>2707 12314 0362</t>
  </si>
  <si>
    <t>2707 12334 0039</t>
  </si>
  <si>
    <t>พัชราภรณ์ ขานเขว้า</t>
  </si>
  <si>
    <t>2707 12314 0363</t>
  </si>
  <si>
    <t>2707 12334 0040</t>
  </si>
  <si>
    <t>ปวช.,ปวส.,บธ.บ.</t>
  </si>
  <si>
    <t>เต็มดวง แสงชา</t>
  </si>
  <si>
    <t>2707 12314 0364</t>
  </si>
  <si>
    <t>2707 12334 0041</t>
  </si>
  <si>
    <t>2707 12314 0365</t>
  </si>
  <si>
    <t>2707 12334 0042</t>
  </si>
  <si>
    <t>สพฐ.ตร.33/64</t>
  </si>
  <si>
    <t>2707 12314 0366</t>
  </si>
  <si>
    <t>2707 12334 0043</t>
  </si>
  <si>
    <t>2707 12314 0367</t>
  </si>
  <si>
    <t>2707 12334 0044</t>
  </si>
  <si>
    <t>ธวัชชัย ผิวขาว</t>
  </si>
  <si>
    <t>รอง สว.(อก.) กคม.ศพฐ.4</t>
  </si>
  <si>
    <t>2707 12314 0368</t>
  </si>
  <si>
    <t>2707 12334 0045</t>
  </si>
  <si>
    <t>ม.6, ปวส.(คอมพิวเตอร์),กดต.(อก.)</t>
  </si>
  <si>
    <t>พิพัฒนะพงษ์ พรหมโม้</t>
  </si>
  <si>
    <t>ผบ.หมู่ กคม.ศพฐ.4</t>
  </si>
  <si>
    <t>2707 12314 0369</t>
  </si>
  <si>
    <t>2707 12334 0046</t>
  </si>
  <si>
    <t>ทรงศักดิ์  บัวบาล</t>
  </si>
  <si>
    <t>2707 12314 0370</t>
  </si>
  <si>
    <t>2707 12334 0047</t>
  </si>
  <si>
    <t>ม.6, ค.บ.(สังคมศึกษา), นสต.</t>
  </si>
  <si>
    <t>ชัญญา ภาวัลย์</t>
  </si>
  <si>
    <t>2707 12314 0371</t>
  </si>
  <si>
    <t>2707 12334 0048</t>
  </si>
  <si>
    <t>ปวช.,ศศ.บ.,รป.ม</t>
  </si>
  <si>
    <t>ศุภชัย จันทริมา</t>
  </si>
  <si>
    <t>รอง สว.(อก.) กยส.ศพฐ.4</t>
  </si>
  <si>
    <t>2707 12314 0372</t>
  </si>
  <si>
    <t>2707 12334 0049</t>
  </si>
  <si>
    <t>ปวช.,นพต.,ศศ.บ.</t>
  </si>
  <si>
    <t>ภัทราภรณ์ ธรรมสงค์</t>
  </si>
  <si>
    <t>2707 12314 0373</t>
  </si>
  <si>
    <t>2707 12334 0050</t>
  </si>
  <si>
    <t>เบญจวรรณ แสงสุวรรณ</t>
  </si>
  <si>
    <t>ผบ.หมู่ กยส.ศพฐ.4</t>
  </si>
  <si>
    <t>2707 12314 0374</t>
  </si>
  <si>
    <t>2707 12334 0051</t>
  </si>
  <si>
    <t>อภิรดี อรัญญวาส</t>
  </si>
  <si>
    <t>2707 12314 0375</t>
  </si>
  <si>
    <t>2707 12334 0052</t>
  </si>
  <si>
    <t>สุกัลยา จันทร์ลุน</t>
  </si>
  <si>
    <t>รอง สว.(อก.) กนฝ.ศพฐ.4</t>
  </si>
  <si>
    <t>2707 12314 0376</t>
  </si>
  <si>
    <t>2707 12334 0053</t>
  </si>
  <si>
    <t>ปวช,ปวส.,บธ.บ.(การจัดการทั่วไป)</t>
  </si>
  <si>
    <t>อภิรมณ์  มิ้งพรม</t>
  </si>
  <si>
    <t>ผบ.หมู่ กนฝ.ศพฐ.4</t>
  </si>
  <si>
    <t>2707 12314 0378</t>
  </si>
  <si>
    <t>2707 12334 0055</t>
  </si>
  <si>
    <t>ประนอม อุทธา</t>
  </si>
  <si>
    <t>2707 12314 0377</t>
  </si>
  <si>
    <t>2707 12334 0054</t>
  </si>
  <si>
    <t>พัชราภรณ์ สุทธิวงษ์</t>
  </si>
  <si>
    <t>2707 12314 0379</t>
  </si>
  <si>
    <t>2707 12334 0056</t>
  </si>
  <si>
    <t>2707 12314 0380</t>
  </si>
  <si>
    <t>2707 12334 0057</t>
  </si>
  <si>
    <t>ผบ.หมู่ กชว.ศพฐ.4</t>
  </si>
  <si>
    <t>2707 12314 0381</t>
  </si>
  <si>
    <t>2707 12334 0058</t>
  </si>
  <si>
    <t>สุนันชา ด้วงแจ่ม</t>
  </si>
  <si>
    <t>2707 12314 0382</t>
  </si>
  <si>
    <t>2707 12334 0059</t>
  </si>
  <si>
    <t>ณัฐวัฒน์ ทิพย์สมบัติ</t>
  </si>
  <si>
    <t>2707 12314 0383</t>
  </si>
  <si>
    <t>2707 12334 0060</t>
  </si>
  <si>
    <t>เสาวณีย์ กานต์วินิจนันท์</t>
  </si>
  <si>
    <t>2707 12314 0384</t>
  </si>
  <si>
    <t>2707 12334 0061</t>
  </si>
  <si>
    <t>ผบ.หมู่ กคพ.ศพฐ.4</t>
  </si>
  <si>
    <t>2707 12314 0385</t>
  </si>
  <si>
    <t>2707 12334 0062</t>
  </si>
  <si>
    <t>พรทิพย์ ศรีพิมพ์เมือง</t>
  </si>
  <si>
    <t>2707 12314 0386</t>
  </si>
  <si>
    <t>2707 12334 0063</t>
  </si>
  <si>
    <t>ชลิดา นาคบุตรศรี</t>
  </si>
  <si>
    <t>รอง สว.(อก.) กคพ.ศพฐ.4</t>
  </si>
  <si>
    <t>2707 12314 0387</t>
  </si>
  <si>
    <t>2707 12334 0064</t>
  </si>
  <si>
    <t>ปวช., กศ.บ.</t>
  </si>
  <si>
    <t>ตร.260/61</t>
  </si>
  <si>
    <t>สุดารัตน์ ดงใหญ่</t>
  </si>
  <si>
    <t>2707 12314 0388</t>
  </si>
  <si>
    <t>2707 12334 0065</t>
  </si>
  <si>
    <t>ค.บ.(ภาษาอังกฤษ)</t>
  </si>
  <si>
    <t>ตร.269/61</t>
  </si>
  <si>
    <t>ผบ.หมู่ กชช.ศพฐ.4</t>
  </si>
  <si>
    <t>2707 12314 0389</t>
  </si>
  <si>
    <t>2707 12334 0066</t>
  </si>
  <si>
    <t>สุรชัย  อวนอ่อน</t>
  </si>
  <si>
    <t>ผบ.หมู่ พฐ.จว.อุดรธานี</t>
  </si>
  <si>
    <t>2707 12314 0390</t>
  </si>
  <si>
    <t>2707 12334 0067</t>
  </si>
  <si>
    <t>ม.6,ปวช.</t>
  </si>
  <si>
    <t>ชรินทร์ พรหมวิอินทร์</t>
  </si>
  <si>
    <t>2707 12314 0391</t>
  </si>
  <si>
    <t>2707 12334 0068</t>
  </si>
  <si>
    <t>พรพิษณุ จุฑาศรี</t>
  </si>
  <si>
    <t>รอง สว.(อก.) พฐ.จว.อุดรธานี</t>
  </si>
  <si>
    <t>2707 12314 0392</t>
  </si>
  <si>
    <t>2707 12334 0069</t>
  </si>
  <si>
    <t>ปวช., กดต.(อก.)</t>
  </si>
  <si>
    <t>2707 12314 0393</t>
  </si>
  <si>
    <t>2707 12334 0070</t>
  </si>
  <si>
    <t>กรรณิการ์ ลาโรส</t>
  </si>
  <si>
    <t>2707 12314 0394</t>
  </si>
  <si>
    <t>2707 12334 0071</t>
  </si>
  <si>
    <t>ศุภิสรา มีสนม</t>
  </si>
  <si>
    <t>2707 12314 0395</t>
  </si>
  <si>
    <t>2707 12334 0072</t>
  </si>
  <si>
    <t>ศิริพร ธรรมมิยะ</t>
  </si>
  <si>
    <t>2707 12314 0396</t>
  </si>
  <si>
    <t>2707 12334 0073</t>
  </si>
  <si>
    <t>ทิพวรรณ  หารินไสล</t>
  </si>
  <si>
    <t>2707 12314 0397</t>
  </si>
  <si>
    <t>2707 12334 0074</t>
  </si>
  <si>
    <t>ม.6, วท.บ.</t>
  </si>
  <si>
    <t>จีระนุช ศรีชาติ</t>
  </si>
  <si>
    <t>2707 12314 0398</t>
  </si>
  <si>
    <t>2707 12334 0075</t>
  </si>
  <si>
    <t>ธนภณ ชัยชุมพล</t>
  </si>
  <si>
    <t>2707 12314 0399</t>
  </si>
  <si>
    <t>2707 12334 0076</t>
  </si>
  <si>
    <t>ผบ.หมู่ พฐ.จวอุดรธานี</t>
  </si>
  <si>
    <t>2707 12314 0400</t>
  </si>
  <si>
    <t>2707 12334 0077</t>
  </si>
  <si>
    <t>วิทยา สีเทา</t>
  </si>
  <si>
    <t>2707 12314 0401</t>
  </si>
  <si>
    <t>2707 12334 0078</t>
  </si>
  <si>
    <t>ปนัดดา บุญทองอ่อน</t>
  </si>
  <si>
    <t>2707 12314 0402</t>
  </si>
  <si>
    <t>2707 12334 0079</t>
  </si>
  <si>
    <t>2707 12314 0403</t>
  </si>
  <si>
    <t>2707 12334 0080</t>
  </si>
  <si>
    <t>2707 12314 0404</t>
  </si>
  <si>
    <t>2707 12334 0081</t>
  </si>
  <si>
    <t>สมพงษ์ พึ่งสว่าง</t>
  </si>
  <si>
    <t>2707 12314 0405</t>
  </si>
  <si>
    <t>2707 12334 0082</t>
  </si>
  <si>
    <t>ม.6,กดต.(ปป.)</t>
  </si>
  <si>
    <t>2707 12314 0406</t>
  </si>
  <si>
    <t>2707 12334 0083</t>
  </si>
  <si>
    <t>มงคล จันทรส</t>
  </si>
  <si>
    <t>ผบ.หมู่ พฐ.จว.เลย</t>
  </si>
  <si>
    <t>2707 12314 0407</t>
  </si>
  <si>
    <t>2707 12334 0149</t>
  </si>
  <si>
    <t>ปวช.,น.ม.</t>
  </si>
  <si>
    <t>วิภานีย์ โสวรรณ์</t>
  </si>
  <si>
    <t>2707 12314 0408</t>
  </si>
  <si>
    <t>2707 12334 0150</t>
  </si>
  <si>
    <t>วิศรุต ผงสุข</t>
  </si>
  <si>
    <t>2707 12314 0409</t>
  </si>
  <si>
    <t>2707 12334 0151</t>
  </si>
  <si>
    <t>แมนสิงห์ ยศทะสาร</t>
  </si>
  <si>
    <t>2707 12314 0410</t>
  </si>
  <si>
    <t>2707 12334 0152</t>
  </si>
  <si>
    <t>ม.6,รป.บ.</t>
  </si>
  <si>
    <t>เสาวภา จันทะมี</t>
  </si>
  <si>
    <t>รอง สว.(อก.) พฐ.จว.เลย</t>
  </si>
  <si>
    <t>2707 12314 0411</t>
  </si>
  <si>
    <t>2707 12334 0153</t>
  </si>
  <si>
    <t>วิชัย ชมภูสาร</t>
  </si>
  <si>
    <t>2707 12314 0412</t>
  </si>
  <si>
    <t>2707 12334 0154</t>
  </si>
  <si>
    <t>มงคล แสนธรรมพล</t>
  </si>
  <si>
    <t>2707 12314 0413</t>
  </si>
  <si>
    <t>2707 12334 0155</t>
  </si>
  <si>
    <t>สมัย ตะนะสอน</t>
  </si>
  <si>
    <t>2707 12314 0414</t>
  </si>
  <si>
    <t>2707 12334 0156</t>
  </si>
  <si>
    <t>ม.6,ปวท.</t>
  </si>
  <si>
    <t>รุจิรัตน์ คงกล่อม</t>
  </si>
  <si>
    <t>2707 12314 0415</t>
  </si>
  <si>
    <t>2707 12334 0157</t>
  </si>
  <si>
    <t>ตร.413/60</t>
  </si>
  <si>
    <t>2707 12314 0416</t>
  </si>
  <si>
    <t>2707 12334 0158</t>
  </si>
  <si>
    <t>วีระศักดิ์ เกตุนาค</t>
  </si>
  <si>
    <t>2707 12314 0417</t>
  </si>
  <si>
    <t>2707 12334 0159</t>
  </si>
  <si>
    <t>เบญจวรรณ ประดิษฐ์แท่น</t>
  </si>
  <si>
    <t>2707 12314 0418</t>
  </si>
  <si>
    <t>2707 12334 0160</t>
  </si>
  <si>
    <t>สุภาพร ผิวสวัสดิ์</t>
  </si>
  <si>
    <t>2707 12314 0419</t>
  </si>
  <si>
    <t>2707 12334 0161</t>
  </si>
  <si>
    <t>ปวช.,ศศ.บ.,ร.ม.</t>
  </si>
  <si>
    <t>แสงเดือน ประนนท์</t>
  </si>
  <si>
    <t>2707 12314 0420</t>
  </si>
  <si>
    <t>2707 12334 0162</t>
  </si>
  <si>
    <t>รักตาภา พิมพา</t>
  </si>
  <si>
    <t>ผบ.หมู่ พฐ.จว.มหาสารคาม</t>
  </si>
  <si>
    <t>2707 12314 0421</t>
  </si>
  <si>
    <t>2707 12334 0115</t>
  </si>
  <si>
    <t>เสาวณีย์  สมปาน</t>
  </si>
  <si>
    <t>2707 12314 0422</t>
  </si>
  <si>
    <t>2707 12334 0116</t>
  </si>
  <si>
    <t>น.บ., กอป.(ปี54),รป.ม.</t>
  </si>
  <si>
    <t>บุญส่ง โอษะคลัง</t>
  </si>
  <si>
    <t>รอง สว.(อก.) พฐ.จว.มหาสารคาม</t>
  </si>
  <si>
    <t>2707 12314 0423</t>
  </si>
  <si>
    <t>2707 12334 0117</t>
  </si>
  <si>
    <t>ปวช., ร.บ.</t>
  </si>
  <si>
    <t>นวลจันทร์ แก้วจันทา</t>
  </si>
  <si>
    <t>2707 12314 0424</t>
  </si>
  <si>
    <t>2707 12334 0118</t>
  </si>
  <si>
    <t>ปวช.,ศศ.บ.,น.บ.</t>
  </si>
  <si>
    <t>สราวุธ โสสีทา</t>
  </si>
  <si>
    <t>2707 12314 0425</t>
  </si>
  <si>
    <t>2707 12334 0119</t>
  </si>
  <si>
    <t>วารุณี ไชยสันต์</t>
  </si>
  <si>
    <t>2707 12314 0426</t>
  </si>
  <si>
    <t>2707 12334 0120</t>
  </si>
  <si>
    <t>สมชาย คงอิ้ว</t>
  </si>
  <si>
    <t>2707 12314 0427</t>
  </si>
  <si>
    <t>2707 12334 0121</t>
  </si>
  <si>
    <t>ปวช., คบ.</t>
  </si>
  <si>
    <t>อัครเดช อุเทียม</t>
  </si>
  <si>
    <t>2707 12314 0428</t>
  </si>
  <si>
    <t>2707 12334 0122</t>
  </si>
  <si>
    <t>2707 12314 0429</t>
  </si>
  <si>
    <t>2707 12334 0123</t>
  </si>
  <si>
    <t>สมศักดิ์ อรัญมิตร</t>
  </si>
  <si>
    <t>2707 12314 0430</t>
  </si>
  <si>
    <t>2707 12334 0124</t>
  </si>
  <si>
    <t>ปวช.,วท.บ.,ร.บ.</t>
  </si>
  <si>
    <t>วัชรากร กัมปนาวราวรรณ</t>
  </si>
  <si>
    <t>2707 12314 0431</t>
  </si>
  <si>
    <t>2707 12334 0125</t>
  </si>
  <si>
    <t>2707 12314 0432</t>
  </si>
  <si>
    <t>2707 12334 0126</t>
  </si>
  <si>
    <t>2707 12314 0433</t>
  </si>
  <si>
    <t>2707 12334 0127</t>
  </si>
  <si>
    <t>ศิริพร เหล่าราช</t>
  </si>
  <si>
    <t>2707 12314 0434</t>
  </si>
  <si>
    <t>2707 12334 0128</t>
  </si>
  <si>
    <t>ณัฐพล แก้ววิเศษ</t>
  </si>
  <si>
    <t>2707 12314 0435</t>
  </si>
  <si>
    <t>2707 12334 0129</t>
  </si>
  <si>
    <t>ยุวรัตน์  คูณสิริทรัพย์</t>
  </si>
  <si>
    <t>2707 12314 0436</t>
  </si>
  <si>
    <t>2707 12334 0130</t>
  </si>
  <si>
    <t>ม.6, นสต., บธ.บ.</t>
  </si>
  <si>
    <t>ธัญญ์ชนัน  ฉัตรธนันวัชร์</t>
  </si>
  <si>
    <t>2707 12314 0437</t>
  </si>
  <si>
    <t>2707 12334 0131</t>
  </si>
  <si>
    <t>ร.บ., ค.บ.</t>
  </si>
  <si>
    <t>ณรงศักดิ์ ชูนุกิจ</t>
  </si>
  <si>
    <t>ผบ.หมู่ พฐ.จว.หนองคาย</t>
  </si>
  <si>
    <t>2707 12314 0438</t>
  </si>
  <si>
    <t>2707 12334 0163</t>
  </si>
  <si>
    <t>2707 12314 0439</t>
  </si>
  <si>
    <t>2707 12334 0164</t>
  </si>
  <si>
    <t>ปราโมทย์  โคตรชมภู</t>
  </si>
  <si>
    <t>2707 12314 0440</t>
  </si>
  <si>
    <t>2707 12334 0165</t>
  </si>
  <si>
    <t>ม.3, ม.6, พธ.บ.</t>
  </si>
  <si>
    <t>สุรศักดิ์  ซองชะยา</t>
  </si>
  <si>
    <t>รอง สว.(อก.) พฐ.จว.หนองคาย</t>
  </si>
  <si>
    <t>2707 12314 0441</t>
  </si>
  <si>
    <t>2707 12334 0166</t>
  </si>
  <si>
    <t>ม.3, ปวช.,พธ.บ.</t>
  </si>
  <si>
    <t>2707 12314 0442</t>
  </si>
  <si>
    <t>2707 12334 0167</t>
  </si>
  <si>
    <t>2707 12314 0443</t>
  </si>
  <si>
    <t>2707 12334 0168</t>
  </si>
  <si>
    <t>ปวช.,ค.บ.</t>
  </si>
  <si>
    <t>2707 12314 0444</t>
  </si>
  <si>
    <t>2707 12334 0169</t>
  </si>
  <si>
    <t>บัณฑิต ศรีดอนชัน</t>
  </si>
  <si>
    <t>2707 12314 0445</t>
  </si>
  <si>
    <t>2707 12334 0170</t>
  </si>
  <si>
    <t>ตพิพัฒน์ ประสิทธิ์นอก</t>
  </si>
  <si>
    <t>2707 12314 0446</t>
  </si>
  <si>
    <t>2707 12334 0171</t>
  </si>
  <si>
    <t>2707 12314 0447</t>
  </si>
  <si>
    <t>2707 12334 0172</t>
  </si>
  <si>
    <t>ทองปาน ศรีพุทธา</t>
  </si>
  <si>
    <t>2707 12314 0448</t>
  </si>
  <si>
    <t>2707 12334 0173</t>
  </si>
  <si>
    <t>ม.6,ปวส.</t>
  </si>
  <si>
    <t>ธนัช ภากรวณิชย์</t>
  </si>
  <si>
    <t>2707 12314 0449</t>
  </si>
  <si>
    <t>2707 12334 0174</t>
  </si>
  <si>
    <t>ดวงจันทร์  ราชรองเมือง</t>
  </si>
  <si>
    <t>2707 12314 0450</t>
  </si>
  <si>
    <t>2707 12334 0175</t>
  </si>
  <si>
    <t>ม.3, ปวช.</t>
  </si>
  <si>
    <t>ธันย์ธิชา วิเวกรัมย์</t>
  </si>
  <si>
    <t>2707 12314 0451</t>
  </si>
  <si>
    <t>2707 12334 0176</t>
  </si>
  <si>
    <t>ผบ.หมู่ พฐ.จว.หนองบัวลำภู</t>
  </si>
  <si>
    <t>2707 12314 0452</t>
  </si>
  <si>
    <t>2707 12334 0208</t>
  </si>
  <si>
    <t>ปวช.,ปวส.(การบัญชี)</t>
  </si>
  <si>
    <t>2707 12314 0453</t>
  </si>
  <si>
    <t>2707 12334 0209</t>
  </si>
  <si>
    <t>2707 12314 0454</t>
  </si>
  <si>
    <t>2707 12334 0210</t>
  </si>
  <si>
    <t>2707 12314 0455</t>
  </si>
  <si>
    <t>2707 12334 0211</t>
  </si>
  <si>
    <t>รอง สว.(อก.) พฐ.จว.หนองบัวลำภู</t>
  </si>
  <si>
    <t>2707 12314 0456</t>
  </si>
  <si>
    <t>2707 12334 0212</t>
  </si>
  <si>
    <t>กิตติศักดิ์  แสงดี</t>
  </si>
  <si>
    <t>2707 12314 0457</t>
  </si>
  <si>
    <t>2707 12334 0213</t>
  </si>
  <si>
    <t>2707 12314 0458</t>
  </si>
  <si>
    <t>2707 12334 0214</t>
  </si>
  <si>
    <t>วรพจน์ พิมพ์ดา</t>
  </si>
  <si>
    <t>2707 12314 0459</t>
  </si>
  <si>
    <t>2707 12334 0215</t>
  </si>
  <si>
    <t>วีรยุทธ์ วงษ์จันทร์</t>
  </si>
  <si>
    <t>2707 12314 0460</t>
  </si>
  <si>
    <t>2707 12334 0216</t>
  </si>
  <si>
    <t>2707 12314 0461</t>
  </si>
  <si>
    <t>2707 12334 0217</t>
  </si>
  <si>
    <t>2707 12314 0462</t>
  </si>
  <si>
    <t>2707 12334 0218</t>
  </si>
  <si>
    <t>2707 12314 0463</t>
  </si>
  <si>
    <t>2707 12334 0219</t>
  </si>
  <si>
    <t>2707 12314 0464</t>
  </si>
  <si>
    <t>2707 12334 0220</t>
  </si>
  <si>
    <t>2707 12314 0465</t>
  </si>
  <si>
    <t>2707 12334 0221</t>
  </si>
  <si>
    <t>วรรณภา วงศ์กาฬสินธุ์</t>
  </si>
  <si>
    <t>ผบ.หมู่ พฐ.จว.สกลนคร</t>
  </si>
  <si>
    <t>2707 12314 0466</t>
  </si>
  <si>
    <t>2707 12334 0132</t>
  </si>
  <si>
    <t>ปวช.,ศศ.บ.,ศศ.ม.</t>
  </si>
  <si>
    <t>วัฒนศักดิ์ ใจจิตร</t>
  </si>
  <si>
    <t>2707 12314 0467</t>
  </si>
  <si>
    <t>2707 12334 0133</t>
  </si>
  <si>
    <t>วรชาติ แก้วก่า</t>
  </si>
  <si>
    <t>2707 12314 0468</t>
  </si>
  <si>
    <t>2707 12334 0134</t>
  </si>
  <si>
    <t>ค.บ.,ศศ.ม.</t>
  </si>
  <si>
    <t>สงวนรักษ์ พองพรหม</t>
  </si>
  <si>
    <t>2707 12314 0469</t>
  </si>
  <si>
    <t>2707 12334 0135</t>
  </si>
  <si>
    <t>อัจฉราวดี วรรณพงษ์</t>
  </si>
  <si>
    <t>2707 12314 0470</t>
  </si>
  <si>
    <t>2707 12334 0136</t>
  </si>
  <si>
    <t>อรุณี ขันตะคุ</t>
  </si>
  <si>
    <t>รอง สว.(อก.) พฐ.จว.สกลนคร</t>
  </si>
  <si>
    <t>2707 12314 0471</t>
  </si>
  <si>
    <t>2707 12334 0137</t>
  </si>
  <si>
    <t>ปวช.,อนุปริญญา</t>
  </si>
  <si>
    <t>อรัญญา อุทัยวัฒน์</t>
  </si>
  <si>
    <t>2707 12314 0472</t>
  </si>
  <si>
    <t>2707 12334 0138</t>
  </si>
  <si>
    <t>รุ่งธิวา จันทะวงษา</t>
  </si>
  <si>
    <t>2707 12314 0473</t>
  </si>
  <si>
    <t>2707 12334 0139</t>
  </si>
  <si>
    <t>ปกภณ รุ่นศรี</t>
  </si>
  <si>
    <t>2707 12314 0474</t>
  </si>
  <si>
    <t>2707 12334 0140</t>
  </si>
  <si>
    <t>ม.6,กดต.(อก.)</t>
  </si>
  <si>
    <t>สิทธิศักดิ์ ดาวศรี</t>
  </si>
  <si>
    <t>2707 12314 0475</t>
  </si>
  <si>
    <t>2707 12334 0141</t>
  </si>
  <si>
    <t>สุวิทย์ พองพรหม</t>
  </si>
  <si>
    <t>2707 12314 0476</t>
  </si>
  <si>
    <t>2707 12334 0142</t>
  </si>
  <si>
    <t>ปวช.,นพต.,กดต.(อก.)</t>
  </si>
  <si>
    <t>สัจจา บุญญาสถิตย์</t>
  </si>
  <si>
    <t>2707 12314 0477</t>
  </si>
  <si>
    <t>2707 12334 0143</t>
  </si>
  <si>
    <t>2707 12314 0478</t>
  </si>
  <si>
    <t>2707 12334 0144</t>
  </si>
  <si>
    <t>ศิริพร พรหมสุภา</t>
  </si>
  <si>
    <t>2707 12314 0479</t>
  </si>
  <si>
    <t>2707 12334 0145</t>
  </si>
  <si>
    <t>ปวช.,คบ.,ศศ.ม.</t>
  </si>
  <si>
    <t>2707 12314 0480</t>
  </si>
  <si>
    <t>2707 12334 0146</t>
  </si>
  <si>
    <t>2707 12314 0481</t>
  </si>
  <si>
    <t>2707 12334 0147</t>
  </si>
  <si>
    <t>สุรสิทธิ์ เณธิชัย</t>
  </si>
  <si>
    <t>2707 12314 0482</t>
  </si>
  <si>
    <t>2707 12334 0148</t>
  </si>
  <si>
    <t>ปวช.,นพต.,น.บ.</t>
  </si>
  <si>
    <t>วราภรณ์ ภูกองแข</t>
  </si>
  <si>
    <t>ผบ.หมู่ พฐ.จว.ร้อยเอ็ด</t>
  </si>
  <si>
    <t>2707 12314 0483</t>
  </si>
  <si>
    <t>2707 12334 0098</t>
  </si>
  <si>
    <t>ทิพย์พนิตา ไพรินทร์</t>
  </si>
  <si>
    <t>รอง สว.(อก.) พฐ.จว.ร้อยเอ็ด</t>
  </si>
  <si>
    <t>2707 12314 0484</t>
  </si>
  <si>
    <t>2707 12334 0099</t>
  </si>
  <si>
    <t>สุธาวี  หลุบเลา</t>
  </si>
  <si>
    <t>2707 12314 0485</t>
  </si>
  <si>
    <t>2707 12334 0100</t>
  </si>
  <si>
    <t>ปวช.,รป.ม.</t>
  </si>
  <si>
    <t>มาโนช ชนะพันธุ์</t>
  </si>
  <si>
    <t>2707 12314 0486</t>
  </si>
  <si>
    <t>2707 12334 0101</t>
  </si>
  <si>
    <t>ภัทรพล อุณภา</t>
  </si>
  <si>
    <t>2707 12314 0487</t>
  </si>
  <si>
    <t>2707 12334 0102</t>
  </si>
  <si>
    <t>ปวช.,รัฐศาตรบัณฑิต</t>
  </si>
  <si>
    <t>2707 12314 0488</t>
  </si>
  <si>
    <t>2707 12334 0103</t>
  </si>
  <si>
    <t>เสาวลักษณ์  ภิบาลจอมมี</t>
  </si>
  <si>
    <t>2707 12314 0489</t>
  </si>
  <si>
    <t>2707 12334 0104</t>
  </si>
  <si>
    <t>กิตติภพ  เสาสมภพ</t>
  </si>
  <si>
    <t>2707 12314 0490</t>
  </si>
  <si>
    <t>2707 12334 0105</t>
  </si>
  <si>
    <t>ปวช., ศศ.บ., น.บ., รป.ม.</t>
  </si>
  <si>
    <t>2707 12314 0491</t>
  </si>
  <si>
    <t>2707 12334 0106</t>
  </si>
  <si>
    <t>เยาวเรศ พุทธิเกียรติ</t>
  </si>
  <si>
    <t>2707 12314 0492</t>
  </si>
  <si>
    <t>2707 12334 0107</t>
  </si>
  <si>
    <t>การุณ ปิยวัฒนปรีชา</t>
  </si>
  <si>
    <t>2707 12314 0493</t>
  </si>
  <si>
    <t>2707 12334 0108</t>
  </si>
  <si>
    <t>ฌญัณตรี คำพร</t>
  </si>
  <si>
    <t>2707 12314 0494</t>
  </si>
  <si>
    <t>2707 12334 0109</t>
  </si>
  <si>
    <t>ปวช.,รบ.</t>
  </si>
  <si>
    <t>นุจณี วงค์คำ</t>
  </si>
  <si>
    <t>2707 12314 0495</t>
  </si>
  <si>
    <t>2707 12334 0110</t>
  </si>
  <si>
    <t>กศ.บ.(สังคมศึกษา)</t>
  </si>
  <si>
    <t>พัชรี วรรณพฤกษ</t>
  </si>
  <si>
    <t>2707 12314 0496</t>
  </si>
  <si>
    <t>2707 12334 0111</t>
  </si>
  <si>
    <t>ค.บ.,รป.ม.,กอป.,ตวท.</t>
  </si>
  <si>
    <t>สุเจตน์ ศรีประมาณ</t>
  </si>
  <si>
    <t>2707 12314 0497</t>
  </si>
  <si>
    <t>2707 12334 0112</t>
  </si>
  <si>
    <t>ม.6,กอป.,บธ.บ.คอมพิวเตอร์,ชัยยะ</t>
  </si>
  <si>
    <t>ชุมพล แก้วมะเริง</t>
  </si>
  <si>
    <t>2707 12314 0498</t>
  </si>
  <si>
    <t>2707 12334 0113</t>
  </si>
  <si>
    <t>สัญชัย ถวิลรักษ์</t>
  </si>
  <si>
    <t>2707 12314 0499</t>
  </si>
  <si>
    <t>2707 12334 0114</t>
  </si>
  <si>
    <t>รัฐศาสตร์  รัตนวงศ์</t>
  </si>
  <si>
    <t>ผบ.หมู่ พฐ.จว.นครพนม</t>
  </si>
  <si>
    <t>2707 12314 0500</t>
  </si>
  <si>
    <t>2707 12334 0084</t>
  </si>
  <si>
    <t>ดวงเดือน  ศรีวงษ์</t>
  </si>
  <si>
    <t>2707 12314 0501</t>
  </si>
  <si>
    <t>2707 12334 0085</t>
  </si>
  <si>
    <t>ปวช.,ปวส., ชัยยะ</t>
  </si>
  <si>
    <t>กาญจนา ไชยศรี</t>
  </si>
  <si>
    <t>2707 12314 0502</t>
  </si>
  <si>
    <t>2707 12334 0086</t>
  </si>
  <si>
    <t>ทรงศิลป์ จิตอามาตย์</t>
  </si>
  <si>
    <t>2707 12314 0503</t>
  </si>
  <si>
    <t>2707 12334 0087</t>
  </si>
  <si>
    <t>รอง สว.(อก.) พฐ.จว.นครพนม</t>
  </si>
  <si>
    <t>2707 12314 0504</t>
  </si>
  <si>
    <t>2707 12334 0088</t>
  </si>
  <si>
    <t>2707 12314 0505</t>
  </si>
  <si>
    <t>2707 12334 0089</t>
  </si>
  <si>
    <t>กิติศักดิ์ มันตะ</t>
  </si>
  <si>
    <t>2707 12314 0506</t>
  </si>
  <si>
    <t>2707 12334 0090</t>
  </si>
  <si>
    <t>ปวช.,ปวส.,ชัยยะ,กดต.(ปป.)</t>
  </si>
  <si>
    <t>ยุโก อินแกบ</t>
  </si>
  <si>
    <t>2707 12314 0507</t>
  </si>
  <si>
    <t>2707 12334 0091</t>
  </si>
  <si>
    <t>ม.6,น.บ.,กดต.(อก.)</t>
  </si>
  <si>
    <t>สิริกัลยา พิมพบุตร</t>
  </si>
  <si>
    <t>2707 12314 0508</t>
  </si>
  <si>
    <t>2707 12334 0092</t>
  </si>
  <si>
    <t>กฤตภาส ศรีมะโรง</t>
  </si>
  <si>
    <t>2707 12314 0509</t>
  </si>
  <si>
    <t>2707 12334 0093</t>
  </si>
  <si>
    <t>ม.6, รป.บ.</t>
  </si>
  <si>
    <t>บุญยสิทธิ์ บุญสิทธิ์ภิญญา</t>
  </si>
  <si>
    <t>2707 12314 0510</t>
  </si>
  <si>
    <t>2707 12334 0094</t>
  </si>
  <si>
    <t>ฐิติกาญจน์ นพพชร</t>
  </si>
  <si>
    <t>2707 12314 0511</t>
  </si>
  <si>
    <t>2707 12334 0095</t>
  </si>
  <si>
    <t>ปวช.,ปวส.</t>
  </si>
  <si>
    <t>นิรมล  พันธุพาน</t>
  </si>
  <si>
    <t>2707 12314 0512</t>
  </si>
  <si>
    <t>2707 12334 0096</t>
  </si>
  <si>
    <t>น.บ., รป.ม.</t>
  </si>
  <si>
    <t>2707 12314 0513</t>
  </si>
  <si>
    <t>2707 12334 0097</t>
  </si>
  <si>
    <t>ผบ.หมู่ พฐ.จว.มุกดาหาร</t>
  </si>
  <si>
    <t>2707 12314 0514</t>
  </si>
  <si>
    <t>2707 12334 0194</t>
  </si>
  <si>
    <t>กัญญาภัทร  ภาษีเจริญกุล</t>
  </si>
  <si>
    <t>2707 12314 0515</t>
  </si>
  <si>
    <t>2707 12334 0195</t>
  </si>
  <si>
    <t>2707 12314 0516</t>
  </si>
  <si>
    <t>2707 12334 0196</t>
  </si>
  <si>
    <t>2707 12314 0517</t>
  </si>
  <si>
    <t>2707 12334 0197</t>
  </si>
  <si>
    <t>อัถพล สุวรรณมงคล</t>
  </si>
  <si>
    <t>2707 12314 0518</t>
  </si>
  <si>
    <t>2707 12334 0198</t>
  </si>
  <si>
    <t>2707 12314 0519</t>
  </si>
  <si>
    <t>2707 12334 0199</t>
  </si>
  <si>
    <t>บุญตา ไชยคำภา</t>
  </si>
  <si>
    <t>รอง สว.(อก.) พฐ.จว.มุกดาหาร</t>
  </si>
  <si>
    <t>2707 12314 0520</t>
  </si>
  <si>
    <t>2707 12334 0200</t>
  </si>
  <si>
    <t>ศตวรรษ โยสะออน</t>
  </si>
  <si>
    <t>2707 12314 0521</t>
  </si>
  <si>
    <t>2707 12334 0201</t>
  </si>
  <si>
    <t>ปุณยนุช อุทาพันธ์</t>
  </si>
  <si>
    <t>2707 12314 0522</t>
  </si>
  <si>
    <t>2707 12334 0202</t>
  </si>
  <si>
    <t>2707 12314 0523</t>
  </si>
  <si>
    <t>2707 12334 0203</t>
  </si>
  <si>
    <t>ฉวีวรรณ ชูวา</t>
  </si>
  <si>
    <t>2707 12314 0524</t>
  </si>
  <si>
    <t>2707 12334 0204</t>
  </si>
  <si>
    <t>ปวช.,ปวส., กอป.</t>
  </si>
  <si>
    <t>2707 12314 0525</t>
  </si>
  <si>
    <t>2707 12334 0205</t>
  </si>
  <si>
    <t>กฤตวิทย์ นาคศาลา</t>
  </si>
  <si>
    <t>2707 12314 0526</t>
  </si>
  <si>
    <t>2707 12334 0206</t>
  </si>
  <si>
    <t>2707 12314 0527</t>
  </si>
  <si>
    <t>2707 12334 0207</t>
  </si>
  <si>
    <t>ชัยชาญ แก้วโพธิ์</t>
  </si>
  <si>
    <t>ผบ.หมู่ พฐ.จว.กาฬสินธุ์</t>
  </si>
  <si>
    <t>2707 12314 0528</t>
  </si>
  <si>
    <t>2707 12334 0177</t>
  </si>
  <si>
    <t>ม.6,รป.ศ.,ชัยยะ</t>
  </si>
  <si>
    <t>กรรณิการ์ นาวิเศษ</t>
  </si>
  <si>
    <t>2707 12314 0529</t>
  </si>
  <si>
    <t>2707 12334 0178</t>
  </si>
  <si>
    <t>จุฑามาศ นามมุงคุณ</t>
  </si>
  <si>
    <t>2707 12314 0530</t>
  </si>
  <si>
    <t>2707 12334 0179</t>
  </si>
  <si>
    <t>อุไรวรรณ เปิ่นวงศ์</t>
  </si>
  <si>
    <t>2707 12314 0531</t>
  </si>
  <si>
    <t>2707 12334 0180</t>
  </si>
  <si>
    <t>2707 12314 0532</t>
  </si>
  <si>
    <t>2707 12334 0181</t>
  </si>
  <si>
    <t>กฤษดา คำภักดี</t>
  </si>
  <si>
    <t>2707 12314 0533</t>
  </si>
  <si>
    <t>2707 12334 0182</t>
  </si>
  <si>
    <t>ธนา จิตรเจริญ</t>
  </si>
  <si>
    <t>รอง สว.(อก.) พฐ.จว.กาฬสินธุ์</t>
  </si>
  <si>
    <t>2707 12314 0534</t>
  </si>
  <si>
    <t>2707 12334 0183</t>
  </si>
  <si>
    <t>อิสระพงษ์ มะระเหลือง</t>
  </si>
  <si>
    <t>2707 12314 0535</t>
  </si>
  <si>
    <t>2707 12334 0184</t>
  </si>
  <si>
    <t>ภานุวัฒน์ ไวแสน</t>
  </si>
  <si>
    <t>2707 12314 0536</t>
  </si>
  <si>
    <t>2707 12334 0185</t>
  </si>
  <si>
    <t>ปวส.(คอมฯ), กอป.</t>
  </si>
  <si>
    <t>สุเทพ ภูพันธ์เว่อ</t>
  </si>
  <si>
    <t>2707 12314 0537</t>
  </si>
  <si>
    <t>2707 12334 0186</t>
  </si>
  <si>
    <t>มศ.6</t>
  </si>
  <si>
    <t>บุญชนะ อาจองธรรม</t>
  </si>
  <si>
    <t>2707 12314 0538</t>
  </si>
  <si>
    <t>2707 12334 0187</t>
  </si>
  <si>
    <t>ยุวดี ประสารศรี</t>
  </si>
  <si>
    <t>2707 12314 0539</t>
  </si>
  <si>
    <t>2707 12334 0188</t>
  </si>
  <si>
    <t>ม.6, วท.บ.(เทคโลยีสารสนเทศ)</t>
  </si>
  <si>
    <t>นันทนา ไร่จรูญ</t>
  </si>
  <si>
    <t>2707 12314 0540</t>
  </si>
  <si>
    <t>2707 12334 0189</t>
  </si>
  <si>
    <t>2707 12314 0541</t>
  </si>
  <si>
    <t>2707 12334 0190</t>
  </si>
  <si>
    <t>ปรัชญา ทิพย์เสถียร</t>
  </si>
  <si>
    <t>2707 12314 0542</t>
  </si>
  <si>
    <t>2707 12334 0191</t>
  </si>
  <si>
    <t>ปวช.,นบ.</t>
  </si>
  <si>
    <t>ศิริลักษณ์ รินเสนา</t>
  </si>
  <si>
    <t>2707 12314 0543</t>
  </si>
  <si>
    <t>2707 12334 0192</t>
  </si>
  <si>
    <t>2707 12314 0544</t>
  </si>
  <si>
    <t>2707 12334 0193</t>
  </si>
  <si>
    <t>ผบ.หมู่ พฐ.จว.บึงกาฬ</t>
  </si>
  <si>
    <t>2707 12314 0545</t>
  </si>
  <si>
    <t>2707 12334 0222</t>
  </si>
  <si>
    <t>2707 12314 0546</t>
  </si>
  <si>
    <t>2707 12334 0223</t>
  </si>
  <si>
    <t>พูลศิลป์ อุปชัย</t>
  </si>
  <si>
    <t>2707 12314 0547</t>
  </si>
  <si>
    <t>2707 12334 0224</t>
  </si>
  <si>
    <t>ปวช./ กอป., ปวส.</t>
  </si>
  <si>
    <t>สุดสวาท เพชรหมื่นไว</t>
  </si>
  <si>
    <t>รอง สว.(อก.)  พฐ.จว.บึงกาฬ</t>
  </si>
  <si>
    <t>2707 12314 0548</t>
  </si>
  <si>
    <t>2707 12334 0225</t>
  </si>
  <si>
    <t>ปวช.,ปวส.(บัญชี)</t>
  </si>
  <si>
    <t>2707 12314 0549</t>
  </si>
  <si>
    <t>2707 12334 0226</t>
  </si>
  <si>
    <t>อัครพล  ขวัญปัญญา</t>
  </si>
  <si>
    <t>2707 12314 0550</t>
  </si>
  <si>
    <t>2707 12334 0227</t>
  </si>
  <si>
    <t>อธิ พีรทิตยา</t>
  </si>
  <si>
    <t>2707 12314 0551</t>
  </si>
  <si>
    <t>2707 12334 0228</t>
  </si>
  <si>
    <t>ปวช.,บริหารธุรกิจบัณฑิต</t>
  </si>
  <si>
    <t>2707 12314 0552</t>
  </si>
  <si>
    <t>2707 12334 0229</t>
  </si>
  <si>
    <t>2707 12314 0553</t>
  </si>
  <si>
    <t>2707 12334 0230</t>
  </si>
  <si>
    <t>2707 12314 0554</t>
  </si>
  <si>
    <t>2707 12334 0231</t>
  </si>
  <si>
    <t>วสันต์  สังข์กฤษณ์</t>
  </si>
  <si>
    <t>2707 12314 0555</t>
  </si>
  <si>
    <t>2707 12334 0232</t>
  </si>
  <si>
    <t>2707 12314 0556</t>
  </si>
  <si>
    <t>2707 12334 0233</t>
  </si>
  <si>
    <t>2707 12314 0557</t>
  </si>
  <si>
    <t>2707 12334 0234</t>
  </si>
  <si>
    <t>2707 12314 0558</t>
  </si>
  <si>
    <t>2707 12334 0235</t>
  </si>
  <si>
    <t>ผบ.หมู่ ศพฐ.5</t>
  </si>
  <si>
    <t>2708 12301 0001</t>
  </si>
  <si>
    <t>2708 12357 0001</t>
  </si>
  <si>
    <t>2708 12301 0002</t>
  </si>
  <si>
    <t>2708 12357 0002</t>
  </si>
  <si>
    <t>ชุติกาญจน์  ปอนแก้ว</t>
  </si>
  <si>
    <t>2708 12301 0003</t>
  </si>
  <si>
    <t>2708 12357 0003</t>
  </si>
  <si>
    <t>ชณันภัสร์ พีรสมานพงศ์</t>
  </si>
  <si>
    <t>ผบ.หมู่ ฝอ.ศพฐ.5</t>
  </si>
  <si>
    <t>2708 12301 0276</t>
  </si>
  <si>
    <t>2708 12357 0004</t>
  </si>
  <si>
    <t>2708 12301 0277</t>
  </si>
  <si>
    <t>2708 12357 0005</t>
  </si>
  <si>
    <t>หทัยกาญจน์ วุฒิ</t>
  </si>
  <si>
    <t>2708 12301 0278</t>
  </si>
  <si>
    <t>2708 12357 0006</t>
  </si>
  <si>
    <t>ปวช., บธ.บ.(การจัดการทั่วไป), กอป.</t>
  </si>
  <si>
    <t>ศิริตา สุดวรรค์</t>
  </si>
  <si>
    <t>2708 12301 0279</t>
  </si>
  <si>
    <t>2708 12357 0007</t>
  </si>
  <si>
    <t>รัชตา  กันทะปรีชา</t>
  </si>
  <si>
    <t>รอง สว.(อก.) ฝอ.ศพฐ.5</t>
  </si>
  <si>
    <t>2708 12301 0280</t>
  </si>
  <si>
    <t>2708 12357 0008</t>
  </si>
  <si>
    <t>กฤษณา  หน่อท้าว</t>
  </si>
  <si>
    <t>2708 12301 0281</t>
  </si>
  <si>
    <t>2708 12357 0009</t>
  </si>
  <si>
    <t>ตร.258/61</t>
  </si>
  <si>
    <t>นันท์นภัส  พุ่มไพจิตร</t>
  </si>
  <si>
    <t>2708 12301 0282</t>
  </si>
  <si>
    <t>2708 12357 0010</t>
  </si>
  <si>
    <t>ศิริวัฒน์ วุฒิกรณ์</t>
  </si>
  <si>
    <t>2708 12301 0283</t>
  </si>
  <si>
    <t>2708 12357 0011</t>
  </si>
  <si>
    <t>ปวช., ตวท. รุ่น 10, กอป. ปี 2557,ชัยยะขั้นพื้นฐาน</t>
  </si>
  <si>
    <t>ธนภร ขุนสังข์</t>
  </si>
  <si>
    <t>2708 12301 0284</t>
  </si>
  <si>
    <t>2708 12357 0012</t>
  </si>
  <si>
    <t>ศศ.บ.(บริหารธุรกิจ), รป.ม.</t>
  </si>
  <si>
    <t>มนัสนันท์  กรรเชียง</t>
  </si>
  <si>
    <t>2708 12314 0285</t>
  </si>
  <si>
    <t>2708 12334 0014</t>
  </si>
  <si>
    <t>บัญชา คำตุ้ยเชื้อ</t>
  </si>
  <si>
    <t>2708 12314 0286</t>
  </si>
  <si>
    <t>2708 12334 0015</t>
  </si>
  <si>
    <t>ปวช. , คบ.</t>
  </si>
  <si>
    <t>บุปผา กันตะบุตร</t>
  </si>
  <si>
    <t>2708 12314 0287</t>
  </si>
  <si>
    <t>2708 12334 0016</t>
  </si>
  <si>
    <t>ปวช.,ศศ.บ. ,กอป.</t>
  </si>
  <si>
    <t>สายธาร ศรีเมือง</t>
  </si>
  <si>
    <t>2708 12314 0288</t>
  </si>
  <si>
    <t>2708 12334 0017</t>
  </si>
  <si>
    <t>กฤษณา ชาวบางงาม</t>
  </si>
  <si>
    <t>2708 12314 0289</t>
  </si>
  <si>
    <t>2708 12334 0018</t>
  </si>
  <si>
    <t>ม.3 , กอป.กดต.</t>
  </si>
  <si>
    <t>สพฐ.ตร.44/62</t>
  </si>
  <si>
    <t>สุพัตรา ยอดปัญญา</t>
  </si>
  <si>
    <t>2708 12314 0290</t>
  </si>
  <si>
    <t>2708 12334 0019</t>
  </si>
  <si>
    <t>ปวช., รป.บ., กอป.</t>
  </si>
  <si>
    <t>สมเกียรติ์ จันทร์ต๊ะฝั้น</t>
  </si>
  <si>
    <t>2708 12314 0291</t>
  </si>
  <si>
    <t>2708 12334 0020</t>
  </si>
  <si>
    <t>ปวส. , กอป.</t>
  </si>
  <si>
    <t>กาญจนา เทพยุหะ</t>
  </si>
  <si>
    <t>2708 12314 0292</t>
  </si>
  <si>
    <t>2708 12334 0021</t>
  </si>
  <si>
    <t>ศศ.บ. , กอป., บธ.ม.</t>
  </si>
  <si>
    <t>สมหญิง วงศ์แก้วมูล</t>
  </si>
  <si>
    <t>2708 12314 0293</t>
  </si>
  <si>
    <t>2708 12334 0022</t>
  </si>
  <si>
    <t>กอป.(ปี57),ตวท.,วท.บ.</t>
  </si>
  <si>
    <t>อัจฉรา เสธิปา</t>
  </si>
  <si>
    <t>2708 12314 0294</t>
  </si>
  <si>
    <t>2708 12334 0023</t>
  </si>
  <si>
    <t>2708 12301 0295</t>
  </si>
  <si>
    <t>2708 12327 0013</t>
  </si>
  <si>
    <t>อดุลย์ ดวงใจ</t>
  </si>
  <si>
    <t>ผบ.หมู่ กสก.ศพฐ.5</t>
  </si>
  <si>
    <t>2708 12314 0296</t>
  </si>
  <si>
    <t>2708 12334 0024</t>
  </si>
  <si>
    <t>ม.6, นพต.</t>
  </si>
  <si>
    <t>บุญชู ปิยะลังกา</t>
  </si>
  <si>
    <t>รอง สว.(อก.) กสก.ศพฐ.5</t>
  </si>
  <si>
    <t>2708 12314 0297</t>
  </si>
  <si>
    <t>2708 12334 0025</t>
  </si>
  <si>
    <t>ศศ.บ. , นพต.</t>
  </si>
  <si>
    <t>ภัควรินทร์ ชัยนันตา</t>
  </si>
  <si>
    <t>2708 12314 0298</t>
  </si>
  <si>
    <t>2708 12334 0026</t>
  </si>
  <si>
    <t>ปวช.,ปวส,ป.ตรี.,กอป.</t>
  </si>
  <si>
    <t>ณภัทร  เชียงจันทร์</t>
  </si>
  <si>
    <t>2708 12314 0299</t>
  </si>
  <si>
    <t>2708 12334 0027</t>
  </si>
  <si>
    <t>นบ. , รปม.</t>
  </si>
  <si>
    <t>2708 12314 0300</t>
  </si>
  <si>
    <t>2708 12334 0028</t>
  </si>
  <si>
    <t>นัยนา นนท์เดชกูล</t>
  </si>
  <si>
    <t>2708 12314 0301</t>
  </si>
  <si>
    <t>2708 12334 0029</t>
  </si>
  <si>
    <t>บธ.บ.(การบัญชี), กอป.</t>
  </si>
  <si>
    <t>อนุสรณ์ ผ่านภพ</t>
  </si>
  <si>
    <t>2708 12314 0302</t>
  </si>
  <si>
    <t>2708 12334 0030</t>
  </si>
  <si>
    <t>ณัฏฐพล สุวรรณศร</t>
  </si>
  <si>
    <t>2708 12314 0303</t>
  </si>
  <si>
    <t>2708 12334 0031</t>
  </si>
  <si>
    <t>จารุนันท์  จารุนิธิโยธิน</t>
  </si>
  <si>
    <t>2708 12314 0304</t>
  </si>
  <si>
    <t>2708 12334 0032</t>
  </si>
  <si>
    <t>บธ.บ., ป.ตรี</t>
  </si>
  <si>
    <t>ชัยพงษ์ ขัติวงศ์</t>
  </si>
  <si>
    <t>2708 12314 0305</t>
  </si>
  <si>
    <t>2708 12334 0033</t>
  </si>
  <si>
    <t>ศศ.บ.(การจัดการทั่วไป), กอป.</t>
  </si>
  <si>
    <t>ศิรินภา ดอกบัว</t>
  </si>
  <si>
    <t>2708 12314 0306</t>
  </si>
  <si>
    <t>2708 12334 0034</t>
  </si>
  <si>
    <t>ปวช.,กอป.,วท.บ.,กศ.ม.</t>
  </si>
  <si>
    <t>เสริมสุข พรหมเสน</t>
  </si>
  <si>
    <t>รอง สว.(อก.) กอส.ศพฐ.5</t>
  </si>
  <si>
    <t>2708 12314 0307</t>
  </si>
  <si>
    <t>2708 12334 0035</t>
  </si>
  <si>
    <t>บธ.บ.(การจัดการทั่วไป)</t>
  </si>
  <si>
    <t>สพฐ.ตร 47/62</t>
  </si>
  <si>
    <t>ณัฐนันท์ วะระ</t>
  </si>
  <si>
    <t>ผบ.หมู่ กอส.ศพฐ.5</t>
  </si>
  <si>
    <t>2708 12314 0308</t>
  </si>
  <si>
    <t>2708 12334 0036</t>
  </si>
  <si>
    <t>พิมพ์ปวีณ์ เสริมสุข</t>
  </si>
  <si>
    <t>2708 12314 0309</t>
  </si>
  <si>
    <t>2708 12334 0037</t>
  </si>
  <si>
    <t>ศศ.บ.,กดต.ปป.)</t>
  </si>
  <si>
    <t>ทัศน์ ปันลำ</t>
  </si>
  <si>
    <t>2708 12314 0310</t>
  </si>
  <si>
    <t>2708 12334 0038</t>
  </si>
  <si>
    <t>ศศ.บ.,กดต.(ปป.)</t>
  </si>
  <si>
    <t>สุภาวดี ต๋าคำ</t>
  </si>
  <si>
    <t>ผบ.หมู่ กอป.ศพฐ.5</t>
  </si>
  <si>
    <t>2708 12314 0311</t>
  </si>
  <si>
    <t>2708 12334 0039</t>
  </si>
  <si>
    <t>นันท์นภัส อุดหมอ</t>
  </si>
  <si>
    <t>รอง สว.(อก.) กอป.ศพฐ.5</t>
  </si>
  <si>
    <t>2708 12314 0312</t>
  </si>
  <si>
    <t>2708 12334 0040</t>
  </si>
  <si>
    <t>ดวงดาว สบบง</t>
  </si>
  <si>
    <t>2708 12314 0313</t>
  </si>
  <si>
    <t>2708 12334 0041</t>
  </si>
  <si>
    <t>ม.6,บร.บ</t>
  </si>
  <si>
    <t>สมศักดิ์ อินต๊ะงาม</t>
  </si>
  <si>
    <t>2708 12314 0314</t>
  </si>
  <si>
    <t>2708 12334 0042</t>
  </si>
  <si>
    <t>ศุภลักษณ์ ไชยโนฤทธิ์</t>
  </si>
  <si>
    <t>2708 12314 0315</t>
  </si>
  <si>
    <t>2708 12334 0043</t>
  </si>
  <si>
    <t>บธ.บ.(การเงิน)</t>
  </si>
  <si>
    <t>มีนา นภีตะภัฎ</t>
  </si>
  <si>
    <t>2708 12314 0316</t>
  </si>
  <si>
    <t>2708 12334 0044</t>
  </si>
  <si>
    <t>ธีระพงษ์  กาปิน</t>
  </si>
  <si>
    <t>2708 12314 0317</t>
  </si>
  <si>
    <t>2708 12334 0045</t>
  </si>
  <si>
    <t>ปวส.</t>
  </si>
  <si>
    <t>จิราภรณ์ ธิปาแก้ว</t>
  </si>
  <si>
    <t>รอง สว.(อก.) กคม.ศพฐ.5</t>
  </si>
  <si>
    <t>2708 12314 0318</t>
  </si>
  <si>
    <t>2708 12334 0046</t>
  </si>
  <si>
    <t>ปวช., ศศ.บ. , กอป.</t>
  </si>
  <si>
    <t>2708 12314 0319</t>
  </si>
  <si>
    <t>2708 12334 0047</t>
  </si>
  <si>
    <t>ผบ.หมู่ กคม.ศพฐ.5</t>
  </si>
  <si>
    <t>2708 12314 0320</t>
  </si>
  <si>
    <t>2708 12334 0048</t>
  </si>
  <si>
    <t>รณกร ทองขาว</t>
  </si>
  <si>
    <t>2708 12314 0321</t>
  </si>
  <si>
    <t>2708 12334 0049</t>
  </si>
  <si>
    <t>บธ.บ., ตวท., กอป.</t>
  </si>
  <si>
    <t>ศิริลักษณ์ เตชะสืบ</t>
  </si>
  <si>
    <t>ผบ.หมู่ กยส.ศพฐ.5</t>
  </si>
  <si>
    <t>2708 12314 0322</t>
  </si>
  <si>
    <t>2708 12334 0050</t>
  </si>
  <si>
    <t>ม.6,วท.บ.,นบ.</t>
  </si>
  <si>
    <t>พรรณิภา บัวแก้ว</t>
  </si>
  <si>
    <t>2708 12314 0323</t>
  </si>
  <si>
    <t>2708 12334 0051</t>
  </si>
  <si>
    <t>ปวช.(พาณิชยการ), ศศ.บ.(บริหารรัฐกิจ)</t>
  </si>
  <si>
    <t>สุรเชษฐ์ จุมปาลี</t>
  </si>
  <si>
    <t>2708 12314 0324</t>
  </si>
  <si>
    <t>2708 12334 0052</t>
  </si>
  <si>
    <t>ค.บ. , กอป.</t>
  </si>
  <si>
    <t>ปริญญา บัวแก้ว</t>
  </si>
  <si>
    <t>2708 12314 0325</t>
  </si>
  <si>
    <t>2708 12334 0053</t>
  </si>
  <si>
    <t xml:space="preserve">ศศ.บ.(รัฐศาสตร์), วท.บ., </t>
  </si>
  <si>
    <t>นราศักดิ์ บุญตา</t>
  </si>
  <si>
    <t>ผบ.หมู่ กนฝ.ศพฐ.5</t>
  </si>
  <si>
    <t>2708 12314 0326</t>
  </si>
  <si>
    <t>2708 12334 0054</t>
  </si>
  <si>
    <t>พชรสุดา ทิศธรรม</t>
  </si>
  <si>
    <t>รอง สว.(อก.) กนฝ.ศพฐ.5</t>
  </si>
  <si>
    <t>2708 12314 0327</t>
  </si>
  <si>
    <t>2708 12334 0055</t>
  </si>
  <si>
    <t>ปวช., ศศ.บ.(การจัดการทั่วไป), กอป.,ตวท.</t>
  </si>
  <si>
    <t>2708 12314 0328</t>
  </si>
  <si>
    <t>2708 12334 0056</t>
  </si>
  <si>
    <t>เยาวลักษณ์ ใจชุ่ม</t>
  </si>
  <si>
    <t>2708 12314 0329</t>
  </si>
  <si>
    <t>2708 12334 0057</t>
  </si>
  <si>
    <t>ปวช., บธ.บ.(การจัดการทั่วไป) , กอป.,ตวท.</t>
  </si>
  <si>
    <t>พิกุล สายปินตา</t>
  </si>
  <si>
    <t>2708 12314 0330</t>
  </si>
  <si>
    <t>2708 12334 0058</t>
  </si>
  <si>
    <t>ปวส., ศศ.บ.(การจัดการทั่วไป),ตวท.</t>
  </si>
  <si>
    <t>ผบ.หมู่ กชว.ศพฐ.5</t>
  </si>
  <si>
    <t>2708 12314 0331</t>
  </si>
  <si>
    <t>2708 12334 0059</t>
  </si>
  <si>
    <t>ภัทรเดช  เทพยุหะ</t>
  </si>
  <si>
    <t>2708 12314 0332</t>
  </si>
  <si>
    <t>2708 12334 0060</t>
  </si>
  <si>
    <t>นัทธมน ตาใจ</t>
  </si>
  <si>
    <t>2708 12314 0333</t>
  </si>
  <si>
    <t>2708 12334 0061</t>
  </si>
  <si>
    <t>บธ.บ.(การจัดการทั่วไป), กอป.</t>
  </si>
  <si>
    <t>วิฆเนศ ไชยอินทร์</t>
  </si>
  <si>
    <t>รอง สว.(อก.) กชว.ศพฐ.5</t>
  </si>
  <si>
    <t>2708 12314 0334</t>
  </si>
  <si>
    <t>2708 12334 0062</t>
  </si>
  <si>
    <t>ศศ.บ., นพต.,กดต.(ปป.)</t>
  </si>
  <si>
    <t>2708 12314 0335</t>
  </si>
  <si>
    <t>2708 12334 0063</t>
  </si>
  <si>
    <t>ดรุณี  ชาวคำเขต</t>
  </si>
  <si>
    <t>ผบ.หมู่ กคพ.ศพฐ.5</t>
  </si>
  <si>
    <t>2708 12314 0336</t>
  </si>
  <si>
    <t>2708 12334 0064</t>
  </si>
  <si>
    <t>นฤมล นาคะพันธุ์</t>
  </si>
  <si>
    <t>2708 12314 0337</t>
  </si>
  <si>
    <t>2708 12334 0065</t>
  </si>
  <si>
    <t>2708 12314 0338</t>
  </si>
  <si>
    <t>2708 12334 0066</t>
  </si>
  <si>
    <t>ทองเดช ตันเป็ง</t>
  </si>
  <si>
    <t>รอง สว.(อก.) กชช.ศพฐ.5</t>
  </si>
  <si>
    <t>2708 12314 0339</t>
  </si>
  <si>
    <t>2708 12334 0067</t>
  </si>
  <si>
    <t>ปวช., บธ.บ.(การจัดการ), กดต.</t>
  </si>
  <si>
    <t>ปกรณ์เกียรติ สุทธิพงศ์พันธ์</t>
  </si>
  <si>
    <t>ผบ.หมู่ พฐ.จว.แพร่</t>
  </si>
  <si>
    <t>2708 12314 0340</t>
  </si>
  <si>
    <t>2708 12334 0068</t>
  </si>
  <si>
    <t>ปวส., กอป.</t>
  </si>
  <si>
    <t>ภีมพัฒน์ อุนจะนำ</t>
  </si>
  <si>
    <t>2708 12314 0341</t>
  </si>
  <si>
    <t>2708 12334 0069</t>
  </si>
  <si>
    <t>บธ.บ.,กอป.</t>
  </si>
  <si>
    <t>ตรีสุคนธ์ ดาวเรือง</t>
  </si>
  <si>
    <t>2708 12314 0342</t>
  </si>
  <si>
    <t>2708 12334 0070</t>
  </si>
  <si>
    <t>บุญเลิศ  อัมพวัน</t>
  </si>
  <si>
    <t>2708 12314 0343</t>
  </si>
  <si>
    <t>2708 12334 0071</t>
  </si>
  <si>
    <t>ภัทรพร  ไชยวุฒิพงศ์</t>
  </si>
  <si>
    <t>ผบ.หมู่  พฐ.จว.แพร่</t>
  </si>
  <si>
    <t>2708 12314 0344</t>
  </si>
  <si>
    <t>2708 12334 0072</t>
  </si>
  <si>
    <t>วาสนา จินสกิจ</t>
  </si>
  <si>
    <t>รอง สว.(อก.) พฐ.จว.แพร่</t>
  </si>
  <si>
    <t>2708 12314 0345</t>
  </si>
  <si>
    <t>2708 12334 0073</t>
  </si>
  <si>
    <t>บธ.บ., กอป.</t>
  </si>
  <si>
    <t>ภูริช เวียงทอง</t>
  </si>
  <si>
    <t>2708 12314 0346</t>
  </si>
  <si>
    <t>2708 12334 0074</t>
  </si>
  <si>
    <t>2708 12314 0347</t>
  </si>
  <si>
    <t>2708 12334 0075</t>
  </si>
  <si>
    <t>2708 12314 0348</t>
  </si>
  <si>
    <t>2708 12334 0076</t>
  </si>
  <si>
    <t>ธีรนาฎ ท่าช้าง</t>
  </si>
  <si>
    <t>2708 12314 0349</t>
  </si>
  <si>
    <t>2708 12334 0077</t>
  </si>
  <si>
    <t>บช.บ.,ม.6</t>
  </si>
  <si>
    <t>เสถียร ยาวะดี</t>
  </si>
  <si>
    <t>2708 12314 0350</t>
  </si>
  <si>
    <t>2708 12334 0078</t>
  </si>
  <si>
    <t>2708 12314 0351</t>
  </si>
  <si>
    <t>2708 12334 0079</t>
  </si>
  <si>
    <t>ณัฐพล วิริยอนันตกุล</t>
  </si>
  <si>
    <t>2708 12314 0352</t>
  </si>
  <si>
    <t>2708 12334 0080</t>
  </si>
  <si>
    <t>สิทธิพงษ์  สสิพรรณ์</t>
  </si>
  <si>
    <t>2708 12314 0353</t>
  </si>
  <si>
    <t>2708 12334 0081</t>
  </si>
  <si>
    <t>นบ. , นสต.</t>
  </si>
  <si>
    <t>สมนึก อินต๊ะสาร</t>
  </si>
  <si>
    <t>รอง สว.(อก.) พฐ.จว.พะเยา</t>
  </si>
  <si>
    <t>2708 12314 0354</t>
  </si>
  <si>
    <t>2708 12334 0113</t>
  </si>
  <si>
    <t>ม.6, กอป.,กดต.(อก.)</t>
  </si>
  <si>
    <t>กานต์รวี  คำลือ</t>
  </si>
  <si>
    <t>ผบ.หมู่ พฐ.จว.พะเยา</t>
  </si>
  <si>
    <t>2708 12314 0355</t>
  </si>
  <si>
    <t>2708 12334 0114</t>
  </si>
  <si>
    <t>ปวส.,ป.ตรีคอมพิวเตอร์ฯ</t>
  </si>
  <si>
    <t>สุทิน  บุญสุข</t>
  </si>
  <si>
    <t>2708 12314 0356</t>
  </si>
  <si>
    <t>2708 12334 0115</t>
  </si>
  <si>
    <t>เผด็จ ไชยยศ</t>
  </si>
  <si>
    <t>2708 12314 0357</t>
  </si>
  <si>
    <t>2708 12334 0116</t>
  </si>
  <si>
    <t>ศศ.บ., นพต.</t>
  </si>
  <si>
    <t>2708 12314 0358</t>
  </si>
  <si>
    <t>2708 12334 0117</t>
  </si>
  <si>
    <t>รบ., นพต.</t>
  </si>
  <si>
    <t>2708 12314 0359</t>
  </si>
  <si>
    <t>2708 12334 0118</t>
  </si>
  <si>
    <t>เฉลิมพงษ์ บุญประสิทธิ์</t>
  </si>
  <si>
    <t>2708 12314 0360</t>
  </si>
  <si>
    <t>2708 12334 0119</t>
  </si>
  <si>
    <t>สมบูรณ์ สายวงค์เดือน</t>
  </si>
  <si>
    <t>2708 12314 0361</t>
  </si>
  <si>
    <t>2708 12334 0120</t>
  </si>
  <si>
    <t>รบ., กอป.</t>
  </si>
  <si>
    <t>เนตรนภา เสียงเย็น</t>
  </si>
  <si>
    <t>2708 12314 0362</t>
  </si>
  <si>
    <t>2708 12334 0121</t>
  </si>
  <si>
    <t>2708 12314 0363</t>
  </si>
  <si>
    <t>2708 12334 0122</t>
  </si>
  <si>
    <t>ระพีพันธ์  ตาปัญโญ</t>
  </si>
  <si>
    <t>2708 12314 0364</t>
  </si>
  <si>
    <t>2708 12334 0123</t>
  </si>
  <si>
    <t>ศศบ.</t>
  </si>
  <si>
    <t>สุพัฒนา อุปมา</t>
  </si>
  <si>
    <t>2708 12314 0365</t>
  </si>
  <si>
    <t>2708 12334 0124</t>
  </si>
  <si>
    <t>ม.3, ศศ.บ.</t>
  </si>
  <si>
    <t>กฤษฎาพงษ์ เมืองมา</t>
  </si>
  <si>
    <t>2708 12314 0366</t>
  </si>
  <si>
    <t>2708 12334 0125</t>
  </si>
  <si>
    <t>เสฎฐรัตน เย็นจิตต์</t>
  </si>
  <si>
    <t>2708 12314 0367</t>
  </si>
  <si>
    <t>2708 12334 0126</t>
  </si>
  <si>
    <t>น.บ., นพต.</t>
  </si>
  <si>
    <t>ภัสดาริณญ์  ภูริชฐานวัฒน์</t>
  </si>
  <si>
    <t>ผบ.หมู่ พฐ.จว.น่าน</t>
  </si>
  <si>
    <t>2708 12314 0368</t>
  </si>
  <si>
    <t>2708 12334 0127</t>
  </si>
  <si>
    <t>วศ.บ.,วศ.ม., ตวท., กอป.(57)</t>
  </si>
  <si>
    <t>พงศธร  ใบยา</t>
  </si>
  <si>
    <t>2708 12314 0369</t>
  </si>
  <si>
    <t>2708 12334 0128</t>
  </si>
  <si>
    <t>นฤพันธ์ ใบยา</t>
  </si>
  <si>
    <t>2708 12314 0370</t>
  </si>
  <si>
    <t>2708 12334 0129</t>
  </si>
  <si>
    <t>วทบ./นสต./ตวท.</t>
  </si>
  <si>
    <t>ภาวนา ธิเสนา</t>
  </si>
  <si>
    <t>2708 12314 0371</t>
  </si>
  <si>
    <t>2708 12334 0130</t>
  </si>
  <si>
    <t>ค.บ.(อุตสาหกรรม), กปป.</t>
  </si>
  <si>
    <t>ยุทธพงษ์ จักร์น้อย</t>
  </si>
  <si>
    <t>รอง สว.(อก.) พฐ.จว.น่าน</t>
  </si>
  <si>
    <t>2708 12314 0372</t>
  </si>
  <si>
    <t>2708 12334 0131</t>
  </si>
  <si>
    <t>สัญญา ยะแสง</t>
  </si>
  <si>
    <t>2708 12314 0373</t>
  </si>
  <si>
    <t>2708 12334 0132</t>
  </si>
  <si>
    <t>ปวส., ศศ.บ., กอป.</t>
  </si>
  <si>
    <t>นพสิทธิ์ รุ่งอุดมเลิศ</t>
  </si>
  <si>
    <t>2708 12314 0374</t>
  </si>
  <si>
    <t>2708 12334 0133</t>
  </si>
  <si>
    <t>สพฐ.ตร.128/63</t>
  </si>
  <si>
    <t>นัดทนันท์ รุ่งอุดมเลิศ</t>
  </si>
  <si>
    <t>2708 12314 0375</t>
  </si>
  <si>
    <t>2708 12334 0134</t>
  </si>
  <si>
    <t>ปวช., ศศ.บ.(การจัดการ), กอป.,กดต.(อก.)</t>
  </si>
  <si>
    <t>2708 12314 0376</t>
  </si>
  <si>
    <t>2708 12334 0135</t>
  </si>
  <si>
    <t>กสิณพจน์ ปะทิ</t>
  </si>
  <si>
    <t>2708 12314 0377</t>
  </si>
  <si>
    <t>2708 12334 0136</t>
  </si>
  <si>
    <t>ครองขวัญ นนตะ</t>
  </si>
  <si>
    <t>2708 12314 0378</t>
  </si>
  <si>
    <t>2708 12334 0137</t>
  </si>
  <si>
    <t>ปวช., ศศ.บ., กอป.</t>
  </si>
  <si>
    <t>จตุรงค์ พัฒนสกุลกาล</t>
  </si>
  <si>
    <t>2708 12314 0379</t>
  </si>
  <si>
    <t>2708 12334 0138</t>
  </si>
  <si>
    <t>2708 12314 0380</t>
  </si>
  <si>
    <t>2708 12334 0139</t>
  </si>
  <si>
    <t>วารินทร์ ปะทิ</t>
  </si>
  <si>
    <t>2708 12314 0381</t>
  </si>
  <si>
    <t>2708 12334 0140</t>
  </si>
  <si>
    <t>นพต.,ร.บ.</t>
  </si>
  <si>
    <t>อรทัย จะซา</t>
  </si>
  <si>
    <t>ผบ.หมู่ พฐ.จว.เชียงใหม่</t>
  </si>
  <si>
    <t>2708 12314 0382</t>
  </si>
  <si>
    <t>2708 12334 0155</t>
  </si>
  <si>
    <t>ศศ.บ.(ภาษาจีน),กอป.</t>
  </si>
  <si>
    <t>วรารัตน์ อิ่นแก้ว</t>
  </si>
  <si>
    <t>2708 12314 0383</t>
  </si>
  <si>
    <t>2708 12334 0156</t>
  </si>
  <si>
    <t>วท.บ.(เทคโนโลยีสารสนเทศ)</t>
  </si>
  <si>
    <t>สิทธิโชค วงศ์คำ</t>
  </si>
  <si>
    <t>รอง สว.(อก.) พฐ.จว.เชียงใหม่</t>
  </si>
  <si>
    <t>2708 12314 0384</t>
  </si>
  <si>
    <t>2708 12334 0157</t>
  </si>
  <si>
    <t>ม.6 , นพต.</t>
  </si>
  <si>
    <t>กนกอร แม็คนีล</t>
  </si>
  <si>
    <t>2708 12314 0385</t>
  </si>
  <si>
    <t>2708 12334 0158</t>
  </si>
  <si>
    <t>ศศ.บ. , กอป.</t>
  </si>
  <si>
    <t>โชติกา ประเสริฐ</t>
  </si>
  <si>
    <t>2708 12314 0386</t>
  </si>
  <si>
    <t>2708 12334 0159</t>
  </si>
  <si>
    <t>ปวช. , กอป.</t>
  </si>
  <si>
    <t>2708 12314 0387</t>
  </si>
  <si>
    <t>2708 12334 0160</t>
  </si>
  <si>
    <t>ทัศน์ชัย คำแปง</t>
  </si>
  <si>
    <t>2708 12314 0388</t>
  </si>
  <si>
    <t>2708 12334 0161</t>
  </si>
  <si>
    <t>วศ.บ.(วิศวกรรมโทรคมนาคม)</t>
  </si>
  <si>
    <t>กุลญาภา ยศถามี</t>
  </si>
  <si>
    <t>2708 12314 0389</t>
  </si>
  <si>
    <t>2708 12334 0162</t>
  </si>
  <si>
    <t>ปวช.,กอป.31</t>
  </si>
  <si>
    <t>นราธิป สุทธิแป้น</t>
  </si>
  <si>
    <t>2708 12314 0390</t>
  </si>
  <si>
    <t>2708 12334 0163</t>
  </si>
  <si>
    <t>นบ. , กปป.</t>
  </si>
  <si>
    <t>สุพจน์ สิทธิสอน</t>
  </si>
  <si>
    <t>2708 12314 0391</t>
  </si>
  <si>
    <t>2708 12334 0164</t>
  </si>
  <si>
    <t>ศน.บ. , กอป.</t>
  </si>
  <si>
    <t>จิตกร หอมอ่อน</t>
  </si>
  <si>
    <t>2708 12314 0392</t>
  </si>
  <si>
    <t>2708 12334 0165</t>
  </si>
  <si>
    <t>บธ.บ. , กอป.</t>
  </si>
  <si>
    <t>อำนวย บัวละวงค์</t>
  </si>
  <si>
    <t>2708 12314 0393</t>
  </si>
  <si>
    <t>2708 12334 0166</t>
  </si>
  <si>
    <t>ทวีศักดิ์  คำลือ</t>
  </si>
  <si>
    <t>2708 12314 0394</t>
  </si>
  <si>
    <t>2708 12334 0167</t>
  </si>
  <si>
    <t>นิรัตน์ฌา ปันจะ</t>
  </si>
  <si>
    <t>2708 12314 0395</t>
  </si>
  <si>
    <t>2708 12334 0168</t>
  </si>
  <si>
    <t>2708 12314 0396</t>
  </si>
  <si>
    <t>2708 12334 0169</t>
  </si>
  <si>
    <t>ปวช., นพต.</t>
  </si>
  <si>
    <t>2708 12314 0397</t>
  </si>
  <si>
    <t>2708 12334 0170</t>
  </si>
  <si>
    <t>จุฑารัตน์ พรหมจักรแก้ว</t>
  </si>
  <si>
    <t>2708 12314 0398</t>
  </si>
  <si>
    <t>2708 12334 0171</t>
  </si>
  <si>
    <t>นราธิป ไชยทิพย์</t>
  </si>
  <si>
    <t>ผบ.หมู่ พฐ.จว.เชียงราย</t>
  </si>
  <si>
    <t>2708 12314 0399</t>
  </si>
  <si>
    <t>2708 12334 0096</t>
  </si>
  <si>
    <t>ม.6/กอป.,ตวท.</t>
  </si>
  <si>
    <t>เดชาชิต  พลเมืองดี</t>
  </si>
  <si>
    <t>2708 12314 0400</t>
  </si>
  <si>
    <t>2708 12334 0097</t>
  </si>
  <si>
    <t>ปวช./รปศ./ตวท.</t>
  </si>
  <si>
    <t>สวาท บุญยวง</t>
  </si>
  <si>
    <t>รอง สว.(อก.) พฐ.จว.เชียงราย</t>
  </si>
  <si>
    <t>2708 12314 0401</t>
  </si>
  <si>
    <t>2708 12334 0098</t>
  </si>
  <si>
    <t>รศ.บ./นปพ./มปส.</t>
  </si>
  <si>
    <t>2708 12314 0402</t>
  </si>
  <si>
    <t>2708 12334 0099</t>
  </si>
  <si>
    <t>เฌอกัญญ์  มีเพียร</t>
  </si>
  <si>
    <t>2708 12314 0403</t>
  </si>
  <si>
    <t>2708 12334 0100</t>
  </si>
  <si>
    <t>บธ.น./ป.บัณฑิต/กอป./ตวท.</t>
  </si>
  <si>
    <t>กนกพร ขันจันแสง</t>
  </si>
  <si>
    <t>2708 12314 0404</t>
  </si>
  <si>
    <t>2708 12334 0101</t>
  </si>
  <si>
    <t>สุทธิชา ไชยทิพย์</t>
  </si>
  <si>
    <t>2708 12314 0405</t>
  </si>
  <si>
    <t>2708 12334 0102</t>
  </si>
  <si>
    <t>น.บ. / กอป.</t>
  </si>
  <si>
    <t>ประภาส ชุ่มใจ</t>
  </si>
  <si>
    <t>2708 12314 0406</t>
  </si>
  <si>
    <t>2708 12334 0103</t>
  </si>
  <si>
    <t>บุญเชิด แสนบุญยืน</t>
  </si>
  <si>
    <t>2708 12314 0407</t>
  </si>
  <si>
    <t>2708 12334 0104</t>
  </si>
  <si>
    <t>สุระพงษ์ ประมวล</t>
  </si>
  <si>
    <t>2708 12314 0408</t>
  </si>
  <si>
    <t>2708 12334 0105</t>
  </si>
  <si>
    <t>ภิตินันท์ ไชยเดช</t>
  </si>
  <si>
    <t>2708 12314 0409</t>
  </si>
  <si>
    <t>2708 12334 0106</t>
  </si>
  <si>
    <t>กฤตกร  ต๊ะน้อย</t>
  </si>
  <si>
    <t>2708 12314 0410</t>
  </si>
  <si>
    <t>2708 12334 0107</t>
  </si>
  <si>
    <t>รปศ./รบ.ม.</t>
  </si>
  <si>
    <t>กฤตภาส กาสีใจ</t>
  </si>
  <si>
    <t>2708 12314 0411</t>
  </si>
  <si>
    <t>2708 12334 0108</t>
  </si>
  <si>
    <t>วีระพงษ์ ทองเบ้า</t>
  </si>
  <si>
    <t>2708 12314 0412</t>
  </si>
  <si>
    <t>2708 12334 0109</t>
  </si>
  <si>
    <t>น.บ./กอป./ตวท.</t>
  </si>
  <si>
    <t>สุภาวดี  ตรีธวัช</t>
  </si>
  <si>
    <t>2708 12314 0413</t>
  </si>
  <si>
    <t>2708 12334 0110</t>
  </si>
  <si>
    <t>2708 12314 0414</t>
  </si>
  <si>
    <t>2708 12334 0111</t>
  </si>
  <si>
    <t>วิฑูรย์  ตั้งดำรงศิลป์</t>
  </si>
  <si>
    <t>2708 12314 0415</t>
  </si>
  <si>
    <t>2708 12334 0112</t>
  </si>
  <si>
    <t>วทบ./น.บ./นสต./ตวท.</t>
  </si>
  <si>
    <t>ผบ.หมู่ พฐ.จว.ลำพูน</t>
  </si>
  <si>
    <t>2708 12314 0416</t>
  </si>
  <si>
    <t>2708 12334 0082</t>
  </si>
  <si>
    <t>ธนาพร ชัยแก้ว</t>
  </si>
  <si>
    <t>2708 12314 0417</t>
  </si>
  <si>
    <t>2708 12334 0083</t>
  </si>
  <si>
    <t>พันทิวา ทาแก้ว</t>
  </si>
  <si>
    <t>2708 12314 0418</t>
  </si>
  <si>
    <t>2708 12334 0084</t>
  </si>
  <si>
    <t>ปวช.,บธ.บ., กอป.</t>
  </si>
  <si>
    <t>รอง สว.(อก.) พฐ.จว.ลำพูน</t>
  </si>
  <si>
    <t>2708 12314 0419</t>
  </si>
  <si>
    <t>2708 12334 0085</t>
  </si>
  <si>
    <t>สอาด พรหมภิญโญ</t>
  </si>
  <si>
    <t>2708 12314 0420</t>
  </si>
  <si>
    <t>2708 12334 0086</t>
  </si>
  <si>
    <t>ม.3, ปวท.(ธุรกิจเกษตร),นพต.40/32</t>
  </si>
  <si>
    <t>2708 12314 0421</t>
  </si>
  <si>
    <t>2708 12334 0087</t>
  </si>
  <si>
    <t>2708 12314 0422</t>
  </si>
  <si>
    <t>2708 12334 0088</t>
  </si>
  <si>
    <t>อนันต์ ใจวงศ์ผาบ</t>
  </si>
  <si>
    <t>2708 12314 0423</t>
  </si>
  <si>
    <t>2708 12334 0089</t>
  </si>
  <si>
    <t>ปวช., นพต. 20/63</t>
  </si>
  <si>
    <t>พีรวินทร์ จินดาหลวง</t>
  </si>
  <si>
    <t>2708 12314 0424</t>
  </si>
  <si>
    <t>2708 12334 0090</t>
  </si>
  <si>
    <t>วันชัย  คำถ่อน</t>
  </si>
  <si>
    <t>2708 12314 0425</t>
  </si>
  <si>
    <t>2708 12334 0091</t>
  </si>
  <si>
    <t>บธ.บ., กปป.(อก) 4/54</t>
  </si>
  <si>
    <t>จิรัฏฐ์  มงคลกิตติ์อารี</t>
  </si>
  <si>
    <t>2708 12314 0426</t>
  </si>
  <si>
    <t>2708 12334 0092</t>
  </si>
  <si>
    <t>ม.6, นพต.44/36</t>
  </si>
  <si>
    <t>ศรัณยา เนตรสาคร</t>
  </si>
  <si>
    <t>2708 12314 0427</t>
  </si>
  <si>
    <t>2708 12334 0093</t>
  </si>
  <si>
    <t>ปวช., สส.บ.,กอป.</t>
  </si>
  <si>
    <t>วสันต์  มาหลง</t>
  </si>
  <si>
    <t>2708 12314 0428</t>
  </si>
  <si>
    <t>2708 12334 0094</t>
  </si>
  <si>
    <t>ม.6, รปศ, นสต.1/48</t>
  </si>
  <si>
    <t>นันทวุฒิ เวียงสมุทร</t>
  </si>
  <si>
    <t>2708 12314 0429</t>
  </si>
  <si>
    <t>2708 12334 0095</t>
  </si>
  <si>
    <t>ผบ.หมู่ พฐ.จว.แม่ฮ่องสอน</t>
  </si>
  <si>
    <t>2708 12314 0430</t>
  </si>
  <si>
    <t>2708 12334 0141</t>
  </si>
  <si>
    <t>2708 12314 0431</t>
  </si>
  <si>
    <t>2708 12334 0142</t>
  </si>
  <si>
    <t>2708 12314 0432</t>
  </si>
  <si>
    <t>2708 12334 0143</t>
  </si>
  <si>
    <t>2708 12314 0433</t>
  </si>
  <si>
    <t>2708 12334 0144</t>
  </si>
  <si>
    <t>2708 12314 0434</t>
  </si>
  <si>
    <t>2708 12334 0145</t>
  </si>
  <si>
    <t>ณัทภ์ณิชาก์  ผลนวพจน์</t>
  </si>
  <si>
    <t>2708 12314 0435</t>
  </si>
  <si>
    <t>2708 12334 0146</t>
  </si>
  <si>
    <t>อนุชิต ทัตชัย</t>
  </si>
  <si>
    <t>2708 12314 0436</t>
  </si>
  <si>
    <t>2708 12334 0147</t>
  </si>
  <si>
    <t>รป.บ., กอป.</t>
  </si>
  <si>
    <t>2708 12314 0437</t>
  </si>
  <si>
    <t>2708 12334 0148</t>
  </si>
  <si>
    <t>2708 12314 0438</t>
  </si>
  <si>
    <t>2708 12334 0149</t>
  </si>
  <si>
    <t>2708 12314 0439</t>
  </si>
  <si>
    <t>2708 12334 0150</t>
  </si>
  <si>
    <t>เยาวลักษณ์  ปัญญากาบ</t>
  </si>
  <si>
    <t>2708 12314 0440</t>
  </si>
  <si>
    <t>2708 12334 0151</t>
  </si>
  <si>
    <t>2708 12314 0441</t>
  </si>
  <si>
    <t>2708 12334 0152</t>
  </si>
  <si>
    <t>2708 12314 0442</t>
  </si>
  <si>
    <t>2708 12334 0153</t>
  </si>
  <si>
    <t>2708 12314 0443</t>
  </si>
  <si>
    <t>2708 12334 0154</t>
  </si>
  <si>
    <t>ผบ.หมู่ ศพฐ.6</t>
  </si>
  <si>
    <t>2709 12301 0001</t>
  </si>
  <si>
    <t>2709 12357 0001</t>
  </si>
  <si>
    <t>2709 12301 0002</t>
  </si>
  <si>
    <t>2709 12357 0002</t>
  </si>
  <si>
    <t>ผบ.หมู่ ฝอ.ศพฐ.6</t>
  </si>
  <si>
    <t>2709 12301 0262</t>
  </si>
  <si>
    <t>2709 12357 0003</t>
  </si>
  <si>
    <t>2709 12301 0263</t>
  </si>
  <si>
    <t>2709 12357 0004</t>
  </si>
  <si>
    <t>2709 12301 0264</t>
  </si>
  <si>
    <t>2709 12357 0005</t>
  </si>
  <si>
    <t>2709 12301 0265</t>
  </si>
  <si>
    <t>2709 12357 0006</t>
  </si>
  <si>
    <t>2709 12301 0266</t>
  </si>
  <si>
    <t>2709 12357 0007</t>
  </si>
  <si>
    <t>2709 12301 0267</t>
  </si>
  <si>
    <t>2709 12357 0008</t>
  </si>
  <si>
    <t>ปวช.,ศศ.บ.,กอป.</t>
  </si>
  <si>
    <t>2709 12301 0268</t>
  </si>
  <si>
    <t>2709 12357 0009</t>
  </si>
  <si>
    <t>2709 12301 0269</t>
  </si>
  <si>
    <t>2709 12357 0010</t>
  </si>
  <si>
    <t>2709 12301 0270</t>
  </si>
  <si>
    <t>2709 12357 0011</t>
  </si>
  <si>
    <t>2709 12314 0271</t>
  </si>
  <si>
    <t>2709 12334 0013</t>
  </si>
  <si>
    <t>ปิยะนารถ ภูมิผล</t>
  </si>
  <si>
    <t>2709 12314 0272</t>
  </si>
  <si>
    <t>2709 12334 0014</t>
  </si>
  <si>
    <t>ปวช.,กศ.บ.,กอป.</t>
  </si>
  <si>
    <t>ชูขวัญ พูลหน่าย</t>
  </si>
  <si>
    <t>2709 12314 0273</t>
  </si>
  <si>
    <t>2709 12334 0015</t>
  </si>
  <si>
    <t>ชัยนเรศ  พูลหน่าย</t>
  </si>
  <si>
    <t>2709 12314 0274</t>
  </si>
  <si>
    <t>2709 12334 0016</t>
  </si>
  <si>
    <t>น.บ.,ต.ว.ท.26</t>
  </si>
  <si>
    <t>สุเทพ อ่อนน้อม</t>
  </si>
  <si>
    <t>2709 12314 0275</t>
  </si>
  <si>
    <t>2709 12334 0017</t>
  </si>
  <si>
    <t>2709 12314 0276</t>
  </si>
  <si>
    <t>2709 12334 0018</t>
  </si>
  <si>
    <t>จุไรรัตน์ เอ็งประเสริฐ</t>
  </si>
  <si>
    <t>2709 12314 0277</t>
  </si>
  <si>
    <t>2709 12334 0019</t>
  </si>
  <si>
    <t>ธันย์ชนก  กิตติสยาม</t>
  </si>
  <si>
    <t>2709 12314 0278</t>
  </si>
  <si>
    <t>2709 12334 0020</t>
  </si>
  <si>
    <t>นิตยา เกตุพิมล</t>
  </si>
  <si>
    <t>2709 12314 0279</t>
  </si>
  <si>
    <t>2709 12334 0021</t>
  </si>
  <si>
    <t>ฉวีวรรณ ปิ่นสกุล</t>
  </si>
  <si>
    <t>2709 12314 0280</t>
  </si>
  <si>
    <t>2709 12334 0022</t>
  </si>
  <si>
    <t>ปวช.,บธ.บ.,กอป.</t>
  </si>
  <si>
    <t>ศรวณีย์  แสงวิเศษ</t>
  </si>
  <si>
    <t>2709 12301 0281</t>
  </si>
  <si>
    <t>2709 12327 0012</t>
  </si>
  <si>
    <t>จันคมณี จันทร์พุฒ</t>
  </si>
  <si>
    <t>ผบ.หมู่ กสก.ศพฐ.6</t>
  </si>
  <si>
    <t>2709 12314 0282</t>
  </si>
  <si>
    <t>2709 12334 0023</t>
  </si>
  <si>
    <t>ปวช.,ศศ.บ.,กอป.,นบ.</t>
  </si>
  <si>
    <t>ผบ.หมู่ กสก. ศพฐ.6</t>
  </si>
  <si>
    <t>2709 12314 0283</t>
  </si>
  <si>
    <t>2709 12334 0024</t>
  </si>
  <si>
    <t>ถิรพุทธิ์  ภู่พุกก์</t>
  </si>
  <si>
    <t>2709 12314 0284</t>
  </si>
  <si>
    <t>2709 12334 0025</t>
  </si>
  <si>
    <t>สิทธิศักดิ์ ดวงใจ</t>
  </si>
  <si>
    <t>2709 12314 0285</t>
  </si>
  <si>
    <t>2709 12334 0026</t>
  </si>
  <si>
    <t>2709 12314 0286</t>
  </si>
  <si>
    <t>2709 12334 0027</t>
  </si>
  <si>
    <t>สมโภชน์ อาจบัว</t>
  </si>
  <si>
    <t>รอง สว.(อก.) กสก.ศพฐ.6</t>
  </si>
  <si>
    <t>2709 12314 0287</t>
  </si>
  <si>
    <t>2709 12334 0028</t>
  </si>
  <si>
    <t>ม.6,ศศ.บ.,รป.ม.,นพต.</t>
  </si>
  <si>
    <t>ศุภวุฒิ  คำมี</t>
  </si>
  <si>
    <t>2709 12314 0288</t>
  </si>
  <si>
    <t>2709 12334 0029</t>
  </si>
  <si>
    <t>วฤทธิ์  วงศ์หมื่นรัตน์</t>
  </si>
  <si>
    <t>2709 12314 0289</t>
  </si>
  <si>
    <t>2709 12334 0030</t>
  </si>
  <si>
    <t>2709 12314 0290</t>
  </si>
  <si>
    <t>2709 12334 0031</t>
  </si>
  <si>
    <t>ณัฐพล ตั้งสวัสดิพงษ์</t>
  </si>
  <si>
    <t>2709 12314 0291</t>
  </si>
  <si>
    <t>2709 12334 0032</t>
  </si>
  <si>
    <t>ปรัชญา  สมเพชร</t>
  </si>
  <si>
    <t>2709 12314 0292</t>
  </si>
  <si>
    <t>2709 12334 0033</t>
  </si>
  <si>
    <t>วาริสา เรืองคำ</t>
  </si>
  <si>
    <t>ผบ.หมู่ กอส.ศพฐ.6</t>
  </si>
  <si>
    <t>2709 12314 0293</t>
  </si>
  <si>
    <t>2709 12334 0034</t>
  </si>
  <si>
    <t>วัลลภ อินจง</t>
  </si>
  <si>
    <t>รอง สว.(อก.) กอส.ศพฐ.6</t>
  </si>
  <si>
    <t>2709 12314 0294</t>
  </si>
  <si>
    <t>2709 12334 0035</t>
  </si>
  <si>
    <t>2709 12314 0295</t>
  </si>
  <si>
    <t>2709 12334 0036</t>
  </si>
  <si>
    <t>2709 12314 0296</t>
  </si>
  <si>
    <t>2709 12334 0037</t>
  </si>
  <si>
    <t>ผบ.หมู่ กอป.ศพฐ.6</t>
  </si>
  <si>
    <t>2709 12314 0297</t>
  </si>
  <si>
    <t>2709 12334 0038</t>
  </si>
  <si>
    <t>2709 12314 0298</t>
  </si>
  <si>
    <t>2709 12334 0039</t>
  </si>
  <si>
    <t>ณัฐพัชร์ สืบช่างศิลป์</t>
  </si>
  <si>
    <t>2709 12314 0299</t>
  </si>
  <si>
    <t>2709 12334 0040</t>
  </si>
  <si>
    <t>2709 12314 0300</t>
  </si>
  <si>
    <t>2709 12334 0041</t>
  </si>
  <si>
    <t>2709 12314 0301</t>
  </si>
  <si>
    <t>2709 12334 0042</t>
  </si>
  <si>
    <t>อรรถวิทย์ ศรีชัวชม</t>
  </si>
  <si>
    <t>2709 12314 0302</t>
  </si>
  <si>
    <t>2709 12334 0043</t>
  </si>
  <si>
    <t>2709 12314 0303</t>
  </si>
  <si>
    <t>2709 12334 0044</t>
  </si>
  <si>
    <t>ขจรเกียรติ ปานศรีนวล</t>
  </si>
  <si>
    <t>ผบ.หมู่ กคม.ศพฐ.6</t>
  </si>
  <si>
    <t>2709 12314 0304</t>
  </si>
  <si>
    <t>2709 12334 0045</t>
  </si>
  <si>
    <t>ปวช.,กอป.,ศศ.บ.</t>
  </si>
  <si>
    <t>สพฐ.ตร.ที่ 183/62</t>
  </si>
  <si>
    <t>ปรีดา นุ่มนิ่ม</t>
  </si>
  <si>
    <t>รอง สว.(อก.) กคม.ศพฐ.6</t>
  </si>
  <si>
    <t>2709 12314 0305</t>
  </si>
  <si>
    <t>2709 12334 0046</t>
  </si>
  <si>
    <t>นพต.,ปวท.,รป.ศ.,กดต.(ปป.)</t>
  </si>
  <si>
    <t>ธีรวัฒน์  หินแก้ว</t>
  </si>
  <si>
    <t>2709 12314 0306</t>
  </si>
  <si>
    <t>2709 12334 0047</t>
  </si>
  <si>
    <t>ธิดารัตน์  จ้ำดา</t>
  </si>
  <si>
    <t>2709 12314 0307</t>
  </si>
  <si>
    <t>2709 12334 0048</t>
  </si>
  <si>
    <t>สุภาภรณ์ ทวีไชย</t>
  </si>
  <si>
    <t>ผบ.หมู่ กยส.ศพฐ.6</t>
  </si>
  <si>
    <t>2709 12314 0308</t>
  </si>
  <si>
    <t>2709 12334 0049</t>
  </si>
  <si>
    <t>เสาวณีย์ ปานศรีนวล</t>
  </si>
  <si>
    <t>2709 12314 0309</t>
  </si>
  <si>
    <t>2709 12334 0050</t>
  </si>
  <si>
    <t>ปวช.,รป.ศ.,กอป.</t>
  </si>
  <si>
    <t>สุวรรณา ทิพย์ทิวากรกุล</t>
  </si>
  <si>
    <t>2709 12314 0310</t>
  </si>
  <si>
    <t>2709 12334 0051</t>
  </si>
  <si>
    <t>2709 12314 0311</t>
  </si>
  <si>
    <t>2709 12334 0052</t>
  </si>
  <si>
    <t>สมจิตร จันทรอินทร์</t>
  </si>
  <si>
    <t>ผบ.หมู่ กนฝ.ศพฐ.6</t>
  </si>
  <si>
    <t>2709 12314 0312</t>
  </si>
  <si>
    <t>2709 12334 0053</t>
  </si>
  <si>
    <t>ธวัช ขุนงามขำ</t>
  </si>
  <si>
    <t>2709 12314 0313</t>
  </si>
  <si>
    <t>2709 12334 0054</t>
  </si>
  <si>
    <t>นบ</t>
  </si>
  <si>
    <t>รอง สว.(อก.) กนฝ.ศพฐ.6</t>
  </si>
  <si>
    <t>2709 12314 0314</t>
  </si>
  <si>
    <t>2709 12334 0055</t>
  </si>
  <si>
    <t>กีรติกร มั่นสอน</t>
  </si>
  <si>
    <t>2709 12314 0315</t>
  </si>
  <si>
    <t>2709 12334 0056</t>
  </si>
  <si>
    <t>ภูธนณัฏฑ์ มาชม</t>
  </si>
  <si>
    <t>2709 12314 0316</t>
  </si>
  <si>
    <t>2709 12334 0057</t>
  </si>
  <si>
    <t>นพต.,น.บ.</t>
  </si>
  <si>
    <t>ชลธิชา ภูศรีเทศ</t>
  </si>
  <si>
    <t>ผบ.หมู่ กชว.ศพฐ.6</t>
  </si>
  <si>
    <t>2709 12314 0317</t>
  </si>
  <si>
    <t>2709 12334 0058</t>
  </si>
  <si>
    <t>2709 12314 0318</t>
  </si>
  <si>
    <t>2709 12334 0059</t>
  </si>
  <si>
    <t>2709 12314 0319</t>
  </si>
  <si>
    <t>2709 12334 0060</t>
  </si>
  <si>
    <t>2709 12314 0320</t>
  </si>
  <si>
    <t>2709 12334 0061</t>
  </si>
  <si>
    <t>อำนาจ นุชท่าโพ</t>
  </si>
  <si>
    <t>ผบ.หมู่ กคพ.ศพฐ.6</t>
  </si>
  <si>
    <t>2709 12314 0321</t>
  </si>
  <si>
    <t>2709 12334 0062</t>
  </si>
  <si>
    <t>ฤทัยทิพย์ เวชรังษีกุล</t>
  </si>
  <si>
    <t>2709 12314 0322</t>
  </si>
  <si>
    <t>2709 12334 0063</t>
  </si>
  <si>
    <t>บธ.บ. ,การทำลายวัตถุระเบิด ,กปป.( รุ่น2/2552)</t>
  </si>
  <si>
    <t>ธิฏินันท์ จันทร</t>
  </si>
  <si>
    <t>2709 12314 0323</t>
  </si>
  <si>
    <t>2709 12334 0064</t>
  </si>
  <si>
    <t>2709 12314 0324</t>
  </si>
  <si>
    <t>2709 12334 0065</t>
  </si>
  <si>
    <t>ผบ.หมู่ กชช.ศพฐ.6</t>
  </si>
  <si>
    <t>2709 12314 0325</t>
  </si>
  <si>
    <t>2709 12334 0066</t>
  </si>
  <si>
    <t>จำรัส อ้นโต</t>
  </si>
  <si>
    <t>ผบ.หมู่ พฐ.จว.พิจิตร</t>
  </si>
  <si>
    <t>2709 12314 0326</t>
  </si>
  <si>
    <t>2709 12334 0067</t>
  </si>
  <si>
    <t>2709 12314 0327</t>
  </si>
  <si>
    <t>2709 12334 0068</t>
  </si>
  <si>
    <t>2709 12314 0328</t>
  </si>
  <si>
    <t>2709 12334 0069</t>
  </si>
  <si>
    <t>ณัฐวีร์  คล้ายเนียม</t>
  </si>
  <si>
    <t>2709 12314 0329</t>
  </si>
  <si>
    <t>2709 12334 0070</t>
  </si>
  <si>
    <t>ไตรเทพ   กุลหอม</t>
  </si>
  <si>
    <t>2709 12314 0330</t>
  </si>
  <si>
    <t>2709 12334 0071</t>
  </si>
  <si>
    <t>วลัยพรรณ อินทร</t>
  </si>
  <si>
    <t>รอง สว.(อก.) พฐ.จว.พิจิตร</t>
  </si>
  <si>
    <t>2709 12314 0331</t>
  </si>
  <si>
    <t>2709 12334 0072</t>
  </si>
  <si>
    <t>ม.6,ศศ.บ.,กอป.</t>
  </si>
  <si>
    <t>สายพิณ วงค์ประกรคำ</t>
  </si>
  <si>
    <t>2709 12314 0332</t>
  </si>
  <si>
    <t>2709 12334 0073</t>
  </si>
  <si>
    <t>2709 12314 0333</t>
  </si>
  <si>
    <t>2709 12334 0074</t>
  </si>
  <si>
    <t>2709 12314 0334</t>
  </si>
  <si>
    <t>2709 12334 0075</t>
  </si>
  <si>
    <t>เสรี ทองแลง</t>
  </si>
  <si>
    <t>2709 12314 0335</t>
  </si>
  <si>
    <t>2709 12334 0076</t>
  </si>
  <si>
    <t>2709 12314 0336</t>
  </si>
  <si>
    <t>2709 12334 0077</t>
  </si>
  <si>
    <t>2709 12314 0337</t>
  </si>
  <si>
    <t>2709 12334 0078</t>
  </si>
  <si>
    <t>ประสูติ เพ็ชรโต</t>
  </si>
  <si>
    <t>2709 12314 0338</t>
  </si>
  <si>
    <t>2709 12334 0079</t>
  </si>
  <si>
    <t>2709 12314 0339</t>
  </si>
  <si>
    <t>2709 12334 0080</t>
  </si>
  <si>
    <t>วชิร มณีเกตุ</t>
  </si>
  <si>
    <t>ผบ.หมู่ พฐ.จว.เพชรบูรณ์</t>
  </si>
  <si>
    <t>2709 12314 0340</t>
  </si>
  <si>
    <t>2709 12334 0112</t>
  </si>
  <si>
    <t>ภูมินทร์ นิลมูล</t>
  </si>
  <si>
    <t>2709 12314 0341</t>
  </si>
  <si>
    <t>2709 12334 0113</t>
  </si>
  <si>
    <t>บุญญศักดิ์  สุกใส</t>
  </si>
  <si>
    <t>2709 12314 0342</t>
  </si>
  <si>
    <t>2709 12334 0114</t>
  </si>
  <si>
    <t>วสุพล หลุยจันทึก</t>
  </si>
  <si>
    <t>2709 12314 0343</t>
  </si>
  <si>
    <t>2709 12334 0115</t>
  </si>
  <si>
    <t>ธนภาค เปรมปรีดิ์</t>
  </si>
  <si>
    <t>2709 12314 0344</t>
  </si>
  <si>
    <t>2709 12334 0116</t>
  </si>
  <si>
    <t>2709 12314 0345</t>
  </si>
  <si>
    <t>2709 12334 0117</t>
  </si>
  <si>
    <t>2709 12314 0346</t>
  </si>
  <si>
    <t>2709 12334 0118</t>
  </si>
  <si>
    <t>2709 12314 0347</t>
  </si>
  <si>
    <t>2709 12334 0119</t>
  </si>
  <si>
    <t>2709 12314 0348</t>
  </si>
  <si>
    <t>2709 12334 0120</t>
  </si>
  <si>
    <t>2709 12314 0349</t>
  </si>
  <si>
    <t>2709 12334 0121</t>
  </si>
  <si>
    <t>2709 12314 0350</t>
  </si>
  <si>
    <t>2709 12334 0122</t>
  </si>
  <si>
    <t>2709 12314 0351</t>
  </si>
  <si>
    <t>2709 12334 0123</t>
  </si>
  <si>
    <t>2709 12314 0352</t>
  </si>
  <si>
    <t>2709 12334 0124</t>
  </si>
  <si>
    <t>2709 12314 0353</t>
  </si>
  <si>
    <t>2709 12334 0125</t>
  </si>
  <si>
    <t>2709 12314 0354</t>
  </si>
  <si>
    <t>2709 12334 0126</t>
  </si>
  <si>
    <t>2709 12314 0355</t>
  </si>
  <si>
    <t>2709 12334 0127</t>
  </si>
  <si>
    <t>2709 12314 0356</t>
  </si>
  <si>
    <t>2709 12334 0128</t>
  </si>
  <si>
    <t>จินดา อนุพันธ์</t>
  </si>
  <si>
    <t>รอง สว.(อก.) พฐ.จว.สุโขทัย</t>
  </si>
  <si>
    <t>2709 12314 0357</t>
  </si>
  <si>
    <t>2709 12334 0143</t>
  </si>
  <si>
    <t>ปวช.,นบ.,กอป.</t>
  </si>
  <si>
    <t>ปิยะดา พวงกลิ่น</t>
  </si>
  <si>
    <t>2709 12314 0358</t>
  </si>
  <si>
    <t>2709 12334 0144</t>
  </si>
  <si>
    <t>ปวช.,นบ.,ศศ.บ.,กอป.,กดต.(อก.)</t>
  </si>
  <si>
    <t>ณัฐพล ภู่ทองงาม</t>
  </si>
  <si>
    <t>ผบ.หมู่ พฐ.จว.สุโขทัย</t>
  </si>
  <si>
    <t>2709 12314 0359</t>
  </si>
  <si>
    <t>2709 12334 0145</t>
  </si>
  <si>
    <t>สพฐ.ตร.</t>
  </si>
  <si>
    <t>2709 12314 0360</t>
  </si>
  <si>
    <t>2709 12334 0146</t>
  </si>
  <si>
    <t>2709 12314 0361</t>
  </si>
  <si>
    <t>2709 12334 0147</t>
  </si>
  <si>
    <t>2709 12314 0362</t>
  </si>
  <si>
    <t>2709 12334 0148</t>
  </si>
  <si>
    <t>จักรพิพัฒน์ อินปรา</t>
  </si>
  <si>
    <t>2709 12314 0363</t>
  </si>
  <si>
    <t>2709 12334 0149</t>
  </si>
  <si>
    <t>ปริญดา ยิ้มช้าง</t>
  </si>
  <si>
    <t>2709 12314 0364</t>
  </si>
  <si>
    <t>2709 12334 0150</t>
  </si>
  <si>
    <t>เรณู สังข์จันทร์</t>
  </si>
  <si>
    <t>2709 12314 0365</t>
  </si>
  <si>
    <t>2709 12334 0151</t>
  </si>
  <si>
    <t>ปวช.,ศศ.บ., กอป.</t>
  </si>
  <si>
    <t>เลิศวรรธน์   เชื้อผู้ดี</t>
  </si>
  <si>
    <t>2709 12314 0366</t>
  </si>
  <si>
    <t>2709 12334 0152</t>
  </si>
  <si>
    <t>2709 12314 0367</t>
  </si>
  <si>
    <t>2709 12334 0153</t>
  </si>
  <si>
    <t>2709 12314 0368</t>
  </si>
  <si>
    <t>2709 12334 0154</t>
  </si>
  <si>
    <t>2709 12314 0369</t>
  </si>
  <si>
    <t>2709 12334 0155</t>
  </si>
  <si>
    <t>2709 12314 0370</t>
  </si>
  <si>
    <t>2709 12334 0156</t>
  </si>
  <si>
    <t>สัมพันธ์ มิ่งบุญ</t>
  </si>
  <si>
    <t>รอง สว.(อก.) พฐ.จว.อุตรดิตถ์</t>
  </si>
  <si>
    <t>2709 12314 0371</t>
  </si>
  <si>
    <t>2709 12334 0174</t>
  </si>
  <si>
    <t>วีระศิลป์ เดียวสกุล</t>
  </si>
  <si>
    <t>ผบ.หมู่ พฐ.จว.อุตรดิตถ์</t>
  </si>
  <si>
    <t>2709 12314 0372</t>
  </si>
  <si>
    <t>2709 12334 0175</t>
  </si>
  <si>
    <t>คณิน  นาสา</t>
  </si>
  <si>
    <t>2709 12314 0373</t>
  </si>
  <si>
    <t>2709 12334 0176</t>
  </si>
  <si>
    <t>2709 12314 0374</t>
  </si>
  <si>
    <t>2709 12334 0177</t>
  </si>
  <si>
    <t>กฤษฎา โมรารักษ์</t>
  </si>
  <si>
    <t>2709 12314 0375</t>
  </si>
  <si>
    <t>2709 12334 0178</t>
  </si>
  <si>
    <t>นพต., ศศ.บ.</t>
  </si>
  <si>
    <t>จินตนา  เดี่ยวตระกูล</t>
  </si>
  <si>
    <t>2709 12314 0376</t>
  </si>
  <si>
    <t>2709 12334 0179</t>
  </si>
  <si>
    <t>ม.3, นบ.</t>
  </si>
  <si>
    <t>2709 12314 0377</t>
  </si>
  <si>
    <t>2709 12334 0180</t>
  </si>
  <si>
    <t>2709 12314 0378</t>
  </si>
  <si>
    <t>2709 12334 0181</t>
  </si>
  <si>
    <t>นพรุจ เลสัก</t>
  </si>
  <si>
    <t>2709 12314 0379</t>
  </si>
  <si>
    <t>2709 12334 0182</t>
  </si>
  <si>
    <t>มานพ ดีณรงค์</t>
  </si>
  <si>
    <t>2709 12314 0380</t>
  </si>
  <si>
    <t>2709 12334 0183</t>
  </si>
  <si>
    <t>ภาณุเมษ ภู่ระย้า</t>
  </si>
  <si>
    <t>2709 12314 0381</t>
  </si>
  <si>
    <t>2709 12334 0184</t>
  </si>
  <si>
    <t>วาสนา ศรีดอกจันทร์</t>
  </si>
  <si>
    <t>2709 12314 0382</t>
  </si>
  <si>
    <t>2709 12334 0185</t>
  </si>
  <si>
    <t>ภีรพันธ์ สุขมา</t>
  </si>
  <si>
    <t>2709 12314 0383</t>
  </si>
  <si>
    <t>2709 12334 0186</t>
  </si>
  <si>
    <t>ปวช.,ปวส.,คบ.,กอป.</t>
  </si>
  <si>
    <t>สุนันทา จุ้ยศิริ</t>
  </si>
  <si>
    <t>2709 12314 0384</t>
  </si>
  <si>
    <t>2709 12334 0187</t>
  </si>
  <si>
    <t>รป.ม./กอป.</t>
  </si>
  <si>
    <t>เศรษฐศักดิ์ กลิ่นด้วง</t>
  </si>
  <si>
    <t>ผบ.หมู่ พฐ.จว.นครสวรรค์</t>
  </si>
  <si>
    <t>2709 12314 0385</t>
  </si>
  <si>
    <t>2709 12334 0081</t>
  </si>
  <si>
    <t>วาสนา แกล้วกสิกิจ</t>
  </si>
  <si>
    <t>2709 12314 0386</t>
  </si>
  <si>
    <t>2709 12334 0082</t>
  </si>
  <si>
    <t>ภัทราภรณ์ หมากสุข</t>
  </si>
  <si>
    <t>2709 12314 0387</t>
  </si>
  <si>
    <t>2709 12334 0083</t>
  </si>
  <si>
    <t>เสกสรรค์ สุปรีดี</t>
  </si>
  <si>
    <t>รอง สว.(อก.) พฐ.จว.นครสวรรค์</t>
  </si>
  <si>
    <t>2709 12314 0388</t>
  </si>
  <si>
    <t>2709 12334 0084</t>
  </si>
  <si>
    <t>ปวช., ศศ.บ.,กอป.,ชัยยะ</t>
  </si>
  <si>
    <t>ลัดดาวรรณ   รัตนพราว</t>
  </si>
  <si>
    <t>2709 12314 0389</t>
  </si>
  <si>
    <t>2709 12334 0085</t>
  </si>
  <si>
    <t>มีชัย เรื่อศรีจันทร์</t>
  </si>
  <si>
    <t>2709 12314 0390</t>
  </si>
  <si>
    <t>2709 12334 0086</t>
  </si>
  <si>
    <t>ดุสิต จิวาลักษณ์</t>
  </si>
  <si>
    <t>2709 12314 0391</t>
  </si>
  <si>
    <t>2709 12334 0087</t>
  </si>
  <si>
    <t>ปวช., ปวส., กอป.,ชัยยะ,กดต.(ปป.)</t>
  </si>
  <si>
    <t>นคร ยาหมู่</t>
  </si>
  <si>
    <t>2709 12314 0392</t>
  </si>
  <si>
    <t>2709 12334 0088</t>
  </si>
  <si>
    <t>สมิทธ์ เนียรภาค</t>
  </si>
  <si>
    <t>2709 12314 0393</t>
  </si>
  <si>
    <t>2709 12334 0089</t>
  </si>
  <si>
    <t>ศิริวรรณ ชาดารา</t>
  </si>
  <si>
    <t>2709 12314 0394</t>
  </si>
  <si>
    <t>2709 12334 0090</t>
  </si>
  <si>
    <t>สุภาวดี ศรีพระธาตุ</t>
  </si>
  <si>
    <t>2709 12314 0395</t>
  </si>
  <si>
    <t>2709 12334 0091</t>
  </si>
  <si>
    <t>กาญจนา  ยาหมู่</t>
  </si>
  <si>
    <t>2709 12314 0396</t>
  </si>
  <si>
    <t>2709 12334 0092</t>
  </si>
  <si>
    <t>สพฐ.ตร.36/64</t>
  </si>
  <si>
    <t>2709 12314 0397</t>
  </si>
  <si>
    <t>2709 12334 0093</t>
  </si>
  <si>
    <t>สงกรานต์ จิวาลักษณ์</t>
  </si>
  <si>
    <t>2709 12314 0398</t>
  </si>
  <si>
    <t>2709 12334 0094</t>
  </si>
  <si>
    <t>นฤทธิ์ เครือแสง</t>
  </si>
  <si>
    <t>2709 12314 0399</t>
  </si>
  <si>
    <t>2709 12334 0095</t>
  </si>
  <si>
    <t>ม.6, นพต.,กดต.(ปป.)</t>
  </si>
  <si>
    <t>กฤตภาส แก่นไม้หอม</t>
  </si>
  <si>
    <t>2709 12314 0400</t>
  </si>
  <si>
    <t>2709 12334 0096</t>
  </si>
  <si>
    <t>ม.6, ศศ.บ.,นพต.</t>
  </si>
  <si>
    <t>2709 12314 0401</t>
  </si>
  <si>
    <t>2709 12334 0097</t>
  </si>
  <si>
    <t>สุพรรษา สุขศิริ</t>
  </si>
  <si>
    <t>ผบ.หมู่ พฐ.จว.กำแพงเพชร</t>
  </si>
  <si>
    <t>2709 12314 0402</t>
  </si>
  <si>
    <t>2709 12334 0098</t>
  </si>
  <si>
    <t>อัครวัฒน์ คูณธนาเกริกพงศ์</t>
  </si>
  <si>
    <t>2709 12314 0403</t>
  </si>
  <si>
    <t>2709 12334 0099</t>
  </si>
  <si>
    <t>มยุฉัตร   เชียงมูล</t>
  </si>
  <si>
    <t>2709 12314 0404</t>
  </si>
  <si>
    <t>2709 12334 0100</t>
  </si>
  <si>
    <t>ศศ.บ.(รัฐศาสตร์), รป.ม.</t>
  </si>
  <si>
    <t>2709 12314 0405</t>
  </si>
  <si>
    <t>2709 12334 0101</t>
  </si>
  <si>
    <t>2709 12314 0406</t>
  </si>
  <si>
    <t>2709 12334 0102</t>
  </si>
  <si>
    <t>ปฏิภาณ  คงสิงห์</t>
  </si>
  <si>
    <t>2709 12314 0407</t>
  </si>
  <si>
    <t>2709 12334 0103</t>
  </si>
  <si>
    <t>ประภาษ บุญอ้อม</t>
  </si>
  <si>
    <t>รอง สว.(อก.) พฐ.จว.กำแพงเพชร</t>
  </si>
  <si>
    <t>2709 12314 0408</t>
  </si>
  <si>
    <t>2709 12334 0104</t>
  </si>
  <si>
    <t>2709 12314 0409</t>
  </si>
  <si>
    <t>2709 12334 0105</t>
  </si>
  <si>
    <t>2709 12314 0410</t>
  </si>
  <si>
    <t>2709 12334 0106</t>
  </si>
  <si>
    <t>2709 12314 0411</t>
  </si>
  <si>
    <t>2709 12334 0107</t>
  </si>
  <si>
    <t>2709 12314 0412</t>
  </si>
  <si>
    <t>2709 12334 0108</t>
  </si>
  <si>
    <t>2709 12314 0413</t>
  </si>
  <si>
    <t>2709 12334 0109</t>
  </si>
  <si>
    <t>อุบลรัตน์ มะนูญ</t>
  </si>
  <si>
    <t>2709 12314 0414</t>
  </si>
  <si>
    <t>2709 12334 0110</t>
  </si>
  <si>
    <t>ปวช.,ศศ.บ.,กอป.,กดต.(อก.)</t>
  </si>
  <si>
    <t>2709 12314 0415</t>
  </si>
  <si>
    <t>2709 12334 0111</t>
  </si>
  <si>
    <t>ผบ.หมู่ พฐ.จว.อุทัยธานี</t>
  </si>
  <si>
    <t>2709 12314 0416</t>
  </si>
  <si>
    <t>2709 12334 0129</t>
  </si>
  <si>
    <t>เกศณี ทองเกล็ด</t>
  </si>
  <si>
    <t>2709 12314 0417</t>
  </si>
  <si>
    <t>2709 12334 0130</t>
  </si>
  <si>
    <t>นเรศ หุ่นหล่อ</t>
  </si>
  <si>
    <t>2709 12314 0418</t>
  </si>
  <si>
    <t>2709 12334 0131</t>
  </si>
  <si>
    <t>ปวท.,นพต.</t>
  </si>
  <si>
    <t>รัชณี ศรีสุข</t>
  </si>
  <si>
    <t>2709 12314 0419</t>
  </si>
  <si>
    <t>2709 12334 0132</t>
  </si>
  <si>
    <t>วนิดา กลายสุข</t>
  </si>
  <si>
    <t>2709 12314 0420</t>
  </si>
  <si>
    <t>2709 12334 0133</t>
  </si>
  <si>
    <t>ศศ.บ.(พัฒนาสังคม)</t>
  </si>
  <si>
    <t>ณัฐวัฒน์ พุทธาพิทักษ์</t>
  </si>
  <si>
    <t>รอง สว.(อก.) พฐ.จว.อุทัยธานี</t>
  </si>
  <si>
    <t>2709 12314 0421</t>
  </si>
  <si>
    <t>2709 12334 0134</t>
  </si>
  <si>
    <t>ม.6,นพต.,ศศ.บ.,รป.ม.</t>
  </si>
  <si>
    <t>สมปอง เหลืองสุวรรณ์</t>
  </si>
  <si>
    <t>2709 12314 0422</t>
  </si>
  <si>
    <t>2709 12334 0135</t>
  </si>
  <si>
    <t>ม.6, นพต.,ศศ.บ.</t>
  </si>
  <si>
    <t>2709 12314 0423</t>
  </si>
  <si>
    <t>2709 12334 0136</t>
  </si>
  <si>
    <t>กาญจนา ปัวน้อย</t>
  </si>
  <si>
    <t>2709 12314 0424</t>
  </si>
  <si>
    <t>2709 12334 0137</t>
  </si>
  <si>
    <t>ปวช,บธ.บ.,กอป.</t>
  </si>
  <si>
    <t>กฤษฎา  ระเบ็ง</t>
  </si>
  <si>
    <t>2709 12314 0425</t>
  </si>
  <si>
    <t>2709 12334 0138</t>
  </si>
  <si>
    <t>ปวส.,ศศบ</t>
  </si>
  <si>
    <t>วัชรนนท์ พินคง</t>
  </si>
  <si>
    <t>2709 12314 0426</t>
  </si>
  <si>
    <t>2709 12334 0139</t>
  </si>
  <si>
    <t>2709 12314 0427</t>
  </si>
  <si>
    <t>2709 12334 0140</t>
  </si>
  <si>
    <t>พชร  แคล้วโยธา</t>
  </si>
  <si>
    <t>2709 12314 0428</t>
  </si>
  <si>
    <t>2709 12334 0141</t>
  </si>
  <si>
    <t>ศรีไพร เพ็งศรี</t>
  </si>
  <si>
    <t>2709 12314 0429</t>
  </si>
  <si>
    <t>2709 12334 0142</t>
  </si>
  <si>
    <t>ภัทรภณ  บุรินทราพันธุ์</t>
  </si>
  <si>
    <t>ผบ.หมู่ พฐ.จว.ตาก</t>
  </si>
  <si>
    <t>2709 12314 0430</t>
  </si>
  <si>
    <t>2709 12334 0157</t>
  </si>
  <si>
    <t>ณัฐพงศ์  โตคณิตชาติ</t>
  </si>
  <si>
    <t>2709 12314 0431</t>
  </si>
  <si>
    <t>2709 12334 0158</t>
  </si>
  <si>
    <t>ฉัตรชัย ยาวรัมย์</t>
  </si>
  <si>
    <t>2709 12314 0432</t>
  </si>
  <si>
    <t>2709 12334 0159</t>
  </si>
  <si>
    <t>2709 12314 0433</t>
  </si>
  <si>
    <t>2709 12334 0160</t>
  </si>
  <si>
    <t>จุมภฏ  บุตรนุช</t>
  </si>
  <si>
    <t>2709 12314 0434</t>
  </si>
  <si>
    <t>2709 12334 0161</t>
  </si>
  <si>
    <t>นิติทัต  เมืองเดช</t>
  </si>
  <si>
    <t>2709 12314 0435</t>
  </si>
  <si>
    <t>2709 12334 0162</t>
  </si>
  <si>
    <t>2709 12314 0436</t>
  </si>
  <si>
    <t>2709 12334 0163</t>
  </si>
  <si>
    <t>2709 12314 0437</t>
  </si>
  <si>
    <t>2709 12334 0164</t>
  </si>
  <si>
    <t>2709 12314 0438</t>
  </si>
  <si>
    <t>2709 12334 0165</t>
  </si>
  <si>
    <t>อัจฉรา ถิ่นเถิน</t>
  </si>
  <si>
    <t>2709 12314 0439</t>
  </si>
  <si>
    <t>2709 12334 0166</t>
  </si>
  <si>
    <t>2709 12314 0440</t>
  </si>
  <si>
    <t>2709 12334 0167</t>
  </si>
  <si>
    <t>พิชญา  มาวงค์</t>
  </si>
  <si>
    <t>2709 12314 0441</t>
  </si>
  <si>
    <t>2709 12334 0168</t>
  </si>
  <si>
    <t>2709 12314 0442</t>
  </si>
  <si>
    <t>2709 12334 0169</t>
  </si>
  <si>
    <t>2709 12314 0443</t>
  </si>
  <si>
    <t>2709 12334 0170</t>
  </si>
  <si>
    <t>2709 12314 0444</t>
  </si>
  <si>
    <t>2709 12334 0171</t>
  </si>
  <si>
    <t>2709 12314 0445</t>
  </si>
  <si>
    <t>2709 12334 0172</t>
  </si>
  <si>
    <t>2709 12314 0446</t>
  </si>
  <si>
    <t>2709 12334 0173</t>
  </si>
  <si>
    <t>ผบ.หมู่ ศพฐ.7</t>
  </si>
  <si>
    <t>2710 12301 0001</t>
  </si>
  <si>
    <t>2710 12357 0001</t>
  </si>
  <si>
    <t>2710 12301 0002</t>
  </si>
  <si>
    <t>2710 12357 0002</t>
  </si>
  <si>
    <t>ผบ.หมู่ ฝอ.ศพฐ.7</t>
  </si>
  <si>
    <t>2710 12301 0235</t>
  </si>
  <si>
    <t>2710 12357 0003</t>
  </si>
  <si>
    <t>2710 12301 0236</t>
  </si>
  <si>
    <t>2710 12357 0004</t>
  </si>
  <si>
    <t>2710 12301 0237</t>
  </si>
  <si>
    <t>2710 12357 0005</t>
  </si>
  <si>
    <t>2710 12301 0238</t>
  </si>
  <si>
    <t>2710 12357 0006</t>
  </si>
  <si>
    <t>2710 12301 0239</t>
  </si>
  <si>
    <t>2710 12357 0007</t>
  </si>
  <si>
    <t>2710 12301 0240</t>
  </si>
  <si>
    <t>2710 12357 0008</t>
  </si>
  <si>
    <t>2710 12301 0241</t>
  </si>
  <si>
    <t>2710 12357 0009</t>
  </si>
  <si>
    <t>2710 12301 0242</t>
  </si>
  <si>
    <t>2710 12357 0010</t>
  </si>
  <si>
    <t>2710 12301 0243</t>
  </si>
  <si>
    <t>2710 12357 0011</t>
  </si>
  <si>
    <t>อลิสา พึ่งไชย</t>
  </si>
  <si>
    <t>2710 12314 0244</t>
  </si>
  <si>
    <t>2710 12334 0013</t>
  </si>
  <si>
    <t>ร.บ.,บธ.บ.</t>
  </si>
  <si>
    <t>2710 12314 0245</t>
  </si>
  <si>
    <t>2710 12334 0014</t>
  </si>
  <si>
    <t>รอง สว.(อก.) ฝอ.ศพฐ.7</t>
  </si>
  <si>
    <t>2710 12314 0246</t>
  </si>
  <si>
    <t>2710 12334 0015</t>
  </si>
  <si>
    <t>2710 12314 0247</t>
  </si>
  <si>
    <t>2710 12334 0016</t>
  </si>
  <si>
    <t>กัญญาภัทร ทองเต็ม</t>
  </si>
  <si>
    <t>2710 12314 0248</t>
  </si>
  <si>
    <t>2710 12334 0017</t>
  </si>
  <si>
    <t>ศศ.บ.,กอป.,รป.ม.</t>
  </si>
  <si>
    <t>2710 12314 0249</t>
  </si>
  <si>
    <t>2710 12334 0018</t>
  </si>
  <si>
    <t>2710 12314 0250</t>
  </si>
  <si>
    <t>2710 12334 0019</t>
  </si>
  <si>
    <t>ไก่แก้ว จันโท</t>
  </si>
  <si>
    <t>2710 12314 0251</t>
  </si>
  <si>
    <t>2710 12334 0020</t>
  </si>
  <si>
    <t>สมภพ หัวใจเพ็ชร์</t>
  </si>
  <si>
    <t>2710 12314 0252</t>
  </si>
  <si>
    <t>2710 12334 0021</t>
  </si>
  <si>
    <t>จรูญ ชมภูพงษ์</t>
  </si>
  <si>
    <t>2710 12314 0253</t>
  </si>
  <si>
    <t>2710 12334 0022</t>
  </si>
  <si>
    <t>2710 12301 0254</t>
  </si>
  <si>
    <t>2710 12327 0012</t>
  </si>
  <si>
    <t>วรโชติ  บูรณสถิตพงศ์</t>
  </si>
  <si>
    <t>ผบ.หมู่ กสก.ศพฐ.7</t>
  </si>
  <si>
    <t>2710 12314 0255</t>
  </si>
  <si>
    <t>2710 12334 0023</t>
  </si>
  <si>
    <t>ผบ.หมู่  กสก.ศพฐ.7</t>
  </si>
  <si>
    <t>2710 12314 0256</t>
  </si>
  <si>
    <t>2710 12334 0024</t>
  </si>
  <si>
    <t>ธนพล  ชัยศัตรา</t>
  </si>
  <si>
    <t>2710 12314 0257</t>
  </si>
  <si>
    <t>2710 12334 0025</t>
  </si>
  <si>
    <t>ภาณุวิชญ์  ลิเหล็ก</t>
  </si>
  <si>
    <t>2710 12314 0258</t>
  </si>
  <si>
    <t>2710 12334 0026</t>
  </si>
  <si>
    <t>2710 12314 0259</t>
  </si>
  <si>
    <t>2710 12334 0027</t>
  </si>
  <si>
    <t>รวิชญ์  ลือบางใหญ่</t>
  </si>
  <si>
    <t>2710 12314 0260</t>
  </si>
  <si>
    <t>2710 12334 0028</t>
  </si>
  <si>
    <t>ม.6,นสต.</t>
  </si>
  <si>
    <t>พิริยพงศ์  ศฤงคาร</t>
  </si>
  <si>
    <t>2710 12314 0261</t>
  </si>
  <si>
    <t>2710 12334 0029</t>
  </si>
  <si>
    <t>วีระยุทธิ์  ครองบุญ</t>
  </si>
  <si>
    <t>2710 12314 0262</t>
  </si>
  <si>
    <t>2710 12334 0030</t>
  </si>
  <si>
    <t>พรพรรณ  จันทร์มณี</t>
  </si>
  <si>
    <t>2710 12314 0263</t>
  </si>
  <si>
    <t>2710 12334 0031</t>
  </si>
  <si>
    <t>2710 12314 0264</t>
  </si>
  <si>
    <t>2710 12334 0032</t>
  </si>
  <si>
    <t>สิทธิเกียรติ จอกลอย</t>
  </si>
  <si>
    <t>2710 12314 0265</t>
  </si>
  <si>
    <t>2710 12334 0033</t>
  </si>
  <si>
    <t>ธีรดนย์ กันแสง</t>
  </si>
  <si>
    <t>ผบ.หมู่ กอส.ศพฐ.7</t>
  </si>
  <si>
    <t>2710 12314 0266</t>
  </si>
  <si>
    <t>2710 12334 0034</t>
  </si>
  <si>
    <t>2710 12314 0267</t>
  </si>
  <si>
    <t>2710 12334 0035</t>
  </si>
  <si>
    <t>2710 12314 0268</t>
  </si>
  <si>
    <t>2710 12334 0036</t>
  </si>
  <si>
    <t>2710 12314 0269</t>
  </si>
  <si>
    <t>2710 12334 0037</t>
  </si>
  <si>
    <t>นันทวุฒิ ปล้องอ่อน</t>
  </si>
  <si>
    <t>ผบ.หมู่ กอป.ศพฐ.7</t>
  </si>
  <si>
    <t>2710 12314 0270</t>
  </si>
  <si>
    <t>2710 12334 0038</t>
  </si>
  <si>
    <t>อิศเรศ เปลี่ยนขำ</t>
  </si>
  <si>
    <t>2710 12314 0271</t>
  </si>
  <si>
    <t>2710 12334 0039</t>
  </si>
  <si>
    <t>2710 12314 0272</t>
  </si>
  <si>
    <t>2710 12334 0040</t>
  </si>
  <si>
    <t>2710 12314 0273</t>
  </si>
  <si>
    <t>2710 12334 0041</t>
  </si>
  <si>
    <t>2710 12314 0274</t>
  </si>
  <si>
    <t>2710 12334 0042</t>
  </si>
  <si>
    <t>ปิยนรินทร์ มีคติธรรม</t>
  </si>
  <si>
    <t>2710 12314 0275</t>
  </si>
  <si>
    <t>2710 12334 0043</t>
  </si>
  <si>
    <t>2710 12314 0276</t>
  </si>
  <si>
    <t>2710 12334 0044</t>
  </si>
  <si>
    <t>ผบ.หมู่ กคม.ศพฐ.7</t>
  </si>
  <si>
    <t>2710 12314 0277</t>
  </si>
  <si>
    <t>2710 12334 0045</t>
  </si>
  <si>
    <t>2710 12314 0278</t>
  </si>
  <si>
    <t>2710 12334 0046</t>
  </si>
  <si>
    <t>ธันวดี รักตน</t>
  </si>
  <si>
    <t>2710 12314 0279</t>
  </si>
  <si>
    <t>2710 12334 0047</t>
  </si>
  <si>
    <t>บธ.บ.,กปป.(อก.)</t>
  </si>
  <si>
    <t>2710 12314 0280</t>
  </si>
  <si>
    <t>2710 12334 0048</t>
  </si>
  <si>
    <t>หทัยชนก นามเจริญ</t>
  </si>
  <si>
    <t>ผบ.หมู่ กยส.ศพฐ.7</t>
  </si>
  <si>
    <t>2710 12314 0281</t>
  </si>
  <si>
    <t>2710 12334 0049</t>
  </si>
  <si>
    <t>2710 12314 0282</t>
  </si>
  <si>
    <t>2710 12334 0050</t>
  </si>
  <si>
    <t>สรวิศ  เชิดโฉม</t>
  </si>
  <si>
    <t>2710 12314 0283</t>
  </si>
  <si>
    <t>2710 12334 0051</t>
  </si>
  <si>
    <t>2710 12314 0284</t>
  </si>
  <si>
    <t>2710 12334 0052</t>
  </si>
  <si>
    <t>ณัฏฐกานต์ จิรภัทร์พิมล</t>
  </si>
  <si>
    <t>รอง สว.(อก.) กนฝ.ศพฐ.7</t>
  </si>
  <si>
    <t>2710 12314 0285</t>
  </si>
  <si>
    <t>2710 12334 0053</t>
  </si>
  <si>
    <t>รป.บ., กอป.,กดต.(อก.)</t>
  </si>
  <si>
    <t>ผบ.หมู่ กนฝ.ศพฐ.7</t>
  </si>
  <si>
    <t>2710 12314 0286</t>
  </si>
  <si>
    <t>2710 12334 0054</t>
  </si>
  <si>
    <t>2710 12314 0287</t>
  </si>
  <si>
    <t>2710 12334 0055</t>
  </si>
  <si>
    <t>เครือมาส จันทร์เพ็ญ</t>
  </si>
  <si>
    <t>2710 12314 0288</t>
  </si>
  <si>
    <t>2710 12334 0056</t>
  </si>
  <si>
    <t>2710 12314 0289</t>
  </si>
  <si>
    <t>2710 12334 0057</t>
  </si>
  <si>
    <t>ชยานันต์ พันคำ</t>
  </si>
  <si>
    <t>ผบ.หมู่ กชว.ศพฐ.7</t>
  </si>
  <si>
    <t>2710 12314 0290</t>
  </si>
  <si>
    <t>2710 12334 0058</t>
  </si>
  <si>
    <t>กฤษณะ บุญจิตร</t>
  </si>
  <si>
    <t>2710 12314 0291</t>
  </si>
  <si>
    <t>2710 12334 0059</t>
  </si>
  <si>
    <t>2710 12314 0292</t>
  </si>
  <si>
    <t>2710 12334 0060</t>
  </si>
  <si>
    <t>2710 12314 0293</t>
  </si>
  <si>
    <t>2710 12334 0061</t>
  </si>
  <si>
    <t>จันทมาศ  จริงจิตร</t>
  </si>
  <si>
    <t>ผบ.หมู่ กคพ.ศพฐ.7</t>
  </si>
  <si>
    <t>2710 12314 0294</t>
  </si>
  <si>
    <t>2710 12334 0062</t>
  </si>
  <si>
    <t>ดวงพร  อินทร์แปลง</t>
  </si>
  <si>
    <t>2710 12314 0295</t>
  </si>
  <si>
    <t>2710 12334 0063</t>
  </si>
  <si>
    <t>ธนวัต ธัญสกุลวงศ์</t>
  </si>
  <si>
    <t>2710 12314 0296</t>
  </si>
  <si>
    <t>2710 12334 0064</t>
  </si>
  <si>
    <t>2710 12314 0297</t>
  </si>
  <si>
    <t>2710 12334 0065</t>
  </si>
  <si>
    <t>ผบ.หมู่ กชช.ศพฐ.7</t>
  </si>
  <si>
    <t>2710 12314 0298</t>
  </si>
  <si>
    <t>2710 12334 0066</t>
  </si>
  <si>
    <t>ธิดารัตน์ เหล็กดี</t>
  </si>
  <si>
    <t>ผบ.หมู่ พฐ.จว.สมุทรสาคร</t>
  </si>
  <si>
    <t>2710 12314 0299</t>
  </si>
  <si>
    <t>2710 12334 0067</t>
  </si>
  <si>
    <t>2710 12314 0300</t>
  </si>
  <si>
    <t>2710 12334 0068</t>
  </si>
  <si>
    <t>ศุภการย์  จรรยาสุภาพ</t>
  </si>
  <si>
    <t>2710 12314 0301</t>
  </si>
  <si>
    <t>2710 12334 0069</t>
  </si>
  <si>
    <t>2710 12314 0302</t>
  </si>
  <si>
    <t>2710 12334 0070</t>
  </si>
  <si>
    <t>2710 12314 0303</t>
  </si>
  <si>
    <t>2710 12334 0071</t>
  </si>
  <si>
    <t>จุฬาภรณ์ มีโหมด</t>
  </si>
  <si>
    <t>2710 12314 0304</t>
  </si>
  <si>
    <t>2710 12334 0072</t>
  </si>
  <si>
    <t>2710 12314 0305</t>
  </si>
  <si>
    <t>2710 12334 0073</t>
  </si>
  <si>
    <t>ถิรพุทธิ์  คชศิลา</t>
  </si>
  <si>
    <t>2710 12314 0306</t>
  </si>
  <si>
    <t>2710 12334 0074</t>
  </si>
  <si>
    <t>2710 12314 0307</t>
  </si>
  <si>
    <t>2710 12334 0075</t>
  </si>
  <si>
    <t>2710 12314 0308</t>
  </si>
  <si>
    <t>2710 12334 0076</t>
  </si>
  <si>
    <t>2710 12314 0309</t>
  </si>
  <si>
    <t>2710 12334 0077</t>
  </si>
  <si>
    <t>2710 12314 0310</t>
  </si>
  <si>
    <t>2710 12334 0078</t>
  </si>
  <si>
    <t>2710 12314 0311</t>
  </si>
  <si>
    <t>2710 12334 0079</t>
  </si>
  <si>
    <t>2710 12314 0312</t>
  </si>
  <si>
    <t>2710 12334 0080</t>
  </si>
  <si>
    <t>2710 12314 0313</t>
  </si>
  <si>
    <t>2710 12334 0081</t>
  </si>
  <si>
    <t>2710 12314 0314</t>
  </si>
  <si>
    <t>2710 12334 0082</t>
  </si>
  <si>
    <t>2710 12314 0315</t>
  </si>
  <si>
    <t>2710 12334 0083</t>
  </si>
  <si>
    <t>จันทิมา  เพ็งพันธ์</t>
  </si>
  <si>
    <t>ผบ.หมู่ พฐ.จว.สุพรรณบุรี</t>
  </si>
  <si>
    <t>2710 12314 0316</t>
  </si>
  <si>
    <t>2710 12334 0115</t>
  </si>
  <si>
    <t>กมลชนก  บ้านกล้วย</t>
  </si>
  <si>
    <t>2710 12314 0317</t>
  </si>
  <si>
    <t>2710 12334 0116</t>
  </si>
  <si>
    <t>พรเทพ ปิ่นแก้ว</t>
  </si>
  <si>
    <t>2710 12314 0318</t>
  </si>
  <si>
    <t>2710 12334 0117</t>
  </si>
  <si>
    <t>บริหาร (การจัดการ)</t>
  </si>
  <si>
    <t>แสงสกุล  คงแสง</t>
  </si>
  <si>
    <t>2710 12314 0319</t>
  </si>
  <si>
    <t>2710 12334 0118</t>
  </si>
  <si>
    <t>กฤษณ์ ศิริสวัสดิ์</t>
  </si>
  <si>
    <t>2710 12314 0320</t>
  </si>
  <si>
    <t>2710 12334 0119</t>
  </si>
  <si>
    <t>ปวช., ศศ.บ.,กอป.</t>
  </si>
  <si>
    <t>วสุภัทร  สันทราย</t>
  </si>
  <si>
    <t>2710 12314 0321</t>
  </si>
  <si>
    <t>2710 12334 0120</t>
  </si>
  <si>
    <t>2710 12314 0322</t>
  </si>
  <si>
    <t>2710 12334 0121</t>
  </si>
  <si>
    <t>2710 12314 0323</t>
  </si>
  <si>
    <t>2710 12334 0122</t>
  </si>
  <si>
    <t>2710 12314 0324</t>
  </si>
  <si>
    <t>2710 12334 0123</t>
  </si>
  <si>
    <t>อัศวพงษ์  กล้าจริง</t>
  </si>
  <si>
    <t>2710 12314 0325</t>
  </si>
  <si>
    <t>2710 12334 0124</t>
  </si>
  <si>
    <t>2710 12314 0326</t>
  </si>
  <si>
    <t>2710 12334 0125</t>
  </si>
  <si>
    <t>2710 12314 0327</t>
  </si>
  <si>
    <t>2710 12334 0126</t>
  </si>
  <si>
    <t>2710 12314 0328</t>
  </si>
  <si>
    <t>2710 12334 0127</t>
  </si>
  <si>
    <t>2710 12314 0329</t>
  </si>
  <si>
    <t>2710 12334 0128</t>
  </si>
  <si>
    <t>สุดเขต แก้วกอง</t>
  </si>
  <si>
    <t>รอง สว.(อก.) พฐ.จว.กาญจนบุรี</t>
  </si>
  <si>
    <t>2710 12314 0330</t>
  </si>
  <si>
    <t>2710 12334 0129</t>
  </si>
  <si>
    <t>ทิพวรรณ สุพรรณโรจน์</t>
  </si>
  <si>
    <t>ผบ.หมู่ พฐ.จว.กาญจนบุรี</t>
  </si>
  <si>
    <t>2710 12314 0331</t>
  </si>
  <si>
    <t>2710 12334 0130</t>
  </si>
  <si>
    <t>2710 12314 0332</t>
  </si>
  <si>
    <t>2710 12334 0131</t>
  </si>
  <si>
    <t>กัญญ์ชญา เจริญสุข</t>
  </si>
  <si>
    <t>2710 12314 0333</t>
  </si>
  <si>
    <t>2710 12334 0132</t>
  </si>
  <si>
    <t>คบ., กอป.</t>
  </si>
  <si>
    <t>ภคพร จันทร์สว่าง</t>
  </si>
  <si>
    <t>2710 12314 0334</t>
  </si>
  <si>
    <t>2710 12334 0133</t>
  </si>
  <si>
    <t>รณภูมิ ปะนัดเท</t>
  </si>
  <si>
    <t>ผบ.หมู่ พฐ.จว.กาญจนุบรี</t>
  </si>
  <si>
    <t>2710 12314 0335</t>
  </si>
  <si>
    <t>2710 12334 0134</t>
  </si>
  <si>
    <t>ป.ตรี รัฐศาสตร์</t>
  </si>
  <si>
    <t>2710 12314 0336</t>
  </si>
  <si>
    <t>2710 12334 0135</t>
  </si>
  <si>
    <t>2710 12314 0337</t>
  </si>
  <si>
    <t>2710 12334 0136</t>
  </si>
  <si>
    <t>กรรณิกา ยางงาม</t>
  </si>
  <si>
    <t>2710 12314 0338</t>
  </si>
  <si>
    <t>2710 12334 0137</t>
  </si>
  <si>
    <t>ยุภาวดี  หาญสู้</t>
  </si>
  <si>
    <t>2710 12314 0339</t>
  </si>
  <si>
    <t>2710 12334 0138</t>
  </si>
  <si>
    <t>โรจน์ณรงค์  กิจประเสริฐสกุล</t>
  </si>
  <si>
    <t>2710 12314 0340</t>
  </si>
  <si>
    <t>2710 12334 0139</t>
  </si>
  <si>
    <t>พิมพ์ประไพ  แก้วกาศ</t>
  </si>
  <si>
    <t>2710 12314 0341</t>
  </si>
  <si>
    <t>2710 12334 0140</t>
  </si>
  <si>
    <t>2710 12314 0342</t>
  </si>
  <si>
    <t>2710 12334 0141</t>
  </si>
  <si>
    <t>2710 12314 0343</t>
  </si>
  <si>
    <t>2710 12334 0142</t>
  </si>
  <si>
    <t>2710 12314 0344</t>
  </si>
  <si>
    <t>2710 12334 0143</t>
  </si>
  <si>
    <t>2710 12314 0345</t>
  </si>
  <si>
    <t>2710 12334 0144</t>
  </si>
  <si>
    <t>2710 12314 0346</t>
  </si>
  <si>
    <t>2710 12334 0145</t>
  </si>
  <si>
    <t>วสุ  เหล่าจันทร์</t>
  </si>
  <si>
    <t>ผบ.หมู่ พฐ.จว.เพชรบุรี</t>
  </si>
  <si>
    <t>2710 12314 0347</t>
  </si>
  <si>
    <t>2710 12334 0163</t>
  </si>
  <si>
    <t>ฤทัยชนก ยะไวทย์</t>
  </si>
  <si>
    <t>2710 12314 0348</t>
  </si>
  <si>
    <t>2710 12334 0164</t>
  </si>
  <si>
    <t>ปวช., กอป.(ปี57),ตวท.,ศศ.บ.</t>
  </si>
  <si>
    <t>ปุณยวีร์ พราหมณ์วงศ์</t>
  </si>
  <si>
    <t>2710 12314 0349</t>
  </si>
  <si>
    <t>2710 12334 0165</t>
  </si>
  <si>
    <t>ปวส.(บัญชี),กอป.</t>
  </si>
  <si>
    <t>จักรพงศ์  สวัตติวงศ์</t>
  </si>
  <si>
    <t>2710 12314 0350</t>
  </si>
  <si>
    <t>2710 12334 0166</t>
  </si>
  <si>
    <t>2710 12314 0351</t>
  </si>
  <si>
    <t>2710 12334 0167</t>
  </si>
  <si>
    <t>กฤตภาส ทองคำ</t>
  </si>
  <si>
    <t>2710 12314 0352</t>
  </si>
  <si>
    <t>2710 12334 0168</t>
  </si>
  <si>
    <t>เกตุสิริ เกาะเกตุ</t>
  </si>
  <si>
    <t>2710 12314 0353</t>
  </si>
  <si>
    <t>2710 12334 0169</t>
  </si>
  <si>
    <t>ม.6, ร.ม. (บริหารรัฐกิจและกฎหมาย)วท.บ.,ตวท.,กอป.(ปี59)</t>
  </si>
  <si>
    <t>2710 12314 0354</t>
  </si>
  <si>
    <t>2710 12334 0170</t>
  </si>
  <si>
    <t>อรรถสิทธิ์ ทองสัมฤทธิ์</t>
  </si>
  <si>
    <t>2710 12314 0355</t>
  </si>
  <si>
    <t>2710 12334 0171</t>
  </si>
  <si>
    <t>สงัด จารุอรุณชัย</t>
  </si>
  <si>
    <t>รอง สว.(อก.) พฐ.จว.เพชรบุรี</t>
  </si>
  <si>
    <t>2710 12314 0356</t>
  </si>
  <si>
    <t>2710 12334 0172</t>
  </si>
  <si>
    <t>ปวช., กอป.,กดต.</t>
  </si>
  <si>
    <t>เบญจมาภรณ์ ชานมณีรัตน์</t>
  </si>
  <si>
    <t>2710 12314 0357</t>
  </si>
  <si>
    <t>2710 12334 0173</t>
  </si>
  <si>
    <t>บธ.ม., กอป.</t>
  </si>
  <si>
    <t>2710 12314 0358</t>
  </si>
  <si>
    <t>2710 12334 0174</t>
  </si>
  <si>
    <t>2710 12314 0359</t>
  </si>
  <si>
    <t>2710 12334 0175</t>
  </si>
  <si>
    <t>กัณฐ์ญานัฐ ฤทธิ์สุวรรณ</t>
  </si>
  <si>
    <t>2710 12314 0360</t>
  </si>
  <si>
    <t>2710 12334 0176</t>
  </si>
  <si>
    <t>ผบ.หมู่ พฐ.จว.ประจวบคีรีขันธ์</t>
  </si>
  <si>
    <t>2710 12314 0361</t>
  </si>
  <si>
    <t>2710 12334 0098</t>
  </si>
  <si>
    <t>วรวุฒิ เมฆนิติ</t>
  </si>
  <si>
    <t>รอง สว.(อก.) พฐ.จว.ประจวบคีรีขันธ์</t>
  </si>
  <si>
    <t>2710 12314 0362</t>
  </si>
  <si>
    <t>2710 12334 0099</t>
  </si>
  <si>
    <t>สายชล เรืองโรจน์</t>
  </si>
  <si>
    <t>2710 12314 0363</t>
  </si>
  <si>
    <t>2710 12334 0100</t>
  </si>
  <si>
    <t>นบ., นพต.</t>
  </si>
  <si>
    <t>2710 12314 0364</t>
  </si>
  <si>
    <t>2710 12334 0101</t>
  </si>
  <si>
    <t>2710 12314 0365</t>
  </si>
  <si>
    <t>2710 12334 0102</t>
  </si>
  <si>
    <t>ปรัชญา นิลทวี</t>
  </si>
  <si>
    <t>2710 12314 0366</t>
  </si>
  <si>
    <t>2710 12334 0103</t>
  </si>
  <si>
    <t>ฐิตวัฒน์  ชูหนู</t>
  </si>
  <si>
    <t>2710 12314 0367</t>
  </si>
  <si>
    <t>2710 12334 0104</t>
  </si>
  <si>
    <t>บังอร เกล้าเกตุ</t>
  </si>
  <si>
    <t>2710 12314 0368</t>
  </si>
  <si>
    <t>2710 12334 0105</t>
  </si>
  <si>
    <t>มานิตย์ เส็นจาง</t>
  </si>
  <si>
    <t>2710 12314 0369</t>
  </si>
  <si>
    <t>2710 12334 0106</t>
  </si>
  <si>
    <t>ยงยุทธ ยงพาณิชย์</t>
  </si>
  <si>
    <t>2710 12314 0370</t>
  </si>
  <si>
    <t>2710 12334 0107</t>
  </si>
  <si>
    <t>2710 12314 0371</t>
  </si>
  <si>
    <t>2710 12334 0108</t>
  </si>
  <si>
    <t>วัชรกร  ราชคม</t>
  </si>
  <si>
    <t>2710 12314 0372</t>
  </si>
  <si>
    <t>2710 12334 0109</t>
  </si>
  <si>
    <t>ม.6, กอป.(กห.6)</t>
  </si>
  <si>
    <t>2710 12314 0373</t>
  </si>
  <si>
    <t>2710 12334 0110</t>
  </si>
  <si>
    <t>2710 12314 0374</t>
  </si>
  <si>
    <t>2710 12334 0111</t>
  </si>
  <si>
    <t>2710 12314 0375</t>
  </si>
  <si>
    <t>2710 12334 0112</t>
  </si>
  <si>
    <t>2710 12314 0376</t>
  </si>
  <si>
    <t>2710 12334 0113</t>
  </si>
  <si>
    <t>2710 12314 0377</t>
  </si>
  <si>
    <t>2710 12334 0114</t>
  </si>
  <si>
    <t>พรรณทิพพา  อินทโชติ</t>
  </si>
  <si>
    <t>ผบ.หมู่ พฐ.จว.สมุทรสงคราม</t>
  </si>
  <si>
    <t>2710 12314 0378</t>
  </si>
  <si>
    <t>2710 12334 0084</t>
  </si>
  <si>
    <t>2710 12314 0379</t>
  </si>
  <si>
    <t>2710 12334 0085</t>
  </si>
  <si>
    <t>พงศ์ภัค กรีจังหรีด</t>
  </si>
  <si>
    <t>2710 12314 0380</t>
  </si>
  <si>
    <t>2710 12334 0086</t>
  </si>
  <si>
    <t>สีหราช อาวะศรี</t>
  </si>
  <si>
    <t>2710 12314 0381</t>
  </si>
  <si>
    <t>2710 12334 0087</t>
  </si>
  <si>
    <t>2710 12314 0382</t>
  </si>
  <si>
    <t>2710 12334 0088</t>
  </si>
  <si>
    <t>ภัทรพล  อัครอภิชาติ</t>
  </si>
  <si>
    <t>2710 12314 0383</t>
  </si>
  <si>
    <t>2710 12334 0089</t>
  </si>
  <si>
    <t>2710 12314 0384</t>
  </si>
  <si>
    <t>2710 12334 0090</t>
  </si>
  <si>
    <t>2710 12314 0385</t>
  </si>
  <si>
    <t>2710 12334 0091</t>
  </si>
  <si>
    <t>2710 12314 0386</t>
  </si>
  <si>
    <t>2710 12334 0092</t>
  </si>
  <si>
    <t>พชร  วิชัยคำมาตย์</t>
  </si>
  <si>
    <t>2710 12314 0387</t>
  </si>
  <si>
    <t>2710 12334 0093</t>
  </si>
  <si>
    <t>2710 12314 0388</t>
  </si>
  <si>
    <t>2710 12334 0094</t>
  </si>
  <si>
    <t>2710 12314 0389</t>
  </si>
  <si>
    <t>2710 12334 0095</t>
  </si>
  <si>
    <t>2710 12314 0390</t>
  </si>
  <si>
    <t>2710 12334 0096</t>
  </si>
  <si>
    <t>2710 12314 0391</t>
  </si>
  <si>
    <t>2710 12334 0097</t>
  </si>
  <si>
    <t>อลิสา ป้อมสุข</t>
  </si>
  <si>
    <t>ผบ.หมู่ พฐ.จว.ราชบุรี</t>
  </si>
  <si>
    <t>2710 12314 0392</t>
  </si>
  <si>
    <t>2710 12334 0146</t>
  </si>
  <si>
    <t>มณฑา พึ่งโพธิ์ทอง</t>
  </si>
  <si>
    <t>2710 12314 0393</t>
  </si>
  <si>
    <t>2710 12334 0147</t>
  </si>
  <si>
    <t>ทัศนีย์ สังข์สุวรรณ</t>
  </si>
  <si>
    <t>2710 12314 0394</t>
  </si>
  <si>
    <t>2710 12334 0148</t>
  </si>
  <si>
    <t>2710 12314 0395</t>
  </si>
  <si>
    <t>2710 12334 0149</t>
  </si>
  <si>
    <t>รอง สว.(อก.) พฐ.จว.ราชบุรี</t>
  </si>
  <si>
    <t>2710 12314 0396</t>
  </si>
  <si>
    <t>2710 12334 0150</t>
  </si>
  <si>
    <t>ภูมิพัฒน์  สิริวัชรโรจน์</t>
  </si>
  <si>
    <t>2710 12314 0397</t>
  </si>
  <si>
    <t>2710 12334 0151</t>
  </si>
  <si>
    <t>ธวัลรัตน์ สุวรรณจิตร</t>
  </si>
  <si>
    <t>2710 12314 0398</t>
  </si>
  <si>
    <t>2710 12334 0152</t>
  </si>
  <si>
    <t>วีรยา เข็มประดับ</t>
  </si>
  <si>
    <t>2710 12314 0399</t>
  </si>
  <si>
    <t>2710 12334 0153</t>
  </si>
  <si>
    <t>ธนวัน บัวขาว</t>
  </si>
  <si>
    <t>2710 12314 0400</t>
  </si>
  <si>
    <t>2710 12334 0154</t>
  </si>
  <si>
    <t>รัตนาภรณ์  ตู้แก้ว</t>
  </si>
  <si>
    <t>2710 12314 0401</t>
  </si>
  <si>
    <t>2710 12334 0155</t>
  </si>
  <si>
    <t>แปตุ  วนาเกษมสุข</t>
  </si>
  <si>
    <t>2710 12314 0402</t>
  </si>
  <si>
    <t>2710 12334 0156</t>
  </si>
  <si>
    <t>พรทวี บุญล้อ</t>
  </si>
  <si>
    <t>2710 12314 0403</t>
  </si>
  <si>
    <t>2710 12334 0157</t>
  </si>
  <si>
    <t>2710 12314 0404</t>
  </si>
  <si>
    <t>2710 12334 0158</t>
  </si>
  <si>
    <t>2710 12314 0405</t>
  </si>
  <si>
    <t>2710 12334 0159</t>
  </si>
  <si>
    <t>2710 12314 0406</t>
  </si>
  <si>
    <t>2710 12334 0160</t>
  </si>
  <si>
    <t>2710 12314 0407</t>
  </si>
  <si>
    <t>2710 12334 0161</t>
  </si>
  <si>
    <t>2710 12314 0408</t>
  </si>
  <si>
    <t>2710 12334 0162</t>
  </si>
  <si>
    <t>ผบ.หมู่ ศพฐ.8</t>
  </si>
  <si>
    <t>2711 12301 0001</t>
  </si>
  <si>
    <t>2711 12357 0001</t>
  </si>
  <si>
    <t>2711 12301 0002</t>
  </si>
  <si>
    <t>2711 12357 0002</t>
  </si>
  <si>
    <t>ผบ.หมู่ ฝอ.ศพฐ.8</t>
  </si>
  <si>
    <t>2711 12301 0221</t>
  </si>
  <si>
    <t>2711 12357 0003</t>
  </si>
  <si>
    <t>2711 12301 0222</t>
  </si>
  <si>
    <t>2711 12357 0004</t>
  </si>
  <si>
    <t>2711 12301 0223</t>
  </si>
  <si>
    <t>2711 12357 0005</t>
  </si>
  <si>
    <t>2711 12301 0224</t>
  </si>
  <si>
    <t>2711 12357 0006</t>
  </si>
  <si>
    <t>2711 12301 0225</t>
  </si>
  <si>
    <t>2711 12357 0007</t>
  </si>
  <si>
    <t>2711 12301 0226</t>
  </si>
  <si>
    <t>2711 12357 0008</t>
  </si>
  <si>
    <t>2711 12301 0227</t>
  </si>
  <si>
    <t>2711 12357 0009</t>
  </si>
  <si>
    <t>2711 12301 0228</t>
  </si>
  <si>
    <t>2711 12357 0010</t>
  </si>
  <si>
    <t>2711 12301 0229</t>
  </si>
  <si>
    <t>2711 12357 0011</t>
  </si>
  <si>
    <t>วัชรินทร์  บำรุง</t>
  </si>
  <si>
    <t>รอง สว.(อก.) ฝอ.ศพฐ.8</t>
  </si>
  <si>
    <t>2711 12314 0230</t>
  </si>
  <si>
    <t>2711 12334 0013</t>
  </si>
  <si>
    <t>นพต., นบ.,กดต.(ปป.)</t>
  </si>
  <si>
    <t>2711 12314 0231</t>
  </si>
  <si>
    <t>2711 12334 0014</t>
  </si>
  <si>
    <t>2711 12314 0232</t>
  </si>
  <si>
    <t>2711 12334 0015</t>
  </si>
  <si>
    <t>ค.บ. (สังคมศึกษา)</t>
  </si>
  <si>
    <t>สุมาลี วิโรจน์วรวิทย์</t>
  </si>
  <si>
    <t>2711 12314 0233</t>
  </si>
  <si>
    <t>2711 12334 0016</t>
  </si>
  <si>
    <t>ศศ.บ.(การจัดการ), กอป.</t>
  </si>
  <si>
    <t>2711 12314 0234</t>
  </si>
  <si>
    <t>2711 12334 0017</t>
  </si>
  <si>
    <t>อุทัยรัตน์ ใจหาญ</t>
  </si>
  <si>
    <t>2711 12314 0235</t>
  </si>
  <si>
    <t>2711 12334 0018</t>
  </si>
  <si>
    <t>วีระพร ขนอม</t>
  </si>
  <si>
    <t>2711 12314 0236</t>
  </si>
  <si>
    <t>2711 12334 0019</t>
  </si>
  <si>
    <t>ม.6, นบ., นพต.</t>
  </si>
  <si>
    <t>ตร.413/2560</t>
  </si>
  <si>
    <t>2711 12314 0237</t>
  </si>
  <si>
    <t>2711 12334 0020</t>
  </si>
  <si>
    <t>สิริมา เพชรแบน</t>
  </si>
  <si>
    <t>2711 12314 0238</t>
  </si>
  <si>
    <t>2711 12334 0021</t>
  </si>
  <si>
    <t>ปิยธิดา ยอดเจริญ</t>
  </si>
  <si>
    <t>2711 12314 0239</t>
  </si>
  <si>
    <t>2711 12334 0022</t>
  </si>
  <si>
    <t>ศศ.บ.(พัฒนาชุมชน), กอป.,กดต.(อก.)</t>
  </si>
  <si>
    <t>2711 12301 0240</t>
  </si>
  <si>
    <t>2711 12327 0012</t>
  </si>
  <si>
    <t>นพดล หลีวิทยานนท์</t>
  </si>
  <si>
    <t>รอง สว.(อก.) กสก.ศพฐ.8</t>
  </si>
  <si>
    <t>2711 12314 0241</t>
  </si>
  <si>
    <t>2711 12334 0023</t>
  </si>
  <si>
    <t>รป.บ.,นพต.,กดต.(ปป.)</t>
  </si>
  <si>
    <t>อภินันท์ สุวรรณ</t>
  </si>
  <si>
    <t>2711 12314 0242</t>
  </si>
  <si>
    <t>2711 12334 0024</t>
  </si>
  <si>
    <t>ศุภศิลป์  อินชนะ</t>
  </si>
  <si>
    <t>ผบ.หมู่ กสก.ศพฐ.8</t>
  </si>
  <si>
    <t>2711 12314 0243</t>
  </si>
  <si>
    <t>2711 12334 0025</t>
  </si>
  <si>
    <t>กมลทิพย์ บำรุง</t>
  </si>
  <si>
    <t>2711 12314 0244</t>
  </si>
  <si>
    <t>2711 12334 0026</t>
  </si>
  <si>
    <t>ศศ.บ.(พัฒนาชุมชน), กอป.</t>
  </si>
  <si>
    <t>2711 12314 0245</t>
  </si>
  <si>
    <t>2711 12334 0027</t>
  </si>
  <si>
    <t>ธนดล พรประสิทธิ์</t>
  </si>
  <si>
    <t>2711 12314 0246</t>
  </si>
  <si>
    <t>2711 12334 0028</t>
  </si>
  <si>
    <t xml:space="preserve"> นพต., อนุปริญญา (การจัดการทั่วไป)</t>
  </si>
  <si>
    <t>ธนาคาร  ชาติดำ</t>
  </si>
  <si>
    <t>2711 12314 0247</t>
  </si>
  <si>
    <t>2711 12334 0029</t>
  </si>
  <si>
    <t>ม.6, วศ.บ.(วิศวกรรมเคมี),วศ.ม.(วิศวกรรมเคมี)</t>
  </si>
  <si>
    <t>นราธิป  ทับทิมทอง</t>
  </si>
  <si>
    <t>2711 12314 0248</t>
  </si>
  <si>
    <t>2711 12334 0030</t>
  </si>
  <si>
    <t>ม.6, วท.บ(ชีววิทยา),วท.ม.(วาริชศาสตร์)</t>
  </si>
  <si>
    <t>วิสูตร บุตรมาตา</t>
  </si>
  <si>
    <t>2711 12314 0249</t>
  </si>
  <si>
    <t>2711 12334 0031</t>
  </si>
  <si>
    <t>ปวช., กอป.กดต.(อก.)</t>
  </si>
  <si>
    <t>ณัฐพล ลอยฟ้า</t>
  </si>
  <si>
    <t>2711 12314 0250</t>
  </si>
  <si>
    <t>2711 12334 0032</t>
  </si>
  <si>
    <t>2711 12314 0251</t>
  </si>
  <si>
    <t>2711 12334 0033</t>
  </si>
  <si>
    <t>พยงค์ เพชรสุวรรณ</t>
  </si>
  <si>
    <t>ผบ.หมู่ กอส.ศพฐ.8</t>
  </si>
  <si>
    <t>2711 12314 0252</t>
  </si>
  <si>
    <t>2711 12334 0034</t>
  </si>
  <si>
    <t>วิสุทธิ์ เทือกสุบรรณ</t>
  </si>
  <si>
    <t>รอง สว.(อก.) กอส.ศพฐ.8</t>
  </si>
  <si>
    <t>2711 12314 0253</t>
  </si>
  <si>
    <t>2711 12334 0035</t>
  </si>
  <si>
    <t>ศศ.บ., รป.ม., นพต.,กดต.(ปป.)</t>
  </si>
  <si>
    <t>ปุณยภาญิ์ สิทธิชัย</t>
  </si>
  <si>
    <t>2711 12314 0254</t>
  </si>
  <si>
    <t>2711 12334 0036</t>
  </si>
  <si>
    <t>ค.บ. (ธุรกิจศึกษา), กอป.(ปี52)</t>
  </si>
  <si>
    <t>สุพัตรา ปาละกุล</t>
  </si>
  <si>
    <t>2711 12314 0255</t>
  </si>
  <si>
    <t>2711 12334 0037</t>
  </si>
  <si>
    <t>บทบ.,รบ.ม.</t>
  </si>
  <si>
    <t>ผบ.หมู่ กอป.ศพฐ.8</t>
  </si>
  <si>
    <t>2711 12314 0256</t>
  </si>
  <si>
    <t>2711 12334 0038</t>
  </si>
  <si>
    <t>ทนงศักดิ์ จำเดิม</t>
  </si>
  <si>
    <t>รอง สว.(อก.) กอป.ศพฐ.8</t>
  </si>
  <si>
    <t>2711 12314 0257</t>
  </si>
  <si>
    <t>2711 12334 0039</t>
  </si>
  <si>
    <t>ปวส., นพต.</t>
  </si>
  <si>
    <t>2711 12314 0258</t>
  </si>
  <si>
    <t>2711 12334 0040</t>
  </si>
  <si>
    <t>สุภาพร ทองสงค์</t>
  </si>
  <si>
    <t>2711 12314 0259</t>
  </si>
  <si>
    <t>2711 12334 0041</t>
  </si>
  <si>
    <t>ดวงพร จิรัฐติกาลกุลเวท</t>
  </si>
  <si>
    <t>2711 12314 0260</t>
  </si>
  <si>
    <t>2711 12334 0042</t>
  </si>
  <si>
    <t>สมภพ ใจเย็น</t>
  </si>
  <si>
    <t>2711 12314 0261</t>
  </si>
  <si>
    <t>2711 12334 0043</t>
  </si>
  <si>
    <t>กศ.บ., นพต.</t>
  </si>
  <si>
    <t>2711 12314 0262</t>
  </si>
  <si>
    <t>2711 12334 0044</t>
  </si>
  <si>
    <t>ผบ.หมู่ กคม.ศพฐ.8</t>
  </si>
  <si>
    <t>2711 12314 0263</t>
  </si>
  <si>
    <t>2711 12334 0045</t>
  </si>
  <si>
    <t>รอง สว.(อก.) กคม.ศพฐ.8</t>
  </si>
  <si>
    <t>2711 12314 0264</t>
  </si>
  <si>
    <t>2711 12334 0046</t>
  </si>
  <si>
    <t>จีรพงศ์ เรืองโรจน์</t>
  </si>
  <si>
    <t>2711 12314 0265</t>
  </si>
  <si>
    <t>2711 12334 0047</t>
  </si>
  <si>
    <t>ศศ.บ., ร.ม., นพต.,กดต.(ปป.)</t>
  </si>
  <si>
    <t>2711 12314 0266</t>
  </si>
  <si>
    <t>2711 12334 0048</t>
  </si>
  <si>
    <t>จุฑารัตน์ เพชรอาวุธ</t>
  </si>
  <si>
    <t>ผบ.หมู่ กยส.ศพฐ.8</t>
  </si>
  <si>
    <t>2711 12314 0267</t>
  </si>
  <si>
    <t>2711 12334 0049</t>
  </si>
  <si>
    <t>2711 12314 0268</t>
  </si>
  <si>
    <t>2711 12334 0050</t>
  </si>
  <si>
    <t>แตงอ่อน พุฒทอง</t>
  </si>
  <si>
    <t>2711 12314 0269</t>
  </si>
  <si>
    <t>2711 12334 0051</t>
  </si>
  <si>
    <t>รอง สว.(อก.) กยส.ศพฐ.8</t>
  </si>
  <si>
    <t>2711 12314 0270</t>
  </si>
  <si>
    <t>2711 12334 0052</t>
  </si>
  <si>
    <t>วิชานนท์ งามสง่า</t>
  </si>
  <si>
    <t>ผบ.หมู่ กนฝ.ศพฐ.8</t>
  </si>
  <si>
    <t>2711 12314 0271</t>
  </si>
  <si>
    <t>2711 12334 0053</t>
  </si>
  <si>
    <t>นิติพร  ปทะวานิช</t>
  </si>
  <si>
    <t>2711 12314 0272</t>
  </si>
  <si>
    <t>2711 12334 0054</t>
  </si>
  <si>
    <t>สายฝน  สังข์โชติ</t>
  </si>
  <si>
    <t>2711 12314 0273</t>
  </si>
  <si>
    <t>2711 12334 0055</t>
  </si>
  <si>
    <t>สส.บ., รป.ม.</t>
  </si>
  <si>
    <t>พงศกร หอกแสง</t>
  </si>
  <si>
    <t>2711 12314 0274</t>
  </si>
  <si>
    <t>2711 12334 0056</t>
  </si>
  <si>
    <t>สมมาต ชูสงดำ</t>
  </si>
  <si>
    <t>รอง สว.(อก.) กนฝ.ศพฐ.8</t>
  </si>
  <si>
    <t>2711 12314 0275</t>
  </si>
  <si>
    <t>2711 12334 0057</t>
  </si>
  <si>
    <t>ผบ.หมู่ กชว.ศพฐ.8</t>
  </si>
  <si>
    <t>2711 12314 0276</t>
  </si>
  <si>
    <t>2711 12334 0058</t>
  </si>
  <si>
    <t>2711 12314 0277</t>
  </si>
  <si>
    <t>2711 12334 0059</t>
  </si>
  <si>
    <t>2711 12314 0278</t>
  </si>
  <si>
    <t>2711 12334 0060</t>
  </si>
  <si>
    <t>2711 12314 0279</t>
  </si>
  <si>
    <t>2711 12334 0061</t>
  </si>
  <si>
    <t>สมศักดิ์ อินทร์สังข์</t>
  </si>
  <si>
    <t>ผบ.หมู่ กคพ.ศพฐ.8</t>
  </si>
  <si>
    <t>2711 12314 0280</t>
  </si>
  <si>
    <t>2711 12334 0062</t>
  </si>
  <si>
    <t>ศศ.บ., ศน.ม., นพต.</t>
  </si>
  <si>
    <t>ศรัณยา พ่วงสะอาด</t>
  </si>
  <si>
    <t>2711 12314 0281</t>
  </si>
  <si>
    <t>2711 12334 0063</t>
  </si>
  <si>
    <t>นาตยา งามสง่า</t>
  </si>
  <si>
    <t>2711 12314 0282</t>
  </si>
  <si>
    <t>2711 12334 0064</t>
  </si>
  <si>
    <t>ไกรภูมิ ญาสิทธิ์</t>
  </si>
  <si>
    <t>รอง สว.(อก.) กคพ.ศพฐ.8</t>
  </si>
  <si>
    <t>2711 12314 0283</t>
  </si>
  <si>
    <t>2711 12334 0065</t>
  </si>
  <si>
    <t>นบ., รป.ม., นพต.</t>
  </si>
  <si>
    <t>จินตนา บุญพัฒน์</t>
  </si>
  <si>
    <t>ผบ.หมู่ กชช.ศพฐ.8</t>
  </si>
  <si>
    <t>2711 12314 0284</t>
  </si>
  <si>
    <t>2711 12334 0066</t>
  </si>
  <si>
    <t>กอป., รป.บ.</t>
  </si>
  <si>
    <t>ผบ.หมู่ พฐ.จว.ระนอง</t>
  </si>
  <si>
    <t>2711 12314 0285</t>
  </si>
  <si>
    <t>2711 12334 0067</t>
  </si>
  <si>
    <t>สมควร ม่วงจันทร์</t>
  </si>
  <si>
    <t>2711 12314 0286</t>
  </si>
  <si>
    <t>2711 12334 0068</t>
  </si>
  <si>
    <t>กตพร ภู่ขันเงิน</t>
  </si>
  <si>
    <t>2711 12314 0287</t>
  </si>
  <si>
    <t>2711 12334 0069</t>
  </si>
  <si>
    <t>พัชชลี แทนเจริญศักดิ์</t>
  </si>
  <si>
    <t>2711 12314 0288</t>
  </si>
  <si>
    <t>2711 12334 0070</t>
  </si>
  <si>
    <t>2711 12314 0289</t>
  </si>
  <si>
    <t>2711 12334 0071</t>
  </si>
  <si>
    <t>พัชรินทร์ คงบุญ</t>
  </si>
  <si>
    <t>2711 12314 0290</t>
  </si>
  <si>
    <t>2711 12334 0072</t>
  </si>
  <si>
    <t>ปวช., นบ., กอป.</t>
  </si>
  <si>
    <t>2711 12314 0291</t>
  </si>
  <si>
    <t>2711 12334 0073</t>
  </si>
  <si>
    <t>2711 12314 0292</t>
  </si>
  <si>
    <t>2711 12334 0074</t>
  </si>
  <si>
    <t>สุรีรัตน์ วงศ์ธวัชบุรี</t>
  </si>
  <si>
    <t>2711 12314 0293</t>
  </si>
  <si>
    <t>2711 12334 0075</t>
  </si>
  <si>
    <t>2711 12314 0294</t>
  </si>
  <si>
    <t>2711 12334 0076</t>
  </si>
  <si>
    <t>2711 12314 0295</t>
  </si>
  <si>
    <t>2711 12334 0077</t>
  </si>
  <si>
    <t>2711 12314 0296</t>
  </si>
  <si>
    <t>2711 12334 0078</t>
  </si>
  <si>
    <t>2711 12314 0297</t>
  </si>
  <si>
    <t>2711 12334 0079</t>
  </si>
  <si>
    <t>2711 12314 0298</t>
  </si>
  <si>
    <t>2711 12334 0080</t>
  </si>
  <si>
    <t>ผบ.หมู่ พฐ.จว.ชุมพร</t>
  </si>
  <si>
    <t>2711 12314 0299</t>
  </si>
  <si>
    <t>2711 12334 0112</t>
  </si>
  <si>
    <t>ภูริจักษ์  พลกำจัด</t>
  </si>
  <si>
    <t>2711 12314 0300</t>
  </si>
  <si>
    <t>2711 12334 0113</t>
  </si>
  <si>
    <t>2711 12314 0301</t>
  </si>
  <si>
    <t>2711 12334 0114</t>
  </si>
  <si>
    <t>อันซอร  หมานมานะ</t>
  </si>
  <si>
    <t>2711 12314 0302</t>
  </si>
  <si>
    <t>2711 12334 0115</t>
  </si>
  <si>
    <t>จตุพร  เกษมสัตย์</t>
  </si>
  <si>
    <t>2711 12314 0303</t>
  </si>
  <si>
    <t>2711 12334 0116</t>
  </si>
  <si>
    <t>จำรัส อ้นสถิตย์</t>
  </si>
  <si>
    <t>รอง สว.(อก) พฐ.จว.ชุมพร</t>
  </si>
  <si>
    <t>2711 12314 0304</t>
  </si>
  <si>
    <t>2711 12334 0117</t>
  </si>
  <si>
    <t>พรประสิทธิ์ ชิตรัตถา</t>
  </si>
  <si>
    <t>2711 12314 0305</t>
  </si>
  <si>
    <t>2711 12334 0118</t>
  </si>
  <si>
    <t>เกียรติศักดิ์ โกรัมย์</t>
  </si>
  <si>
    <t>2711 12314 0306</t>
  </si>
  <si>
    <t>2711 12334 0119</t>
  </si>
  <si>
    <t>ปวช., กอป.,กดต.(อก.)</t>
  </si>
  <si>
    <t>ชญานิษฐ์  ยงประเดิม</t>
  </si>
  <si>
    <t>2711 12314 0307</t>
  </si>
  <si>
    <t>2711 12334 0120</t>
  </si>
  <si>
    <t>ม.6,กอป</t>
  </si>
  <si>
    <t>2711 12314 0308</t>
  </si>
  <si>
    <t>2711 12334 0121</t>
  </si>
  <si>
    <t>รชต  สระศรีสุวรรณ</t>
  </si>
  <si>
    <t>2711 12314 0309</t>
  </si>
  <si>
    <t>2711 12334 0122</t>
  </si>
  <si>
    <t>คุณากร  แก้วสุกใส</t>
  </si>
  <si>
    <t>2711 12314 0310</t>
  </si>
  <si>
    <t>2711 12334 0123</t>
  </si>
  <si>
    <t>อติตา สุขทอง</t>
  </si>
  <si>
    <t>2711 12314 0311</t>
  </si>
  <si>
    <t>2711 12334 0124</t>
  </si>
  <si>
    <t>2711 12314 0312</t>
  </si>
  <si>
    <t>2711 12334 0125</t>
  </si>
  <si>
    <t>2711 12314 0313</t>
  </si>
  <si>
    <t>2711 12334 0126</t>
  </si>
  <si>
    <t>2711 12314 0314</t>
  </si>
  <si>
    <t>2711 12334 0127</t>
  </si>
  <si>
    <t>2711 12314 0315</t>
  </si>
  <si>
    <t>2711 12334 0128</t>
  </si>
  <si>
    <t>กิตติศักดิ์  หมาดเส็น</t>
  </si>
  <si>
    <t>ผบ.หมู่ พฐ.จว.ภูเก็ต</t>
  </si>
  <si>
    <t>2711 12314 0316</t>
  </si>
  <si>
    <t>2711 12334 0146</t>
  </si>
  <si>
    <t>วิสาร  สุขสาร</t>
  </si>
  <si>
    <t>2711 12314 0317</t>
  </si>
  <si>
    <t>2711 12334 0147</t>
  </si>
  <si>
    <t>จารุวรรณ เรืองนาค</t>
  </si>
  <si>
    <t>2711 12314 0318</t>
  </si>
  <si>
    <t>2711 12334 0148</t>
  </si>
  <si>
    <t>ตร.ที่ 285/2559</t>
  </si>
  <si>
    <t>2711 12314 0319</t>
  </si>
  <si>
    <t>2711 12334 0149</t>
  </si>
  <si>
    <t>รอม  รักหาบ</t>
  </si>
  <si>
    <t>2711 12314 0320</t>
  </si>
  <si>
    <t>2711 12334 0150</t>
  </si>
  <si>
    <t>2711 12314 0321</t>
  </si>
  <si>
    <t>2711 12334 0151</t>
  </si>
  <si>
    <t>ชัยยุทธ  ภัทรจินดาวงศ์</t>
  </si>
  <si>
    <t>2711 12314 0322</t>
  </si>
  <si>
    <t>2711 12334 0152</t>
  </si>
  <si>
    <t>ไตรเมต เกื้อวงค์</t>
  </si>
  <si>
    <t>ผบ.หมู่  พฐ.จว.ภูเก็ต</t>
  </si>
  <si>
    <t>2711 12314 0323</t>
  </si>
  <si>
    <t>2711 12334 0153</t>
  </si>
  <si>
    <t>ธิดาวรรณ วงศ์สวนนท์</t>
  </si>
  <si>
    <t>2711 12314 0324</t>
  </si>
  <si>
    <t>2711 12334 0154</t>
  </si>
  <si>
    <t>ศศ.บ.(รัฐศาสตร์), กอป.,ชัยยะระดับขั้นพื้นฐาน</t>
  </si>
  <si>
    <t>2711 12314 0325</t>
  </si>
  <si>
    <t>2711 12334 0155</t>
  </si>
  <si>
    <t>สิทธิพงค์ ขันชู</t>
  </si>
  <si>
    <t>2711 12314 0326</t>
  </si>
  <si>
    <t>2711 12334 0156</t>
  </si>
  <si>
    <t>ศศ.บ.(รัฐประศาสนศาสตร์), นพต., ชัยยะระดับขั้นพื้นฐาน</t>
  </si>
  <si>
    <t>สมใจ ไทรบุรี</t>
  </si>
  <si>
    <t>รอง สว.(อก.) พฐ.จว.ภูเก็ต</t>
  </si>
  <si>
    <t>2711 12314 0327</t>
  </si>
  <si>
    <t>2711 12334 0157</t>
  </si>
  <si>
    <t>2711 12314 0328</t>
  </si>
  <si>
    <t>2711 12334 0158</t>
  </si>
  <si>
    <t>พิเชฏ สุพรรณชนะบุรี</t>
  </si>
  <si>
    <t>2711 12314 0329</t>
  </si>
  <si>
    <t>2711 12334 0159</t>
  </si>
  <si>
    <t>2711 12314 0330</t>
  </si>
  <si>
    <t>2711 12334 0160</t>
  </si>
  <si>
    <t>2711 12314 0331</t>
  </si>
  <si>
    <t>2711 12334 0161</t>
  </si>
  <si>
    <t>2711 12314 0332</t>
  </si>
  <si>
    <t>2711 12334 0162</t>
  </si>
  <si>
    <t>มนตรี วงษ์แก้ว</t>
  </si>
  <si>
    <t>ผบ.หมู่ พฐ.จว.กระบี่</t>
  </si>
  <si>
    <t>2711 12314 0333</t>
  </si>
  <si>
    <t>2711 12334 0081</t>
  </si>
  <si>
    <t>ม.6,นบ.</t>
  </si>
  <si>
    <t>รอง สว.(อก.) พฐ.จว.กระบี่</t>
  </si>
  <si>
    <t>2711 12314 0334</t>
  </si>
  <si>
    <t>2711 12334 0082</t>
  </si>
  <si>
    <t>พุทธชาติ  ชัยเพ็ชร์</t>
  </si>
  <si>
    <t>2711 12314 0335</t>
  </si>
  <si>
    <t>2711 12334 0083</t>
  </si>
  <si>
    <t>พิพัฒน์พงค์ ชูสิงค์แค</t>
  </si>
  <si>
    <t>2711 12314 0336</t>
  </si>
  <si>
    <t>2711 12334 0084</t>
  </si>
  <si>
    <t>2711 12314 0337</t>
  </si>
  <si>
    <t>2711 12334 0085</t>
  </si>
  <si>
    <t>2711 12314 0338</t>
  </si>
  <si>
    <t>2711 12334 0086</t>
  </si>
  <si>
    <t>มณทิพย์  เทพแก้ว</t>
  </si>
  <si>
    <t>2711 12314 0339</t>
  </si>
  <si>
    <t>2711 12334 0087</t>
  </si>
  <si>
    <t>ศศ.บ.(สื่อสารมวลชน), ชัยยะ, กปป รุ่น 53</t>
  </si>
  <si>
    <t>ธวัชชัย  ชัยศิริ</t>
  </si>
  <si>
    <t>2711 12314 0340</t>
  </si>
  <si>
    <t>2711 12334 0088</t>
  </si>
  <si>
    <t>ป.ตรี การเงินการธนาคาร</t>
  </si>
  <si>
    <t>2711 12314 0341</t>
  </si>
  <si>
    <t>2711 12334 0089</t>
  </si>
  <si>
    <t>2711 12314 0342</t>
  </si>
  <si>
    <t>2711 12334 0090</t>
  </si>
  <si>
    <t>ศศ.บ.(การจัดการ) ชัยยะ,กปป รุ่น 53</t>
  </si>
  <si>
    <t>นิตยา รักษาชาติ</t>
  </si>
  <si>
    <t>2711 12314 0343</t>
  </si>
  <si>
    <t>2711 12334 0091</t>
  </si>
  <si>
    <t>ปิติพงษ์ ชัยเพชร</t>
  </si>
  <si>
    <t>2711 12314 0344</t>
  </si>
  <si>
    <t>2711 12334 0092</t>
  </si>
  <si>
    <t>ม.6, กอป., วท.บ.(เทคโนโลยีสารสนเทศ)</t>
  </si>
  <si>
    <t>2711 12314 0345</t>
  </si>
  <si>
    <t>2711 12334 0093</t>
  </si>
  <si>
    <t>จิตตินนท์ ธรรมโชโต</t>
  </si>
  <si>
    <t>2711 12314 0346</t>
  </si>
  <si>
    <t>2711 12334 0094</t>
  </si>
  <si>
    <t>2711 12314 0347</t>
  </si>
  <si>
    <t>2711 12334 0095</t>
  </si>
  <si>
    <t>2711 12314 0348</t>
  </si>
  <si>
    <t>2711 12334 0096</t>
  </si>
  <si>
    <t>สุเทพ นวลจันทร์</t>
  </si>
  <si>
    <t>2711 12314 0349</t>
  </si>
  <si>
    <t>2711 12334 0097</t>
  </si>
  <si>
    <t xml:space="preserve">น.บ.,  กปป. </t>
  </si>
  <si>
    <t>ตร.592/59</t>
  </si>
  <si>
    <t>ชมัยพร ชูผอม</t>
  </si>
  <si>
    <t>ผบ.หมู่ พฐ.จว.พังงา</t>
  </si>
  <si>
    <t>2711 12314 0350</t>
  </si>
  <si>
    <t>2711 12334 0098</t>
  </si>
  <si>
    <t>จ.พัทลุง</t>
  </si>
  <si>
    <t>อรรถพล  นุ่นมัน</t>
  </si>
  <si>
    <t>2711 12314 0351</t>
  </si>
  <si>
    <t>2711 12334 0099</t>
  </si>
  <si>
    <t>จ.นครศรีธรรมราช</t>
  </si>
  <si>
    <t>2711 12314 0352</t>
  </si>
  <si>
    <t>2711 12334 0100</t>
  </si>
  <si>
    <t>มานัส อ้วนสูงเนิน</t>
  </si>
  <si>
    <t>2711 12314 0353</t>
  </si>
  <si>
    <t>2711 12334 0101</t>
  </si>
  <si>
    <t>จ.นครราชสีมา</t>
  </si>
  <si>
    <t>เจนณรงค์ ทาละไพร</t>
  </si>
  <si>
    <t>2711 12314 0354</t>
  </si>
  <si>
    <t>2711 12334 0102</t>
  </si>
  <si>
    <t>จ.กาฬสินธุ์</t>
  </si>
  <si>
    <t>ศิราเมษฐ์  เงินถาวรญาพัฒน์</t>
  </si>
  <si>
    <t>2711 12314 0355</t>
  </si>
  <si>
    <t>2711 12334 0103</t>
  </si>
  <si>
    <t>ยงยุทธ์  จุนโท</t>
  </si>
  <si>
    <t>2711 12314 0356</t>
  </si>
  <si>
    <t>2711 12334 0104</t>
  </si>
  <si>
    <t>จ.ยะลา</t>
  </si>
  <si>
    <t>2711 12314 0357</t>
  </si>
  <si>
    <t>2711 12334 0105</t>
  </si>
  <si>
    <t>กัญญาภัค คุปตศิลา</t>
  </si>
  <si>
    <t>รอง สว.(อก.) พฐ.จว.พังงา</t>
  </si>
  <si>
    <t>2711 12314 0358</t>
  </si>
  <si>
    <t>2711 12334 0106</t>
  </si>
  <si>
    <t>ปวช., กอป.,ร.บ.,กดต.(อก.)</t>
  </si>
  <si>
    <t>จ.กระบี่</t>
  </si>
  <si>
    <t>2711 12314 0359</t>
  </si>
  <si>
    <t>2711 12334 0107</t>
  </si>
  <si>
    <t>2711 12314 0360</t>
  </si>
  <si>
    <t>2711 12334 0108</t>
  </si>
  <si>
    <t>2711 12314 0361</t>
  </si>
  <si>
    <t>2711 12334 0109</t>
  </si>
  <si>
    <t>2711 12314 0362</t>
  </si>
  <si>
    <t>2711 12334 0110</t>
  </si>
  <si>
    <t>2711 12314 0363</t>
  </si>
  <si>
    <t>2711 12334 0111</t>
  </si>
  <si>
    <t>ลดารัตน์ ราชอุไร</t>
  </si>
  <si>
    <t>ผบ.หมู่ พฐ.จว.นครศรีธรรมราช</t>
  </si>
  <si>
    <t>2711 12314 0364</t>
  </si>
  <si>
    <t>2711 12334 0129</t>
  </si>
  <si>
    <t>ธนัชพัชญ์ สุวรรณศักดิ์</t>
  </si>
  <si>
    <t>2711 12314 0365</t>
  </si>
  <si>
    <t>2711 12334 0130</t>
  </si>
  <si>
    <t>บช.บ. (การบัญชี), ตวท.(3), กปป.(4)</t>
  </si>
  <si>
    <t>อุเทน หนูทอง</t>
  </si>
  <si>
    <t>รอง สว.(อก.) พฐ.จว.นครศรีธรรมราช</t>
  </si>
  <si>
    <t>2711 12314 0366</t>
  </si>
  <si>
    <t>2711 12334 0131</t>
  </si>
  <si>
    <t>อัญชลี บุญญะ</t>
  </si>
  <si>
    <t>2711 12314 0367</t>
  </si>
  <si>
    <t>2711 12334 0132</t>
  </si>
  <si>
    <t>อุสา ใบเต้</t>
  </si>
  <si>
    <t>2711 12314 0368</t>
  </si>
  <si>
    <t>2711 12334 0133</t>
  </si>
  <si>
    <t>พัชรีภรณ์ อินปลอด</t>
  </si>
  <si>
    <t>2711 12314 0369</t>
  </si>
  <si>
    <t>2711 12334 0134</t>
  </si>
  <si>
    <t>2711 12314 0370</t>
  </si>
  <si>
    <t>2711 12334 0135</t>
  </si>
  <si>
    <t>สุรินทร์ หัตถประดิษฐ์</t>
  </si>
  <si>
    <t>2711 12314 0371</t>
  </si>
  <si>
    <t>2711 12334 0136</t>
  </si>
  <si>
    <t>ม.6, นพต., ศศบ.,กดต.(อก.)</t>
  </si>
  <si>
    <t>เมตตา ภิรมยาภรณ์</t>
  </si>
  <si>
    <t>2711 12314 0372</t>
  </si>
  <si>
    <t>2711 12334 0137</t>
  </si>
  <si>
    <t>ปวช., บธ.บ, กอป.</t>
  </si>
  <si>
    <t>2711 12314 0373</t>
  </si>
  <si>
    <t>2711 12334 0138</t>
  </si>
  <si>
    <t>2711 12314 0374</t>
  </si>
  <si>
    <t>2711 12334 0139</t>
  </si>
  <si>
    <t>ภารดี พรหมสุวรรณ</t>
  </si>
  <si>
    <t>2711 12314 0375</t>
  </si>
  <si>
    <t>2711 12334 0140</t>
  </si>
  <si>
    <t>ปวช., รศ.บ., กอป.</t>
  </si>
  <si>
    <t>อารีพร ช่วยสงคราม</t>
  </si>
  <si>
    <t>2711 12314 0376</t>
  </si>
  <si>
    <t>2711 12334 0141</t>
  </si>
  <si>
    <t>ปวช., ค.บ., กอป.</t>
  </si>
  <si>
    <t>2711 12314 0377</t>
  </si>
  <si>
    <t>2711 12334 0142</t>
  </si>
  <si>
    <t>2711 12314 0378</t>
  </si>
  <si>
    <t>2711 12334 0143</t>
  </si>
  <si>
    <t>พาณี ทับทิม</t>
  </si>
  <si>
    <t>2711 12314 0379</t>
  </si>
  <si>
    <t>2711 12334 0144</t>
  </si>
  <si>
    <t>กัญจนา มานพพันธ์</t>
  </si>
  <si>
    <t>2711 12314 0380</t>
  </si>
  <si>
    <t>2711 12334 0145</t>
  </si>
  <si>
    <t>ประเสริฐ  มรรคาเขต</t>
  </si>
  <si>
    <t>ผบ.หมู่ ศพฐ.9</t>
  </si>
  <si>
    <t>2712 12301 0001</t>
  </si>
  <si>
    <t>2712 12357 0001</t>
  </si>
  <si>
    <t>2712 12301 0002</t>
  </si>
  <si>
    <t>2712 12357 0002</t>
  </si>
  <si>
    <t>บรรจง  ถีราวุฒิ</t>
  </si>
  <si>
    <t>2712 12301 0003</t>
  </si>
  <si>
    <t>2712 12357 0003</t>
  </si>
  <si>
    <t>พงศ์สยาม หอมขาว</t>
  </si>
  <si>
    <t>ผบ.หมู่ ฝอ.ศพฐ.9</t>
  </si>
  <si>
    <t>2712 12301 0150</t>
  </si>
  <si>
    <t>2712 12357 0004</t>
  </si>
  <si>
    <t>ธมนวรรณ ศรีเพ็ชร</t>
  </si>
  <si>
    <t>2712 12301 0151</t>
  </si>
  <si>
    <t>2712 12357 0005</t>
  </si>
  <si>
    <t>วีรยุทธ  สาหลี</t>
  </si>
  <si>
    <t>2712 12301 0152</t>
  </si>
  <si>
    <t>2712 12357 0006</t>
  </si>
  <si>
    <t>ปิยะภัทร  สมัครพงศ์</t>
  </si>
  <si>
    <t>2712 12301 0153</t>
  </si>
  <si>
    <t>2712 12357 0007</t>
  </si>
  <si>
    <t>ทศวร  นวลศรี</t>
  </si>
  <si>
    <t>2712 12301 0154</t>
  </si>
  <si>
    <t>2712 12357 0008</t>
  </si>
  <si>
    <t>จเร สุวรรณรัตน์</t>
  </si>
  <si>
    <t>รอง สว.(อก.) ฝอ.ศพฐ.9</t>
  </si>
  <si>
    <t>2712 12301 0155</t>
  </si>
  <si>
    <t>2712 12357 0009</t>
  </si>
  <si>
    <t>นพต.</t>
  </si>
  <si>
    <t>สพฐ.ตร.60/2566</t>
  </si>
  <si>
    <t>ปัทมพร นาทอง</t>
  </si>
  <si>
    <t>2712 12301 0156</t>
  </si>
  <si>
    <t>2712 12357 0010</t>
  </si>
  <si>
    <t>ศศ.บ., ศ.ม., ตวท.</t>
  </si>
  <si>
    <t>ขวัญประชา  บิลโส๊ะ</t>
  </si>
  <si>
    <t>2712 12301 0157</t>
  </si>
  <si>
    <t>2712 12357 0011</t>
  </si>
  <si>
    <t>นพพร  แก้วบุปผา</t>
  </si>
  <si>
    <t>2712 12301 0158</t>
  </si>
  <si>
    <t>2712 12357 0012</t>
  </si>
  <si>
    <t>2712 12314 0159</t>
  </si>
  <si>
    <t>2712 12334 0014</t>
  </si>
  <si>
    <t>ปฏิพล บุญช่วย</t>
  </si>
  <si>
    <t>2712 12314 0160</t>
  </si>
  <si>
    <t>2712 12334 0015</t>
  </si>
  <si>
    <t>ม.6 ,วท.บ.(ชีววิทยา) ,วท.ม.(นิติวิทยาศาสตร์)</t>
  </si>
  <si>
    <t>เบญจมาศ เพชรฤทธิ์</t>
  </si>
  <si>
    <t>2712 12314 0161</t>
  </si>
  <si>
    <t>2712 12334 0016</t>
  </si>
  <si>
    <t>อรรัตน์ ตรีไวย</t>
  </si>
  <si>
    <t>2712 12314 0162</t>
  </si>
  <si>
    <t>2712 12334 0017</t>
  </si>
  <si>
    <t>บุญพา สุขสวัสดิ์</t>
  </si>
  <si>
    <t>2712 12314 0163</t>
  </si>
  <si>
    <t>2712 12334 0018</t>
  </si>
  <si>
    <t>ปิยนันท์ ยิ้มวัลย์</t>
  </si>
  <si>
    <t>2712 12314 0164</t>
  </si>
  <si>
    <t>2712 12334 0019</t>
  </si>
  <si>
    <t>เพ็ญพิชา เหมพันธ์</t>
  </si>
  <si>
    <t>2712 12314 0165</t>
  </si>
  <si>
    <t>2712 12334 0020</t>
  </si>
  <si>
    <t>รปม., กอป.</t>
  </si>
  <si>
    <t>2712 12314 0166</t>
  </si>
  <si>
    <t>2712 12334 0021</t>
  </si>
  <si>
    <t>ฤทัยกาญจน์ วงศ์งาม</t>
  </si>
  <si>
    <t>2712 12314 0167</t>
  </si>
  <si>
    <t>2712 12334 0022</t>
  </si>
  <si>
    <t>อารียา  รักไชย</t>
  </si>
  <si>
    <t>2712 12314 0168</t>
  </si>
  <si>
    <t>2712 12334 0023</t>
  </si>
  <si>
    <t>2712 12301 0169</t>
  </si>
  <si>
    <t>2712 12327 0013</t>
  </si>
  <si>
    <t>สมชาย ชาติภัย</t>
  </si>
  <si>
    <t>ผบ.หมู่ กสก.ศพฐ.9</t>
  </si>
  <si>
    <t>2712 12314 0170</t>
  </si>
  <si>
    <t>2712 12334 0024</t>
  </si>
  <si>
    <t>ปวช., นบ., นพต.</t>
  </si>
  <si>
    <t>นิคม จันทร์ส่องภพ</t>
  </si>
  <si>
    <t>2712 12314 0171</t>
  </si>
  <si>
    <t>2712 12334 0025</t>
  </si>
  <si>
    <t>กานดา สุวรรณกาญจน์</t>
  </si>
  <si>
    <t>2712 12314 0172</t>
  </si>
  <si>
    <t>2712 12334 0026</t>
  </si>
  <si>
    <t>บรรจบ ลอยเลื่อน</t>
  </si>
  <si>
    <t>2712 12314 0173</t>
  </si>
  <si>
    <t>2712 12334 0027</t>
  </si>
  <si>
    <t>คบ.(พละ), ตวท.</t>
  </si>
  <si>
    <t>สุชาติ ราชแดหวา</t>
  </si>
  <si>
    <t>รอง สว.(อก.) กสก.ศพฐ.9</t>
  </si>
  <si>
    <t>2712 12314 0174</t>
  </si>
  <si>
    <t>2712 12334 0028</t>
  </si>
  <si>
    <t>สุปราณี ทองคำ</t>
  </si>
  <si>
    <t>2712 12314 0175</t>
  </si>
  <si>
    <t>2712 12334 0029</t>
  </si>
  <si>
    <t>บธ.บ.,ตวท.</t>
  </si>
  <si>
    <t>เรวัฒน์  จันทร์แก้ว</t>
  </si>
  <si>
    <t>2712 12314 0176</t>
  </si>
  <si>
    <t>2712 12334 0030</t>
  </si>
  <si>
    <t>รป.บ.,กดต.(อก.)</t>
  </si>
  <si>
    <t>รัชนู ฤทธิ์โต</t>
  </si>
  <si>
    <t>2712 12314 0177</t>
  </si>
  <si>
    <t>2712 12334 0031</t>
  </si>
  <si>
    <t>จตุพร  ฉันทวีโรจน์</t>
  </si>
  <si>
    <t>2712 12314 0178</t>
  </si>
  <si>
    <t>2712 12334 0032</t>
  </si>
  <si>
    <t>ปรีชา อนุสาร</t>
  </si>
  <si>
    <t>2712 12314 0179</t>
  </si>
  <si>
    <t>2712 12334 0033</t>
  </si>
  <si>
    <t>สุวัฒน์ จันทร์จะนะ</t>
  </si>
  <si>
    <t>2712 12314 0180</t>
  </si>
  <si>
    <t>2712 12334 0034</t>
  </si>
  <si>
    <t>ผบ.หมู่ กอส.ศพฐ.9</t>
  </si>
  <si>
    <t>2712 12314 0181</t>
  </si>
  <si>
    <t>2712 12334 0035</t>
  </si>
  <si>
    <t>กระจ่าง  แก้วบุปผา</t>
  </si>
  <si>
    <t>รอง สว.(อก.) กอส.ศพฐ.9</t>
  </si>
  <si>
    <t>2712 12314 0182</t>
  </si>
  <si>
    <t>2712 12334 0036</t>
  </si>
  <si>
    <t>รัฐศาสตร์บัณฑิต</t>
  </si>
  <si>
    <t>สุชาติ สุขหิรัญรัตน์</t>
  </si>
  <si>
    <t>2712 12314 0183</t>
  </si>
  <si>
    <t>2712 12334 0037</t>
  </si>
  <si>
    <t>ปราโมทย์ ทองพันธ์</t>
  </si>
  <si>
    <t>2712 12314 0184</t>
  </si>
  <si>
    <t>2712 12334 0038</t>
  </si>
  <si>
    <t>ผบ.หมู่ กอป.ศพฐ.9</t>
  </si>
  <si>
    <t>2712 12314 0185</t>
  </si>
  <si>
    <t>2712 12334 0039</t>
  </si>
  <si>
    <t>ไชยศ คงประเทศ</t>
  </si>
  <si>
    <t>2712 12314 0186</t>
  </si>
  <si>
    <t>2712 12334 0040</t>
  </si>
  <si>
    <t>สพฐ.ตร. 62/66</t>
  </si>
  <si>
    <t>ธวัชชัย พันชู</t>
  </si>
  <si>
    <t>2712 12314 0187</t>
  </si>
  <si>
    <t>2712 12334 0041</t>
  </si>
  <si>
    <t>บรรเจิด เหมวิเชียร</t>
  </si>
  <si>
    <t>รอง สว.(อก.) กอป.ศพฐ.9</t>
  </si>
  <si>
    <t>2712 12314 0188</t>
  </si>
  <si>
    <t>2712 12334 0042</t>
  </si>
  <si>
    <t>สวัสดิ์ เลื่อนเกื้อ</t>
  </si>
  <si>
    <t>2712 12314 0189</t>
  </si>
  <si>
    <t>2712 12334 0043</t>
  </si>
  <si>
    <t>ณิชมน ใจซื่อ</t>
  </si>
  <si>
    <t>2712 12314 0190</t>
  </si>
  <si>
    <t>2712 12334 0044</t>
  </si>
  <si>
    <t>อาทิตย์ เวชมาหะ</t>
  </si>
  <si>
    <t>2712 12314 0191</t>
  </si>
  <si>
    <t>2712 12334 0045</t>
  </si>
  <si>
    <t>สมนึก หนูเสือ</t>
  </si>
  <si>
    <t>รอง สว.(อก.) กคม.ศพฐ.9</t>
  </si>
  <si>
    <t>2712 12314 0192</t>
  </si>
  <si>
    <t>2712 12334 0046</t>
  </si>
  <si>
    <t>อากร สิทธิกุล</t>
  </si>
  <si>
    <t>ผบ.หมู่ กคม.ศพฐ.9</t>
  </si>
  <si>
    <t>2712 12314 0193</t>
  </si>
  <si>
    <t>2712 12334 0047</t>
  </si>
  <si>
    <t>ม.6, นพต., ชัยยะ</t>
  </si>
  <si>
    <t>ปัณญ์ตวัน ทองจันทร์</t>
  </si>
  <si>
    <t>2712 12314 0194</t>
  </si>
  <si>
    <t>2712 12334 0048</t>
  </si>
  <si>
    <t>สุดาพร พันคง</t>
  </si>
  <si>
    <t>2712 12314 0195</t>
  </si>
  <si>
    <t>2712 12334 0049</t>
  </si>
  <si>
    <t>เฉลิมขวัญ มูลติไชย</t>
  </si>
  <si>
    <t>ผบ.หมู่ กยส.ศพฐ.9</t>
  </si>
  <si>
    <t>2712 12314 0196</t>
  </si>
  <si>
    <t>2712 12334 0050</t>
  </si>
  <si>
    <t>ดวงเดือน เอียดทอง</t>
  </si>
  <si>
    <t>2712 12314 0197</t>
  </si>
  <si>
    <t>2712 12334 0051</t>
  </si>
  <si>
    <t>ผุสดี สุวรรณรัตน์</t>
  </si>
  <si>
    <t>2712 12314 0198</t>
  </si>
  <si>
    <t>2712 12334 0052</t>
  </si>
  <si>
    <t>วนิดา เรืองพิบูลย์</t>
  </si>
  <si>
    <t>2712 12314 0199</t>
  </si>
  <si>
    <t>2712 12334 0053</t>
  </si>
  <si>
    <t>บุญยอร นาคะวิโรจน์</t>
  </si>
  <si>
    <t>ผบ.หมู่ กนฝ.ศพฐ.9</t>
  </si>
  <si>
    <t>2712 12314 0200</t>
  </si>
  <si>
    <t>2712 12334 0054</t>
  </si>
  <si>
    <t>กิตติพล รอดอุบล</t>
  </si>
  <si>
    <t>รอง สว.(อก.) กนฝ.ศพฐ.9</t>
  </si>
  <si>
    <t>2712 12314 0201</t>
  </si>
  <si>
    <t>2712 12334 0055</t>
  </si>
  <si>
    <t>หะสัน หวันลาเต๊ะ</t>
  </si>
  <si>
    <t>2712 12314 0202</t>
  </si>
  <si>
    <t>2712 12334 0056</t>
  </si>
  <si>
    <t>พรรณี แก้วจันทร์</t>
  </si>
  <si>
    <t>2712 12314 0203</t>
  </si>
  <si>
    <t>2712 12334 0057</t>
  </si>
  <si>
    <t xml:space="preserve"> ศศ.บ.</t>
  </si>
  <si>
    <t>จินดา ชูสิงห์แค</t>
  </si>
  <si>
    <t>2712 12314 0204</t>
  </si>
  <si>
    <t>2712 12334 0058</t>
  </si>
  <si>
    <t>สุนันทา สโมสร</t>
  </si>
  <si>
    <t>ผบ.หมู่ กชว.ศพฐ.9</t>
  </si>
  <si>
    <t>2712 12314 0205</t>
  </si>
  <si>
    <t>2712 12334 0059</t>
  </si>
  <si>
    <t>สุภา ธนสมบัติ</t>
  </si>
  <si>
    <t>รอง สว.(อก.) กชว.ศพฐ.9</t>
  </si>
  <si>
    <t>2712 12314 0206</t>
  </si>
  <si>
    <t>2712 12334 0060</t>
  </si>
  <si>
    <t>ภาวินี พุทธชาติ</t>
  </si>
  <si>
    <t>2712 12314 0207</t>
  </si>
  <si>
    <t>2712 12334 0061</t>
  </si>
  <si>
    <t>จิรา ศรประสิทธิ์</t>
  </si>
  <si>
    <t>2712 12314 0208</t>
  </si>
  <si>
    <t>2712 12334 0062</t>
  </si>
  <si>
    <t>ผบ.หมู่ กคพ.ศพฐ.9</t>
  </si>
  <si>
    <t>2712 12314 0209</t>
  </si>
  <si>
    <t>2712 12334 0063</t>
  </si>
  <si>
    <t>จเร  เชื้อจีน</t>
  </si>
  <si>
    <t>2712 12314 0210</t>
  </si>
  <si>
    <t>2712 12334 0064</t>
  </si>
  <si>
    <t>คณพศ ทองชูช่วย</t>
  </si>
  <si>
    <t>2712 12314 0211</t>
  </si>
  <si>
    <t>2712 12334 0065</t>
  </si>
  <si>
    <t>ทิพรินทร์ โรจนสุวรรณ</t>
  </si>
  <si>
    <t>2712 12314 0212</t>
  </si>
  <si>
    <t>2712 12334 0066</t>
  </si>
  <si>
    <t>สุวีนา พิเศษสิทธิ์</t>
  </si>
  <si>
    <t>รอง สว.(อก.) กชช.ศพฐ.9</t>
  </si>
  <si>
    <t>2712 12314 0213</t>
  </si>
  <si>
    <t>2712 12334 0067</t>
  </si>
  <si>
    <t>รอง สว.(อก.) พฐ.จว.พัทลุง</t>
  </si>
  <si>
    <t>2712 12314 0214</t>
  </si>
  <si>
    <t>2712 12334 0068</t>
  </si>
  <si>
    <t>ผบ.หมู่ พฐ.จว.พัทลุง</t>
  </si>
  <si>
    <t>2712 12314 0215</t>
  </si>
  <si>
    <t>2712 12334 0069</t>
  </si>
  <si>
    <t>จุฑารัตน์  จำเริญ</t>
  </si>
  <si>
    <t>2712 12314 0216</t>
  </si>
  <si>
    <t>2712 12334 0070</t>
  </si>
  <si>
    <t>ศศ.บ.(รัฐศาสตร์), รป.ม.,ตวท.26</t>
  </si>
  <si>
    <t>สาเรศ หนูเมฆ</t>
  </si>
  <si>
    <t>2712 12314 0217</t>
  </si>
  <si>
    <t>2712 12334 0071</t>
  </si>
  <si>
    <t>สุภาภรณ์ พรมแก้ว</t>
  </si>
  <si>
    <t>2712 12314 0218</t>
  </si>
  <si>
    <t>2712 12334 0072</t>
  </si>
  <si>
    <t>จิรมาศ  สุบินมิตร</t>
  </si>
  <si>
    <t>2712 12314 0219</t>
  </si>
  <si>
    <t>2712 12334 0073</t>
  </si>
  <si>
    <t>ม.6,บริหารระบบสารสนเทศ(ป.ตรี)</t>
  </si>
  <si>
    <t>มนตรี จันทร์เต็ม</t>
  </si>
  <si>
    <t>2712 12314 0220</t>
  </si>
  <si>
    <t>2712 12334 0074</t>
  </si>
  <si>
    <t>สุวณี โอฬาริ</t>
  </si>
  <si>
    <t>2712 12314 0221</t>
  </si>
  <si>
    <t>2712 12334 0075</t>
  </si>
  <si>
    <t>ศศ.บ.(รัฐศาสตร์), กอป.(1)</t>
  </si>
  <si>
    <t>เรวดี ช่วยนุ้ย</t>
  </si>
  <si>
    <t>2712 12314 0222</t>
  </si>
  <si>
    <t>2712 12334 0076</t>
  </si>
  <si>
    <t>บธ.บ., ตวท.รุ่น 3</t>
  </si>
  <si>
    <t>ตร.517/59</t>
  </si>
  <si>
    <t>พิสิษฐ ชูหนู</t>
  </si>
  <si>
    <t>2712 12314 0223</t>
  </si>
  <si>
    <t>2712 12334 0077</t>
  </si>
  <si>
    <t>คบ.(อุตสาหกรรมศิลป์)</t>
  </si>
  <si>
    <t>ศิริสรรพ์ ดำใส</t>
  </si>
  <si>
    <t>2712 12314 0224</t>
  </si>
  <si>
    <t>2712 12334 0078</t>
  </si>
  <si>
    <t>อันติยา มูสิกนิลพันธ์</t>
  </si>
  <si>
    <t>2712 12314 0225</t>
  </si>
  <si>
    <t>2712 12334 0079</t>
  </si>
  <si>
    <t>ศศ.บ., กอป.รุ่น 7</t>
  </si>
  <si>
    <t>พัชรี ดำยศ</t>
  </si>
  <si>
    <t>2712 12314 0226</t>
  </si>
  <si>
    <t>2712 12334 0080</t>
  </si>
  <si>
    <t>ปิยะนาถ มาเอียด</t>
  </si>
  <si>
    <t>2712 12314 0227</t>
  </si>
  <si>
    <t>2712 12334 0081</t>
  </si>
  <si>
    <t>ศศ.บ., กอป.รุ่น 8</t>
  </si>
  <si>
    <t>รอง สว.(อก.) พฐ.จว.ตรัง</t>
  </si>
  <si>
    <t>2712 12314 0228</t>
  </si>
  <si>
    <t>2712 12334 0082</t>
  </si>
  <si>
    <t>วัยทิพย์ ตั้นฉ้วน</t>
  </si>
  <si>
    <t>ผบ.หมู่ พฐ.จว.ตรัง</t>
  </si>
  <si>
    <t>2712 12314 0229</t>
  </si>
  <si>
    <t>2712 12334 0083</t>
  </si>
  <si>
    <t>รป.บ., กอป.รุ่น 15</t>
  </si>
  <si>
    <t>ภัทราวดี ศรีสังขจร</t>
  </si>
  <si>
    <t>2712 12314 0230</t>
  </si>
  <si>
    <t>2712 12334 0084</t>
  </si>
  <si>
    <t>ปวช., กอป.รุ่น 19</t>
  </si>
  <si>
    <t>รุจิรา เพ็ชหวล</t>
  </si>
  <si>
    <t>2712 12314 0231</t>
  </si>
  <si>
    <t>2712 12334 0085</t>
  </si>
  <si>
    <t>สุดารัตน์ จำปาทอง</t>
  </si>
  <si>
    <t>2712 12314 0232</t>
  </si>
  <si>
    <t>2712 12334 0086</t>
  </si>
  <si>
    <t>สิริพร เต้งชู</t>
  </si>
  <si>
    <t>2712 12314 0233</t>
  </si>
  <si>
    <t>2712 12334 0087</t>
  </si>
  <si>
    <t>อรัญญา คงแสง</t>
  </si>
  <si>
    <t>2712 12314 0234</t>
  </si>
  <si>
    <t>2712 12334 0088</t>
  </si>
  <si>
    <t>ศศ.บ., ศศ.ม., กอป.</t>
  </si>
  <si>
    <t>2712 12314 0235</t>
  </si>
  <si>
    <t>2712 12334 0089</t>
  </si>
  <si>
    <t>พิมพิลาภรณ์ ทองชิต</t>
  </si>
  <si>
    <t>2712 12314 0236</t>
  </si>
  <si>
    <t>2712 12334 0090</t>
  </si>
  <si>
    <t>บธ.บ., นบ., กอป.รุ่นที่ 7</t>
  </si>
  <si>
    <t>สุชาดา  นวลนิ่ม</t>
  </si>
  <si>
    <t>2712 12314 0237</t>
  </si>
  <si>
    <t>2712 12334 0091</t>
  </si>
  <si>
    <t>นิติศาสตร์บัณฑิต</t>
  </si>
  <si>
    <t>พรณรงค์ คงนคร</t>
  </si>
  <si>
    <t>2712 12314 0238</t>
  </si>
  <si>
    <t>2712 12334 0092</t>
  </si>
  <si>
    <t>ปวช., ปวส., กอป.</t>
  </si>
  <si>
    <t>เบญจรัตน์ รักษ์ณรงค์</t>
  </si>
  <si>
    <t>2712 12314 0239</t>
  </si>
  <si>
    <t>2712 12334 0093</t>
  </si>
  <si>
    <t>บธ.บ., รป.ม., กอป.</t>
  </si>
  <si>
    <t>2712 12314 0240</t>
  </si>
  <si>
    <t>2712 12334 0094</t>
  </si>
  <si>
    <t>ณัฐกานต์ ฤกขะวุฒิกุล</t>
  </si>
  <si>
    <t>2712 12314 0241</t>
  </si>
  <si>
    <t>2712 12334 0095</t>
  </si>
  <si>
    <t>บธ.บ., กอป.รุ่นที่ 7</t>
  </si>
  <si>
    <t>สุริยา หมั่นทวี</t>
  </si>
  <si>
    <t>2712 12314 0242</t>
  </si>
  <si>
    <t>2712 12334 0096</t>
  </si>
  <si>
    <t>2712 12314 0243</t>
  </si>
  <si>
    <t>2712 12334 0097</t>
  </si>
  <si>
    <t>ยิ่งยวด จิระวัฒน์</t>
  </si>
  <si>
    <t>2712 12314 0244</t>
  </si>
  <si>
    <t>2712 12334 0098</t>
  </si>
  <si>
    <t>อับดุลเลาะ หลีเยาว์</t>
  </si>
  <si>
    <t>ผบ.หมู่ พฐ.จว.สตูล</t>
  </si>
  <si>
    <t>2712 12314 0245</t>
  </si>
  <si>
    <t>2712 12334 0099</t>
  </si>
  <si>
    <t>นพต., นบ.</t>
  </si>
  <si>
    <t>ปรีชา เรืองยิ่ง</t>
  </si>
  <si>
    <t>รอง สว.(อก.) พฐ.จว.สตูล</t>
  </si>
  <si>
    <t>2712 12314 0246</t>
  </si>
  <si>
    <t>2712 12334 0100</t>
  </si>
  <si>
    <t>สุกัญญา บุญช่วย</t>
  </si>
  <si>
    <t>2712 12314 0247</t>
  </si>
  <si>
    <t>2712 12334 0101</t>
  </si>
  <si>
    <t>ศศ.บ, กอป.</t>
  </si>
  <si>
    <t>วิรัตน์ บำราญ</t>
  </si>
  <si>
    <t>ผบ.หมู่  พฐ.จว.สตูล</t>
  </si>
  <si>
    <t>2712 12314 0248</t>
  </si>
  <si>
    <t>2712 12334 0102</t>
  </si>
  <si>
    <t>เสรีย์ หลังเกต</t>
  </si>
  <si>
    <t>2712 12314 0249</t>
  </si>
  <si>
    <t>2712 12334 0103</t>
  </si>
  <si>
    <t>นพต., รบ.</t>
  </si>
  <si>
    <t>ณัฐธิดา เหมสลาหมาด</t>
  </si>
  <si>
    <t>2712 12314 0250</t>
  </si>
  <si>
    <t>2712 12334 0104</t>
  </si>
  <si>
    <t>ค.บ.,ตวท.,รป.ม.</t>
  </si>
  <si>
    <t>ธีรพงศ์ เยี่ยมศักดิ์</t>
  </si>
  <si>
    <t>2712 12314 0251</t>
  </si>
  <si>
    <t>2712 12334 0105</t>
  </si>
  <si>
    <t>บธ.บ., ตวท.</t>
  </si>
  <si>
    <t>ตร.262/61</t>
  </si>
  <si>
    <t>ทิพย์สุดา จิ้วจวบ</t>
  </si>
  <si>
    <t>2712 12314 0252</t>
  </si>
  <si>
    <t>2712 12334 0106</t>
  </si>
  <si>
    <t>สนั่น เถาวัลย์</t>
  </si>
  <si>
    <t>2712 12314 0253</t>
  </si>
  <si>
    <t>2712 12334 0107</t>
  </si>
  <si>
    <t>อนันต์ หมื่นสุวรรณ</t>
  </si>
  <si>
    <t>2712 12314 0254</t>
  </si>
  <si>
    <t>2712 12334 0108</t>
  </si>
  <si>
    <t>เชาวลิต ไฝนุ้ย</t>
  </si>
  <si>
    <t>2712 12314 0255</t>
  </si>
  <si>
    <t>2712 12334 0109</t>
  </si>
  <si>
    <t>อมรรัตน์ ฮ่องสกุล</t>
  </si>
  <si>
    <t>2712 12314 0256</t>
  </si>
  <si>
    <t>2712 12334 0110</t>
  </si>
  <si>
    <t>สุทร สอดส่อง</t>
  </si>
  <si>
    <t>2712 12314 0257</t>
  </si>
  <si>
    <t>2712 12334 0111</t>
  </si>
  <si>
    <t>สุทัศน์ มุณีแนม</t>
  </si>
  <si>
    <t>2712 12314 0258</t>
  </si>
  <si>
    <t>2712 12334 0112</t>
  </si>
  <si>
    <t>ต่วนอัมรัน  กุโน</t>
  </si>
  <si>
    <t>ผบ.หมู่ ศพฐ.10</t>
  </si>
  <si>
    <t>2713 12301 0001</t>
  </si>
  <si>
    <t>2713 12357 0001</t>
  </si>
  <si>
    <t>ม.6 , ร.บ.(รัฐศาสตร์)</t>
  </si>
  <si>
    <t>สิทธิพร มิตรสาร</t>
  </si>
  <si>
    <t>2713 12301 0002</t>
  </si>
  <si>
    <t>2713 12357 0002</t>
  </si>
  <si>
    <t>อภิสิทธิ์ อำไพฤทธิ์</t>
  </si>
  <si>
    <t>2713 12301 0003</t>
  </si>
  <si>
    <t>2713 12357 0003</t>
  </si>
  <si>
    <t>ภูเมษ ปลอดหนู</t>
  </si>
  <si>
    <t>ผบ.หมู่ ฝอ.ศพฐ.10</t>
  </si>
  <si>
    <t>2713 12301 0160</t>
  </si>
  <si>
    <t>2713 12357 0004</t>
  </si>
  <si>
    <t>ธนพจน์  ศิริอาชาพันธ์</t>
  </si>
  <si>
    <t>2713 12301 0161</t>
  </si>
  <si>
    <t>2713 12357 0005</t>
  </si>
  <si>
    <t>ม.6 ,รป.บ.</t>
  </si>
  <si>
    <t>อิดือเร๊ะ  มะนีหิยา</t>
  </si>
  <si>
    <t>2713 12301 0162</t>
  </si>
  <si>
    <t>2713 12357 0006</t>
  </si>
  <si>
    <t>2713 12301 0163</t>
  </si>
  <si>
    <t>2713 12357 0007</t>
  </si>
  <si>
    <t>ศุภชัย ผดุงมาศ</t>
  </si>
  <si>
    <t>2713 12301 0164</t>
  </si>
  <si>
    <t>2713 12357 0008</t>
  </si>
  <si>
    <t>นบ.(นิติศาสตร์),นม.(นิติศาสตร์)</t>
  </si>
  <si>
    <t>เกรียงศักดิ์ จันทรัตน์</t>
  </si>
  <si>
    <t>2713 12301 0165</t>
  </si>
  <si>
    <t>2713 12357 0009</t>
  </si>
  <si>
    <t>อดินันท์ หลงสลำ</t>
  </si>
  <si>
    <t>2713 12301 0166</t>
  </si>
  <si>
    <t>2713 12357 0010</t>
  </si>
  <si>
    <t>รป.ส.</t>
  </si>
  <si>
    <t>พรพิสุทธิ์ พรมทอง</t>
  </si>
  <si>
    <t>2713 12301 0167</t>
  </si>
  <si>
    <t>2713 12357 0011</t>
  </si>
  <si>
    <t>อส.บ.</t>
  </si>
  <si>
    <t>ฤทธิเดช ขุนหมวก</t>
  </si>
  <si>
    <t>2713 12301 0168</t>
  </si>
  <si>
    <t>2713 12357 0012</t>
  </si>
  <si>
    <t>สิทธิโชค วัชรพันธุ์</t>
  </si>
  <si>
    <t>รอง สว.(อก.) ฝอ.ศพฐ.10</t>
  </si>
  <si>
    <t>2713 12314 0169</t>
  </si>
  <si>
    <t>2713 12334 0014</t>
  </si>
  <si>
    <t>คนอง สมัตถะ</t>
  </si>
  <si>
    <t>2713 12314 0170</t>
  </si>
  <si>
    <t>2713 12334 0015</t>
  </si>
  <si>
    <t>ม.6,อบรม กอป.,วท.บ.</t>
  </si>
  <si>
    <t>จุไรพร นุ้ยน้ำวงค์</t>
  </si>
  <si>
    <t>2713 12314 0171</t>
  </si>
  <si>
    <t>2713 12334 0016</t>
  </si>
  <si>
    <t>2713 12314 0172</t>
  </si>
  <si>
    <t>2713 12334 0017</t>
  </si>
  <si>
    <t>ม.6 , รป.ม.,ตวท.</t>
  </si>
  <si>
    <t>2713 12314 0173</t>
  </si>
  <si>
    <t>2713 12334 0018</t>
  </si>
  <si>
    <t>เอกศักดิ์ หนูกลับ</t>
  </si>
  <si>
    <t>2713 12314 0174</t>
  </si>
  <si>
    <t>2713 12334 0019</t>
  </si>
  <si>
    <t>ป.ตรีรัฐศาสตร์,(ร.บ.)</t>
  </si>
  <si>
    <t>ปฏิวัติ  จันทบูรณ์</t>
  </si>
  <si>
    <t>2713 12314 0175</t>
  </si>
  <si>
    <t>2713 12334 0020</t>
  </si>
  <si>
    <t>ม.6 , บธ.บ.(การตลาด) ,รป.บ.(รัฐประศาสนศาสตร),บธ.บ.(การตลาด)</t>
  </si>
  <si>
    <t>2713 12314 0176</t>
  </si>
  <si>
    <t>2713 12334 0021</t>
  </si>
  <si>
    <t>อัมราน  บิลเฉลิม</t>
  </si>
  <si>
    <t>2713 12314 0177</t>
  </si>
  <si>
    <t>2713 12334 0022</t>
  </si>
  <si>
    <t>ม.6 , นศ.บ.(นิเทศศาสตร์ สาขาการโฆษณา)</t>
  </si>
  <si>
    <t>อนุวัฒน์  ขจรทุกทิศ</t>
  </si>
  <si>
    <t>2713 12314 0178</t>
  </si>
  <si>
    <t>2713 12334 0023</t>
  </si>
  <si>
    <t>ม.6 ,</t>
  </si>
  <si>
    <t>จิตติยา  โสะหาบ</t>
  </si>
  <si>
    <t>2713 12301 0179</t>
  </si>
  <si>
    <t>2713 12327 0013</t>
  </si>
  <si>
    <t>ซุลกิฟลี ฮูลูสาแล๊ะ</t>
  </si>
  <si>
    <t>ผบ.หมู่ กสก.ศพฐ.10</t>
  </si>
  <si>
    <t>2713 12314 0180</t>
  </si>
  <si>
    <t>2713 12334 0024</t>
  </si>
  <si>
    <t>ม.6 , ร.บ.</t>
  </si>
  <si>
    <t>จันทร์จิรา นาคบุตร</t>
  </si>
  <si>
    <t>2713 12314 0181</t>
  </si>
  <si>
    <t>2713 12334 0025</t>
  </si>
  <si>
    <t>พีระพัฒน์ วั่นเส้ง</t>
  </si>
  <si>
    <t>2713 12314 0182</t>
  </si>
  <si>
    <t>2713 12334 0026</t>
  </si>
  <si>
    <t>เล็กดา จีระดำรงธัญญา</t>
  </si>
  <si>
    <t>2713 12314 0183</t>
  </si>
  <si>
    <t>2713 12334 0027</t>
  </si>
  <si>
    <t>นนทกาญจน์ จันพรม</t>
  </si>
  <si>
    <t>2713 12314 0184</t>
  </si>
  <si>
    <t>2713 12334 0028</t>
  </si>
  <si>
    <t>อภิรัตน์  ศรีเปารยะ</t>
  </si>
  <si>
    <t>2713 12314 0185</t>
  </si>
  <si>
    <t>2713 12334 0029</t>
  </si>
  <si>
    <t>รอง สว.(อก.) กสก.ศพฐ.10</t>
  </si>
  <si>
    <t>2713 12314 0186</t>
  </si>
  <si>
    <t>2713 12334 0030</t>
  </si>
  <si>
    <t>ปมลภรรท กรดเต็ม</t>
  </si>
  <si>
    <t>2713 12314 0187</t>
  </si>
  <si>
    <t>2713 12334 0031</t>
  </si>
  <si>
    <t>ศศ.บ. , ตวท.,รปม.,กอป.</t>
  </si>
  <si>
    <t>ภานุณี นิเลาะ</t>
  </si>
  <si>
    <t>2713 12314 0188</t>
  </si>
  <si>
    <t>2713 12334 0032</t>
  </si>
  <si>
    <t>บธ.บ.,ตวท.,รป.ม.,กอป.</t>
  </si>
  <si>
    <t>สุวิจักขณ์  ทองหนัน</t>
  </si>
  <si>
    <t>2713 12314 0189</t>
  </si>
  <si>
    <t>2713 12334 0033</t>
  </si>
  <si>
    <t>สุภชีพ  ด้วงประเสริฐ</t>
  </si>
  <si>
    <t>2713 12314 0190</t>
  </si>
  <si>
    <t>2713 12334 0034</t>
  </si>
  <si>
    <t>ฮาซัน มะหะมะอูเซ็ง</t>
  </si>
  <si>
    <t>2713 12314 0191</t>
  </si>
  <si>
    <t>2713 12334 0035</t>
  </si>
  <si>
    <t>ปิยณัฐ เหมสลาหมาด</t>
  </si>
  <si>
    <t>2713 12314 0192</t>
  </si>
  <si>
    <t>2713 12334 0036</t>
  </si>
  <si>
    <t>ณัฐพงษ์ แก้วเป็นทอง</t>
  </si>
  <si>
    <t>รอง สว.(อก.) กอส.ศพฐ.10</t>
  </si>
  <si>
    <t>2713 12314 0193</t>
  </si>
  <si>
    <t>2713 12334 0037</t>
  </si>
  <si>
    <t>ม.6 ,รบ.,กดต.(อก.),ตวท.</t>
  </si>
  <si>
    <t>ดรุณี  ท้าวสกุล</t>
  </si>
  <si>
    <t>ผบ.หมู่ กอส.ศพฐ.10</t>
  </si>
  <si>
    <t>2713 12314 0194</t>
  </si>
  <si>
    <t>2713 12334 0038</t>
  </si>
  <si>
    <t>อรรถพล สังข์ทอง</t>
  </si>
  <si>
    <t>2713 12314 0195</t>
  </si>
  <si>
    <t>2713 12334 0039</t>
  </si>
  <si>
    <t>สิระทิตย์  นะไชย</t>
  </si>
  <si>
    <t>2713 12314 0196</t>
  </si>
  <si>
    <t>2713 12334 0040</t>
  </si>
  <si>
    <t>ม.6 ,รป.บ.(การบริหารงานตำรวจฯ)</t>
  </si>
  <si>
    <t>นันทิยา จีนธาดา</t>
  </si>
  <si>
    <t>ผบ.หมู่ กอป.ศพฐ.10</t>
  </si>
  <si>
    <t>2713 12314 0197</t>
  </si>
  <si>
    <t>2713 12334 0041</t>
  </si>
  <si>
    <t>ปวช.,ศศ.บ. ,กอป. ,ตวท.</t>
  </si>
  <si>
    <t>อธิป  เทพเงิน</t>
  </si>
  <si>
    <t>2713 12314 0198</t>
  </si>
  <si>
    <t>2713 12334 0042</t>
  </si>
  <si>
    <t>บรรพต  นิหะ</t>
  </si>
  <si>
    <t>2713 12314 0199</t>
  </si>
  <si>
    <t>2713 12334 0043</t>
  </si>
  <si>
    <t>สัญญา เจ๊ะโส๊ะ</t>
  </si>
  <si>
    <t>2713 12314 0200</t>
  </si>
  <si>
    <t>2713 12334 0044</t>
  </si>
  <si>
    <t>นาวาวี มะ</t>
  </si>
  <si>
    <t>2713 12314 0201</t>
  </si>
  <si>
    <t>2713 12334 0045</t>
  </si>
  <si>
    <t>มุกตาร์ อาบ๊ะ</t>
  </si>
  <si>
    <t>2713 12314 0202</t>
  </si>
  <si>
    <t>2713 12334 0046</t>
  </si>
  <si>
    <t>ธัญผกาญจน์ ชูตระกูล</t>
  </si>
  <si>
    <t>2713 12314 0203</t>
  </si>
  <si>
    <t>2713 12334 0047</t>
  </si>
  <si>
    <t>กศ.บ., ตวท.,ศศ.ม. ,กอป.</t>
  </si>
  <si>
    <t>จิราภรณ์ ศรีแก้วแฝก</t>
  </si>
  <si>
    <t>ผบ.หมู่ กคม.ศพฐ.10</t>
  </si>
  <si>
    <t>2713 12314 0204</t>
  </si>
  <si>
    <t>2713 12334 0048</t>
  </si>
  <si>
    <t>ศศ.บ. , ตวท. รป.ม.,กอป.</t>
  </si>
  <si>
    <t>จุลีรัตน์ สำเร</t>
  </si>
  <si>
    <t>2713 12314 0205</t>
  </si>
  <si>
    <t>2713 12334 0049</t>
  </si>
  <si>
    <t>บธ.บ. ,กอป. ,ตวท. ,ชัยยะ</t>
  </si>
  <si>
    <t>ปัญชญา แก้วคล้ำ</t>
  </si>
  <si>
    <t>2713 12314 0206</t>
  </si>
  <si>
    <t>2713 12334 0050</t>
  </si>
  <si>
    <t>ปวช. , กอป.,ชัยยะ</t>
  </si>
  <si>
    <t>สมโชค เซ่งสวัสดิ์</t>
  </si>
  <si>
    <t>รอง สว.(อก.) กคม.ศพฐ.10</t>
  </si>
  <si>
    <t>2713 12314 0207</t>
  </si>
  <si>
    <t>2713 12334 0051</t>
  </si>
  <si>
    <t>ม.6 ,รป.ศ., ร.ม. ,ชัยยะ ,ตวท.,กดต.</t>
  </si>
  <si>
    <t>สพฐ.ตร.164/63</t>
  </si>
  <si>
    <t>อัฐศิษฎ์ ดาเดะ</t>
  </si>
  <si>
    <t>2713 12314 0208</t>
  </si>
  <si>
    <t>2713 12334 0052</t>
  </si>
  <si>
    <t>ป.ตรี วิทยาศาสตร์การกีฬา</t>
  </si>
  <si>
    <t>สาหิหลา สำลี</t>
  </si>
  <si>
    <t>2713 12314 0209</t>
  </si>
  <si>
    <t>2713 12334 0053</t>
  </si>
  <si>
    <t>ศศ.บ.,รป.ม. ,กอป. ,ชัยยะ .ตวท.</t>
  </si>
  <si>
    <t>ผบ.หมู่ กยส.ศพฐ.10</t>
  </si>
  <si>
    <t>2713 12314 0210</t>
  </si>
  <si>
    <t>2713 12334 0054</t>
  </si>
  <si>
    <t>ชาคริทธิ์ ดิษฐประยูร</t>
  </si>
  <si>
    <t>2713 12314 0211</t>
  </si>
  <si>
    <t>2713 12334 0055</t>
  </si>
  <si>
    <t>ม.6 , วท.บ.(วิทยาศาสตร์ประยุกต์)</t>
  </si>
  <si>
    <t>พิชามญชุ์ เทพโอสถ</t>
  </si>
  <si>
    <t>2713 12314 0212</t>
  </si>
  <si>
    <t>2713 12334 0056</t>
  </si>
  <si>
    <t>รัฐศาสตร์</t>
  </si>
  <si>
    <t>กาญจนา เชี่ยวน้อย</t>
  </si>
  <si>
    <t>2713 12314 0213</t>
  </si>
  <si>
    <t>2713 12334 0057</t>
  </si>
  <si>
    <t>บธ.บ.,ตวท. ,รป.ม. ,กอป.</t>
  </si>
  <si>
    <t>ชลิดา ศิลปทินกร</t>
  </si>
  <si>
    <t>ผบ.หมู่ กนฝ.ศพฐ.10</t>
  </si>
  <si>
    <t>2713 12314 0214</t>
  </si>
  <si>
    <t>2713 12334 0058</t>
  </si>
  <si>
    <t>ปวช. ,บธ.บ.(บริหารธุรกิจ) กอป. ,ตวท. รุ่น10</t>
  </si>
  <si>
    <t>อมรรัตน์ พิริยะการสกุล</t>
  </si>
  <si>
    <t>2713 12314 0215</t>
  </si>
  <si>
    <t>2713 12334 0059</t>
  </si>
  <si>
    <t>ทรงวิชญ์ แก้วมณี</t>
  </si>
  <si>
    <t>2713 12314 0216</t>
  </si>
  <si>
    <t>2713 12334 0060</t>
  </si>
  <si>
    <t>พวงเพชร ขจรทุกทิศ</t>
  </si>
  <si>
    <t>2713 12314 0217</t>
  </si>
  <si>
    <t>2713 12334 0061</t>
  </si>
  <si>
    <t>ร.บ./กอป. ,ตวท.</t>
  </si>
  <si>
    <t>ภคณัฐ  พูลเพิ่ม</t>
  </si>
  <si>
    <t>2713 12314 0218</t>
  </si>
  <si>
    <t>2713 12334 0062</t>
  </si>
  <si>
    <t>ม.6 ,รป.บ.(การบริหารงานตำรวจ)</t>
  </si>
  <si>
    <t>อนงค์นาฎ ศักแสงโสภา</t>
  </si>
  <si>
    <t>ผบ.หมู่ กชว.ศพฐ.10</t>
  </si>
  <si>
    <t>2713 12314 0219</t>
  </si>
  <si>
    <t>2713 12334 0063</t>
  </si>
  <si>
    <t>ปวช., กอป.(ปี57),ตวท.,บธ.บ</t>
  </si>
  <si>
    <t>สมมารถ เหลืองสุก</t>
  </si>
  <si>
    <t>รอง สว.(อก.) กชว.ศพฐ.10</t>
  </si>
  <si>
    <t>2713 12314 0220</t>
  </si>
  <si>
    <t>2713 12334 0064</t>
  </si>
  <si>
    <t>ศศ.บ., รป.ม, นพต.</t>
  </si>
  <si>
    <t>ธัญญลักษณ์  ทองมา</t>
  </si>
  <si>
    <t>2713 12314 0221</t>
  </si>
  <si>
    <t>2713 12334 0065</t>
  </si>
  <si>
    <t>ปกรณ์วิทย์  จินดารัตน์</t>
  </si>
  <si>
    <t>2713 12314 0222</t>
  </si>
  <si>
    <t>2713 12334 0066</t>
  </si>
  <si>
    <t xml:space="preserve">นสต.5/57 ,ม.6 , บธ.บ.(การจัดการ) </t>
  </si>
  <si>
    <t>ปิติพล จัลวรรณา</t>
  </si>
  <si>
    <t>2713 12314 0223</t>
  </si>
  <si>
    <t>2713 12334 0067</t>
  </si>
  <si>
    <t>ม.6 ,ตวท.</t>
  </si>
  <si>
    <t>นัฐพงศ์ เทียมเงิน</t>
  </si>
  <si>
    <t>2713 12314 0224</t>
  </si>
  <si>
    <t>2713 12334 0068</t>
  </si>
  <si>
    <t>ปวช., กอป.(ปี57), ตวท.(ปี57),ตวท.(กสก.)</t>
  </si>
  <si>
    <t>สถาพร  ขันติวัฒนพงศ์</t>
  </si>
  <si>
    <t>2713 12314 0225</t>
  </si>
  <si>
    <t>2713 12334 0069</t>
  </si>
  <si>
    <t>ทมิตา เรืองฤทธิ์</t>
  </si>
  <si>
    <t>ผบ.หมู่ กคพ.ศพฐ.10</t>
  </si>
  <si>
    <t>2713 12314 0226</t>
  </si>
  <si>
    <t>2713 12334 0070</t>
  </si>
  <si>
    <t>บธ.บ.(การตลาด)/กอป.51,ชัยยะ</t>
  </si>
  <si>
    <t>ยุพดี สงสุวรรณ์</t>
  </si>
  <si>
    <t>2713 12314 0227</t>
  </si>
  <si>
    <t>2713 12334 0071</t>
  </si>
  <si>
    <t>กปป.,ศศ.บ.,ร.ม. ,ชัยยะ ,ตวท.</t>
  </si>
  <si>
    <t>สุวรรณ แก้ววิเชียร</t>
  </si>
  <si>
    <t>2713 12314 0228</t>
  </si>
  <si>
    <t>2713 12334 0072</t>
  </si>
  <si>
    <t>ร.บ. ,ตวท.</t>
  </si>
  <si>
    <t>ประทีป อินน้อย</t>
  </si>
  <si>
    <t>2713 12314 0229</t>
  </si>
  <si>
    <t>2713 12334 0073</t>
  </si>
  <si>
    <t>สันติวัฒน์ สุขธรณ์</t>
  </si>
  <si>
    <t>รอง สว.(อก.) กชช.ศพฐ.10</t>
  </si>
  <si>
    <t>2713 12314 0230</t>
  </si>
  <si>
    <t>2713 12334 0074</t>
  </si>
  <si>
    <t>ปวช.,กดต.(อก.), ตวท.</t>
  </si>
  <si>
    <t>ศราวุธ  คงยัง</t>
  </si>
  <si>
    <t>ผบ.หมู่ พฐ.จว.ปัตตานี</t>
  </si>
  <si>
    <t>2713 12314 0231</t>
  </si>
  <si>
    <t>2713 12334 0075</t>
  </si>
  <si>
    <t>ม.6,รป.ศ. ,ชัยยะ ,ตวท.19</t>
  </si>
  <si>
    <t>จักรกฤษ จับใจ</t>
  </si>
  <si>
    <t>2713 12314 0232</t>
  </si>
  <si>
    <t>2713 12334 0076</t>
  </si>
  <si>
    <t>ปรภาส โสภาพ</t>
  </si>
  <si>
    <t>2713 12314 0233</t>
  </si>
  <si>
    <t>2713 12334 0077</t>
  </si>
  <si>
    <t>2713 12314 0234</t>
  </si>
  <si>
    <t>2713 12334 0078</t>
  </si>
  <si>
    <t>อับดุลอามีน หัดมัด</t>
  </si>
  <si>
    <t>2713 12314 0235</t>
  </si>
  <si>
    <t>2713 12334 0079</t>
  </si>
  <si>
    <t>อนุรักษ์  ประพฤติดี</t>
  </si>
  <si>
    <t>2713 12314 0236</t>
  </si>
  <si>
    <t>2713 12334 0080</t>
  </si>
  <si>
    <t>โรสนะ มูซอดี</t>
  </si>
  <si>
    <t>2713 12314 0237</t>
  </si>
  <si>
    <t>2713 12334 0081</t>
  </si>
  <si>
    <t>คศ.บ.</t>
  </si>
  <si>
    <t>2713 12314 0238</t>
  </si>
  <si>
    <t>2713 12334 0082</t>
  </si>
  <si>
    <t>พัชรบุญ ประกิจ</t>
  </si>
  <si>
    <t>2713 12314 0239</t>
  </si>
  <si>
    <t>2713 12334 0083</t>
  </si>
  <si>
    <t>วารุณี กิตติชัย</t>
  </si>
  <si>
    <t>2713 12314 0240</t>
  </si>
  <si>
    <t>2713 12334 0084</t>
  </si>
  <si>
    <t>ศศ.บ. , ตวท.</t>
  </si>
  <si>
    <t>อภิเชษฐ์ นิ่มวุ่น</t>
  </si>
  <si>
    <t>2713 12314 0241</t>
  </si>
  <si>
    <t>2713 12334 0085</t>
  </si>
  <si>
    <t>ภาณุพงศ์  จันทผลึก</t>
  </si>
  <si>
    <t>2713 12314 0242</t>
  </si>
  <si>
    <t>2713 12334 0086</t>
  </si>
  <si>
    <t>ธชภูมิ  พรหมอินทร์</t>
  </si>
  <si>
    <t>2713 12314 0243</t>
  </si>
  <si>
    <t>2713 12334 0087</t>
  </si>
  <si>
    <t>ชยพล  ปงใจ</t>
  </si>
  <si>
    <t>2713 12314 0244</t>
  </si>
  <si>
    <t>2713 12334 0088</t>
  </si>
  <si>
    <t>ขนิษฐา คงทอง</t>
  </si>
  <si>
    <t>2713 12314 0245</t>
  </si>
  <si>
    <t>2713 12334 0089</t>
  </si>
  <si>
    <t>บธ.บ.,ตวท.,รป.ม.</t>
  </si>
  <si>
    <t>อำนวย กุลบุตร</t>
  </si>
  <si>
    <t>2713 12314 0246</t>
  </si>
  <si>
    <t>2713 12334 0090</t>
  </si>
  <si>
    <t>ศษ.บ.,</t>
  </si>
  <si>
    <t>เทพฤทธิ์  ทองช่างเหล็ก</t>
  </si>
  <si>
    <t>2713 12314 0247</t>
  </si>
  <si>
    <t>2713 12334 0091</t>
  </si>
  <si>
    <t>จารีนี สุวรรณราช</t>
  </si>
  <si>
    <t>ผบ.หมู่ พฐ.จว.นราธิวาส</t>
  </si>
  <si>
    <t>2713 12314 0248</t>
  </si>
  <si>
    <t>2713 12334 0092</t>
  </si>
  <si>
    <t>จุฑานุช แสนสุข</t>
  </si>
  <si>
    <t>2713 12314 0249</t>
  </si>
  <si>
    <t>2713 12334 0093</t>
  </si>
  <si>
    <t xml:space="preserve">นาฏยา วันคณะ </t>
  </si>
  <si>
    <t>2713 12314 0250</t>
  </si>
  <si>
    <t>2713 12334 0094</t>
  </si>
  <si>
    <t>ประเจียด ชุมดี</t>
  </si>
  <si>
    <t>2713 12314 0251</t>
  </si>
  <si>
    <t>2713 12334 0095</t>
  </si>
  <si>
    <t>รอง สว.(อก.) พฐ.จว.นราธิวาส</t>
  </si>
  <si>
    <t>2713 12314 0252</t>
  </si>
  <si>
    <t>2713 12334 0096</t>
  </si>
  <si>
    <t>เชษ ไชยกิจ</t>
  </si>
  <si>
    <t>2713 12314 0253</t>
  </si>
  <si>
    <t>2713 12334 0097</t>
  </si>
  <si>
    <t>ชินวัตร วังจันทร์</t>
  </si>
  <si>
    <t>2713 12314 0254</t>
  </si>
  <si>
    <t>2713 12334 0098</t>
  </si>
  <si>
    <t>รัตพล ชูขาว</t>
  </si>
  <si>
    <t>2713 12314 0255</t>
  </si>
  <si>
    <t>2713 12334 0099</t>
  </si>
  <si>
    <t>จิฎาภา ดำกรี</t>
  </si>
  <si>
    <t>2713 12314 0256</t>
  </si>
  <si>
    <t>2713 12334 0100</t>
  </si>
  <si>
    <t>นิอารง หนิเซ็ง</t>
  </si>
  <si>
    <t>2713 12314 0257</t>
  </si>
  <si>
    <t>2713 12334 0101</t>
  </si>
  <si>
    <t>ปวช.ศศ.บ.,ตวท.</t>
  </si>
  <si>
    <t>ดวงพร จงบรรณกิจ</t>
  </si>
  <si>
    <t>2713 12314 0258</t>
  </si>
  <si>
    <t>2713 12334 0102</t>
  </si>
  <si>
    <t>จิตรติมา บุตรจีน</t>
  </si>
  <si>
    <t>2713 12314 0259</t>
  </si>
  <si>
    <t>2713 12334 0103</t>
  </si>
  <si>
    <t>ป.ตรี บ.ทรัพยากรมนุษย์</t>
  </si>
  <si>
    <t>ปรัญญา รัตนพิสิฏฐ์</t>
  </si>
  <si>
    <t>2713 12314 0260</t>
  </si>
  <si>
    <t>2713 12334 0104</t>
  </si>
  <si>
    <t>องอาจ บุญให้</t>
  </si>
  <si>
    <t>2713 12314 0261</t>
  </si>
  <si>
    <t>2713 12334 0105</t>
  </si>
  <si>
    <t>ชูเกียรติ ทองจินดา</t>
  </si>
  <si>
    <t>2713 12314 0262</t>
  </si>
  <si>
    <t>2713 12334 0106</t>
  </si>
  <si>
    <t>สุรพล ลูกจันทร์</t>
  </si>
  <si>
    <t>2713 12314 0263</t>
  </si>
  <si>
    <t>2713 12334 0107</t>
  </si>
  <si>
    <t>วิทยา วรพิพัฒน์สกุล</t>
  </si>
  <si>
    <t>2713 12314 0264</t>
  </si>
  <si>
    <t>2713 12334 0108</t>
  </si>
  <si>
    <t>ทำหน้าที่</t>
  </si>
  <si>
    <t>ว่าง</t>
  </si>
  <si>
    <t>พฐ.จว.นนทบุรี</t>
  </si>
  <si>
    <t>พฐ.จว.สมุทรปราการ</t>
  </si>
  <si>
    <t>พฐ.จว.พระนครศรีอยุธยา</t>
  </si>
  <si>
    <t>พฐ.จว.ชัยนาท</t>
  </si>
  <si>
    <t>พฐ.จว.ลพบุรี</t>
  </si>
  <si>
    <t>พฐ.จว.สระบุรี</t>
  </si>
  <si>
    <t>พฐ.จว.สิงห์บุรี</t>
  </si>
  <si>
    <t>พฐ.จว.อ่างทอง</t>
  </si>
  <si>
    <t>พฐ.จว.ระยอง</t>
  </si>
  <si>
    <t>พฐ.จว.จันทบุรี</t>
  </si>
  <si>
    <t>พฐ.จว.ตราด</t>
  </si>
  <si>
    <t>พฐ.จว.ปราจีนบุรี</t>
  </si>
  <si>
    <t>พฐ.จว.ฉะเชิงเทรา</t>
  </si>
  <si>
    <t>พฐ.จว.นครนายก</t>
  </si>
  <si>
    <t>พฐ.จว.สระแก้ว</t>
  </si>
  <si>
    <t>พฐ.จว.ชัยภูมิ</t>
  </si>
  <si>
    <t>พฐ.จว.บุรีรัมย์</t>
  </si>
  <si>
    <t>พฐ.จว.สุรินทร์</t>
  </si>
  <si>
    <t>พฐ.จว.อุบลราชธานี</t>
  </si>
  <si>
    <t>พฐ.จว.อำนาจเจริญ</t>
  </si>
  <si>
    <t>พฐ.จว.ยโสธร</t>
  </si>
  <si>
    <t>พฐ.จว.ศรีสะเกษ</t>
  </si>
  <si>
    <t>พฐ.จว.อุดรธานี</t>
  </si>
  <si>
    <t>พฐ.จว.เลย</t>
  </si>
  <si>
    <t>พฐ.จว.มหาสารคาม</t>
  </si>
  <si>
    <t>พฐ.จว.หนองคาย</t>
  </si>
  <si>
    <t>พฐ.จว.หนองบัวลำภู</t>
  </si>
  <si>
    <t>พฐ.จว.สกลนคร</t>
  </si>
  <si>
    <t>พฐ.จว.ร้อยเอ็ด</t>
  </si>
  <si>
    <t>พฐ.จว.นครพนม</t>
  </si>
  <si>
    <t>พฐ.จว.มุกดาหาร</t>
  </si>
  <si>
    <t>พฐ.จว.กาฬสินธุ์</t>
  </si>
  <si>
    <t>พฐ.จว.บึงกาฬ</t>
  </si>
  <si>
    <t>พฐ.จว.แพร่</t>
  </si>
  <si>
    <t>พฐ.จว.พะเยา</t>
  </si>
  <si>
    <t>พฐ.จว.น่าน</t>
  </si>
  <si>
    <t>พฐ.จว.เชียงใหม่</t>
  </si>
  <si>
    <t>พฐ.จว.เชียงราย</t>
  </si>
  <si>
    <t>พฐ.จว.ลำพูน</t>
  </si>
  <si>
    <t>พฐ.จว.แม่ฮ่องสอน</t>
  </si>
  <si>
    <t>พฐ.จว.พิจิตร</t>
  </si>
  <si>
    <t>พฐ.จว.เพชรบูรณ์</t>
  </si>
  <si>
    <t>พฐ.จว.สุโขทัย</t>
  </si>
  <si>
    <t>พฐ.จว.อุตรดิตถ์</t>
  </si>
  <si>
    <t>พฐ.จว.นครสวรรค์</t>
  </si>
  <si>
    <t>พฐ.จว.กำแพงเพชร</t>
  </si>
  <si>
    <t>พฐ.จว.อุทัยธานี</t>
  </si>
  <si>
    <t>พฐ.จว.ตาก</t>
  </si>
  <si>
    <t>พฐ.จว.สมุทรสาคร</t>
  </si>
  <si>
    <t>พฐ.จว.สมุทรสงคราม</t>
  </si>
  <si>
    <t>พฐ.จว.ประจวบคีรีขันธ์</t>
  </si>
  <si>
    <t>พฐ.จว.สุพรรณบุรี</t>
  </si>
  <si>
    <t>พฐ.จว.กาญจนบุรี</t>
  </si>
  <si>
    <t>พฐ.จว.ราชบุรี</t>
  </si>
  <si>
    <t>พฐ.จว.เพชรบุรี</t>
  </si>
  <si>
    <t>พฐ.จว.ระนอง</t>
  </si>
  <si>
    <t>พฐ.จว.ชุมพร</t>
  </si>
  <si>
    <t>พฐ.จว.ภูเก็ต</t>
  </si>
  <si>
    <t>พฐ.จว.กระบี่</t>
  </si>
  <si>
    <t>พฐ.จว.พังงา</t>
  </si>
  <si>
    <t>พฐ.จว.นครศรีธรรมราช</t>
  </si>
  <si>
    <t>พฐ.จว.พัทลุง</t>
  </si>
  <si>
    <t>พฐ.จว.ตรัง</t>
  </si>
  <si>
    <t>พฐ.จว.สตูล</t>
  </si>
  <si>
    <t>พฐ.จว.ปัตตานี</t>
  </si>
  <si>
    <t>พฐ.จว.นราธิวาส</t>
  </si>
  <si>
    <t>สังกัด</t>
  </si>
  <si>
    <t>ระดับตำแหน่ง</t>
  </si>
  <si>
    <t>ฝ่ายฝึกอบรม</t>
  </si>
  <si>
    <t>ฝ่ายพัฒนา</t>
  </si>
  <si>
    <t>ฝ่ายปกครอง</t>
  </si>
  <si>
    <t>กลุ่มงานมาตรฐาน</t>
  </si>
  <si>
    <t>สพฐ.ตร.228/66</t>
  </si>
  <si>
    <t>ฝธร.</t>
  </si>
  <si>
    <t>ฝยศ.</t>
  </si>
  <si>
    <t>ฝกบ.</t>
  </si>
  <si>
    <t>ฝงป.</t>
  </si>
  <si>
    <t>ฝกม.</t>
  </si>
  <si>
    <t>ฝทส.</t>
  </si>
  <si>
    <t>บก.</t>
  </si>
  <si>
    <t>กสก.</t>
  </si>
  <si>
    <t>กอป.</t>
  </si>
  <si>
    <t>กคม.</t>
  </si>
  <si>
    <t>กยส.</t>
  </si>
  <si>
    <t>กนฝ.</t>
  </si>
  <si>
    <t>กชว.</t>
  </si>
  <si>
    <t>กคพ.</t>
  </si>
  <si>
    <t>กชช.</t>
  </si>
  <si>
    <t>ฝอ.</t>
  </si>
  <si>
    <t>ฝทว.1</t>
  </si>
  <si>
    <t>ฝทว.2</t>
  </si>
  <si>
    <t>ฝทว.3</t>
  </si>
  <si>
    <t>ฝทว.4</t>
  </si>
  <si>
    <t>ฝทว.5</t>
  </si>
  <si>
    <t>ฝทว.6</t>
  </si>
  <si>
    <t>ฝทว.7</t>
  </si>
  <si>
    <t>ธนวัฒน์ คันธสม</t>
  </si>
  <si>
    <t>กดต., ม.6, นพต.</t>
  </si>
  <si>
    <t>สพฐ.ตร.21/2567</t>
  </si>
  <si>
    <t xml:space="preserve">สรยุทธ สุดสวาท </t>
  </si>
  <si>
    <t>มศ.6,การใช้เครื่องวิทยุคมนาคมแบบสังเคราะห์ความถี่(Synthesizer) , กดต.
รุ่นที่ 11,
โครงการฝึกอบรมข้าราชการตำรวจเพื่อพัฒนาทักษะในการปฏิบัติหน้าที่
ตามพระราชบัญญัติการชุมนุมสาธารณะ พ.ศ.2558 (ระดับปฏิบัติการ)</t>
  </si>
  <si>
    <t>รอง สว.(อก.) กนฝ.ศพฐ.1</t>
  </si>
  <si>
    <t>กรุง ดวงสุพรรณ</t>
  </si>
  <si>
    <t xml:space="preserve">ม.6, น.บ. , มศ.6 </t>
  </si>
  <si>
    <t>กิตติศักดิ์ สุวรรณมณี</t>
  </si>
  <si>
    <t>มศ.6, ม.6 , ร.บ. , ป.โท,หลักสูตรการฝึกอบรมข้าราชการตำรวจซึ่งปฏิบัติหน้าที่ดูแลการชุมนุมส
าธารณะ</t>
  </si>
  <si>
    <t>ชยพล กรึกกลาง</t>
  </si>
  <si>
    <t>ฐิตารีย์ อินเหมือน</t>
  </si>
  <si>
    <t>ณปภัช เสนสิงห์</t>
  </si>
  <si>
    <t>ทิตินัย แต่แดงเพชร</t>
  </si>
  <si>
    <t>ปวส., ปวช. , ป.6 , ม.3, นพต.</t>
  </si>
  <si>
    <t>นิตติยา คาร</t>
  </si>
  <si>
    <t>ศศ.บ.,หลักสูตรงานการเงินงบประมาณและพัสดุ , งานธุรการและกำลังพล</t>
  </si>
  <si>
    <t>พงษ์พันธ์ ผิวอ่อน</t>
  </si>
  <si>
    <t>ลดาวัลย์ นุ้ยแก้ว</t>
  </si>
  <si>
    <t>วรวุฒิ วิจิตร</t>
  </si>
  <si>
    <t>ปวช., วท.บ. , วท.บ., นพต.</t>
  </si>
  <si>
    <t>สรวิชญ์ ชุมแสง</t>
  </si>
  <si>
    <t>สุทธิพงศ์ ชูเอียด</t>
  </si>
  <si>
    <t>อมรรัตน์ เทศสนั่น</t>
  </si>
  <si>
    <t xml:space="preserve">นศ.บ., ร.ม. </t>
  </si>
  <si>
    <t>กิตติพงศ์ จันทร์เพ็ชร</t>
  </si>
  <si>
    <t>ชุติมา มะลิทอง</t>
  </si>
  <si>
    <t>ประกาศนียบัตรวิชาผู้ช่วยพยาบาล</t>
  </si>
  <si>
    <t>ปัญญา ภาระจ่า</t>
  </si>
  <si>
    <t xml:space="preserve">ประกาศนียบัตรวิชาผู้ช่วยพยาบาล </t>
  </si>
  <si>
    <t>วิษณุพงศ์ จันทโกมุท</t>
  </si>
  <si>
    <t>ม.ปลาย,หลักสูตรการฝึกอบรมข้าราชการตำรวจซึ่งปฏิบัติหน้าที่ดูแลการชุมนุมส
าธารณะ</t>
  </si>
  <si>
    <t>สราวุธ สุขสม</t>
  </si>
  <si>
    <t>ม.ปลาย</t>
  </si>
  <si>
    <t>กานต์สิริภรณ์  ศรีประทัย</t>
  </si>
  <si>
    <t>จักรี แก้วกันทา</t>
  </si>
  <si>
    <t>นสต.</t>
  </si>
  <si>
    <t>ณัฐธนพล แก้วเกิด</t>
  </si>
  <si>
    <t>ธีระพล ทองปด</t>
  </si>
  <si>
    <t>พรรณวรท สุทธิ</t>
  </si>
  <si>
    <t>ม. ปลาย, วท.บ. ,กอป. , งานธุรการและกำลังพล รุ่นที่ 18</t>
  </si>
  <si>
    <t>พินประภา จักรคำ</t>
  </si>
  <si>
    <t>ม. ปลาย, วท.บ., กอป., ชัยยะ</t>
  </si>
  <si>
    <t>ศรัณย์กร ทองมี</t>
  </si>
  <si>
    <t>สมัชชา สามะคะผล</t>
  </si>
  <si>
    <t>สุพัตรา สุมังสะ</t>
  </si>
  <si>
    <t>ม.ปลาย, วท.บ., ร.บ.</t>
  </si>
  <si>
    <t>สุรารักษ์ อุรุวรรณ</t>
  </si>
  <si>
    <t>อภิเชฐ ดวงพรรณา</t>
  </si>
  <si>
    <t>ขวัญชนก ศักดามงคล</t>
  </si>
  <si>
    <t>จุธารัตน์ ไหวอุ</t>
  </si>
  <si>
    <t>ณัฐฐวัฒน์ คุ้มปรี</t>
  </si>
  <si>
    <t>ทวิส รอดคุ้ม</t>
  </si>
  <si>
    <t>ธิดา แซ่หวุ่น</t>
  </si>
  <si>
    <t>นันทิกานต์  กวางกระโดด</t>
  </si>
  <si>
    <t>ปภาวี แก้วมณีวัฒน์</t>
  </si>
  <si>
    <t>ประภัสสร เพ็ชรทอง</t>
  </si>
  <si>
    <t>ประภานิช สีติวัน</t>
  </si>
  <si>
    <t>ภูวิทู สรเสณี</t>
  </si>
  <si>
    <t>เรวัติ จงเจริญพร</t>
  </si>
  <si>
    <t>ว่องวิช กุลวงษ์มาณะโส</t>
  </si>
  <si>
    <t>วิชชุตา การินทร์</t>
  </si>
  <si>
    <t>สุกัญญา สุนทรรส</t>
  </si>
  <si>
    <t>สุปัญญา ทองจัด</t>
  </si>
  <si>
    <t>สุพรรณี อยู่ทอง</t>
  </si>
  <si>
    <t>อชิรญาณันท์ โปธา</t>
  </si>
  <si>
    <t>อาภาสุณีย์ คลายทุกข์</t>
  </si>
  <si>
    <t>อิศริยาพร ภักดี</t>
  </si>
  <si>
    <t>ทว.11/2567</t>
  </si>
  <si>
    <t>นารีรัตน์ สุวรรณพงษ์</t>
  </si>
  <si>
    <t>ศพฐ.1 10/2567</t>
  </si>
  <si>
    <t>สุนีย์ ขยันกิจ</t>
  </si>
  <si>
    <t>ศพฐ.2 13/2567</t>
  </si>
  <si>
    <t>ศุภานิช บุญธรรม</t>
  </si>
  <si>
    <t>ศพฐ.4 21/2567</t>
  </si>
  <si>
    <t>ขวัญใจ อุตรชน</t>
  </si>
  <si>
    <t>ณัฐธนภัคร นามเหลา</t>
  </si>
  <si>
    <t>สุพิณญา วรามิตร</t>
  </si>
  <si>
    <t xml:space="preserve">ศตวรรษ หาญชนะ </t>
  </si>
  <si>
    <t>ศพฐ.5 9/2567</t>
  </si>
  <si>
    <t>ศพฐ.6 10/67</t>
  </si>
  <si>
    <t>รอง สว.(อก.) กชว.ศพฐ.6</t>
  </si>
  <si>
    <t>รอง สว.(อก.) กคพ.ศพฐ.6</t>
  </si>
  <si>
    <t>ณัฐพล ทองเต็ม</t>
  </si>
  <si>
    <t>ศพฐ.7 21/67</t>
  </si>
  <si>
    <t>ศพฐ.8 30/2567</t>
  </si>
  <si>
    <t>ศพฐ.10 27/2567</t>
  </si>
  <si>
    <t>เลขตำแหน่งเดิม</t>
  </si>
  <si>
    <t>หน้าที่เดิม</t>
  </si>
  <si>
    <t>กลุ่มสายงาน</t>
  </si>
  <si>
    <t>สายงาน</t>
  </si>
  <si>
    <t>กทม.</t>
  </si>
  <si>
    <t>ธนริศย์ ธนสุทธินพกิตติ์</t>
  </si>
  <si>
    <t>ศรัณย์ภัทร์ จันทร์อุดม</t>
  </si>
  <si>
    <t>ณพิชญ์ มารูยาม่า</t>
  </si>
  <si>
    <t>สพฐ.ตร.62/67</t>
  </si>
  <si>
    <t>รอง สว.(อก.) บก.อก.สพฐ.ตร.</t>
  </si>
  <si>
    <t>รอง สว.(อก.) กชว.ศพฐ.1</t>
  </si>
  <si>
    <t>รอง สว.(อก.) พฐ.จว.ชุมพร</t>
  </si>
  <si>
    <t>รอง สว.(อก.) กยส.ศพฐ.10</t>
  </si>
  <si>
    <t>รป.ม.,กดต.(2567)</t>
  </si>
  <si>
    <t>ปวช.,ศศ.บ.,กดต.(2567)</t>
  </si>
  <si>
    <t>ปวช., รป.บ.,กดต.(2567)</t>
  </si>
  <si>
    <t>ปวช.,บธ.บ.,กดต.(2567)</t>
  </si>
  <si>
    <t>ประกาศนียบัตรผู้ช่วยพยาบาล วิทยาลัย รพ.ตร.ฯ</t>
  </si>
  <si>
    <t>ชัยภุมิ</t>
  </si>
  <si>
    <t>วรรณวราณิช จุ่นหัวโทน</t>
  </si>
  <si>
    <t>ม.6,บธ.บ.,กอป.</t>
  </si>
  <si>
    <t>ม.6,น.บ.,กอป.</t>
  </si>
  <si>
    <t>ม.6,วท.บ.,กอป.</t>
  </si>
  <si>
    <t>ม.6,ศศ.บ.(วิทยาการเรียนรู้),กอป.</t>
  </si>
  <si>
    <t>ม.6,กอป.,ตวท. , นบ.</t>
  </si>
  <si>
    <t>ปวช.,วศ.บ.(โยธา),ตวท.,กอป.</t>
  </si>
  <si>
    <t>ม.6,ตวท.,กอป.,วท.บ.(เวชกิจฉุกเฉิน),นบ.(นิติศาสตร์)</t>
  </si>
  <si>
    <t>ม.6,ตวท.,กอป.,วท.บ.(จิควิทยา)</t>
  </si>
  <si>
    <t>ม.6,ตวท.,กอป.ศศ.บ.(ประวัติศาสตร์)</t>
  </si>
  <si>
    <t>ปวช. ,ปวส.,กอป.,ตวท.,บธ.บ.(การบัญชี)</t>
  </si>
  <si>
    <t>ณนฌกร บ่างกองกูล</t>
  </si>
  <si>
    <t>จิดาภา คงสิมา</t>
  </si>
  <si>
    <t>ทักษิณา คำทองเพิ่ม</t>
  </si>
  <si>
    <t>ม.6, ปวส.</t>
  </si>
  <si>
    <t>01/02/245</t>
  </si>
  <si>
    <t>ปวช.(ช่างเชื่อมโลหะ)</t>
  </si>
  <si>
    <t>ปวช., ปวส., ชัยยะ</t>
  </si>
  <si>
    <t>ตร.41/60</t>
  </si>
  <si>
    <t>สรฉัษ  สิทธิวงศ์</t>
  </si>
  <si>
    <t>ม.6 ,นสต.</t>
  </si>
  <si>
    <t>ม.6, ศศ.บ.,นพต.,กดต.(ปป.)</t>
  </si>
  <si>
    <t>บธ.บ., กอป,ต.ว.ท.26</t>
  </si>
  <si>
    <t>ม.6,วท.บ.(เคมี)</t>
  </si>
  <si>
    <t>ม.6,บธ.ท.</t>
  </si>
  <si>
    <t>ม.6,วท.บ.,บช.บ.</t>
  </si>
  <si>
    <t>ม.6, ปวส., กอป.</t>
  </si>
  <si>
    <t>ม.6., วท.บ.(เคมี)</t>
  </si>
  <si>
    <t>วท.บ. (เทคโนโลยีชีวภาพ)</t>
  </si>
  <si>
    <t>นพต., ปวส.</t>
  </si>
  <si>
    <t>ม.6,ศศ.บ.,กอป., กดต.รุ่น 11</t>
  </si>
  <si>
    <t>ม.3,นบ.,นพต. กดต.12</t>
  </si>
  <si>
    <t>ปวช.,ศศ.บ.,กอป., กดต.</t>
  </si>
  <si>
    <t>ปวช., ศศ.บ., กอป., กดต.</t>
  </si>
  <si>
    <t>ศศ.บ,บธ.ม., กอป.,ชัยยะ</t>
  </si>
  <si>
    <t>วท.บ., ศศ.ม.(รัฐศาสตร์)</t>
  </si>
  <si>
    <t>พัฒนพล อินทิม</t>
  </si>
  <si>
    <t>ณิชารัศม์ เวทย์วรากาญจน์</t>
  </si>
  <si>
    <t>คำนวน  สุขสวัสดิ์</t>
  </si>
  <si>
    <t>นฐวรรณ ชูใหม่</t>
  </si>
  <si>
    <t>น.บ.,กดต.8</t>
  </si>
  <si>
    <t>ม.6,นบ.,กดต.8</t>
  </si>
  <si>
    <t>วท.บ.,ร.บ.</t>
  </si>
  <si>
    <t>ศศิภา  แสงทิตย์</t>
  </si>
  <si>
    <t>ม.6,กอป.,ตวท.รุ่น 21</t>
  </si>
  <si>
    <t>ปวช.ตวท.รุ่นที่29 กดต.(อก.)</t>
  </si>
  <si>
    <t>ปวช.,พิมพ์มือชั้นสูง,กอป.รุ่น 12,อนุปริญญา กดต.(อก.)</t>
  </si>
  <si>
    <t>ปวช.,ศศ.บ.,ตวท.,กอป.10</t>
  </si>
  <si>
    <t>ม.6, กอป.2566</t>
  </si>
  <si>
    <t>ม.6 ,กอป.2566</t>
  </si>
  <si>
    <t>ศศ.บ., กอป.,วท.บ.(เทคโนโลยีสารสนเทศและการสื่อสาร)</t>
  </si>
  <si>
    <t>อลงกรณ์ กอนจินดา</t>
  </si>
  <si>
    <t>มาวิน พงศ์อินทร์</t>
  </si>
  <si>
    <t>ชุติมา บุญเต็ม</t>
  </si>
  <si>
    <t>พัชริดา แก้วขาว</t>
  </si>
  <si>
    <t>รุจิภา ชื่นเจริญ</t>
  </si>
  <si>
    <t>กัญญาณัฐ นันไชยวงศ์</t>
  </si>
  <si>
    <t>ธัญญลักษณ์ นิลสนธิ</t>
  </si>
  <si>
    <t>ญาณิศา อุตรา</t>
  </si>
  <si>
    <t>ศศิวิมล สุขสนอง</t>
  </si>
  <si>
    <t>สรัญชนา ญาติวงค์</t>
  </si>
  <si>
    <t>พีรชัย อบรมวัน</t>
  </si>
  <si>
    <t>ศุภลักษณ์ คำสี</t>
  </si>
  <si>
    <t>กิตติธัช พลายแก้ว</t>
  </si>
  <si>
    <t>เกริกชัย รัตนสาม</t>
  </si>
  <si>
    <t>กาญจณนภา กรอบทอง</t>
  </si>
  <si>
    <t>ศิรประภา เหล็กเพชร</t>
  </si>
  <si>
    <t>กรณิศ พิพิธพรพงศ์</t>
  </si>
  <si>
    <t>พรธิดา ลิ่มมังกูร</t>
  </si>
  <si>
    <t>ณัฐชา พรหมจักร์</t>
  </si>
  <si>
    <t>ธนกร ปินตา</t>
  </si>
  <si>
    <t>ชินาทัพพ์ พรมสุวรรณ์</t>
  </si>
  <si>
    <t>พิมพ์ชนก แสงพรมทิพย์</t>
  </si>
  <si>
    <t>ปรินทร์ญาดา สุทำเลา</t>
  </si>
  <si>
    <t>พิมพ์ชนก โกวิทเสถียรชัย</t>
  </si>
  <si>
    <t>ชมพูนุท จันทร์ทอง</t>
  </si>
  <si>
    <t>ปาณิสรา ไชยธาดา</t>
  </si>
  <si>
    <t>พรรณพฤกษา บุญฟู</t>
  </si>
  <si>
    <t>อรัชพร พัชนี</t>
  </si>
  <si>
    <t>ซฮาราห์ จิตต์ปราณี</t>
  </si>
  <si>
    <t>กฤตมุข นวลจริง</t>
  </si>
  <si>
    <t>อารียา ศักดิ์ณรงค์</t>
  </si>
  <si>
    <t>อริสรา ไชยมา</t>
  </si>
  <si>
    <t>พิชชานันท์ ปันจี้</t>
  </si>
  <si>
    <t>ปุณยานุช อดุลย์รัมย์</t>
  </si>
  <si>
    <t>ขวัญจิรา คงชู</t>
  </si>
  <si>
    <t>หทัยรัตน์ ลิขิตวรรณวงศ์</t>
  </si>
  <si>
    <t>จตุวิทย์ คุปตะสิน</t>
  </si>
  <si>
    <t>ปิ่นธนา คำแสงดี</t>
  </si>
  <si>
    <t>ปาณิสรา พลหลา</t>
  </si>
  <si>
    <t>น้ำฝน โยธีเสวต</t>
  </si>
  <si>
    <t>อลิษา สุภะวีระ</t>
  </si>
  <si>
    <t>อาทิติยาภรณ์ นิติผณินทร</t>
  </si>
  <si>
    <t>ขนิษฐา สุวรรณสังโส</t>
  </si>
  <si>
    <t>ทักษิณ ภาจิตรนิยม</t>
  </si>
  <si>
    <t>อรอุมา พรหมเพชร</t>
  </si>
  <si>
    <t>ภูมิพัฒน์ บุญเฟื่อง</t>
  </si>
  <si>
    <t>ธิดารัตน์ เพชรมัด</t>
  </si>
  <si>
    <t>พรวิภา แจ่มสิทธิกุล</t>
  </si>
  <si>
    <t>มาริสา รักธรรม</t>
  </si>
  <si>
    <t>ศุภกิจ ขุนพินิจดี</t>
  </si>
  <si>
    <t>สรัญรัตน์ คำภูผา</t>
  </si>
  <si>
    <t>กันต์ชนินธรญ์ พัฒธรโกศล</t>
  </si>
  <si>
    <t>ศศิธร ใจหาญ</t>
  </si>
  <si>
    <t>ศุภวรรษ อุนาวงศ์</t>
  </si>
  <si>
    <t>จุติพร วรรธน์พรยมล</t>
  </si>
  <si>
    <t>กัลยากร กรรแสงศรี</t>
  </si>
  <si>
    <t>ภัทรศยา กิจวิจารณ์</t>
  </si>
  <si>
    <t>ปทิตตา แก้วสืบ</t>
  </si>
  <si>
    <t>ชนิสรา ปักษาวัน</t>
  </si>
  <si>
    <t>ณัฏฐณิชา ภู่โพธิ์</t>
  </si>
  <si>
    <t>อัยยา บุบผา</t>
  </si>
  <si>
    <t>เกวลิน จันทร์มณี</t>
  </si>
  <si>
    <t>อารีรัตน์ อาลากุล</t>
  </si>
  <si>
    <t>กรชนก เอี่ยมอินทร์</t>
  </si>
  <si>
    <t>พรนภา เภาพันธ์</t>
  </si>
  <si>
    <t>พลอยนภา มีอยู่</t>
  </si>
  <si>
    <t>นับทอง ครองยุติ</t>
  </si>
  <si>
    <t>ริสา อัจฉริยไพบูลย์</t>
  </si>
  <si>
    <t>ธมลพร ทองบ่อ</t>
  </si>
  <si>
    <t>ภัทรพงศ์ ไชยโย</t>
  </si>
  <si>
    <t>ฑิตยา สิงห์ชัย</t>
  </si>
  <si>
    <t>อรุณี จิตวิขาม</t>
  </si>
  <si>
    <t>ปวริศร โรจนรัตน์</t>
  </si>
  <si>
    <t>ณัฐวรรธน์ ศรีพรหม</t>
  </si>
  <si>
    <t>ธนพร ลาเบาะ</t>
  </si>
  <si>
    <t>จิรนันท์ ยางงาม</t>
  </si>
  <si>
    <t>ณิชชาภัทร ขาวคุ้ม</t>
  </si>
  <si>
    <t>นันทกา พรหมลา</t>
  </si>
  <si>
    <t>ตรัณ ศิริพรพันธ์</t>
  </si>
  <si>
    <t>ปฏิภาณ เหวชัยภูมิ</t>
  </si>
  <si>
    <t>ประพิชญา ผ่านผิว</t>
  </si>
  <si>
    <t>ทัพไท พิทยาวุธวินิจ</t>
  </si>
  <si>
    <t>ทิวาภรณ์ ไชยรังษี</t>
  </si>
  <si>
    <t>กมลรส รักษาภักดี</t>
  </si>
  <si>
    <t>ปิยวรรณ จันทร์อิน</t>
  </si>
  <si>
    <t>คณาธิป สว่างยิ่ง</t>
  </si>
  <si>
    <t>ภัคจิรา สงพรมทิพย์</t>
  </si>
  <si>
    <t>ชิดจันทร์ มะลิ</t>
  </si>
  <si>
    <t>ณิชกมล ทิพย์พิมล</t>
  </si>
  <si>
    <t>ดาววิภา แอวงศ์</t>
  </si>
  <si>
    <t>สุวรรณา สุดงาม</t>
  </si>
  <si>
    <t>กรกนก เพ็งเรือง</t>
  </si>
  <si>
    <t>รภิญา ดิษฐเอม</t>
  </si>
  <si>
    <t>ธัญทิพ แก้วส่งแสง</t>
  </si>
  <si>
    <t>ดนัย ตันสกุล</t>
  </si>
  <si>
    <t>พรชิตา ตาบม่วง</t>
  </si>
  <si>
    <t>สาริศา ส่งเสริมสกุล</t>
  </si>
  <si>
    <t>ปริญญา ไกรสุริวงค์</t>
  </si>
  <si>
    <t>สพฐ.ตร.103/67</t>
  </si>
  <si>
    <t>ประภัสรา ฮาวปินใจ</t>
  </si>
  <si>
    <t>นิสา ปัสสาวัส</t>
  </si>
  <si>
    <t>วิสูตร</t>
  </si>
  <si>
    <t>เยาวลักษณ์</t>
  </si>
  <si>
    <t>นฤมล</t>
  </si>
  <si>
    <t>อุดม</t>
  </si>
  <si>
    <t>สมใจ</t>
  </si>
  <si>
    <t>ยุทธนา</t>
  </si>
  <si>
    <t>กาญจนา</t>
  </si>
  <si>
    <t>จุฑารัตน์</t>
  </si>
  <si>
    <t>สุขเจริญ</t>
  </si>
  <si>
    <t>ลิ่มสกุล</t>
  </si>
  <si>
    <t>ศรีสุวรรณ</t>
  </si>
  <si>
    <t>จินดารัตน์</t>
  </si>
  <si>
    <t>เจษฎา</t>
  </si>
  <si>
    <t>กนกวรรณ</t>
  </si>
  <si>
    <t>ณัฐพงษ์</t>
  </si>
  <si>
    <t>บุญศรี</t>
  </si>
  <si>
    <t>อรัญญา</t>
  </si>
  <si>
    <t>ศิริลักษณ์</t>
  </si>
  <si>
    <t>ปริญญา</t>
  </si>
  <si>
    <t>พงศธร</t>
  </si>
  <si>
    <t>เสกสรรค์</t>
  </si>
  <si>
    <t>ณิชาภัทร</t>
  </si>
  <si>
    <t>เบญจมาภรณ์</t>
  </si>
  <si>
    <t>ไชยา</t>
  </si>
  <si>
    <t>ศักดิ์สิทธิ์</t>
  </si>
  <si>
    <t>ดวงสุพรรณ</t>
  </si>
  <si>
    <t>สุรีรัตน์</t>
  </si>
  <si>
    <t>บดินทร์</t>
  </si>
  <si>
    <t>วิวัฒน์</t>
  </si>
  <si>
    <t>ขวัญชนก</t>
  </si>
  <si>
    <t>ยิ้มช้าง</t>
  </si>
  <si>
    <t>ฐาปกรณ์</t>
  </si>
  <si>
    <t>ศิริญา</t>
  </si>
  <si>
    <t>บัวแก้ว</t>
  </si>
  <si>
    <t>เจริญสุข</t>
  </si>
  <si>
    <t>ณัฐชยา</t>
  </si>
  <si>
    <t>สวัสดี</t>
  </si>
  <si>
    <t>ฐิติกาญจน์</t>
  </si>
  <si>
    <t>วรพจน์</t>
  </si>
  <si>
    <t>ไพรินทร์</t>
  </si>
  <si>
    <t>โพธิ์ศรี</t>
  </si>
  <si>
    <t>ธนพล</t>
  </si>
  <si>
    <t>มณีอินทร์</t>
  </si>
  <si>
    <t>บรรเจิด</t>
  </si>
  <si>
    <t>พงศกร</t>
  </si>
  <si>
    <t>สุภาพร</t>
  </si>
  <si>
    <t>บุญมาก</t>
  </si>
  <si>
    <t>ศุภชัย</t>
  </si>
  <si>
    <t>ณัฐวุฒิ</t>
  </si>
  <si>
    <t>ศศิธร</t>
  </si>
  <si>
    <t>รุ่งฤดี</t>
  </si>
  <si>
    <t>ศิรินภา</t>
  </si>
  <si>
    <t>น้อยบุ่งค้า</t>
  </si>
  <si>
    <t>ภัทรพร</t>
  </si>
  <si>
    <t>นเรศ</t>
  </si>
  <si>
    <t>พัชรินทร์</t>
  </si>
  <si>
    <t>ภาวินี</t>
  </si>
  <si>
    <t>วรวุฒิ</t>
  </si>
  <si>
    <t>จันทิมา</t>
  </si>
  <si>
    <t>สุนิษา</t>
  </si>
  <si>
    <t>สมศักดิ์</t>
  </si>
  <si>
    <t>สุพัตรา</t>
  </si>
  <si>
    <t>อัศม์เดช</t>
  </si>
  <si>
    <t>ธีรวัฒน์</t>
  </si>
  <si>
    <t>บุญเฟื่อง</t>
  </si>
  <si>
    <t>ปสุตา</t>
  </si>
  <si>
    <t>วราภรณ์</t>
  </si>
  <si>
    <t>ขนิษฐา</t>
  </si>
  <si>
    <t>เบญจมาศ</t>
  </si>
  <si>
    <t>บุญช่วย</t>
  </si>
  <si>
    <t>พรชัย</t>
  </si>
  <si>
    <t>ณัฎฐณิชา</t>
  </si>
  <si>
    <t>กิตติชัย</t>
  </si>
  <si>
    <t>ศุภวิชญ์</t>
  </si>
  <si>
    <t>เอี่ยมสอาด</t>
  </si>
  <si>
    <t>ณัฐนันท์</t>
  </si>
  <si>
    <t>ฐิติรัตน์</t>
  </si>
  <si>
    <t>ส่งเสริม</t>
  </si>
  <si>
    <t>จิราภรณ์</t>
  </si>
  <si>
    <t>บุญเลิศ</t>
  </si>
  <si>
    <t>ณภัทร</t>
  </si>
  <si>
    <t>กมลชนก</t>
  </si>
  <si>
    <t>ขวัญใจ</t>
  </si>
  <si>
    <t>นิรมล</t>
  </si>
  <si>
    <t>อรวรรณ</t>
  </si>
  <si>
    <t>ณัชพล</t>
  </si>
  <si>
    <t>สิทธิพงษ์</t>
  </si>
  <si>
    <t>ศิริพร</t>
  </si>
  <si>
    <t>ยุทธพงษ์</t>
  </si>
  <si>
    <t>จันโท</t>
  </si>
  <si>
    <t>กนกพร</t>
  </si>
  <si>
    <t>ชุติมา</t>
  </si>
  <si>
    <t>ธนกฤต</t>
  </si>
  <si>
    <t>อุทัยวรรณ</t>
  </si>
  <si>
    <t>อมรรัตน์</t>
  </si>
  <si>
    <t>วิศรุต</t>
  </si>
  <si>
    <t>ยุวดี</t>
  </si>
  <si>
    <t>พิมพ์ชนก</t>
  </si>
  <si>
    <t>เจนสุดรักวงศ์</t>
  </si>
  <si>
    <t>บำรุง</t>
  </si>
  <si>
    <t>วารุณี</t>
  </si>
  <si>
    <t>สุทัศน์</t>
  </si>
  <si>
    <t>วัชรินทร์</t>
  </si>
  <si>
    <t>ชุมพล</t>
  </si>
  <si>
    <t>รินรดา</t>
  </si>
  <si>
    <t>จารุวรรณ</t>
  </si>
  <si>
    <t>ชลธิชา</t>
  </si>
  <si>
    <t>อัญพัชญ์</t>
  </si>
  <si>
    <t>อัญชลี</t>
  </si>
  <si>
    <t>สุวิทย์</t>
  </si>
  <si>
    <t>สุนันทา</t>
  </si>
  <si>
    <t>วารินทร์</t>
  </si>
  <si>
    <t>รัชตา</t>
  </si>
  <si>
    <t>พิมพา</t>
  </si>
  <si>
    <t>อรรถพล</t>
  </si>
  <si>
    <t>ปรัชญา</t>
  </si>
  <si>
    <t>กิตติศักดิ์</t>
  </si>
  <si>
    <t>ดวงพร</t>
  </si>
  <si>
    <t>ณัฐชา</t>
  </si>
  <si>
    <t>สุพจน์</t>
  </si>
  <si>
    <t>นิพนธ์</t>
  </si>
  <si>
    <t>ภัทรพล</t>
  </si>
  <si>
    <t>แสงทอง</t>
  </si>
  <si>
    <t>พิทักษ์</t>
  </si>
  <si>
    <t>ระเบียบ</t>
  </si>
  <si>
    <t>พวงแก้ว</t>
  </si>
  <si>
    <t>แก้วมณี</t>
  </si>
  <si>
    <t>สำรวย</t>
  </si>
  <si>
    <t>ทองใบ</t>
  </si>
  <si>
    <t>สมภพ</t>
  </si>
  <si>
    <t>สร้อยระย้า</t>
  </si>
  <si>
    <t>สถาพร</t>
  </si>
  <si>
    <t>ธงภักดิ์</t>
  </si>
  <si>
    <t>การินทร์</t>
  </si>
  <si>
    <t>สุพัฒนา</t>
  </si>
  <si>
    <t>นพรุจ</t>
  </si>
  <si>
    <t>คำมี</t>
  </si>
  <si>
    <t>ฐิตินันท์</t>
  </si>
  <si>
    <t>รชต</t>
  </si>
  <si>
    <t>ธีระพงษ์</t>
  </si>
  <si>
    <t>สุวรรณรัตน์</t>
  </si>
  <si>
    <t>สมพงษ์</t>
  </si>
  <si>
    <t>ณัฐพล</t>
  </si>
  <si>
    <t>ทับทิม</t>
  </si>
  <si>
    <t>ศรีสุข</t>
  </si>
  <si>
    <t>ธนวัฒน์</t>
  </si>
  <si>
    <t>เสาวภา</t>
  </si>
  <si>
    <t>พัฒนศักดิ์</t>
  </si>
  <si>
    <t>ศิรประภา</t>
  </si>
  <si>
    <t>จำปาทอง</t>
  </si>
  <si>
    <t>สุธาวี</t>
  </si>
  <si>
    <t>นิตยา</t>
  </si>
  <si>
    <t>จำรัส</t>
  </si>
  <si>
    <t>พิมพ์ประไพ</t>
  </si>
  <si>
    <t>สุภาวดี</t>
  </si>
  <si>
    <t>สุปราณี</t>
  </si>
  <si>
    <t>พรทิพย์</t>
  </si>
  <si>
    <t>วิทยา</t>
  </si>
  <si>
    <t>พรนภา</t>
  </si>
  <si>
    <t>ธวัชชัย</t>
  </si>
  <si>
    <t>พรณรงค์</t>
  </si>
  <si>
    <t>วศิน</t>
  </si>
  <si>
    <t>มนัสนันท์</t>
  </si>
  <si>
    <t>จำนงค์</t>
  </si>
  <si>
    <t>ศิริรัตน์</t>
  </si>
  <si>
    <t>ไชยศร</t>
  </si>
  <si>
    <t>ณัชชา</t>
  </si>
  <si>
    <t>อภิชาติ</t>
  </si>
  <si>
    <t>พรรณี</t>
  </si>
  <si>
    <t>วาสนา</t>
  </si>
  <si>
    <t>จำปา</t>
  </si>
  <si>
    <t>กลวัชร</t>
  </si>
  <si>
    <t>ภัทราวดี</t>
  </si>
  <si>
    <t>เข็มเพชร</t>
  </si>
  <si>
    <t>ฉัตรชัย</t>
  </si>
  <si>
    <t>คมสัน</t>
  </si>
  <si>
    <t>ศิริวรรณ</t>
  </si>
  <si>
    <t>สมชาย</t>
  </si>
  <si>
    <t>วรางคณา</t>
  </si>
  <si>
    <t>จันทร์สอน</t>
  </si>
  <si>
    <t>นันท์นภัส</t>
  </si>
  <si>
    <t>ภัทราภรณ์</t>
  </si>
  <si>
    <t>องอาจ</t>
  </si>
  <si>
    <t>ธนพัฒน์</t>
  </si>
  <si>
    <t>เกียรติศักดิ์</t>
  </si>
  <si>
    <t>สุรชัย</t>
  </si>
  <si>
    <t>บัวทอง</t>
  </si>
  <si>
    <t>อธิป</t>
  </si>
  <si>
    <t>พิชามญชุ์</t>
  </si>
  <si>
    <t>ขวัญจิรา</t>
  </si>
  <si>
    <t>ภัทราวรรณ</t>
  </si>
  <si>
    <t>แก้ววิเชียร</t>
  </si>
  <si>
    <t>สิริพร</t>
  </si>
  <si>
    <t>จิรวัฒน์</t>
  </si>
  <si>
    <t>ภัควรินทร์</t>
  </si>
  <si>
    <t>ภักดี</t>
  </si>
  <si>
    <t>จันทร์จิรา</t>
  </si>
  <si>
    <t>จันทร์ทอง</t>
  </si>
  <si>
    <t>กฤตวิทย์</t>
  </si>
  <si>
    <t>พรหมลา</t>
  </si>
  <si>
    <t>ศศิวิมล</t>
  </si>
  <si>
    <t>หนูแก้ว</t>
  </si>
  <si>
    <t>อดิศักดิ์</t>
  </si>
  <si>
    <t>นภาพร</t>
  </si>
  <si>
    <t>เฉลิมพงษ์</t>
  </si>
  <si>
    <t>อดิศร</t>
  </si>
  <si>
    <t>สุรศักดิ์</t>
  </si>
  <si>
    <t>เกิดผล</t>
  </si>
  <si>
    <t>สมโชค</t>
  </si>
  <si>
    <t>รัตนา</t>
  </si>
  <si>
    <t>สุภาภรณ์</t>
  </si>
  <si>
    <t>มยุรี</t>
  </si>
  <si>
    <t>อารีรัตน์</t>
  </si>
  <si>
    <t>ทนงศักดิ์</t>
  </si>
  <si>
    <t>ชยพล</t>
  </si>
  <si>
    <t>สุวัฒน์</t>
  </si>
  <si>
    <t>พัชริดา</t>
  </si>
  <si>
    <t>วิภาวี</t>
  </si>
  <si>
    <t>อรุณี</t>
  </si>
  <si>
    <t>เรวดี</t>
  </si>
  <si>
    <t>อุเทน</t>
  </si>
  <si>
    <t>น้ำดอกไม้</t>
  </si>
  <si>
    <t>ธีรภัทร</t>
  </si>
  <si>
    <t>สุริยา</t>
  </si>
  <si>
    <t>อรอนงค์</t>
  </si>
  <si>
    <t>วารี</t>
  </si>
  <si>
    <t>ธีรพงศ์</t>
  </si>
  <si>
    <t>พัชรี</t>
  </si>
  <si>
    <t>ชัชรินทร์</t>
  </si>
  <si>
    <t>จตุพร</t>
  </si>
  <si>
    <t>ชมพูนุท</t>
  </si>
  <si>
    <t>ขวัญฤดี</t>
  </si>
  <si>
    <t>สมบูรณ์</t>
  </si>
  <si>
    <t>อภิสิทธิ์</t>
  </si>
  <si>
    <t>ปิยวัฒน์</t>
  </si>
  <si>
    <t>วรัชยา</t>
  </si>
  <si>
    <t>พิชชานันท์</t>
  </si>
  <si>
    <t>ศรีวะรมย์</t>
  </si>
  <si>
    <t>ราตรี</t>
  </si>
  <si>
    <t>สุมาลี</t>
  </si>
  <si>
    <t>ปฏิวัติ</t>
  </si>
  <si>
    <t>ภูศรีเทศ</t>
  </si>
  <si>
    <t>แก้วสิมมา</t>
  </si>
  <si>
    <t>ปิยธิดา</t>
  </si>
  <si>
    <t>ทิพวรรณ</t>
  </si>
  <si>
    <t>ธงชัย</t>
  </si>
  <si>
    <t>ธนดล</t>
  </si>
  <si>
    <t>สิทธิศักดิ์</t>
  </si>
  <si>
    <t>พรพรรณ</t>
  </si>
  <si>
    <t>อาจวิชัย</t>
  </si>
  <si>
    <t>ผลจันทร์</t>
  </si>
  <si>
    <t>สิทธิชัย</t>
  </si>
  <si>
    <t>พิชญา</t>
  </si>
  <si>
    <t>ณัฐวัฒน์</t>
  </si>
  <si>
    <t>สุรเชษฐ์</t>
  </si>
  <si>
    <t>พชร</t>
  </si>
  <si>
    <t>ปิ่นแก้ว</t>
  </si>
  <si>
    <t>ธิดารัตน์</t>
  </si>
  <si>
    <t>จิรนันท์</t>
  </si>
  <si>
    <t>วิภารัตน์</t>
  </si>
  <si>
    <t>วนิดา</t>
  </si>
  <si>
    <t>ธนา</t>
  </si>
  <si>
    <t>สุกัลยา</t>
  </si>
  <si>
    <t>แสงวิเศษ</t>
  </si>
  <si>
    <t>วีระยุทธ</t>
  </si>
  <si>
    <t>บัญชา</t>
  </si>
  <si>
    <t>สุพรรษา</t>
  </si>
  <si>
    <t>กัญญาภัค</t>
  </si>
  <si>
    <t>ปวีณา</t>
  </si>
  <si>
    <t>ปัญญา</t>
  </si>
  <si>
    <t>มัลลิกา</t>
  </si>
  <si>
    <t>สุขสวัสดิ์</t>
  </si>
  <si>
    <t>บุรี</t>
  </si>
  <si>
    <t>คงบุญ</t>
  </si>
  <si>
    <t>สุชาติ</t>
  </si>
  <si>
    <t>ศราวุธ</t>
  </si>
  <si>
    <t>บุญทองอ่อน</t>
  </si>
  <si>
    <t>พัชรียา</t>
  </si>
  <si>
    <t>สมนึก</t>
  </si>
  <si>
    <t>กรรณิการ์</t>
  </si>
  <si>
    <t>จิรัฐพล</t>
  </si>
  <si>
    <t>อัครเดช</t>
  </si>
  <si>
    <t>บุรินทราพันธุ์</t>
  </si>
  <si>
    <t>จินตนา</t>
  </si>
  <si>
    <t>พิกุล</t>
  </si>
  <si>
    <t>ทองจันทร์</t>
  </si>
  <si>
    <t>สมควร</t>
  </si>
  <si>
    <t>ศุภกิตติ์</t>
  </si>
  <si>
    <t>กสิณพจน์</t>
  </si>
  <si>
    <t>วิโรจน์</t>
  </si>
  <si>
    <t>วิจิตร</t>
  </si>
  <si>
    <t>เยาวเรศ</t>
  </si>
  <si>
    <t>อาทิตย์</t>
  </si>
  <si>
    <t>อนงค์</t>
  </si>
  <si>
    <t>ผุสดี</t>
  </si>
  <si>
    <t>หน่อท้าว</t>
  </si>
  <si>
    <t>ทักษิณ</t>
  </si>
  <si>
    <t>แสงอรุณ</t>
  </si>
  <si>
    <t>อภินันท์</t>
  </si>
  <si>
    <t>ปินตา</t>
  </si>
  <si>
    <t>ภาณุพงศ์</t>
  </si>
  <si>
    <t>ปฏิพล</t>
  </si>
  <si>
    <t>จุไรพร</t>
  </si>
  <si>
    <t>สุดารัตน์</t>
  </si>
  <si>
    <t>อัมพวัน</t>
  </si>
  <si>
    <t>นงนุช</t>
  </si>
  <si>
    <t>ภู่ระย้า</t>
  </si>
  <si>
    <t>ณปภัช</t>
  </si>
  <si>
    <t>ณัฐพงศ์</t>
  </si>
  <si>
    <t>ธนกร</t>
  </si>
  <si>
    <t>เจนจิรา</t>
  </si>
  <si>
    <t>บุญเชิด</t>
  </si>
  <si>
    <t>ภูวนัย</t>
  </si>
  <si>
    <t>น้ำฝน</t>
  </si>
  <si>
    <t>บัณฑิต</t>
  </si>
  <si>
    <t>ปรารถนา</t>
  </si>
  <si>
    <t>ธนภัทร</t>
  </si>
  <si>
    <t>ธวัลรัตน์</t>
  </si>
  <si>
    <t>สมหญิง</t>
  </si>
  <si>
    <t>ทองคำ</t>
  </si>
  <si>
    <t>พรเทพ</t>
  </si>
  <si>
    <t>กฤตยา</t>
  </si>
  <si>
    <t>อภิชญา</t>
  </si>
  <si>
    <t>สุเทพ</t>
  </si>
  <si>
    <t>ทองเกล็ด</t>
  </si>
  <si>
    <t>ยะแสง</t>
  </si>
  <si>
    <t>สราวุฒิ</t>
  </si>
  <si>
    <t>มีชัย</t>
  </si>
  <si>
    <t>หาญณรงค์</t>
  </si>
  <si>
    <t>ใบยา</t>
  </si>
  <si>
    <t>ยุพา</t>
  </si>
  <si>
    <t>พูลผล</t>
  </si>
  <si>
    <t>บุญพา</t>
  </si>
  <si>
    <t>จุรีภรณ์</t>
  </si>
  <si>
    <t>โชติกา</t>
  </si>
  <si>
    <t>อัจฉรา</t>
  </si>
  <si>
    <t>กมลรส</t>
  </si>
  <si>
    <t>ปิยะดา</t>
  </si>
  <si>
    <t>อัครวัฒน์</t>
  </si>
  <si>
    <t>สิทธิโชค</t>
  </si>
  <si>
    <t>เครือวัลย์</t>
  </si>
  <si>
    <t>กมลทิพย์</t>
  </si>
  <si>
    <t>สุชาดา</t>
  </si>
  <si>
    <t>สราวุธ</t>
  </si>
  <si>
    <t>ศตวรรษ</t>
  </si>
  <si>
    <t>มงคล</t>
  </si>
  <si>
    <t>นารีรัตน์</t>
  </si>
  <si>
    <t>ทองมี</t>
  </si>
  <si>
    <t>กฤตภาส</t>
  </si>
  <si>
    <t>ไวพจน์</t>
  </si>
  <si>
    <t>มีแก้ว</t>
  </si>
  <si>
    <t>เอกราช</t>
  </si>
  <si>
    <t>ปิยวรรณ</t>
  </si>
  <si>
    <t>บุตรมาตา</t>
  </si>
  <si>
    <t>อนุสรณ์</t>
  </si>
  <si>
    <t>สมคิด</t>
  </si>
  <si>
    <t>สุกัญญา</t>
  </si>
  <si>
    <t>นวลจันทร์</t>
  </si>
  <si>
    <t>รัตนพันธ์</t>
  </si>
  <si>
    <t>ชุติกาญจน์</t>
  </si>
  <si>
    <t>นวลศรี</t>
  </si>
  <si>
    <t>ธนาคาร</t>
  </si>
  <si>
    <t>พรหมศร</t>
  </si>
  <si>
    <t>บุญรัตน์</t>
  </si>
  <si>
    <t>อรทัย</t>
  </si>
  <si>
    <t>ทองสุข</t>
  </si>
  <si>
    <t>ณรงค์ศักดิ์</t>
  </si>
  <si>
    <t>ปาณิสรา</t>
  </si>
  <si>
    <t>ประเสริฐ</t>
  </si>
  <si>
    <t>นพพร</t>
  </si>
  <si>
    <t>ธันย์ชนก</t>
  </si>
  <si>
    <t>รุ่งนภา</t>
  </si>
  <si>
    <t>ศุภลักษณ์</t>
  </si>
  <si>
    <t>ศิขรินทร์</t>
  </si>
  <si>
    <t>ดวงใจ</t>
  </si>
  <si>
    <t>นุ้ยแก้ว</t>
  </si>
  <si>
    <t>เกรียงศักดิ์</t>
  </si>
  <si>
    <t>นพสิทธิ์</t>
  </si>
  <si>
    <t>เพชรฤทธิ์</t>
  </si>
  <si>
    <t>พรหมเพชร</t>
  </si>
  <si>
    <t>อุษา</t>
  </si>
  <si>
    <t>พรพิมล</t>
  </si>
  <si>
    <t>ทัศนีย์</t>
  </si>
  <si>
    <t>กฤษดา</t>
  </si>
  <si>
    <t>ดรุณี</t>
  </si>
  <si>
    <t>พัชราภรณ์</t>
  </si>
  <si>
    <t>อลิษา</t>
  </si>
  <si>
    <t>สุรนาท</t>
  </si>
  <si>
    <t>สิทธิกุล</t>
  </si>
  <si>
    <t>นัยนา</t>
  </si>
  <si>
    <t>จันทร์ส่องภพ</t>
  </si>
  <si>
    <t>วีระศักดิ์</t>
  </si>
  <si>
    <t>บุญตา</t>
  </si>
  <si>
    <t>อรอุมา</t>
  </si>
  <si>
    <t>คงชู</t>
  </si>
  <si>
    <t>ภัคจิรา</t>
  </si>
  <si>
    <t>ศุภฤกษ์</t>
  </si>
  <si>
    <t>มานิตย์</t>
  </si>
  <si>
    <t>รมิตา</t>
  </si>
  <si>
    <t>ไชยตระกูลวัฒน์</t>
  </si>
  <si>
    <t>ปิย์วรา</t>
  </si>
  <si>
    <t>ประทุมสุวรรณ์</t>
  </si>
  <si>
    <t>ประภัสรา</t>
  </si>
  <si>
    <t>ฮาวปินใจ</t>
  </si>
  <si>
    <t>สมัชชา</t>
  </si>
  <si>
    <t>สามะคะผล</t>
  </si>
  <si>
    <t>ศรีประเสริฐ</t>
  </si>
  <si>
    <t>หมัดเหล๊าะ</t>
  </si>
  <si>
    <t>สายเป้า</t>
  </si>
  <si>
    <t>ทาระจีน</t>
  </si>
  <si>
    <t>กมลวรรณ</t>
  </si>
  <si>
    <t>ดอกไม้</t>
  </si>
  <si>
    <t>นวเรศ</t>
  </si>
  <si>
    <t>กิ่งงาม</t>
  </si>
  <si>
    <t>เจนบดินทร์</t>
  </si>
  <si>
    <t>อยู่เป็นสุข</t>
  </si>
  <si>
    <t>พิยดา</t>
  </si>
  <si>
    <t>ประทุมวรรณ์</t>
  </si>
  <si>
    <t>เกตุศิณีย์</t>
  </si>
  <si>
    <t>สลุงอยู่</t>
  </si>
  <si>
    <t>กุลธิดา</t>
  </si>
  <si>
    <t>สืบไว้</t>
  </si>
  <si>
    <t>ศรีเมือง</t>
  </si>
  <si>
    <t>ใจยา</t>
  </si>
  <si>
    <t>เจริญบุญ</t>
  </si>
  <si>
    <t>โสภณ</t>
  </si>
  <si>
    <t>ศรีคะเรศ</t>
  </si>
  <si>
    <t>วรินทร์ลดา</t>
  </si>
  <si>
    <t>คุ่มเคี่ยม</t>
  </si>
  <si>
    <t>ภูริชญา</t>
  </si>
  <si>
    <t>ภู่พุกก์</t>
  </si>
  <si>
    <t>มะยมหิน</t>
  </si>
  <si>
    <t>จุฑามาศ</t>
  </si>
  <si>
    <t>พึ่งหวาน</t>
  </si>
  <si>
    <t>วรรณวราณิช</t>
  </si>
  <si>
    <t>จุ่นหัวโทน</t>
  </si>
  <si>
    <t>วสุ</t>
  </si>
  <si>
    <t>วงศ์ประทุม</t>
  </si>
  <si>
    <t>ชลนพรรณศร</t>
  </si>
  <si>
    <t>คำมั่น</t>
  </si>
  <si>
    <t>สุรางค์รัตน์</t>
  </si>
  <si>
    <t>รชดากร</t>
  </si>
  <si>
    <t>ยะยอง</t>
  </si>
  <si>
    <t>อชิรญาณันท์</t>
  </si>
  <si>
    <t>โปธา</t>
  </si>
  <si>
    <t>ธนสร</t>
  </si>
  <si>
    <t>จันทเขต</t>
  </si>
  <si>
    <t>รุ่งนภาภรณ์</t>
  </si>
  <si>
    <t>ชาญนุวงศ์</t>
  </si>
  <si>
    <t>มณฑิรา</t>
  </si>
  <si>
    <t>บ้านสระ</t>
  </si>
  <si>
    <t>คำฟู</t>
  </si>
  <si>
    <t>วิภา</t>
  </si>
  <si>
    <t>สาริวาท</t>
  </si>
  <si>
    <t>พัทธวรรณ</t>
  </si>
  <si>
    <t>อ่อนคำ</t>
  </si>
  <si>
    <t>ธนานันต์</t>
  </si>
  <si>
    <t>ญาณภักดี</t>
  </si>
  <si>
    <t>นวัตกร</t>
  </si>
  <si>
    <t>จิตมณี</t>
  </si>
  <si>
    <t>วิชัย</t>
  </si>
  <si>
    <t>ยะน้ำอ่าง</t>
  </si>
  <si>
    <t>กันภิรมย์</t>
  </si>
  <si>
    <t>แก้วใหม่</t>
  </si>
  <si>
    <t>พุทธรักษา</t>
  </si>
  <si>
    <t>โชติรส</t>
  </si>
  <si>
    <t>โนประโคน</t>
  </si>
  <si>
    <t>ชนิกานต์</t>
  </si>
  <si>
    <t>แก้วประดิษฐ์</t>
  </si>
  <si>
    <t>ณพิชญ์</t>
  </si>
  <si>
    <t>มารูยาม่า</t>
  </si>
  <si>
    <t>อรกานต์</t>
  </si>
  <si>
    <t>แก้วจันทรา</t>
  </si>
  <si>
    <t>ปวีณนุช</t>
  </si>
  <si>
    <t>กาญจนวงศ์</t>
  </si>
  <si>
    <t>อลงกรณ์</t>
  </si>
  <si>
    <t>กอนจินดา</t>
  </si>
  <si>
    <t>มาวิน</t>
  </si>
  <si>
    <t>พงศ์อินทร์</t>
  </si>
  <si>
    <t>บุญเต็ม</t>
  </si>
  <si>
    <t>แก้วขาว</t>
  </si>
  <si>
    <t>รุจิภา</t>
  </si>
  <si>
    <t>ชื่นเจริญ</t>
  </si>
  <si>
    <t>โพธิ์ทอง</t>
  </si>
  <si>
    <t>กัญญาณัฐ</t>
  </si>
  <si>
    <t>นันไชยวงศ์</t>
  </si>
  <si>
    <t>ธัญญลักษณ์</t>
  </si>
  <si>
    <t>นิลสนธิ</t>
  </si>
  <si>
    <t>ญาณิศา</t>
  </si>
  <si>
    <t>อุตรา</t>
  </si>
  <si>
    <t>สายวิเศษ</t>
  </si>
  <si>
    <t>นรินทร</t>
  </si>
  <si>
    <t>เสียงล้ำเลิศ</t>
  </si>
  <si>
    <t>วงศ์สุวรรณ</t>
  </si>
  <si>
    <t>ปัณณทัต</t>
  </si>
  <si>
    <t>ตินันวากุล</t>
  </si>
  <si>
    <t>รัชพล</t>
  </si>
  <si>
    <t>โรจนะวงษ์</t>
  </si>
  <si>
    <t>อัมรินทร์</t>
  </si>
  <si>
    <t>หมดจด</t>
  </si>
  <si>
    <t>วรดร</t>
  </si>
  <si>
    <t>อินจุ้มสาย</t>
  </si>
  <si>
    <t>จิรภัทร</t>
  </si>
  <si>
    <t>นิลณรงค์</t>
  </si>
  <si>
    <t>ชานน</t>
  </si>
  <si>
    <t>พลชัย</t>
  </si>
  <si>
    <t>อนุวัฒน์</t>
  </si>
  <si>
    <t>เพชรโชติ</t>
  </si>
  <si>
    <t>ช่วยนุ้ย</t>
  </si>
  <si>
    <t>ต้นบุญ</t>
  </si>
  <si>
    <t>ทองดวง</t>
  </si>
  <si>
    <t>เฉลิมพล</t>
  </si>
  <si>
    <t>ไชยโยธา</t>
  </si>
  <si>
    <t>เกริกเกียรติ</t>
  </si>
  <si>
    <t>จันทร์งาม</t>
  </si>
  <si>
    <t>ติ่งแตง</t>
  </si>
  <si>
    <t>ปฤษฎี</t>
  </si>
  <si>
    <t>กลิ่นพยอม</t>
  </si>
  <si>
    <t>ปฏิณญา</t>
  </si>
  <si>
    <t>ขุนโต</t>
  </si>
  <si>
    <t>ฟีฟ่า</t>
  </si>
  <si>
    <t>นุ่งอาหลี</t>
  </si>
  <si>
    <t>ธนัญชนก</t>
  </si>
  <si>
    <t>อินศรี</t>
  </si>
  <si>
    <t>สุขสนอง</t>
  </si>
  <si>
    <t>ธนภณ</t>
  </si>
  <si>
    <t>ณ หนองคาย</t>
  </si>
  <si>
    <t>สรัญชนา</t>
  </si>
  <si>
    <t>ญาติวงค์</t>
  </si>
  <si>
    <t>นิศารัตน์</t>
  </si>
  <si>
    <t>ศรีขันทะ</t>
  </si>
  <si>
    <t>พวงพันธ์</t>
  </si>
  <si>
    <t>ลาบุตร</t>
  </si>
  <si>
    <t>ณิชนันทน์</t>
  </si>
  <si>
    <t>สีหาราช</t>
  </si>
  <si>
    <t>สุวรรณเวหา</t>
  </si>
  <si>
    <t>พีรชัย</t>
  </si>
  <si>
    <t>อบรมวัน</t>
  </si>
  <si>
    <t>รณการณ์</t>
  </si>
  <si>
    <t>ธิปาละกุล</t>
  </si>
  <si>
    <t>คำสี</t>
  </si>
  <si>
    <t>ก้อนใจ</t>
  </si>
  <si>
    <t>กิตติธัช</t>
  </si>
  <si>
    <t>พลายแก้ว</t>
  </si>
  <si>
    <t>ธนัชนันท์ธร</t>
  </si>
  <si>
    <t>อนุศักดิ์</t>
  </si>
  <si>
    <t>วิโชค</t>
  </si>
  <si>
    <t>วุ่นจินา</t>
  </si>
  <si>
    <t>ภูวดล</t>
  </si>
  <si>
    <t>สายสร</t>
  </si>
  <si>
    <t>วุธิภัทร</t>
  </si>
  <si>
    <t>ตวงสุวรรณ</t>
  </si>
  <si>
    <t>เกริกชัย</t>
  </si>
  <si>
    <t>รัตนสาม</t>
  </si>
  <si>
    <t>ชยุต</t>
  </si>
  <si>
    <t>ชื่นนิ่ม</t>
  </si>
  <si>
    <t>ณัฐภาส</t>
  </si>
  <si>
    <t>เพชรอภิวงศ์</t>
  </si>
  <si>
    <t>กาญจณนภา</t>
  </si>
  <si>
    <t>กรอบทอง</t>
  </si>
  <si>
    <t>นิธิพร</t>
  </si>
  <si>
    <t>ก่านพรมมา</t>
  </si>
  <si>
    <t>พิษณุ</t>
  </si>
  <si>
    <t>อินวัน</t>
  </si>
  <si>
    <t>ณัฐณรงค์</t>
  </si>
  <si>
    <t>ธีระสุนทรไท</t>
  </si>
  <si>
    <t>ธีรพัฒน์</t>
  </si>
  <si>
    <t>สวนทอง</t>
  </si>
  <si>
    <t>ภีมวัจน์</t>
  </si>
  <si>
    <t>มณีเนตร</t>
  </si>
  <si>
    <t>เหล็กเพชร</t>
  </si>
  <si>
    <t>สัมพันธมิตร</t>
  </si>
  <si>
    <t>จันทวะฤทธิ์</t>
  </si>
  <si>
    <t>ณฐภัทร</t>
  </si>
  <si>
    <t>ระวิชัย</t>
  </si>
  <si>
    <t>กรณิศ</t>
  </si>
  <si>
    <t>พิพิธพรพงศ์</t>
  </si>
  <si>
    <t>คีรีวรรณ์</t>
  </si>
  <si>
    <t>พรธิดา</t>
  </si>
  <si>
    <t>ลิ่มมังกูร</t>
  </si>
  <si>
    <t>พรหมจักร์</t>
  </si>
  <si>
    <t>เสาวลักษณ์</t>
  </si>
  <si>
    <t>ปัญญรัตน์</t>
  </si>
  <si>
    <t>สอดสูงเนิน</t>
  </si>
  <si>
    <t>นิสา</t>
  </si>
  <si>
    <t>ปัสสาวัส</t>
  </si>
  <si>
    <t>คะใจ</t>
  </si>
  <si>
    <t>โพธิ์สุข</t>
  </si>
  <si>
    <t>ปิยนันต์</t>
  </si>
  <si>
    <t>หลง</t>
  </si>
  <si>
    <t>วรสิทธิโชค</t>
  </si>
  <si>
    <t>ยวนศิริ</t>
  </si>
  <si>
    <t>จันทร์พิทักษ์</t>
  </si>
  <si>
    <t>พรรณผกา</t>
  </si>
  <si>
    <t>สมแก้ว</t>
  </si>
  <si>
    <t>อรกัญญา</t>
  </si>
  <si>
    <t>บุญสังข์</t>
  </si>
  <si>
    <t>ชัชชลี</t>
  </si>
  <si>
    <t>เอี่ยมชำนาญ</t>
  </si>
  <si>
    <t>ภูวิศ</t>
  </si>
  <si>
    <t>อินทวงศ์</t>
  </si>
  <si>
    <t>ชินาทัพพ์</t>
  </si>
  <si>
    <t>พรมสุวรรณ์</t>
  </si>
  <si>
    <t>ครรชิต</t>
  </si>
  <si>
    <t>กลิ่นทวี</t>
  </si>
  <si>
    <t>แสงพรมทิพย์</t>
  </si>
  <si>
    <t>ต่อตระกูล</t>
  </si>
  <si>
    <t>เกรียงกิตติไกร</t>
  </si>
  <si>
    <t>มุ่งเจริญ</t>
  </si>
  <si>
    <t>อริฌา</t>
  </si>
  <si>
    <t>เทริดธวัช</t>
  </si>
  <si>
    <t>อุปถัมภ์</t>
  </si>
  <si>
    <t>เมืองพิล</t>
  </si>
  <si>
    <t>ชญานิษฐ์</t>
  </si>
  <si>
    <t>ไชยราช</t>
  </si>
  <si>
    <t>อนุกูล</t>
  </si>
  <si>
    <t>มัสการ</t>
  </si>
  <si>
    <t>ปรินทร์ญาดา</t>
  </si>
  <si>
    <t>สุทำเลา</t>
  </si>
  <si>
    <t>ปิยะสวัสดิ์</t>
  </si>
  <si>
    <t>ใยศิริ</t>
  </si>
  <si>
    <t>คูเมือง</t>
  </si>
  <si>
    <t>ไชยวุฒิ</t>
  </si>
  <si>
    <t>โกวิทเสถียรชัย</t>
  </si>
  <si>
    <t>อังศณา</t>
  </si>
  <si>
    <t>จันทร์กาพย์</t>
  </si>
  <si>
    <t>วณิชยา</t>
  </si>
  <si>
    <t>พาด้วง</t>
  </si>
  <si>
    <t>สกุลวิจิตรวงษ์</t>
  </si>
  <si>
    <t>วิพร</t>
  </si>
  <si>
    <t>ทองวัฒนานนท์</t>
  </si>
  <si>
    <t>จันทรภักดี</t>
  </si>
  <si>
    <t>สิริยากร</t>
  </si>
  <si>
    <t>อินทร์ประสิทธิ์</t>
  </si>
  <si>
    <t>จอมแปง</t>
  </si>
  <si>
    <t>ศรีวิไล</t>
  </si>
  <si>
    <t>ธมนวรรณ</t>
  </si>
  <si>
    <t>ศักดิ์วิริยะพงศ์</t>
  </si>
  <si>
    <t>แป้นแก้ว</t>
  </si>
  <si>
    <t>บุญญประภา</t>
  </si>
  <si>
    <t>ศิรพงศ์</t>
  </si>
  <si>
    <t>โชคธนหิรัณย์</t>
  </si>
  <si>
    <t>ยุพดี</t>
  </si>
  <si>
    <t>สิทธิเดช</t>
  </si>
  <si>
    <t>ชนิดา</t>
  </si>
  <si>
    <t>บุญชะโด</t>
  </si>
  <si>
    <t>กาญทิพย์</t>
  </si>
  <si>
    <t>ครองยุทธ</t>
  </si>
  <si>
    <t>นนรภัส</t>
  </si>
  <si>
    <t>แว่นนาค</t>
  </si>
  <si>
    <t>ลลิตวดี</t>
  </si>
  <si>
    <t>แพรพลอย</t>
  </si>
  <si>
    <t>ฉัตรพิริยกุล</t>
  </si>
  <si>
    <t>ภาระจ่า</t>
  </si>
  <si>
    <t>มโนตา</t>
  </si>
  <si>
    <t>ชยธร</t>
  </si>
  <si>
    <t>ศรนารา</t>
  </si>
  <si>
    <t>สีสัน</t>
  </si>
  <si>
    <t>สรัญญ์ภัค</t>
  </si>
  <si>
    <t>เศวตเจริญหิรัญ</t>
  </si>
  <si>
    <t>มะลิทอง</t>
  </si>
  <si>
    <t>ธรรมสอน</t>
  </si>
  <si>
    <t>กิรณา</t>
  </si>
  <si>
    <t>ปัญญาพูนตระกูล</t>
  </si>
  <si>
    <t>อารญา</t>
  </si>
  <si>
    <t>จำปาเรือง</t>
  </si>
  <si>
    <t>ตรีสินธุ์</t>
  </si>
  <si>
    <t>ปิยราช</t>
  </si>
  <si>
    <t>รักพานิช</t>
  </si>
  <si>
    <t>ต่อพงศ์</t>
  </si>
  <si>
    <t>ดวงคำ</t>
  </si>
  <si>
    <t>วีระเดช</t>
  </si>
  <si>
    <t>สุรารักษ์</t>
  </si>
  <si>
    <t>อุรุวรรณ</t>
  </si>
  <si>
    <t>สายสุข</t>
  </si>
  <si>
    <t>ปวริศา</t>
  </si>
  <si>
    <t>พิมพ์ดี</t>
  </si>
  <si>
    <t>จันทร์บุรินทร์</t>
  </si>
  <si>
    <t>รัตนบุตร</t>
  </si>
  <si>
    <t>ศรีลาโล้</t>
  </si>
  <si>
    <t>ชัยกมล</t>
  </si>
  <si>
    <t>ดอกลำเจียก</t>
  </si>
  <si>
    <t>แสงเกื้อหนุน</t>
  </si>
  <si>
    <t>คิมหันต์</t>
  </si>
  <si>
    <t>ถุนพุทธดม</t>
  </si>
  <si>
    <t>เชิดชูเกียรติ</t>
  </si>
  <si>
    <t>แดงแตง</t>
  </si>
  <si>
    <t>พิชชาภา</t>
  </si>
  <si>
    <t>ทวีคณะโชติ</t>
  </si>
  <si>
    <t>กรกนก</t>
  </si>
  <si>
    <t>ยะไวทย์</t>
  </si>
  <si>
    <t>ผลพยุง</t>
  </si>
  <si>
    <t>ศรียาคะบุตร</t>
  </si>
  <si>
    <t>อัณณพ</t>
  </si>
  <si>
    <t>ศรีเปารยะ</t>
  </si>
  <si>
    <t>ศุธชา</t>
  </si>
  <si>
    <t>คุ้มปรี</t>
  </si>
  <si>
    <t>พลาธิป</t>
  </si>
  <si>
    <t>กานันท์</t>
  </si>
  <si>
    <t>จุ้ยเตย</t>
  </si>
  <si>
    <t>บุนรดา</t>
  </si>
  <si>
    <t>พิชัยรัตน์</t>
  </si>
  <si>
    <t>กาญจนาพร</t>
  </si>
  <si>
    <t>ไชยธาดา</t>
  </si>
  <si>
    <t>พรรณพฤกษา</t>
  </si>
  <si>
    <t>บุญฟู</t>
  </si>
  <si>
    <t>จักรพงษ์</t>
  </si>
  <si>
    <t>ศรีวงษ์กฎ</t>
  </si>
  <si>
    <t>สุพรรณี</t>
  </si>
  <si>
    <t>อยู่ทอง</t>
  </si>
  <si>
    <t>อรัชพร</t>
  </si>
  <si>
    <t>พัชนี</t>
  </si>
  <si>
    <t>ธนโชติ</t>
  </si>
  <si>
    <t>ปราสาร</t>
  </si>
  <si>
    <t>ณัฐนนท์</t>
  </si>
  <si>
    <t>สดสุข</t>
  </si>
  <si>
    <t>เอี๊ยววิจิตรจารุ</t>
  </si>
  <si>
    <t>สุบรรณ</t>
  </si>
  <si>
    <t>มาลาบาล</t>
  </si>
  <si>
    <t>สุมังสะ</t>
  </si>
  <si>
    <t>จารักษ์</t>
  </si>
  <si>
    <t>ฮวดใจรักษ์</t>
  </si>
  <si>
    <t>พงศ์พิพันธ์</t>
  </si>
  <si>
    <t>บุญทอง</t>
  </si>
  <si>
    <t>ซฮาราห์</t>
  </si>
  <si>
    <t>จิตต์ปราณี</t>
  </si>
  <si>
    <t>เพ็งมณี</t>
  </si>
  <si>
    <t>สุฐิชา</t>
  </si>
  <si>
    <t>บุญสิทธิ์</t>
  </si>
  <si>
    <t>กวีวัฒณ์</t>
  </si>
  <si>
    <t>สอนถม</t>
  </si>
  <si>
    <t>วัฒนะสวัสดิ์</t>
  </si>
  <si>
    <t>ศราวุฒิ</t>
  </si>
  <si>
    <t>แซ่จั่น</t>
  </si>
  <si>
    <t>ปรียาวดี</t>
  </si>
  <si>
    <t>ทองขาว</t>
  </si>
  <si>
    <t>ศรีขำ</t>
  </si>
  <si>
    <t>โจมฤทธิ์</t>
  </si>
  <si>
    <t>กุลวดี</t>
  </si>
  <si>
    <t>ศิริศักดากุล</t>
  </si>
  <si>
    <t>ใจโทน</t>
  </si>
  <si>
    <t>มณีนุช</t>
  </si>
  <si>
    <t>เหมืองทอง</t>
  </si>
  <si>
    <t>วุฒินันท์</t>
  </si>
  <si>
    <t>ชัยแสง</t>
  </si>
  <si>
    <t>กฤตมุข</t>
  </si>
  <si>
    <t>นวลจริง</t>
  </si>
  <si>
    <t>เจริญอินพรหม</t>
  </si>
  <si>
    <t>วันวิสาข์</t>
  </si>
  <si>
    <t>เกตุสมบัติ</t>
  </si>
  <si>
    <t>วสันต์</t>
  </si>
  <si>
    <t>ฤทธิพลาดิสัย</t>
  </si>
  <si>
    <t>จีระนุช</t>
  </si>
  <si>
    <t>เทียมบุญส่ง</t>
  </si>
  <si>
    <t>แก้วมน</t>
  </si>
  <si>
    <t>วิสุทธิดารัตน์</t>
  </si>
  <si>
    <t>สิงห์แก้ว</t>
  </si>
  <si>
    <t>วันทา</t>
  </si>
  <si>
    <t>ศิริศักดิ์</t>
  </si>
  <si>
    <t>กฤษณะเศรณี</t>
  </si>
  <si>
    <t>ธนัชกฤศ</t>
  </si>
  <si>
    <t>กวินเตชวาณิช</t>
  </si>
  <si>
    <t>จรัญเต๋</t>
  </si>
  <si>
    <t>จุนยา</t>
  </si>
  <si>
    <t>โชคสงวน</t>
  </si>
  <si>
    <t>ฤทธิเดช</t>
  </si>
  <si>
    <t>สบายจิตต์</t>
  </si>
  <si>
    <t>เนติพงษ์</t>
  </si>
  <si>
    <t>ปริชญา</t>
  </si>
  <si>
    <t>รัตนก้านตง</t>
  </si>
  <si>
    <t>เพียงขวัญ</t>
  </si>
  <si>
    <t>เรือนฟ้างาม</t>
  </si>
  <si>
    <t>นาตยา</t>
  </si>
  <si>
    <t>ปรีกมล</t>
  </si>
  <si>
    <t>ธุระกิจ</t>
  </si>
  <si>
    <t>สถิตย์ภรณ์</t>
  </si>
  <si>
    <t>เปรมสิริรัตนากร</t>
  </si>
  <si>
    <t>สุจิตรา</t>
  </si>
  <si>
    <t>อิศรา</t>
  </si>
  <si>
    <t>บุตรกัณหา</t>
  </si>
  <si>
    <t>ณัฏฐาพร</t>
  </si>
  <si>
    <t>ดำรอด</t>
  </si>
  <si>
    <t>ปัญจพล</t>
  </si>
  <si>
    <t>สมิทธิเวชรงค์</t>
  </si>
  <si>
    <t>กิตติวรรธนะ</t>
  </si>
  <si>
    <t>แคทรีน</t>
  </si>
  <si>
    <t>ภายไธสง</t>
  </si>
  <si>
    <t>จิเรศร์</t>
  </si>
  <si>
    <t>ศรีโปธา</t>
  </si>
  <si>
    <t>ศรีวรรณ</t>
  </si>
  <si>
    <t>ปานปิน</t>
  </si>
  <si>
    <t>วรรณศรี</t>
  </si>
  <si>
    <t>สุปัญญา</t>
  </si>
  <si>
    <t>จงไกรจักร</t>
  </si>
  <si>
    <t>อัษฎาวุฒิ</t>
  </si>
  <si>
    <t>ละศรีจันทร์</t>
  </si>
  <si>
    <t>ณภิญญาวรรณ</t>
  </si>
  <si>
    <t>มาตราช</t>
  </si>
  <si>
    <t>ธีรพล</t>
  </si>
  <si>
    <t>ไกรวิชา</t>
  </si>
  <si>
    <t>ฟ้าสาง</t>
  </si>
  <si>
    <t>อารียา</t>
  </si>
  <si>
    <t>ศักดิ์ณรงค์</t>
  </si>
  <si>
    <t>อริสรา</t>
  </si>
  <si>
    <t>ไชยมา</t>
  </si>
  <si>
    <t>ประภาภรณ์</t>
  </si>
  <si>
    <t>เอมดี</t>
  </si>
  <si>
    <t>ปันจี้</t>
  </si>
  <si>
    <t>วิรวงศ์</t>
  </si>
  <si>
    <t>ศรีพิชิต</t>
  </si>
  <si>
    <t>พูลสวัสดิ์</t>
  </si>
  <si>
    <t>ชัชชัย</t>
  </si>
  <si>
    <t>แสงจง</t>
  </si>
  <si>
    <t>ไมตรี</t>
  </si>
  <si>
    <t>พุดแดง</t>
  </si>
  <si>
    <t>กฤษชญาดา</t>
  </si>
  <si>
    <t>แจ้งสนาม</t>
  </si>
  <si>
    <t>พลสูงเนิน</t>
  </si>
  <si>
    <t>รินภา</t>
  </si>
  <si>
    <t>เลิศดี</t>
  </si>
  <si>
    <t>นาเมืองรักษ์</t>
  </si>
  <si>
    <t>มังชินา</t>
  </si>
  <si>
    <t>ธัญลักษณ์</t>
  </si>
  <si>
    <t>ชิ้นงูเหลือม</t>
  </si>
  <si>
    <t>ชิติพัทธ์</t>
  </si>
  <si>
    <t>ก๋าถ้วย</t>
  </si>
  <si>
    <t>ปุยแก้ว</t>
  </si>
  <si>
    <t>สรัญญา</t>
  </si>
  <si>
    <t>ภูมิจันทึก</t>
  </si>
  <si>
    <t>สุธิดา</t>
  </si>
  <si>
    <t>ทองรอด</t>
  </si>
  <si>
    <t>อินธรรมระ</t>
  </si>
  <si>
    <t>ขำขาว</t>
  </si>
  <si>
    <t>ประสิทธิ์สม</t>
  </si>
  <si>
    <t>วัชระคุปต์</t>
  </si>
  <si>
    <t>ชูเกิด</t>
  </si>
  <si>
    <t>ณัฐฐวัฒน์</t>
  </si>
  <si>
    <t>ปทิตญา</t>
  </si>
  <si>
    <t>เลิกบางพลัด</t>
  </si>
  <si>
    <t>สุพร</t>
  </si>
  <si>
    <t>มาลารักษ์</t>
  </si>
  <si>
    <t>พลรบ</t>
  </si>
  <si>
    <t>ธารภญ</t>
  </si>
  <si>
    <t>เอี่ยมกั๊ก</t>
  </si>
  <si>
    <t>สุวรรณพงษ์</t>
  </si>
  <si>
    <t>ศิริกุล</t>
  </si>
  <si>
    <t>กุลณัฐ</t>
  </si>
  <si>
    <t>ดำพลับ</t>
  </si>
  <si>
    <t>รอดเสน</t>
  </si>
  <si>
    <t>สิริรัตน์</t>
  </si>
  <si>
    <t>พรหมมี</t>
  </si>
  <si>
    <t>โพธิ์มีศรี</t>
  </si>
  <si>
    <t>นันทิกา</t>
  </si>
  <si>
    <t>เหมเปา</t>
  </si>
  <si>
    <t>ณัฐกรณ์</t>
  </si>
  <si>
    <t>เส็งขาว</t>
  </si>
  <si>
    <t>ฏฏิณิชกุล</t>
  </si>
  <si>
    <t>นัฎกฤตา</t>
  </si>
  <si>
    <t>ยมาภรณ์</t>
  </si>
  <si>
    <t>โกศายานนท์</t>
  </si>
  <si>
    <t>จำนงนอก</t>
  </si>
  <si>
    <t>จันทร์หนู</t>
  </si>
  <si>
    <t>ประภัสสร</t>
  </si>
  <si>
    <t>นาคแย้ม</t>
  </si>
  <si>
    <t>พรชัยธเนศกุล</t>
  </si>
  <si>
    <t>อินทร์สวัสดิ์</t>
  </si>
  <si>
    <t>มีแก้วน้อย</t>
  </si>
  <si>
    <t>สิงหนาท</t>
  </si>
  <si>
    <t>ธรรมเสนา</t>
  </si>
  <si>
    <t>ธีระชัย</t>
  </si>
  <si>
    <t>มุสิกะทัน</t>
  </si>
  <si>
    <t>พีรพัฒน์</t>
  </si>
  <si>
    <t>แก้วทวี</t>
  </si>
  <si>
    <t>โคคำ</t>
  </si>
  <si>
    <t>กิติสภานันท์</t>
  </si>
  <si>
    <t>กะพัง</t>
  </si>
  <si>
    <t>ณวีรินทร์</t>
  </si>
  <si>
    <t>พัฒนะวรานันท์</t>
  </si>
  <si>
    <t>กริชชนะ</t>
  </si>
  <si>
    <t>ลาภไธสง</t>
  </si>
  <si>
    <t>กระดังงา</t>
  </si>
  <si>
    <t>ชลธิต</t>
  </si>
  <si>
    <t>นิ่มโอด</t>
  </si>
  <si>
    <t>ชญาณนันท์</t>
  </si>
  <si>
    <t>ธนเทพ</t>
  </si>
  <si>
    <t>ลบพื้น</t>
  </si>
  <si>
    <t>สุธรรมเกษม</t>
  </si>
  <si>
    <t>สุขสันต์</t>
  </si>
  <si>
    <t>บุตรมนต์</t>
  </si>
  <si>
    <t>ณัฐพงค์</t>
  </si>
  <si>
    <t>พรรณขาม</t>
  </si>
  <si>
    <t>พิชิต</t>
  </si>
  <si>
    <t>ตรีโอษฐ์</t>
  </si>
  <si>
    <t>ดำสมุทร</t>
  </si>
  <si>
    <t>อุทัย</t>
  </si>
  <si>
    <t>จันทร์เจือแก้ว</t>
  </si>
  <si>
    <t>พากเพียร</t>
  </si>
  <si>
    <t>กิตติยากร</t>
  </si>
  <si>
    <t>บุญมานัน</t>
  </si>
  <si>
    <t>ภาณุพงษ์</t>
  </si>
  <si>
    <t>โสภา</t>
  </si>
  <si>
    <t>พิสิฐ</t>
  </si>
  <si>
    <t>จันทร์กรี</t>
  </si>
  <si>
    <t>ศักดิ์ศิวา</t>
  </si>
  <si>
    <t>เนียมชมภู</t>
  </si>
  <si>
    <t>รัฐพงศ์</t>
  </si>
  <si>
    <t>ภูมิกระจ่าง</t>
  </si>
  <si>
    <t>วรวิทย์</t>
  </si>
  <si>
    <t>พิทาทอง</t>
  </si>
  <si>
    <t>ทองสุดยอด</t>
  </si>
  <si>
    <t>กัณฑ์อเนก</t>
  </si>
  <si>
    <t>บุญสิม</t>
  </si>
  <si>
    <t>แก้วกาหลง</t>
  </si>
  <si>
    <t>ธนาวุฒิ</t>
  </si>
  <si>
    <t>นรสาร</t>
  </si>
  <si>
    <t>ทรงสิทธิ์</t>
  </si>
  <si>
    <t>คุณสวัสดิ์</t>
  </si>
  <si>
    <t>เขมชาติ</t>
  </si>
  <si>
    <t>ถนอมชาติ</t>
  </si>
  <si>
    <t>พิชญ์ดนัย</t>
  </si>
  <si>
    <t>ว่องไวเมธี</t>
  </si>
  <si>
    <t>ต๊ะคำมี</t>
  </si>
  <si>
    <t>เบญจา</t>
  </si>
  <si>
    <t>เทียนนุ่ม</t>
  </si>
  <si>
    <t>มณี</t>
  </si>
  <si>
    <t>วันชัย</t>
  </si>
  <si>
    <t>กองอิ้ม</t>
  </si>
  <si>
    <t>จักกิตตินันท์</t>
  </si>
  <si>
    <t>ภควาโศภิษฐ์</t>
  </si>
  <si>
    <t>ศศิกานต์</t>
  </si>
  <si>
    <t>สลิดแก้ว</t>
  </si>
  <si>
    <t>ปุณยานุช</t>
  </si>
  <si>
    <t>อดุลย์รัมย์</t>
  </si>
  <si>
    <t>หทัยรัตน์</t>
  </si>
  <si>
    <t>ลิขิตวรรณวงศ์</t>
  </si>
  <si>
    <t>นรดา</t>
  </si>
  <si>
    <t>บุญนันท์</t>
  </si>
  <si>
    <t>ชาวนาฟาง</t>
  </si>
  <si>
    <t>คลังคำภา</t>
  </si>
  <si>
    <t>พลอยไพริน</t>
  </si>
  <si>
    <t>สีสด</t>
  </si>
  <si>
    <t>รัตนาวิบูลย์</t>
  </si>
  <si>
    <t>เกศรินทร์</t>
  </si>
  <si>
    <t>ศรีเสน่ห์พร</t>
  </si>
  <si>
    <t>สันเมืองมูล</t>
  </si>
  <si>
    <t>ชัชวาลย์</t>
  </si>
  <si>
    <t>หิรัญญสุทธิ์</t>
  </si>
  <si>
    <t>อาสาฬดา</t>
  </si>
  <si>
    <t>จันทร์แก้วแร่</t>
  </si>
  <si>
    <t>รัติยากร</t>
  </si>
  <si>
    <t>กลับไทย</t>
  </si>
  <si>
    <t>เดมิกา</t>
  </si>
  <si>
    <t>สิงขรอาจ</t>
  </si>
  <si>
    <t>ไชยวงศ์</t>
  </si>
  <si>
    <t>หงษ์โต</t>
  </si>
  <si>
    <t>วงษ์วาน</t>
  </si>
  <si>
    <t>เขษม</t>
  </si>
  <si>
    <t>ตะไลย์</t>
  </si>
  <si>
    <t>จีนเต็ม</t>
  </si>
  <si>
    <t>ปราณี</t>
  </si>
  <si>
    <t>ขวัญเมือง</t>
  </si>
  <si>
    <t>กระฐินทอง</t>
  </si>
  <si>
    <t>ธัญพิสิษฐ์</t>
  </si>
  <si>
    <t>มีอิ่ม</t>
  </si>
  <si>
    <t>สงคราม</t>
  </si>
  <si>
    <t>สืบสกุล</t>
  </si>
  <si>
    <t>สรยุทธ</t>
  </si>
  <si>
    <t>สุดสวาท</t>
  </si>
  <si>
    <t>ชมันตา</t>
  </si>
  <si>
    <t>คุณคณากาน</t>
  </si>
  <si>
    <t>เดชรัก</t>
  </si>
  <si>
    <t>ตรีวิทย์</t>
  </si>
  <si>
    <t>ทีรวม</t>
  </si>
  <si>
    <t>สวาย</t>
  </si>
  <si>
    <t>วรลักษณ์</t>
  </si>
  <si>
    <t>สุขีโมกข์</t>
  </si>
  <si>
    <t>นุชจรี</t>
  </si>
  <si>
    <t>ทองหล่อ</t>
  </si>
  <si>
    <t>จตุวิทย์</t>
  </si>
  <si>
    <t>คุปตะสิน</t>
  </si>
  <si>
    <t>เนตรนภา</t>
  </si>
  <si>
    <t>วิชา</t>
  </si>
  <si>
    <t>ณัฏฐณิชา</t>
  </si>
  <si>
    <t>เทพกูล</t>
  </si>
  <si>
    <t>แก้วโส</t>
  </si>
  <si>
    <t>ธนภูมิ</t>
  </si>
  <si>
    <t>เอกจิตร์</t>
  </si>
  <si>
    <t>ภาณุเดช</t>
  </si>
  <si>
    <t>เลี้ยงชีพ</t>
  </si>
  <si>
    <t>โอฬาร</t>
  </si>
  <si>
    <t>เขียวหวาน</t>
  </si>
  <si>
    <t>ภูมินทร์</t>
  </si>
  <si>
    <t>ขุนศรี</t>
  </si>
  <si>
    <t>กรวิการ์</t>
  </si>
  <si>
    <t>สำรีปั้น</t>
  </si>
  <si>
    <t>พัทธพล</t>
  </si>
  <si>
    <t>ศรีเชื้อ</t>
  </si>
  <si>
    <t>ปรียา</t>
  </si>
  <si>
    <t>กุลนาแปง</t>
  </si>
  <si>
    <t>มณธิรา</t>
  </si>
  <si>
    <t>ยั่งยืนนาน</t>
  </si>
  <si>
    <t>ธฤตศวร</t>
  </si>
  <si>
    <t>คันศร</t>
  </si>
  <si>
    <t>มูลศรี</t>
  </si>
  <si>
    <t>อภิตรา</t>
  </si>
  <si>
    <t>ยะมา</t>
  </si>
  <si>
    <t>ชนะชัย</t>
  </si>
  <si>
    <t>เสนนะ</t>
  </si>
  <si>
    <t>ปิ่นธนา</t>
  </si>
  <si>
    <t>คำแสงดี</t>
  </si>
  <si>
    <t>บุณยกร</t>
  </si>
  <si>
    <t>ยอดวงค์</t>
  </si>
  <si>
    <t>ยลศิริธรรม</t>
  </si>
  <si>
    <t>รัตนาภรณ์</t>
  </si>
  <si>
    <t>มาฉิม</t>
  </si>
  <si>
    <t>พยุหพล</t>
  </si>
  <si>
    <t>ฟุ้งสุข</t>
  </si>
  <si>
    <t>พลหลา</t>
  </si>
  <si>
    <t>จรัสพร</t>
  </si>
  <si>
    <t>บุญญะวัด</t>
  </si>
  <si>
    <t>โยธีเสวต</t>
  </si>
  <si>
    <t>ดุรงค์ฤทธิ์</t>
  </si>
  <si>
    <t>แสงสุวรรณ์</t>
  </si>
  <si>
    <t>ดิถีวัฒน์</t>
  </si>
  <si>
    <t>เวชวิทย์</t>
  </si>
  <si>
    <t>สุภะวีระ</t>
  </si>
  <si>
    <t>กาญจนี</t>
  </si>
  <si>
    <t>อำขำ</t>
  </si>
  <si>
    <t>สาริกา</t>
  </si>
  <si>
    <t>คณารศ</t>
  </si>
  <si>
    <t>อาทิติยาภรณ์</t>
  </si>
  <si>
    <t>นิติผณินทร</t>
  </si>
  <si>
    <t>ป่านฤทัย</t>
  </si>
  <si>
    <t>สุทธิรัตน์เสรีกุล</t>
  </si>
  <si>
    <t>สุวรรณสังโส</t>
  </si>
  <si>
    <t>ภาจิตรนิยม</t>
  </si>
  <si>
    <t>รดา</t>
  </si>
  <si>
    <t>พงษ์ปราโมทย์</t>
  </si>
  <si>
    <t>ภูมิพัฒน์</t>
  </si>
  <si>
    <t>นวราช</t>
  </si>
  <si>
    <t>ฝ่ายโพธิ์</t>
  </si>
  <si>
    <t>เพชรมัด</t>
  </si>
  <si>
    <t>สุดแสวง</t>
  </si>
  <si>
    <t>อดิเทพ</t>
  </si>
  <si>
    <t>สุทธิศักดิ์</t>
  </si>
  <si>
    <t>เพชรชวาลวัฒน์</t>
  </si>
  <si>
    <t>ภู่พันธุ์</t>
  </si>
  <si>
    <t>อิสระพงษ์</t>
  </si>
  <si>
    <t>สัชนะกูล</t>
  </si>
  <si>
    <t>สังข์ศิริ</t>
  </si>
  <si>
    <t>ประทุมวรรณ</t>
  </si>
  <si>
    <t>เศรษฐี</t>
  </si>
  <si>
    <t>ณัฐิดา</t>
  </si>
  <si>
    <t>กิตติดุษฎีกุล</t>
  </si>
  <si>
    <t>ณัฐนพิน</t>
  </si>
  <si>
    <t>ภู่ทอง</t>
  </si>
  <si>
    <t>ภิรม</t>
  </si>
  <si>
    <t>ปุริมนาถ</t>
  </si>
  <si>
    <t>ขุ่ยหนองบัว</t>
  </si>
  <si>
    <t>นาถฤดี</t>
  </si>
  <si>
    <t>ยมนา</t>
  </si>
  <si>
    <t>สว่างพลกรัง</t>
  </si>
  <si>
    <t>สุนทรี</t>
  </si>
  <si>
    <t>โสพรม</t>
  </si>
  <si>
    <t>อรอมล</t>
  </si>
  <si>
    <t>เหมือนโพธิ์</t>
  </si>
  <si>
    <t>วิเชษฐ</t>
  </si>
  <si>
    <t>ใจเฉพาะ</t>
  </si>
  <si>
    <t>สุดาพร</t>
  </si>
  <si>
    <t>คุ้มเหย้า</t>
  </si>
  <si>
    <t>ช้างอยู่</t>
  </si>
  <si>
    <t>ทองจัด</t>
  </si>
  <si>
    <t>จันทร์คง</t>
  </si>
  <si>
    <t>สุพรรณ</t>
  </si>
  <si>
    <t>โสดาจันทร์</t>
  </si>
  <si>
    <t>มากบุญ</t>
  </si>
  <si>
    <t>ผ่องศิริ</t>
  </si>
  <si>
    <t>มนตรี</t>
  </si>
  <si>
    <t>ตรีทิพย์</t>
  </si>
  <si>
    <t>พรหมชัย</t>
  </si>
  <si>
    <t>โพธิ์เงิน</t>
  </si>
  <si>
    <t>วรรณจิตร</t>
  </si>
  <si>
    <t>ปรีชา</t>
  </si>
  <si>
    <t>เชาว์ขุนทด</t>
  </si>
  <si>
    <t>ชมชื่น</t>
  </si>
  <si>
    <t>ไชยสงวนสุข</t>
  </si>
  <si>
    <t>กมุทชาติ</t>
  </si>
  <si>
    <t>คนดี</t>
  </si>
  <si>
    <t>บุญทวี</t>
  </si>
  <si>
    <t>เนียมหอม</t>
  </si>
  <si>
    <t>สุนีย์</t>
  </si>
  <si>
    <t>ขยันกิจ</t>
  </si>
  <si>
    <t>ทองเอม</t>
  </si>
  <si>
    <t>กฤษณา</t>
  </si>
  <si>
    <t>วงษาหาร</t>
  </si>
  <si>
    <t>ปิยะกานต์</t>
  </si>
  <si>
    <t>ลาเหลา</t>
  </si>
  <si>
    <t>ศิริสลุง</t>
  </si>
  <si>
    <t>สระโสภา</t>
  </si>
  <si>
    <t>ต่อคุ้ม</t>
  </si>
  <si>
    <t>ไชยพล</t>
  </si>
  <si>
    <t>มนัสสา</t>
  </si>
  <si>
    <t>เทศสนั่น</t>
  </si>
  <si>
    <t>พรวิภา</t>
  </si>
  <si>
    <t>แจ่มสิทธิกุล</t>
  </si>
  <si>
    <t>ติมสันเทียะ</t>
  </si>
  <si>
    <t>ศิวกร</t>
  </si>
  <si>
    <t>โยธายุทธ</t>
  </si>
  <si>
    <t>มาริสา</t>
  </si>
  <si>
    <t>รักธรรม</t>
  </si>
  <si>
    <t>สมบัติมาก</t>
  </si>
  <si>
    <t>รัตนธิดา</t>
  </si>
  <si>
    <t>แดงเกิด</t>
  </si>
  <si>
    <t>กรึกกลาง</t>
  </si>
  <si>
    <t>นิลกรณ์</t>
  </si>
  <si>
    <t>กรุง</t>
  </si>
  <si>
    <t>พงษ์พันธ์</t>
  </si>
  <si>
    <t>ผิวอ่อน</t>
  </si>
  <si>
    <t>ชัยพฤกษ์</t>
  </si>
  <si>
    <t>หอมเนียม</t>
  </si>
  <si>
    <t>นามผล</t>
  </si>
  <si>
    <t>ทัดทอง</t>
  </si>
  <si>
    <t>สีสัญ</t>
  </si>
  <si>
    <t>คงเกษม</t>
  </si>
  <si>
    <t>แก้วอ่อง</t>
  </si>
  <si>
    <t>จรัญ</t>
  </si>
  <si>
    <t>บุญครอบ</t>
  </si>
  <si>
    <t>มานะ</t>
  </si>
  <si>
    <t>พูลสาริกิจ</t>
  </si>
  <si>
    <t>สักการะ</t>
  </si>
  <si>
    <t>เดโช</t>
  </si>
  <si>
    <t>บุญชี</t>
  </si>
  <si>
    <t>พิมลรัตน์</t>
  </si>
  <si>
    <t>ศุภกิจ</t>
  </si>
  <si>
    <t>ขุนพินิจดี</t>
  </si>
  <si>
    <t>ธนู</t>
  </si>
  <si>
    <t>ย้อยฝอย</t>
  </si>
  <si>
    <t>อิศรินทร์</t>
  </si>
  <si>
    <t>เอนก</t>
  </si>
  <si>
    <t>ยกโต</t>
  </si>
  <si>
    <t>ศรีบุตร</t>
  </si>
  <si>
    <t>ล้อมนาค</t>
  </si>
  <si>
    <t>ชัญญาฎา</t>
  </si>
  <si>
    <t>ศุภนุ</t>
  </si>
  <si>
    <t>มะโนบาล</t>
  </si>
  <si>
    <t>บรรยา</t>
  </si>
  <si>
    <t>สียานเก็ม</t>
  </si>
  <si>
    <t>นุศรา</t>
  </si>
  <si>
    <t>วงศ์ใหญ่</t>
  </si>
  <si>
    <t>จิมจวน</t>
  </si>
  <si>
    <t>สุทธิพงศ์</t>
  </si>
  <si>
    <t>พันธ์พุทธ</t>
  </si>
  <si>
    <t>ชนะ</t>
  </si>
  <si>
    <t>ชื้อทัศนประสิทธิ์</t>
  </si>
  <si>
    <t>สรัญรัตน์</t>
  </si>
  <si>
    <t>คำภูผา</t>
  </si>
  <si>
    <t>กันต์ชนินธรญ์</t>
  </si>
  <si>
    <t>พัฒธรโกศล</t>
  </si>
  <si>
    <t>ธนรัตนานนท์</t>
  </si>
  <si>
    <t>กริช</t>
  </si>
  <si>
    <t>ลียากาศ</t>
  </si>
  <si>
    <t>พีระวิทย์</t>
  </si>
  <si>
    <t>วังใบสนธนโชติ</t>
  </si>
  <si>
    <t>ธนวรรธน์</t>
  </si>
  <si>
    <t>ละอองคำ</t>
  </si>
  <si>
    <t>ภาสวิชญ์ป์</t>
  </si>
  <si>
    <t>มิสิรัศนันท์</t>
  </si>
  <si>
    <t>กวีวรรณ</t>
  </si>
  <si>
    <t>ตระกูลธรรม</t>
  </si>
  <si>
    <t>ชลณี</t>
  </si>
  <si>
    <t>ใจคง</t>
  </si>
  <si>
    <t>ศักดามงคล</t>
  </si>
  <si>
    <t>ใจหาญ</t>
  </si>
  <si>
    <t>ศุภวรรษ</t>
  </si>
  <si>
    <t>อุนาวงศ์</t>
  </si>
  <si>
    <t>กันต์</t>
  </si>
  <si>
    <t>ชัยสิทธิ์</t>
  </si>
  <si>
    <t>เผยฉวี</t>
  </si>
  <si>
    <t>นฤพนธ์</t>
  </si>
  <si>
    <t>ผดุงกิจจานนท์</t>
  </si>
  <si>
    <t>สุรชาติ</t>
  </si>
  <si>
    <t>ชื่นบาน</t>
  </si>
  <si>
    <t>ทนงกรณ์</t>
  </si>
  <si>
    <t>แฮดเมย</t>
  </si>
  <si>
    <t>จุติพร</t>
  </si>
  <si>
    <t>วรรธน์พรยมล</t>
  </si>
  <si>
    <t>ศรันยู</t>
  </si>
  <si>
    <t>ภูโสภา</t>
  </si>
  <si>
    <t>นนทิยา</t>
  </si>
  <si>
    <t>สุขสำราญ</t>
  </si>
  <si>
    <t>กัลยากร</t>
  </si>
  <si>
    <t>กรรแสงศรี</t>
  </si>
  <si>
    <t>ภัทรศยา</t>
  </si>
  <si>
    <t>กิจวิจารณ์</t>
  </si>
  <si>
    <t>สโรชินี</t>
  </si>
  <si>
    <t>วิสาณ</t>
  </si>
  <si>
    <t>บุณยานุช</t>
  </si>
  <si>
    <t>คำจูม</t>
  </si>
  <si>
    <t>ชลิตวีร์</t>
  </si>
  <si>
    <t>รวี</t>
  </si>
  <si>
    <t>อุยเจริญ</t>
  </si>
  <si>
    <t>จีราภรณ์</t>
  </si>
  <si>
    <t>พรมมา</t>
  </si>
  <si>
    <t>ศุภานิช</t>
  </si>
  <si>
    <t>บุญธรรม</t>
  </si>
  <si>
    <t>ปทิตตา</t>
  </si>
  <si>
    <t>แก้วสืบ</t>
  </si>
  <si>
    <t>ชนิสรา</t>
  </si>
  <si>
    <t>ปักษาวัน</t>
  </si>
  <si>
    <t>จักรกฤช</t>
  </si>
  <si>
    <t>แสนอุ่น</t>
  </si>
  <si>
    <t>เศรษฐพิชญ์</t>
  </si>
  <si>
    <t>คำเกาะ</t>
  </si>
  <si>
    <t>อธิพงศ์</t>
  </si>
  <si>
    <t>วงษ์พัฒน์</t>
  </si>
  <si>
    <t>นันทรัตน์</t>
  </si>
  <si>
    <t>สุวรรณศิริ</t>
  </si>
  <si>
    <t>มหาเสน</t>
  </si>
  <si>
    <t>ภูริภัต</t>
  </si>
  <si>
    <t>สว่างอารมย์</t>
  </si>
  <si>
    <t>โคกแดง</t>
  </si>
  <si>
    <t>มานพ</t>
  </si>
  <si>
    <t>บุญอินทร์</t>
  </si>
  <si>
    <t>น้อยปา</t>
  </si>
  <si>
    <t>แดงดี</t>
  </si>
  <si>
    <t>สุรีย์</t>
  </si>
  <si>
    <t>มุกสิก</t>
  </si>
  <si>
    <t>ภาวิณี</t>
  </si>
  <si>
    <t>มาสซาโรติ</t>
  </si>
  <si>
    <t>ประดิษฐ์</t>
  </si>
  <si>
    <t>ทัศนา</t>
  </si>
  <si>
    <t>ภู่โพธิ์</t>
  </si>
  <si>
    <t>มานะชัย</t>
  </si>
  <si>
    <t>เหล็กจาน</t>
  </si>
  <si>
    <t>อัยยา</t>
  </si>
  <si>
    <t>บุบผา</t>
  </si>
  <si>
    <t>ปวรุตม์</t>
  </si>
  <si>
    <t>สว่างกุล</t>
  </si>
  <si>
    <t>พิทักษ์พงษ์</t>
  </si>
  <si>
    <t>รินเที่ยง</t>
  </si>
  <si>
    <t>ภู่มณี</t>
  </si>
  <si>
    <t>โพธิ์พาน</t>
  </si>
  <si>
    <t>กชกัญจ์</t>
  </si>
  <si>
    <t>วิริยาพันธ์</t>
  </si>
  <si>
    <t>ณัฐชาพิมญชุ์</t>
  </si>
  <si>
    <t>จอมชัยฤทธิ์</t>
  </si>
  <si>
    <t>สิทธิไพร</t>
  </si>
  <si>
    <t>นิติวุฒิ</t>
  </si>
  <si>
    <t>อิ่มสมบูรณ์</t>
  </si>
  <si>
    <t>เมืองแสน</t>
  </si>
  <si>
    <t>เกวลิน</t>
  </si>
  <si>
    <t>จันทร์มณี</t>
  </si>
  <si>
    <t>ภูวพล</t>
  </si>
  <si>
    <t>เยี่ยมสันเทียะ</t>
  </si>
  <si>
    <t>นรลักษณ์</t>
  </si>
  <si>
    <t>พันธุ์เสือ</t>
  </si>
  <si>
    <t>สกลไชย</t>
  </si>
  <si>
    <t>เพชรชำนาญ</t>
  </si>
  <si>
    <t>ดวงแก้ว</t>
  </si>
  <si>
    <t>งามแก้ว</t>
  </si>
  <si>
    <t>บุญยืน</t>
  </si>
  <si>
    <t>สุจิรา</t>
  </si>
  <si>
    <t>สุทธิสุข</t>
  </si>
  <si>
    <t>อาลากุล</t>
  </si>
  <si>
    <t>เสรี</t>
  </si>
  <si>
    <t>หมื่นอินทร์</t>
  </si>
  <si>
    <t>เปรมศักดิ์</t>
  </si>
  <si>
    <t>อัตถาภูมิ</t>
  </si>
  <si>
    <t>พัชรา</t>
  </si>
  <si>
    <t>สว่างดี</t>
  </si>
  <si>
    <t>มฐา</t>
  </si>
  <si>
    <t>คำเพชรดี</t>
  </si>
  <si>
    <t>โชควิริยะประเสริฐ</t>
  </si>
  <si>
    <t>ณนฌกร</t>
  </si>
  <si>
    <t>บ่างกองกูล</t>
  </si>
  <si>
    <t>สุชัย</t>
  </si>
  <si>
    <t>พูลจินดา</t>
  </si>
  <si>
    <t>กรชนก</t>
  </si>
  <si>
    <t>เอี่ยมอินทร์</t>
  </si>
  <si>
    <t>วรวรงค์</t>
  </si>
  <si>
    <t>บมขุนทด</t>
  </si>
  <si>
    <t>สรวิศ</t>
  </si>
  <si>
    <t>ศรีสิงห์</t>
  </si>
  <si>
    <t>กฤษฏ์</t>
  </si>
  <si>
    <t>ไชยงาม</t>
  </si>
  <si>
    <t>แก้วจันดา</t>
  </si>
  <si>
    <t>เภาพันธ์</t>
  </si>
  <si>
    <t>พิมพ์วลัญช์</t>
  </si>
  <si>
    <t>จันทร์กระจ่าง</t>
  </si>
  <si>
    <t>สีนนท์</t>
  </si>
  <si>
    <t>ศรียาโยชน์</t>
  </si>
  <si>
    <t>นัดหา</t>
  </si>
  <si>
    <t>กษิดิศ</t>
  </si>
  <si>
    <t>ฉันทวัธน์</t>
  </si>
  <si>
    <t>อธิปัตย์</t>
  </si>
  <si>
    <t>ทุมมา</t>
  </si>
  <si>
    <t>พรมวิเศษ</t>
  </si>
  <si>
    <t>ปรัชญ์ฐาภัทร</t>
  </si>
  <si>
    <t>ดารุณี</t>
  </si>
  <si>
    <t>อาภรณ์แก้ว</t>
  </si>
  <si>
    <t>ประดับบุตร</t>
  </si>
  <si>
    <t>เบ็ญจลักษณ์</t>
  </si>
  <si>
    <t>นิลใหม่</t>
  </si>
  <si>
    <t>สระคำจันทร์</t>
  </si>
  <si>
    <t>ประดุงสิน</t>
  </si>
  <si>
    <t>บ่อยกระโทก</t>
  </si>
  <si>
    <t>พิพัฒน์</t>
  </si>
  <si>
    <t>จึงสัจจานุสรณ์</t>
  </si>
  <si>
    <t>จักรพันธุ์</t>
  </si>
  <si>
    <t>หันจรัส</t>
  </si>
  <si>
    <t>วิรพล</t>
  </si>
  <si>
    <t>ตัวเสาร์</t>
  </si>
  <si>
    <t>กรณ์</t>
  </si>
  <si>
    <t>เกิดชื่น</t>
  </si>
  <si>
    <t>พสิษฐ์</t>
  </si>
  <si>
    <t>โชติสุวรรณกลาง</t>
  </si>
  <si>
    <t>คมชาญ</t>
  </si>
  <si>
    <t>ทาซ้าย</t>
  </si>
  <si>
    <t>ทิวัตถ์</t>
  </si>
  <si>
    <t>สิถิละวรรณ</t>
  </si>
  <si>
    <t>การรัตน์</t>
  </si>
  <si>
    <t>อินประเสริฐ</t>
  </si>
  <si>
    <t>สุวภัทร</t>
  </si>
  <si>
    <t>พวงมะเทศ</t>
  </si>
  <si>
    <t>สุทิน</t>
  </si>
  <si>
    <t>แคมงคลสุข</t>
  </si>
  <si>
    <t>ตรีเหรา</t>
  </si>
  <si>
    <t>พลอยนภา</t>
  </si>
  <si>
    <t>มีอยู่</t>
  </si>
  <si>
    <t>ศิริพล</t>
  </si>
  <si>
    <t>เครือศรี</t>
  </si>
  <si>
    <t>ธีรพร</t>
  </si>
  <si>
    <t>อึงพุดซา</t>
  </si>
  <si>
    <t>รักชาติประชาชน</t>
  </si>
  <si>
    <t>นับทอง</t>
  </si>
  <si>
    <t>ครองยุติ</t>
  </si>
  <si>
    <t>บุบผาวัลย์</t>
  </si>
  <si>
    <t>วิภาพร</t>
  </si>
  <si>
    <t>กิรณะวัฒน์</t>
  </si>
  <si>
    <t>เสาวนีย์</t>
  </si>
  <si>
    <t>ธนรัญชน์กุล</t>
  </si>
  <si>
    <t>เฉลียวศิลป์</t>
  </si>
  <si>
    <t>สนิด</t>
  </si>
  <si>
    <t>ลมจะโปะ</t>
  </si>
  <si>
    <t>ริสา</t>
  </si>
  <si>
    <t>อัจฉริยไพบูลย์</t>
  </si>
  <si>
    <t>นันทภพ</t>
  </si>
  <si>
    <t>สุวรรณเก</t>
  </si>
  <si>
    <t>ธนพนธ์</t>
  </si>
  <si>
    <t>สะสม</t>
  </si>
  <si>
    <t>บานฤทัย</t>
  </si>
  <si>
    <t>ศักดิ์ดา</t>
  </si>
  <si>
    <t>พลอยครบุรี</t>
  </si>
  <si>
    <t>รัตน์มณี</t>
  </si>
  <si>
    <t>ทรงศรีชัยนันท์</t>
  </si>
  <si>
    <t>พีรวงศ์</t>
  </si>
  <si>
    <t>หิรัญเกิด</t>
  </si>
  <si>
    <t>บรรณา</t>
  </si>
  <si>
    <t>โชคสวัสดิ์</t>
  </si>
  <si>
    <t>วิมลมาศ</t>
  </si>
  <si>
    <t>ทูลพุทธา</t>
  </si>
  <si>
    <t>สุเนตร</t>
  </si>
  <si>
    <t>ภิญโญยาง</t>
  </si>
  <si>
    <t>งอกงาม</t>
  </si>
  <si>
    <t>สุขณัชชา</t>
  </si>
  <si>
    <t>เพ็ญแข</t>
  </si>
  <si>
    <t>ตอพรหม</t>
  </si>
  <si>
    <t>พิเศษฤทธิ์</t>
  </si>
  <si>
    <t>มิตรชัย</t>
  </si>
  <si>
    <t>แรมประชา</t>
  </si>
  <si>
    <t>สิริวรรณ</t>
  </si>
  <si>
    <t>ระดาบุตร</t>
  </si>
  <si>
    <t>วิไล</t>
  </si>
  <si>
    <t>เกศณี</t>
  </si>
  <si>
    <t>ธวพล</t>
  </si>
  <si>
    <t>ปราบณรงค์</t>
  </si>
  <si>
    <t>ตุระซอง</t>
  </si>
  <si>
    <t>ศศิภา</t>
  </si>
  <si>
    <t>แสงทิตย์</t>
  </si>
  <si>
    <t>ณัฐชานันท์</t>
  </si>
  <si>
    <t>สุวรรณเพ็ชร</t>
  </si>
  <si>
    <t>ชุลีกร</t>
  </si>
  <si>
    <t>บุตรเรือง</t>
  </si>
  <si>
    <t>ทยิดา</t>
  </si>
  <si>
    <t>ไม่โศก</t>
  </si>
  <si>
    <t>งามล้วน</t>
  </si>
  <si>
    <t>อธิราช</t>
  </si>
  <si>
    <t>ทองเรือง</t>
  </si>
  <si>
    <t>ฉัตรสุดา</t>
  </si>
  <si>
    <t>สมบัติ</t>
  </si>
  <si>
    <t>ไชยธงรัตน์</t>
  </si>
  <si>
    <t>เดวิส</t>
  </si>
  <si>
    <t>คณาชอบ</t>
  </si>
  <si>
    <t>ตีณิศราลิล</t>
  </si>
  <si>
    <t>สีลาดเลา</t>
  </si>
  <si>
    <t>เกษมสันติ</t>
  </si>
  <si>
    <t>ไชยแสง</t>
  </si>
  <si>
    <t>กนก</t>
  </si>
  <si>
    <t>ศรีมาชัย</t>
  </si>
  <si>
    <t>อมาตย์มนตรี</t>
  </si>
  <si>
    <t>ธีระพล</t>
  </si>
  <si>
    <t>ทองปด</t>
  </si>
  <si>
    <t>ธมลพร</t>
  </si>
  <si>
    <t>ทองบ่อ</t>
  </si>
  <si>
    <t>เอกวัฒน์</t>
  </si>
  <si>
    <t>ดำเอี่ยมดี</t>
  </si>
  <si>
    <t>ธวนิช</t>
  </si>
  <si>
    <t>เศษฤทธิ์</t>
  </si>
  <si>
    <t>ไชยยา</t>
  </si>
  <si>
    <t>จันทร์ศรจักร</t>
  </si>
  <si>
    <t>วิเสก</t>
  </si>
  <si>
    <t>โตอนันต์</t>
  </si>
  <si>
    <t>เกียรติขจร</t>
  </si>
  <si>
    <t>พิชญ์ประเสริฐ</t>
  </si>
  <si>
    <t>ปาร์มวงศ์</t>
  </si>
  <si>
    <t>ถาวร</t>
  </si>
  <si>
    <t>อนิรุทธ์</t>
  </si>
  <si>
    <t>เนียนไธสง</t>
  </si>
  <si>
    <t>ผกาพรรณ</t>
  </si>
  <si>
    <t>เรืองวัชรศักดิ์</t>
  </si>
  <si>
    <t>ทองคร่ำ</t>
  </si>
  <si>
    <t>เนื่องจำนงค์</t>
  </si>
  <si>
    <t>ปักกาโต</t>
  </si>
  <si>
    <t>ยาวรัมย์</t>
  </si>
  <si>
    <t>ธนวัต</t>
  </si>
  <si>
    <t>มากพูน</t>
  </si>
  <si>
    <t>ฤทธิรณ</t>
  </si>
  <si>
    <t>อำนาจ</t>
  </si>
  <si>
    <t>ราศรีนวล</t>
  </si>
  <si>
    <t>เพชรรุ่ง</t>
  </si>
  <si>
    <t>กิตติยศอัครนิจ</t>
  </si>
  <si>
    <t>ไขกระโทก</t>
  </si>
  <si>
    <t>ฉวีวรรณ</t>
  </si>
  <si>
    <t>ชูวา</t>
  </si>
  <si>
    <t>พนิตนาฎ</t>
  </si>
  <si>
    <t>ชุ่มสูงเนิน</t>
  </si>
  <si>
    <t>ประสิทธิ์</t>
  </si>
  <si>
    <t>เป็นสำราญ</t>
  </si>
  <si>
    <t>เนียมบุญ</t>
  </si>
  <si>
    <t>ฉันทนา</t>
  </si>
  <si>
    <t>บัวลี</t>
  </si>
  <si>
    <t>จักรกฤษณ์</t>
  </si>
  <si>
    <t>พวงเพชร</t>
  </si>
  <si>
    <t>สาลีเทศ</t>
  </si>
  <si>
    <t>จิราวรรณ</t>
  </si>
  <si>
    <t>กระจ่างทอง</t>
  </si>
  <si>
    <t>ยุติธรรม</t>
  </si>
  <si>
    <t>ชาตรี</t>
  </si>
  <si>
    <t>อ่อนเกษ</t>
  </si>
  <si>
    <t>ภัทรพงศ์</t>
  </si>
  <si>
    <t>ไชยโย</t>
  </si>
  <si>
    <t>เพ็ญพักตร์</t>
  </si>
  <si>
    <t>เอี่ยมฉวี</t>
  </si>
  <si>
    <t>สุพิศ</t>
  </si>
  <si>
    <t>เปรมอนันต์</t>
  </si>
  <si>
    <t>ไชยนุประภา</t>
  </si>
  <si>
    <t>จิตกร</t>
  </si>
  <si>
    <t>กันยา</t>
  </si>
  <si>
    <t>ปภาวรัตน์</t>
  </si>
  <si>
    <t>สาคร</t>
  </si>
  <si>
    <t>มาพระลับ</t>
  </si>
  <si>
    <t>สรรพสิริ</t>
  </si>
  <si>
    <t>ศิริรังสรรค์กุล</t>
  </si>
  <si>
    <t>นีระมนต์</t>
  </si>
  <si>
    <t>จันทร์แดง</t>
  </si>
  <si>
    <t>ชัยภัทร</t>
  </si>
  <si>
    <t>ประทุมเทศ</t>
  </si>
  <si>
    <t>สิงจานุสงค์</t>
  </si>
  <si>
    <t>จันทร์อ่อน</t>
  </si>
  <si>
    <t>บริพัตร</t>
  </si>
  <si>
    <t>เนื่องขันตี</t>
  </si>
  <si>
    <t>ทัศณีย์วรรณ</t>
  </si>
  <si>
    <t>ธงภักดี</t>
  </si>
  <si>
    <t>ขันตี</t>
  </si>
  <si>
    <t>ศิลารักษ์</t>
  </si>
  <si>
    <t>ชูมาตย์</t>
  </si>
  <si>
    <t>แย้มบัญชา</t>
  </si>
  <si>
    <t>วงศ์กัลยา</t>
  </si>
  <si>
    <t>เพียแก้ว</t>
  </si>
  <si>
    <t>ณฤดี</t>
  </si>
  <si>
    <t>สอนอาจ</t>
  </si>
  <si>
    <t>สุนิน</t>
  </si>
  <si>
    <t>อรรคนันท์</t>
  </si>
  <si>
    <t>ปิ่นสุดา</t>
  </si>
  <si>
    <t>จุทะแสง</t>
  </si>
  <si>
    <t>ตรีสุคนธ์</t>
  </si>
  <si>
    <t>คณานิตย์</t>
  </si>
  <si>
    <t>ไชยเพชร</t>
  </si>
  <si>
    <t>ศรีพิมพ์เมือง</t>
  </si>
  <si>
    <t>กัณฐกาญจน์</t>
  </si>
  <si>
    <t>จำปาวะตะ</t>
  </si>
  <si>
    <t>พรชนก</t>
  </si>
  <si>
    <t>ขัติยนนท์</t>
  </si>
  <si>
    <t>อธิพงษ์</t>
  </si>
  <si>
    <t>เหล่าอุตส์</t>
  </si>
  <si>
    <t>สุมิตรา</t>
  </si>
  <si>
    <t>ไชยสงค์</t>
  </si>
  <si>
    <t>พิศาล</t>
  </si>
  <si>
    <t>อุดชาชน</t>
  </si>
  <si>
    <t>พิชญาภัค</t>
  </si>
  <si>
    <t>สีวันดี</t>
  </si>
  <si>
    <t>วิริยศักดิ์</t>
  </si>
  <si>
    <t>เพชรภา</t>
  </si>
  <si>
    <t>พิจารโชติ</t>
  </si>
  <si>
    <t>ประพัทธ์</t>
  </si>
  <si>
    <t>เถาว์ทิพย์</t>
  </si>
  <si>
    <t>พิชชากานต์</t>
  </si>
  <si>
    <t>ศรีภูธร</t>
  </si>
  <si>
    <t>อุมาภรณ์</t>
  </si>
  <si>
    <t>เวียงสิมมา</t>
  </si>
  <si>
    <t>สุ่มมาตย์</t>
  </si>
  <si>
    <t>ธรรมมูลตรี</t>
  </si>
  <si>
    <t>ไพรัช</t>
  </si>
  <si>
    <t>ทับอาษา</t>
  </si>
  <si>
    <t>บุญนภัส</t>
  </si>
  <si>
    <t>ยงกิตติโกมล</t>
  </si>
  <si>
    <t>ธัญยรัตน์</t>
  </si>
  <si>
    <t>ภูโบราณ</t>
  </si>
  <si>
    <t>กีวานัน</t>
  </si>
  <si>
    <t>เสาวณิต</t>
  </si>
  <si>
    <t>ศรีชาติ</t>
  </si>
  <si>
    <t>พีรวัฒน์</t>
  </si>
  <si>
    <t>ไชยสว่าง</t>
  </si>
  <si>
    <t>ศิริภรณ์</t>
  </si>
  <si>
    <t>นุศรีอัน</t>
  </si>
  <si>
    <t>ขานเขว้า</t>
  </si>
  <si>
    <t>เต็มดวง</t>
  </si>
  <si>
    <t>แสงชา</t>
  </si>
  <si>
    <t>ผิวขาว</t>
  </si>
  <si>
    <t>พิพัฒนะพงษ์</t>
  </si>
  <si>
    <t>พรหมโม้</t>
  </si>
  <si>
    <t>ทรงศักดิ์</t>
  </si>
  <si>
    <t>บัวบาล</t>
  </si>
  <si>
    <t>ชัญญา</t>
  </si>
  <si>
    <t>ภาวัลย์</t>
  </si>
  <si>
    <t>จันทริมา</t>
  </si>
  <si>
    <t>ธรรมสงค์</t>
  </si>
  <si>
    <t>เบญจวรรณ</t>
  </si>
  <si>
    <t>แสงสุวรรณ</t>
  </si>
  <si>
    <t>อภิรดี</t>
  </si>
  <si>
    <t>อรัญญวาส</t>
  </si>
  <si>
    <t>จันทร์ลุน</t>
  </si>
  <si>
    <t>ประนอม</t>
  </si>
  <si>
    <t>อุทธา</t>
  </si>
  <si>
    <t>อภิรมณ์</t>
  </si>
  <si>
    <t>มิ้งพรม</t>
  </si>
  <si>
    <t>สุทธิวงษ์</t>
  </si>
  <si>
    <t>สุนันชา</t>
  </si>
  <si>
    <t>ด้วงแจ่ม</t>
  </si>
  <si>
    <t>ทิพย์สมบัติ</t>
  </si>
  <si>
    <t>เสาวณีย์</t>
  </si>
  <si>
    <t>กานต์วินิจนันท์</t>
  </si>
  <si>
    <t>วริสรา</t>
  </si>
  <si>
    <t>ญาติโสม</t>
  </si>
  <si>
    <t>ชลิดา</t>
  </si>
  <si>
    <t>นาคบุตรศรี</t>
  </si>
  <si>
    <t>ดงใหญ่</t>
  </si>
  <si>
    <t>อุตรชน</t>
  </si>
  <si>
    <t>อวนอ่อน</t>
  </si>
  <si>
    <t>ชรินทร์</t>
  </si>
  <si>
    <t>พรหมวิอินทร์</t>
  </si>
  <si>
    <t>พรพิษณุ</t>
  </si>
  <si>
    <t>จุฑาศรี</t>
  </si>
  <si>
    <t>ลาโรส</t>
  </si>
  <si>
    <t>ศุภิสรา</t>
  </si>
  <si>
    <t>มีสนม</t>
  </si>
  <si>
    <t>ธรรมมิยะ</t>
  </si>
  <si>
    <t>หารินไสล</t>
  </si>
  <si>
    <t>ชัยชุมพล</t>
  </si>
  <si>
    <t>พินประภา</t>
  </si>
  <si>
    <t>จักรคำ</t>
  </si>
  <si>
    <t>สีเทา</t>
  </si>
  <si>
    <t>ปนัดดา</t>
  </si>
  <si>
    <t>พึ่งสว่าง</t>
  </si>
  <si>
    <t>รัตนวงศ์</t>
  </si>
  <si>
    <t>ดวงเดือน</t>
  </si>
  <si>
    <t>ศรีวงษ์</t>
  </si>
  <si>
    <t>ไชยศรี</t>
  </si>
  <si>
    <t>ทรงศิลป์</t>
  </si>
  <si>
    <t>จิตอามาตย์</t>
  </si>
  <si>
    <t>กิติศักดิ์</t>
  </si>
  <si>
    <t>มันตะ</t>
  </si>
  <si>
    <t>ยุโก</t>
  </si>
  <si>
    <t>อินแกบ</t>
  </si>
  <si>
    <t>สิริกัลยา</t>
  </si>
  <si>
    <t>พิมพบุตร</t>
  </si>
  <si>
    <t>ศรีมะโรง</t>
  </si>
  <si>
    <t>บุณยสิทธิ์</t>
  </si>
  <si>
    <t>บุญสิทธิ์ภิญญา</t>
  </si>
  <si>
    <t>นพพชร</t>
  </si>
  <si>
    <t>พันธุพาน</t>
  </si>
  <si>
    <t>ภูกองแข</t>
  </si>
  <si>
    <t>ทิพย์พนิตา</t>
  </si>
  <si>
    <t>หลุบเลา</t>
  </si>
  <si>
    <t>มาโนช</t>
  </si>
  <si>
    <t>ชนะพันธุ์</t>
  </si>
  <si>
    <t>อุณภา</t>
  </si>
  <si>
    <t>วัชรากร</t>
  </si>
  <si>
    <t>กัมปนาวราวรรณ</t>
  </si>
  <si>
    <t>ภิบาลจอมมี</t>
  </si>
  <si>
    <t>กิตติภพ</t>
  </si>
  <si>
    <t>เสาสมภพ</t>
  </si>
  <si>
    <t>สุพิณญา</t>
  </si>
  <si>
    <t>วรามิตร</t>
  </si>
  <si>
    <t>พุทธิเกียรติ</t>
  </si>
  <si>
    <t>การุณ</t>
  </si>
  <si>
    <t>ปิยวัฒนปรีชา</t>
  </si>
  <si>
    <t>ฌญัณตรี</t>
  </si>
  <si>
    <t>คำพร</t>
  </si>
  <si>
    <t>นุจณี</t>
  </si>
  <si>
    <t>วงค์คำ</t>
  </si>
  <si>
    <t>วรรณพฤกษ</t>
  </si>
  <si>
    <t>สุเจตน์</t>
  </si>
  <si>
    <t>ศรีประมาณ</t>
  </si>
  <si>
    <t>แก้วมะเริง</t>
  </si>
  <si>
    <t>สัญชัย</t>
  </si>
  <si>
    <t>ถวิลรักษ์</t>
  </si>
  <si>
    <t>รักตาภา</t>
  </si>
  <si>
    <t>สมปาน</t>
  </si>
  <si>
    <t>บุญส่ง</t>
  </si>
  <si>
    <t>โอษะคลัง</t>
  </si>
  <si>
    <t>แก้วจันทา</t>
  </si>
  <si>
    <t>โสสีทา</t>
  </si>
  <si>
    <t>ไชยสันต์</t>
  </si>
  <si>
    <t>คงอิ้ว</t>
  </si>
  <si>
    <t>อุเทียม</t>
  </si>
  <si>
    <t>อรัญมิตร</t>
  </si>
  <si>
    <t>คันธสม</t>
  </si>
  <si>
    <t>สุนทรรส</t>
  </si>
  <si>
    <t>เหล่าราช</t>
  </si>
  <si>
    <t>แก้ววิเศษ</t>
  </si>
  <si>
    <t>ยุวรัตน์</t>
  </si>
  <si>
    <t>คูณสิริทรัพย์</t>
  </si>
  <si>
    <t>ธัญญ์ชนัน</t>
  </si>
  <si>
    <t>ฉัตรธนันวัชร์</t>
  </si>
  <si>
    <t>วรรณภา</t>
  </si>
  <si>
    <t>วงศ์กาฬสินธุ์</t>
  </si>
  <si>
    <t>วัฒนศักดิ์</t>
  </si>
  <si>
    <t>ใจจิตร</t>
  </si>
  <si>
    <t>วรชาติ</t>
  </si>
  <si>
    <t>แก้วก่า</t>
  </si>
  <si>
    <t>สงวนรักษ์</t>
  </si>
  <si>
    <t>พองพรหม</t>
  </si>
  <si>
    <t>อัจฉราวดี</t>
  </si>
  <si>
    <t>วรรณพงษ์</t>
  </si>
  <si>
    <t>ขันตะคุ</t>
  </si>
  <si>
    <t>อุทัยวัฒน์</t>
  </si>
  <si>
    <t>รุ่งธิวา</t>
  </si>
  <si>
    <t>จันทะวงษา</t>
  </si>
  <si>
    <t>ปกภณ</t>
  </si>
  <si>
    <t>รุ่นศรี</t>
  </si>
  <si>
    <t>ดาวศรี</t>
  </si>
  <si>
    <t>สัจจา</t>
  </si>
  <si>
    <t>บุญญาสถิตย์</t>
  </si>
  <si>
    <t>พรหมสุภา</t>
  </si>
  <si>
    <t>สุรสิทธิ์</t>
  </si>
  <si>
    <t>เณธิชัย</t>
  </si>
  <si>
    <t>จันทรส</t>
  </si>
  <si>
    <t>วิภานีย์</t>
  </si>
  <si>
    <t>โสวรรณ์</t>
  </si>
  <si>
    <t>ผงสุข</t>
  </si>
  <si>
    <t>แมนสิงห์</t>
  </si>
  <si>
    <t>ยศทะสาร</t>
  </si>
  <si>
    <t>จันทะมี</t>
  </si>
  <si>
    <t>ชมภูสาร</t>
  </si>
  <si>
    <t>แสนธรรมพล</t>
  </si>
  <si>
    <t>สมัย</t>
  </si>
  <si>
    <t>ตะนะสอน</t>
  </si>
  <si>
    <t>รุจิรัตน์</t>
  </si>
  <si>
    <t>คงกล่อม</t>
  </si>
  <si>
    <t>เกตุนาค</t>
  </si>
  <si>
    <t>ประดิษฐ์แท่น</t>
  </si>
  <si>
    <t>ผิวสวัสดิ์</t>
  </si>
  <si>
    <t>แสงเดือน</t>
  </si>
  <si>
    <t>ประนนท์</t>
  </si>
  <si>
    <t>ชูนุกิจ</t>
  </si>
  <si>
    <t>ปราโมทย์</t>
  </si>
  <si>
    <t>โคตรชมภู</t>
  </si>
  <si>
    <t>ซองชะยา</t>
  </si>
  <si>
    <t>ศรีดอนชัน</t>
  </si>
  <si>
    <t>ตพิพัฒน์</t>
  </si>
  <si>
    <t>ประสิทธิ์นอก</t>
  </si>
  <si>
    <t>ทองปาน</t>
  </si>
  <si>
    <t>ศรีพุทธา</t>
  </si>
  <si>
    <t>ธนัช</t>
  </si>
  <si>
    <t>ภากรวณิชย์</t>
  </si>
  <si>
    <t>ดวงจันทร์</t>
  </si>
  <si>
    <t>ราชรองเมือง</t>
  </si>
  <si>
    <t>ธันย์ธิชา</t>
  </si>
  <si>
    <t>วิเวกรัมย์</t>
  </si>
  <si>
    <t>ชัยชาญ</t>
  </si>
  <si>
    <t>แก้วโพธิ์</t>
  </si>
  <si>
    <t>นาวิเศษ</t>
  </si>
  <si>
    <t>นามมุงคุณ</t>
  </si>
  <si>
    <t>อุไรวรรณ</t>
  </si>
  <si>
    <t>เปิ่นวงศ์</t>
  </si>
  <si>
    <t>อภิเชฐ</t>
  </si>
  <si>
    <t>ดวงพรรณา</t>
  </si>
  <si>
    <t>คำภักดี</t>
  </si>
  <si>
    <t>จิตรเจริญ</t>
  </si>
  <si>
    <t>มะระเหลือง</t>
  </si>
  <si>
    <t>ภาณุวัฒน์</t>
  </si>
  <si>
    <t>ไวแสน</t>
  </si>
  <si>
    <t>ภูพันธ์เว่อ</t>
  </si>
  <si>
    <t>บุญชนะ</t>
  </si>
  <si>
    <t>อาจองธรรม</t>
  </si>
  <si>
    <t>ประสารศรี</t>
  </si>
  <si>
    <t>นันทนา</t>
  </si>
  <si>
    <t>ไร่จรูญ</t>
  </si>
  <si>
    <t>ทักษิณา</t>
  </si>
  <si>
    <t>คำทองเพิ่ม</t>
  </si>
  <si>
    <t>ทิพย์เสถียร</t>
  </si>
  <si>
    <t>รินเสนา</t>
  </si>
  <si>
    <t>หาญชนะ</t>
  </si>
  <si>
    <t>ทาริกา</t>
  </si>
  <si>
    <t>ปัญญาดี</t>
  </si>
  <si>
    <t>กัญญาภัทร</t>
  </si>
  <si>
    <t>ภาษีเจริญกุล</t>
  </si>
  <si>
    <t>ณัฐธนภัคร</t>
  </si>
  <si>
    <t>นามเหลา</t>
  </si>
  <si>
    <t>อัถพล</t>
  </si>
  <si>
    <t>สุวรรณมงคล</t>
  </si>
  <si>
    <t>ไชยคำภา</t>
  </si>
  <si>
    <t>โยสะออน</t>
  </si>
  <si>
    <t>ปุณยนุช</t>
  </si>
  <si>
    <t>อุทาพันธ์</t>
  </si>
  <si>
    <t>นาคศาลา</t>
  </si>
  <si>
    <t>จิดาภา</t>
  </si>
  <si>
    <t>คงสิมา</t>
  </si>
  <si>
    <t>ฑิตยา</t>
  </si>
  <si>
    <t>สิงห์ชัย</t>
  </si>
  <si>
    <t>จิตวิขาม</t>
  </si>
  <si>
    <t>แสงดี</t>
  </si>
  <si>
    <t>พิมพ์ดา</t>
  </si>
  <si>
    <t>วีรยุทธ์</t>
  </si>
  <si>
    <t>วงษ์จันทร์</t>
  </si>
  <si>
    <t>วิชชุตา</t>
  </si>
  <si>
    <t>พูลศิลป์</t>
  </si>
  <si>
    <t>อุปชัย</t>
  </si>
  <si>
    <t>เพชรหมื่นไว</t>
  </si>
  <si>
    <t>อัครพล</t>
  </si>
  <si>
    <t>ขวัญปัญญา</t>
  </si>
  <si>
    <t>อธิ</t>
  </si>
  <si>
    <t>พีรทิตยา</t>
  </si>
  <si>
    <t>สังข์กฤษณ์</t>
  </si>
  <si>
    <t>ปอนแก้ว</t>
  </si>
  <si>
    <t>ชณันภัสร์</t>
  </si>
  <si>
    <t>พีรสมานพงศ์</t>
  </si>
  <si>
    <t>ธิดา</t>
  </si>
  <si>
    <t>แซ่หวุ่น</t>
  </si>
  <si>
    <t>หทัยกาญจน์</t>
  </si>
  <si>
    <t>วุฒิ</t>
  </si>
  <si>
    <t>ศิริตา</t>
  </si>
  <si>
    <t>สุดวรรค์</t>
  </si>
  <si>
    <t>กันทะปรีชา</t>
  </si>
  <si>
    <t>พุ่มไพจิตร</t>
  </si>
  <si>
    <t>ประภานิช</t>
  </si>
  <si>
    <t>สีติวัน</t>
  </si>
  <si>
    <t>ธนภร</t>
  </si>
  <si>
    <t>ขุนสังข์</t>
  </si>
  <si>
    <t>กรรเชียง</t>
  </si>
  <si>
    <t>คำตุ้ยเชื้อ</t>
  </si>
  <si>
    <t>บุปผา</t>
  </si>
  <si>
    <t>กันตะบุตร</t>
  </si>
  <si>
    <t>สายธาร</t>
  </si>
  <si>
    <t>ชาวบางงาม</t>
  </si>
  <si>
    <t>ยอดปัญญา</t>
  </si>
  <si>
    <t>สมเกียรติ์</t>
  </si>
  <si>
    <t>จันทร์ต๊ะฝั้น</t>
  </si>
  <si>
    <t>เทพยุหะ</t>
  </si>
  <si>
    <t>วงศ์แก้วมูล</t>
  </si>
  <si>
    <t>เสธิปา</t>
  </si>
  <si>
    <t>อดุลย์</t>
  </si>
  <si>
    <t>บุญชู</t>
  </si>
  <si>
    <t>ปิยะลังกา</t>
  </si>
  <si>
    <t>ชัยนันตา</t>
  </si>
  <si>
    <t>เชียงจันทร์</t>
  </si>
  <si>
    <t>ศิริวัฒน์</t>
  </si>
  <si>
    <t>วุฒิกรณ์</t>
  </si>
  <si>
    <t>นนท์เดชกูล</t>
  </si>
  <si>
    <t>ผ่านภพ</t>
  </si>
  <si>
    <t>ณัฏฐพล</t>
  </si>
  <si>
    <t>สุวรรณศร</t>
  </si>
  <si>
    <t>จารุนันท์</t>
  </si>
  <si>
    <t>จารุนิธิโยธิน</t>
  </si>
  <si>
    <t>ชัยพงษ์</t>
  </si>
  <si>
    <t>ขัติวงศ์</t>
  </si>
  <si>
    <t>ดอกบัว</t>
  </si>
  <si>
    <t>เสริมสุข</t>
  </si>
  <si>
    <t>พรหมเสน</t>
  </si>
  <si>
    <t>วะระ</t>
  </si>
  <si>
    <t>พิมพ์ปวีณ์</t>
  </si>
  <si>
    <t>ทัศน์</t>
  </si>
  <si>
    <t>ปันลำ</t>
  </si>
  <si>
    <t>ต๋าคำ</t>
  </si>
  <si>
    <t>อุดหมอ</t>
  </si>
  <si>
    <t>ดวงดาว</t>
  </si>
  <si>
    <t>สบบง</t>
  </si>
  <si>
    <t>อินต๊ะงาม</t>
  </si>
  <si>
    <t>ไชยโนฤทธิ์</t>
  </si>
  <si>
    <t>มีนา</t>
  </si>
  <si>
    <t>นภีตะภัฏ</t>
  </si>
  <si>
    <t>กาปิน</t>
  </si>
  <si>
    <t>ธิปาแก้ว</t>
  </si>
  <si>
    <t>รณกร</t>
  </si>
  <si>
    <t>เตชะสืบ</t>
  </si>
  <si>
    <t>พรรณิภา</t>
  </si>
  <si>
    <t>จุมปาลี</t>
  </si>
  <si>
    <t>นราศักดิ์</t>
  </si>
  <si>
    <t>พชรสุดา</t>
  </si>
  <si>
    <t>ทิศธรรม</t>
  </si>
  <si>
    <t>ศิลป์ศุภา</t>
  </si>
  <si>
    <t>มูลประเสริฐ</t>
  </si>
  <si>
    <t>ใจชุ่ม</t>
  </si>
  <si>
    <t>สายปินตา</t>
  </si>
  <si>
    <t>ชรินทร์ทิพย์</t>
  </si>
  <si>
    <t>รังสรรค์</t>
  </si>
  <si>
    <t>ภัทรเดช</t>
  </si>
  <si>
    <t>นัทธมน</t>
  </si>
  <si>
    <t>ตาใจ</t>
  </si>
  <si>
    <t>วิฆเนศ</t>
  </si>
  <si>
    <t>ไชยอินทร์</t>
  </si>
  <si>
    <t>ชาวคำเขต</t>
  </si>
  <si>
    <t>นาคะพันธุ์</t>
  </si>
  <si>
    <t>ทองเดช</t>
  </si>
  <si>
    <t>ตันเป็ง</t>
  </si>
  <si>
    <t>ปกรณ์เกียรติ</t>
  </si>
  <si>
    <t>สุทธิพงศ์พันธ์</t>
  </si>
  <si>
    <t>ภีมพัฒน์</t>
  </si>
  <si>
    <t>อุนจะนำ</t>
  </si>
  <si>
    <t>ดาวเรือง</t>
  </si>
  <si>
    <t>ไชยวุฒิพงศ์</t>
  </si>
  <si>
    <t>จินกสิกิจ</t>
  </si>
  <si>
    <t>ภูริช</t>
  </si>
  <si>
    <t>เวียงทอง</t>
  </si>
  <si>
    <t>พรรณวรท</t>
  </si>
  <si>
    <t>สุทธิ</t>
  </si>
  <si>
    <t>ธีรนาฏ</t>
  </si>
  <si>
    <t>ท่าช้าง</t>
  </si>
  <si>
    <t>เสถียร</t>
  </si>
  <si>
    <t>ยาวะดี</t>
  </si>
  <si>
    <t>วิริยอนันตกุล</t>
  </si>
  <si>
    <t>สสิพรรณ์</t>
  </si>
  <si>
    <t>ธนาพร</t>
  </si>
  <si>
    <t>ชัยแก้ว</t>
  </si>
  <si>
    <t>พันทิวา</t>
  </si>
  <si>
    <t>ทาแก้ว</t>
  </si>
  <si>
    <t>สอาด</t>
  </si>
  <si>
    <t>พรหมภิญโญ</t>
  </si>
  <si>
    <t>อนันต์</t>
  </si>
  <si>
    <t>ใจวงศ์ผาบ</t>
  </si>
  <si>
    <t>พีรวินทร์</t>
  </si>
  <si>
    <t>จินดาหลวง</t>
  </si>
  <si>
    <t>คำถ่อน</t>
  </si>
  <si>
    <t>จิรัฏฐ์</t>
  </si>
  <si>
    <t>มงคลกิตติ์อารี</t>
  </si>
  <si>
    <t>ศรัณยา</t>
  </si>
  <si>
    <t>เนตรสาคร</t>
  </si>
  <si>
    <t>มาหลง</t>
  </si>
  <si>
    <t>นันทวุฒิ</t>
  </si>
  <si>
    <t>เวียงสมุทร</t>
  </si>
  <si>
    <t>นราธิป</t>
  </si>
  <si>
    <t>ไชยทิพย์</t>
  </si>
  <si>
    <t>เดชาชิต</t>
  </si>
  <si>
    <t>พลเมืองดี</t>
  </si>
  <si>
    <t>สวาท</t>
  </si>
  <si>
    <t>บุญยวง</t>
  </si>
  <si>
    <t>เฌอกัญญ์</t>
  </si>
  <si>
    <t>อินทนิล</t>
  </si>
  <si>
    <t>ขันจันแสง</t>
  </si>
  <si>
    <t>สุทธิชา</t>
  </si>
  <si>
    <t>ประภาส</t>
  </si>
  <si>
    <t>ชุ่มใจ</t>
  </si>
  <si>
    <t>แสนบุญยืน</t>
  </si>
  <si>
    <t>สุระพงษ์</t>
  </si>
  <si>
    <t>ประมวล</t>
  </si>
  <si>
    <t>ภิตินันท์</t>
  </si>
  <si>
    <t>ไชยเดช</t>
  </si>
  <si>
    <t>กฤตกร</t>
  </si>
  <si>
    <t>ต๊ะน้อย</t>
  </si>
  <si>
    <t>กาสีใจ</t>
  </si>
  <si>
    <t>วีระพงษ์</t>
  </si>
  <si>
    <t>ทองเบ้า</t>
  </si>
  <si>
    <t>ตรีธวัช</t>
  </si>
  <si>
    <t>วิฑูรย์</t>
  </si>
  <si>
    <t>ตั้งดำรงศิลป์</t>
  </si>
  <si>
    <t>อินต๊ะสาร</t>
  </si>
  <si>
    <t>กานต์รวี</t>
  </si>
  <si>
    <t>คำลือ</t>
  </si>
  <si>
    <t>บุญสุข</t>
  </si>
  <si>
    <t>เผด็จ</t>
  </si>
  <si>
    <t>ไชยยศ</t>
  </si>
  <si>
    <t>บุญประสิทธิ์</t>
  </si>
  <si>
    <t>สายวงค์เดือน</t>
  </si>
  <si>
    <t>เสียงเย็น</t>
  </si>
  <si>
    <t>ระพีพันธ์</t>
  </si>
  <si>
    <t>ตาปัญโญ</t>
  </si>
  <si>
    <t>อุปมา</t>
  </si>
  <si>
    <t>กฤษฎาพงษ์</t>
  </si>
  <si>
    <t>เมืองมา</t>
  </si>
  <si>
    <t>เสฎฐรัตน</t>
  </si>
  <si>
    <t>เย็นจิตต์</t>
  </si>
  <si>
    <t>ภัสดาริณญ์</t>
  </si>
  <si>
    <t>ภูริชฐานวัฒน์</t>
  </si>
  <si>
    <t>นฤพันธ์</t>
  </si>
  <si>
    <t>ภาวนา</t>
  </si>
  <si>
    <t>ธิเสนา</t>
  </si>
  <si>
    <t>จักร์น้อย</t>
  </si>
  <si>
    <t>สัญญา</t>
  </si>
  <si>
    <t>รุ่งอุดมเลิศ</t>
  </si>
  <si>
    <t>นัดทนันท์</t>
  </si>
  <si>
    <t>นันทิกานต์</t>
  </si>
  <si>
    <t>กวางกระโดด</t>
  </si>
  <si>
    <t>ปะทิ</t>
  </si>
  <si>
    <t>ครองขวัญ</t>
  </si>
  <si>
    <t>นนตะ</t>
  </si>
  <si>
    <t>จตุรงค์</t>
  </si>
  <si>
    <t>พัฒนสกุลกาล</t>
  </si>
  <si>
    <t>ณัฐพัชร์</t>
  </si>
  <si>
    <t>ปวริศร</t>
  </si>
  <si>
    <t>โรจนรัตน์</t>
  </si>
  <si>
    <t>สรฉัษ</t>
  </si>
  <si>
    <t>สุทธิวงศ์</t>
  </si>
  <si>
    <t>ณัฐวรรธน์</t>
  </si>
  <si>
    <t>ศรีพรหม</t>
  </si>
  <si>
    <t>ณัทภ์ณิชาก์</t>
  </si>
  <si>
    <t>ผลนวพจน์</t>
  </si>
  <si>
    <t>อนุชิต</t>
  </si>
  <si>
    <t>ทัตชัย</t>
  </si>
  <si>
    <t>ปัญญากาบ</t>
  </si>
  <si>
    <t>จะซา</t>
  </si>
  <si>
    <t>วรารัตน์</t>
  </si>
  <si>
    <t>อิ่นแก้ว</t>
  </si>
  <si>
    <t>วงศ์คำ</t>
  </si>
  <si>
    <t>กนกอร</t>
  </si>
  <si>
    <t>แม็คนีล</t>
  </si>
  <si>
    <t>ทัศน์ชัย</t>
  </si>
  <si>
    <t>คำแปง</t>
  </si>
  <si>
    <t>กุลญาภา</t>
  </si>
  <si>
    <t>ยศถามี</t>
  </si>
  <si>
    <t>สุทธิแป้น</t>
  </si>
  <si>
    <t>สิทธิสอน</t>
  </si>
  <si>
    <t>หอมอ่อน</t>
  </si>
  <si>
    <t>อำนวย</t>
  </si>
  <si>
    <t>บัวละวงค์</t>
  </si>
  <si>
    <t>ทวีศักดิ์</t>
  </si>
  <si>
    <t>นิรัตน์ฌา</t>
  </si>
  <si>
    <t>ปันจะ</t>
  </si>
  <si>
    <t>จุธารัตน์</t>
  </si>
  <si>
    <t>ไหวอุ</t>
  </si>
  <si>
    <t>พรหมจักรแก้ว</t>
  </si>
  <si>
    <t>ศรวณีย์</t>
  </si>
  <si>
    <t>ธนพร</t>
  </si>
  <si>
    <t>ลาเบาะ</t>
  </si>
  <si>
    <t>ยางงาม</t>
  </si>
  <si>
    <t>ชูขวัญ</t>
  </si>
  <si>
    <t>พูลหน่าย</t>
  </si>
  <si>
    <t>ชัยนเรศ</t>
  </si>
  <si>
    <t>จุไรรัตน์</t>
  </si>
  <si>
    <t>เอ็งประเสริฐ</t>
  </si>
  <si>
    <t>กิตติสยาม</t>
  </si>
  <si>
    <t>เกตุพิมล</t>
  </si>
  <si>
    <t>จันคมณี</t>
  </si>
  <si>
    <t>จันทร์พุฒ</t>
  </si>
  <si>
    <t>ณิชชาภัทร</t>
  </si>
  <si>
    <t>ขาวคุ้ม</t>
  </si>
  <si>
    <t>ถิรพุทธิ์</t>
  </si>
  <si>
    <t>สมโภชน์</t>
  </si>
  <si>
    <t>อาจบัว</t>
  </si>
  <si>
    <t>ศุภวุฒิ</t>
  </si>
  <si>
    <t>วฤทธิ์</t>
  </si>
  <si>
    <t>วงศ์หมื่นรัตน์</t>
  </si>
  <si>
    <t>ตั้งสวัสดิพงษ์</t>
  </si>
  <si>
    <t>สมเพชร</t>
  </si>
  <si>
    <t>วาริสา</t>
  </si>
  <si>
    <t>เรืองคำ</t>
  </si>
  <si>
    <t>วัลลภ</t>
  </si>
  <si>
    <t>อินจง</t>
  </si>
  <si>
    <t>สืบช่างศิลป์</t>
  </si>
  <si>
    <t>นันทกา</t>
  </si>
  <si>
    <t>ตรัณ</t>
  </si>
  <si>
    <t>ศิริพรพันธ์</t>
  </si>
  <si>
    <t>อรรถวิทย์</t>
  </si>
  <si>
    <t>ศรีชัวชม</t>
  </si>
  <si>
    <t>ขจรเกียรติ</t>
  </si>
  <si>
    <t>ปานศรีนวล</t>
  </si>
  <si>
    <t>ปรีดา</t>
  </si>
  <si>
    <t>นุ่มนิ่ม</t>
  </si>
  <si>
    <t>หินแก้ว</t>
  </si>
  <si>
    <t>จ้ำดา</t>
  </si>
  <si>
    <t>ทวีไชย</t>
  </si>
  <si>
    <t>สุวรรณา</t>
  </si>
  <si>
    <t>ทิพย์ทิวากรกุล</t>
  </si>
  <si>
    <t>สมจิตร</t>
  </si>
  <si>
    <t>จันทรอินทร์</t>
  </si>
  <si>
    <t>ธวัช</t>
  </si>
  <si>
    <t>ขุนงามขำ</t>
  </si>
  <si>
    <t>กีรติกร</t>
  </si>
  <si>
    <t>มั่นสอน</t>
  </si>
  <si>
    <t>ภูธนณัฏฑ์</t>
  </si>
  <si>
    <t>มาชม</t>
  </si>
  <si>
    <t>ปิยะนารถ</t>
  </si>
  <si>
    <t>ภูมิผล</t>
  </si>
  <si>
    <t>ปิ่นสกุล</t>
  </si>
  <si>
    <t>นุชท่าโพ</t>
  </si>
  <si>
    <t>ฤทัยทิพย์</t>
  </si>
  <si>
    <t>เวชรังษีกุล</t>
  </si>
  <si>
    <t>ธิฏินันท์</t>
  </si>
  <si>
    <t>จันทร</t>
  </si>
  <si>
    <t>อ่อนน้อม</t>
  </si>
  <si>
    <t>อ้นโต</t>
  </si>
  <si>
    <t>อิศริยาพร</t>
  </si>
  <si>
    <t>ณัฐวีร์</t>
  </si>
  <si>
    <t>คล้ายเนียม</t>
  </si>
  <si>
    <t>ไตรเทพ</t>
  </si>
  <si>
    <t>กุลหอม</t>
  </si>
  <si>
    <t>วลัยพรรณ</t>
  </si>
  <si>
    <t>อินทร</t>
  </si>
  <si>
    <t>สายพิณ</t>
  </si>
  <si>
    <t>วงค์ประกรคำ</t>
  </si>
  <si>
    <t>ทองแลง</t>
  </si>
  <si>
    <t>ประสูติ</t>
  </si>
  <si>
    <t>เพ็ชรโต</t>
  </si>
  <si>
    <t>เศรษฐศักดิ์</t>
  </si>
  <si>
    <t>กลิ่นด้วง</t>
  </si>
  <si>
    <t>แกล้วกสิกิจ</t>
  </si>
  <si>
    <t>หมากสุข</t>
  </si>
  <si>
    <t>สุปรีดี</t>
  </si>
  <si>
    <t>ลัดดาวรรณ</t>
  </si>
  <si>
    <t>รัตนพราว</t>
  </si>
  <si>
    <t>เรื่อศรีจันทร์</t>
  </si>
  <si>
    <t>ดุสิต</t>
  </si>
  <si>
    <t>จิวาลักษณ์</t>
  </si>
  <si>
    <t>นคร</t>
  </si>
  <si>
    <t>ยาหมู่</t>
  </si>
  <si>
    <t>สมิทธ์</t>
  </si>
  <si>
    <t>เนียรภาค</t>
  </si>
  <si>
    <t>ชาดารา</t>
  </si>
  <si>
    <t>ศรีพระธาตุ</t>
  </si>
  <si>
    <t>ณัฐธนพล</t>
  </si>
  <si>
    <t>แก้วเกิด</t>
  </si>
  <si>
    <t>สงกรานต์</t>
  </si>
  <si>
    <t>นฤทธิ์</t>
  </si>
  <si>
    <t>เครือแสง</t>
  </si>
  <si>
    <t>แก่นไม้หอม</t>
  </si>
  <si>
    <t>สุขศิริ</t>
  </si>
  <si>
    <t>คูณธนาเกริกพงศ์</t>
  </si>
  <si>
    <t>มยุฉัตร</t>
  </si>
  <si>
    <t>เชียงมูล</t>
  </si>
  <si>
    <t>ปฏิภาณ</t>
  </si>
  <si>
    <t>เหวชัยภูมิ</t>
  </si>
  <si>
    <t>คงสิงห์</t>
  </si>
  <si>
    <t>ประภาษ</t>
  </si>
  <si>
    <t>บุญอ้อม</t>
  </si>
  <si>
    <t>อุบลรัตน์</t>
  </si>
  <si>
    <t>มะนูญ</t>
  </si>
  <si>
    <t>วชิร</t>
  </si>
  <si>
    <t>มณีเกตุ</t>
  </si>
  <si>
    <t>นิลมูล</t>
  </si>
  <si>
    <t>บุญญศักดิ์</t>
  </si>
  <si>
    <t>สุกใส</t>
  </si>
  <si>
    <t>วสุพล</t>
  </si>
  <si>
    <t>หลุยจันทึก</t>
  </si>
  <si>
    <t>ธนภาค</t>
  </si>
  <si>
    <t>เปรมปรีดิ์</t>
  </si>
  <si>
    <t>ประพิชญา</t>
  </si>
  <si>
    <t>ผ่านผิว</t>
  </si>
  <si>
    <t>ทัพไท</t>
  </si>
  <si>
    <t>พิทยาวุธวินิจ</t>
  </si>
  <si>
    <t>หุ่นหล่อ</t>
  </si>
  <si>
    <t>รัชณี</t>
  </si>
  <si>
    <t>กลายสุข</t>
  </si>
  <si>
    <t>พุทธาพิทักษ์</t>
  </si>
  <si>
    <t>สมปอง</t>
  </si>
  <si>
    <t>เหลืองสุวรรณ์</t>
  </si>
  <si>
    <t>ปภาวี</t>
  </si>
  <si>
    <t>แก้วมณีวัฒน์</t>
  </si>
  <si>
    <t>ปัวน้อย</t>
  </si>
  <si>
    <t>กฤษฎา</t>
  </si>
  <si>
    <t>ระเบ็ง</t>
  </si>
  <si>
    <t>วัชรนนท์</t>
  </si>
  <si>
    <t>พินคง</t>
  </si>
  <si>
    <t>แคล้วโยธา</t>
  </si>
  <si>
    <t>ศรีไพร</t>
  </si>
  <si>
    <t>เพ็งศรี</t>
  </si>
  <si>
    <t>จินดา</t>
  </si>
  <si>
    <t>อนุพันธ์</t>
  </si>
  <si>
    <t>พวงกลิ่น</t>
  </si>
  <si>
    <t>ภู่ทองงาม</t>
  </si>
  <si>
    <t>ทิวาภรณ์</t>
  </si>
  <si>
    <t>ไชยรังษี</t>
  </si>
  <si>
    <t>จักรพิพัฒน์</t>
  </si>
  <si>
    <t>อินปรา</t>
  </si>
  <si>
    <t>ปริญดา</t>
  </si>
  <si>
    <t>เรณู</t>
  </si>
  <si>
    <t>สังข์จันทร์</t>
  </si>
  <si>
    <t>เลิศวรรธน์</t>
  </si>
  <si>
    <t>เชื้อผู้ดี</t>
  </si>
  <si>
    <t>ภัทรภณ</t>
  </si>
  <si>
    <t>โตคณิตชาติ</t>
  </si>
  <si>
    <t>จุมภฏ</t>
  </si>
  <si>
    <t>บุตรนุช</t>
  </si>
  <si>
    <t>นิติทัต</t>
  </si>
  <si>
    <t>เมืองเดช</t>
  </si>
  <si>
    <t>รักษาภักดี</t>
  </si>
  <si>
    <t>ถิ่นเถิน</t>
  </si>
  <si>
    <t>มาวงค์</t>
  </si>
  <si>
    <t>สัมพันธ์</t>
  </si>
  <si>
    <t>มิ่งบุญ</t>
  </si>
  <si>
    <t>วีระศิลป์</t>
  </si>
  <si>
    <t>เดียวสกุล</t>
  </si>
  <si>
    <t>คณิน</t>
  </si>
  <si>
    <t>นาสา</t>
  </si>
  <si>
    <t>เรวัติ</t>
  </si>
  <si>
    <t>จงเจริญพร</t>
  </si>
  <si>
    <t>โมรารักษ์</t>
  </si>
  <si>
    <t>เดี่ยวตระกูล</t>
  </si>
  <si>
    <t>จักรี</t>
  </si>
  <si>
    <t>แก้วกันทา</t>
  </si>
  <si>
    <t>เลสัก</t>
  </si>
  <si>
    <t>ดีณรงค์</t>
  </si>
  <si>
    <t>ภาณุเมษ</t>
  </si>
  <si>
    <t>ศรีดอกจันทร์</t>
  </si>
  <si>
    <t>ภีรพันธ์</t>
  </si>
  <si>
    <t>สุขมา</t>
  </si>
  <si>
    <t>จุ้ยศิริ</t>
  </si>
  <si>
    <t>อลิสา</t>
  </si>
  <si>
    <t>พึ่งไชย</t>
  </si>
  <si>
    <t>ทองเต็ม</t>
  </si>
  <si>
    <t>สุวรรณมณี</t>
  </si>
  <si>
    <t>ไก่แก้ว</t>
  </si>
  <si>
    <t>หัวใจเพ็ชร์</t>
  </si>
  <si>
    <t>จรูญ</t>
  </si>
  <si>
    <t>ชมภูพงษ์</t>
  </si>
  <si>
    <t>วรโชติ</t>
  </si>
  <si>
    <t>บูรณสถิตพงศ์</t>
  </si>
  <si>
    <t>จันทร์อิน</t>
  </si>
  <si>
    <t>ชัยศัตรา</t>
  </si>
  <si>
    <t>ภาณุวิชญ์</t>
  </si>
  <si>
    <t>ลิเหล็ก</t>
  </si>
  <si>
    <t>รวิชญ์</t>
  </si>
  <si>
    <t>ลือบางใหญ่</t>
  </si>
  <si>
    <t>พิริยพงศ์</t>
  </si>
  <si>
    <t>ศฤงคาร</t>
  </si>
  <si>
    <t>วีระยุทธิ์</t>
  </si>
  <si>
    <t>ครองบุญ</t>
  </si>
  <si>
    <t>พัฒนพล</t>
  </si>
  <si>
    <t>อินทิม</t>
  </si>
  <si>
    <t>สิทธิเกียรติ</t>
  </si>
  <si>
    <t>จอกลอย</t>
  </si>
  <si>
    <t>ธีรดนย์</t>
  </si>
  <si>
    <t>กันแสง</t>
  </si>
  <si>
    <t>กานต์สิริภรณ์</t>
  </si>
  <si>
    <t>ศรีประทัย</t>
  </si>
  <si>
    <t>คณาธิป</t>
  </si>
  <si>
    <t>สว่างยิ่ง</t>
  </si>
  <si>
    <t>ปล้องอ่อน</t>
  </si>
  <si>
    <t>อิศเรศ</t>
  </si>
  <si>
    <t>เปลี่ยนขำ</t>
  </si>
  <si>
    <t>สงพรมทิพย์</t>
  </si>
  <si>
    <t>ปิยนรินทร์</t>
  </si>
  <si>
    <t>มีคติธรรม</t>
  </si>
  <si>
    <t>ณิชารัศม์</t>
  </si>
  <si>
    <t>เวทย์วรากาญจน์</t>
  </si>
  <si>
    <t>ธันวดี</t>
  </si>
  <si>
    <t>รักตน</t>
  </si>
  <si>
    <t>หทัยชนก</t>
  </si>
  <si>
    <t>นามเจริญ</t>
  </si>
  <si>
    <t>ชิดจันทร์</t>
  </si>
  <si>
    <t>มะลิ</t>
  </si>
  <si>
    <t>เชิดโฉม</t>
  </si>
  <si>
    <t>ณัฏฐกานต์</t>
  </si>
  <si>
    <t>จิรภัทร์พิมล</t>
  </si>
  <si>
    <t>ณิชกมล</t>
  </si>
  <si>
    <t>ทิพย์พิมล</t>
  </si>
  <si>
    <t>เครือมาส</t>
  </si>
  <si>
    <t>จันทร์เพ็ญ</t>
  </si>
  <si>
    <t>ชยานันต์</t>
  </si>
  <si>
    <t>พันคำ</t>
  </si>
  <si>
    <t>กฤษณะ</t>
  </si>
  <si>
    <t>บุญจิตร</t>
  </si>
  <si>
    <t>ดาววิภา</t>
  </si>
  <si>
    <t>แอวงศ์</t>
  </si>
  <si>
    <t>จันทมาศ</t>
  </si>
  <si>
    <t>วรเกียรติชัยธนา</t>
  </si>
  <si>
    <t>อินทร์แปลง</t>
  </si>
  <si>
    <t>ธัญสกุลวงศ์</t>
  </si>
  <si>
    <t>เหล็กดี</t>
  </si>
  <si>
    <t>สุดงาม</t>
  </si>
  <si>
    <t>ศุภการย์</t>
  </si>
  <si>
    <t>จรรยาสุภาพ</t>
  </si>
  <si>
    <t>เพ็งเรือง</t>
  </si>
  <si>
    <t>รภิญา</t>
  </si>
  <si>
    <t>ดิษฐเอม</t>
  </si>
  <si>
    <t>จุฬาภรณ์</t>
  </si>
  <si>
    <t>มีโหมด</t>
  </si>
  <si>
    <t>คชศิลา</t>
  </si>
  <si>
    <t>พรรณทิพพา</t>
  </si>
  <si>
    <t>อินทโชติ</t>
  </si>
  <si>
    <t>พงศ์ภัค</t>
  </si>
  <si>
    <t>กรีจังหรีด</t>
  </si>
  <si>
    <t>สีหราช</t>
  </si>
  <si>
    <t>อาวะศรี</t>
  </si>
  <si>
    <t>อัครอภิชาติ</t>
  </si>
  <si>
    <t>สวรส</t>
  </si>
  <si>
    <t>มหรรทัศนะพงศ์</t>
  </si>
  <si>
    <t>วิชัยคำมาตย์</t>
  </si>
  <si>
    <t>ทิตินัย</t>
  </si>
  <si>
    <t>แต่แดงเพชร</t>
  </si>
  <si>
    <t>เมฆนิติ</t>
  </si>
  <si>
    <t>สายชล</t>
  </si>
  <si>
    <t>เรืองโรจน์</t>
  </si>
  <si>
    <t>ธัญทิพ</t>
  </si>
  <si>
    <t>แก้วส่งแสง</t>
  </si>
  <si>
    <t>นิลทวี</t>
  </si>
  <si>
    <t>ฐิตวัฒน์</t>
  </si>
  <si>
    <t>ชูหนู</t>
  </si>
  <si>
    <t>บังอร</t>
  </si>
  <si>
    <t>เกล้าเกตุ</t>
  </si>
  <si>
    <t>เส็นจาง</t>
  </si>
  <si>
    <t>ยงยุทธ</t>
  </si>
  <si>
    <t>ยงพาณิชย์</t>
  </si>
  <si>
    <t>วัชรกร</t>
  </si>
  <si>
    <t>ราชคม</t>
  </si>
  <si>
    <t>เพ็งพันธ์</t>
  </si>
  <si>
    <t>บ้านกล้วย</t>
  </si>
  <si>
    <t>แสงสกุล</t>
  </si>
  <si>
    <t>คงแสง</t>
  </si>
  <si>
    <t>กฤษณ์</t>
  </si>
  <si>
    <t>ศิริสวัสดิ์</t>
  </si>
  <si>
    <t>วสุภัทร</t>
  </si>
  <si>
    <t>สันทราย</t>
  </si>
  <si>
    <t>ดนัย</t>
  </si>
  <si>
    <t>ตันสกุล</t>
  </si>
  <si>
    <t>อัศวพงษ์</t>
  </si>
  <si>
    <t>กล้าจริง</t>
  </si>
  <si>
    <t>สุดเขต</t>
  </si>
  <si>
    <t>แก้วกอง</t>
  </si>
  <si>
    <t>สุพรรณโรจน์</t>
  </si>
  <si>
    <t>พรชิตา</t>
  </si>
  <si>
    <t>ตาบม่วง</t>
  </si>
  <si>
    <t>กัญญ์ชญา</t>
  </si>
  <si>
    <t>ภคพร</t>
  </si>
  <si>
    <t>จันทร์สว่าง</t>
  </si>
  <si>
    <t>รณภูมิ</t>
  </si>
  <si>
    <t>ปะนัดเท</t>
  </si>
  <si>
    <t>กรรณิกา</t>
  </si>
  <si>
    <t>ยุภาวดี</t>
  </si>
  <si>
    <t>หาญสู้</t>
  </si>
  <si>
    <t>โรจน์ณรงค์</t>
  </si>
  <si>
    <t>กิจประเสริฐสกุล</t>
  </si>
  <si>
    <t>แก้วกาศ</t>
  </si>
  <si>
    <t>ป้อมสุข</t>
  </si>
  <si>
    <t>มณฑา</t>
  </si>
  <si>
    <t>พึ่งโพธิ์ทอง</t>
  </si>
  <si>
    <t>สังสุวรรณ์</t>
  </si>
  <si>
    <t>กิตติพงศ์</t>
  </si>
  <si>
    <t>จันทร์เพ็ชร</t>
  </si>
  <si>
    <t>สิริวัชรโรจน์</t>
  </si>
  <si>
    <t>สุวรรณจิตร</t>
  </si>
  <si>
    <t>วีรยา</t>
  </si>
  <si>
    <t>เข็มประดับ</t>
  </si>
  <si>
    <t>ธนวัน</t>
  </si>
  <si>
    <t>บัวขาว</t>
  </si>
  <si>
    <t>ตู้แก้ว</t>
  </si>
  <si>
    <t>แปตุ</t>
  </si>
  <si>
    <t>วนาเกษมสุข</t>
  </si>
  <si>
    <t>พรทวี</t>
  </si>
  <si>
    <t>บุญล้อ</t>
  </si>
  <si>
    <t>เหล่าจันทร์</t>
  </si>
  <si>
    <t>ฤทัยชนก</t>
  </si>
  <si>
    <t>ปุณยวีร์</t>
  </si>
  <si>
    <t>พราหมณ์วงศ์</t>
  </si>
  <si>
    <t>จักรพงศ์</t>
  </si>
  <si>
    <t>สวัตติวงศ์</t>
  </si>
  <si>
    <t>เกตุสิริ</t>
  </si>
  <si>
    <t>เกาะเกตุ</t>
  </si>
  <si>
    <t>สุขสม</t>
  </si>
  <si>
    <t>อรรถสิทธิ์</t>
  </si>
  <si>
    <t>ทองสัมฤทธิ์</t>
  </si>
  <si>
    <t>สงัด</t>
  </si>
  <si>
    <t>จารุอรุณชัย</t>
  </si>
  <si>
    <t>ชานมณีรัตน์</t>
  </si>
  <si>
    <t>กัณฐ์ญานัฐ</t>
  </si>
  <si>
    <t>ฤทธิ์สุวรรณ</t>
  </si>
  <si>
    <t>วิโรจน์วรวิทย์</t>
  </si>
  <si>
    <t>ปุณยภาญิ์</t>
  </si>
  <si>
    <t>อุทัยรัตน์</t>
  </si>
  <si>
    <t>วีระพร</t>
  </si>
  <si>
    <t>ขนอม</t>
  </si>
  <si>
    <t>สิริมา</t>
  </si>
  <si>
    <t>เพชรแบน</t>
  </si>
  <si>
    <t>ยอดเจริญ</t>
  </si>
  <si>
    <t>นพดล</t>
  </si>
  <si>
    <t>หลีวิทยานนท์</t>
  </si>
  <si>
    <t>ศุภศิลป์</t>
  </si>
  <si>
    <t>อินชนะ</t>
  </si>
  <si>
    <t>พรประสิทธิ์</t>
  </si>
  <si>
    <t>ชาติดำ</t>
  </si>
  <si>
    <t>ทับทิมทอง</t>
  </si>
  <si>
    <t>ลอยฟ้า</t>
  </si>
  <si>
    <t>พยงค์</t>
  </si>
  <si>
    <t>เพชรสุวรรณ</t>
  </si>
  <si>
    <t>วิสุทธิ์</t>
  </si>
  <si>
    <t>เทือกสุบรรณ</t>
  </si>
  <si>
    <t>ปาละกุล</t>
  </si>
  <si>
    <t>จำเดิม</t>
  </si>
  <si>
    <t>วิษณุพงศ์</t>
  </si>
  <si>
    <t>จันทโกมุท</t>
  </si>
  <si>
    <t>ทองสงค์</t>
  </si>
  <si>
    <t>จิรัฐติกาลกุลเวท</t>
  </si>
  <si>
    <t>ใจเย็น</t>
  </si>
  <si>
    <t>สุวรรณ</t>
  </si>
  <si>
    <t>จีรพงศ์</t>
  </si>
  <si>
    <t>นิตติยา</t>
  </si>
  <si>
    <t>คาร</t>
  </si>
  <si>
    <t>เพชรอาวุธ</t>
  </si>
  <si>
    <t>เสนสิงห์</t>
  </si>
  <si>
    <t>แตงอ่อน</t>
  </si>
  <si>
    <t>พุฒทอง</t>
  </si>
  <si>
    <t>วิชานนท์</t>
  </si>
  <si>
    <t>งามสง่า</t>
  </si>
  <si>
    <t>นิติพร</t>
  </si>
  <si>
    <t>ปทะวานิช</t>
  </si>
  <si>
    <t>สายฝน</t>
  </si>
  <si>
    <t>สังข์โชติ</t>
  </si>
  <si>
    <t>หอกแสง</t>
  </si>
  <si>
    <t>สมมาต</t>
  </si>
  <si>
    <t>ชูสงดำ</t>
  </si>
  <si>
    <t>อินทร์สังข์</t>
  </si>
  <si>
    <t>พ่วงสะอาด</t>
  </si>
  <si>
    <t>ไกรภูมิ</t>
  </si>
  <si>
    <t>ญาสิทธิ์</t>
  </si>
  <si>
    <t>บุญพัฒน์</t>
  </si>
  <si>
    <t>สาริศา</t>
  </si>
  <si>
    <t>ส่งเสริมสกุล</t>
  </si>
  <si>
    <t>ม่วงจันทร์</t>
  </si>
  <si>
    <t>กตพร</t>
  </si>
  <si>
    <t>ภู่ขันเงิน</t>
  </si>
  <si>
    <t>พัชชลี</t>
  </si>
  <si>
    <t>แทนเจริญศักดิ์</t>
  </si>
  <si>
    <t>วงศ์ธวัชบุรี</t>
  </si>
  <si>
    <t>วงษ์แก้ว</t>
  </si>
  <si>
    <t>พุทธชาด</t>
  </si>
  <si>
    <t>ชัยเพ็ชร์</t>
  </si>
  <si>
    <t>พิพัฒน์พงค์</t>
  </si>
  <si>
    <t>ชูสิงห์แค</t>
  </si>
  <si>
    <t>ว่องวิช</t>
  </si>
  <si>
    <t>กุลวงษ์มาณะโส</t>
  </si>
  <si>
    <t>ทวิส</t>
  </si>
  <si>
    <t>รอดคุ้ม</t>
  </si>
  <si>
    <t>มณทิพย์</t>
  </si>
  <si>
    <t>เทพแก้ว</t>
  </si>
  <si>
    <t>ชัยศิริ</t>
  </si>
  <si>
    <t>รักษาชาติ</t>
  </si>
  <si>
    <t>จิตตินนท์</t>
  </si>
  <si>
    <t>ธรรมโชโต</t>
  </si>
  <si>
    <t>ชมัยพร</t>
  </si>
  <si>
    <t>ชูผอม</t>
  </si>
  <si>
    <t>นุ่นมัน</t>
  </si>
  <si>
    <t>ไกรสุริวงค์</t>
  </si>
  <si>
    <t>มานัส</t>
  </si>
  <si>
    <t>อ้วนสูงเนิน</t>
  </si>
  <si>
    <t>เจนณรงค์</t>
  </si>
  <si>
    <t>ทาละไพร</t>
  </si>
  <si>
    <t>ศิราเมษฐ์</t>
  </si>
  <si>
    <t>เงินถาวรญาพัฒน์</t>
  </si>
  <si>
    <t>ยงยุทธ์</t>
  </si>
  <si>
    <t>จุนโท</t>
  </si>
  <si>
    <t>คุปตศิลา</t>
  </si>
  <si>
    <t>ภูริจักษ์</t>
  </si>
  <si>
    <t>พลกำจัด</t>
  </si>
  <si>
    <t>เพ็ชรทอง</t>
  </si>
  <si>
    <t>อันซอร</t>
  </si>
  <si>
    <t>หมานมานะ</t>
  </si>
  <si>
    <t>เกษมสัตย์</t>
  </si>
  <si>
    <t>อ้นสถิตย์</t>
  </si>
  <si>
    <t>ชิตรัตถา</t>
  </si>
  <si>
    <t>โกรัมย์</t>
  </si>
  <si>
    <t>ยงประเดิม</t>
  </si>
  <si>
    <t>สระศรีสุวรรณ</t>
  </si>
  <si>
    <t>คุณากร</t>
  </si>
  <si>
    <t>แก้วสุกใส</t>
  </si>
  <si>
    <t>อติตา</t>
  </si>
  <si>
    <t>สุขทอง</t>
  </si>
  <si>
    <t>ลดารัตน์</t>
  </si>
  <si>
    <t>ราชอุไร</t>
  </si>
  <si>
    <t>ธนัชพัชญ์</t>
  </si>
  <si>
    <t>สุวรรณศักดิ์</t>
  </si>
  <si>
    <t>หนูทอง</t>
  </si>
  <si>
    <t>บุญญะ</t>
  </si>
  <si>
    <t>อุสา</t>
  </si>
  <si>
    <t>ใบเต้</t>
  </si>
  <si>
    <t>พัชรีภรณ์</t>
  </si>
  <si>
    <t>อินปลอด</t>
  </si>
  <si>
    <t>อนุวัต</t>
  </si>
  <si>
    <t>เทอดนิเวศน์</t>
  </si>
  <si>
    <t>หัตถประดิษฐ์</t>
  </si>
  <si>
    <t>เมตตา</t>
  </si>
  <si>
    <t>ภิรมยาภรณ์</t>
  </si>
  <si>
    <t>ภารดี</t>
  </si>
  <si>
    <t>พรหมสุวรรณ</t>
  </si>
  <si>
    <t>อารีพร</t>
  </si>
  <si>
    <t>ช่วยสงคราม</t>
  </si>
  <si>
    <t>ศรัณย์กร</t>
  </si>
  <si>
    <t>พาณี</t>
  </si>
  <si>
    <t>กัญจนา</t>
  </si>
  <si>
    <t>มานพพันธ์</t>
  </si>
  <si>
    <t>หมาดเส็น</t>
  </si>
  <si>
    <t>วิสาร</t>
  </si>
  <si>
    <t>สุขสาร</t>
  </si>
  <si>
    <t>เรืองนาค</t>
  </si>
  <si>
    <t>รอม</t>
  </si>
  <si>
    <t>รักหาบ</t>
  </si>
  <si>
    <t>สรวิชญ์</t>
  </si>
  <si>
    <t>ชุมแสง</t>
  </si>
  <si>
    <t>ชัยยุทธ</t>
  </si>
  <si>
    <t>ภัทรจินดาวงศ์</t>
  </si>
  <si>
    <t>ไตรเมต</t>
  </si>
  <si>
    <t>เกื้อวงค์</t>
  </si>
  <si>
    <t>ธิดาวรรณ</t>
  </si>
  <si>
    <t>วงศ์สวนนท์</t>
  </si>
  <si>
    <t>สิทธิพงค์</t>
  </si>
  <si>
    <t>ขันชู</t>
  </si>
  <si>
    <t>ไทรบุรี</t>
  </si>
  <si>
    <t>พิเชฏ</t>
  </si>
  <si>
    <t>สุพรรณชนะบุรี</t>
  </si>
  <si>
    <t>มรรคาเขต</t>
  </si>
  <si>
    <t>ลดาวัลย์</t>
  </si>
  <si>
    <t>บรรจง</t>
  </si>
  <si>
    <t>ถีราวุฒิ</t>
  </si>
  <si>
    <t>พงศ์สยาม</t>
  </si>
  <si>
    <t>หอมขาว</t>
  </si>
  <si>
    <t>ศรีเพ็ชร</t>
  </si>
  <si>
    <t>วีรยุทธ</t>
  </si>
  <si>
    <t>สาหลี</t>
  </si>
  <si>
    <t>ปิยะภัทร</t>
  </si>
  <si>
    <t>สมัครพงศ์</t>
  </si>
  <si>
    <t>ทศวร</t>
  </si>
  <si>
    <t>จเร</t>
  </si>
  <si>
    <t>ปัทมพร</t>
  </si>
  <si>
    <t>นาทอง</t>
  </si>
  <si>
    <t>ขวัญประชา</t>
  </si>
  <si>
    <t>บิลโส๊ะ</t>
  </si>
  <si>
    <t>แก้วบุปผา</t>
  </si>
  <si>
    <t>กองแก้ว</t>
  </si>
  <si>
    <t>อรรัตน์</t>
  </si>
  <si>
    <t>ตรีไวย</t>
  </si>
  <si>
    <t>ปิยนันท์</t>
  </si>
  <si>
    <t>ยิ้มวัลย์</t>
  </si>
  <si>
    <t>เพ็ญพิชา</t>
  </si>
  <si>
    <t>เหมพันธ์</t>
  </si>
  <si>
    <t>ฤทัยกาญจน์</t>
  </si>
  <si>
    <t>วงศ์งาม</t>
  </si>
  <si>
    <t>รักไชย</t>
  </si>
  <si>
    <t>ชาติภัย</t>
  </si>
  <si>
    <t>นิคม</t>
  </si>
  <si>
    <t>กานดา</t>
  </si>
  <si>
    <t>สุวรรณกาญจน์</t>
  </si>
  <si>
    <t>บรรจบ</t>
  </si>
  <si>
    <t>ลอยเลื่อน</t>
  </si>
  <si>
    <t>ราชแดหวา</t>
  </si>
  <si>
    <t>เรวัฒน์</t>
  </si>
  <si>
    <t>จันทร์แก้ว</t>
  </si>
  <si>
    <t>รัชนู</t>
  </si>
  <si>
    <t>ฤทธิ์โต</t>
  </si>
  <si>
    <t>ฉันทวีโรจน์</t>
  </si>
  <si>
    <t>อนุสาร</t>
  </si>
  <si>
    <t>จันทร์จะนะ</t>
  </si>
  <si>
    <t>คำนวน</t>
  </si>
  <si>
    <t>กระจ่าง</t>
  </si>
  <si>
    <t>สุขหิรัญรัตน์</t>
  </si>
  <si>
    <t>ทองพันธ์</t>
  </si>
  <si>
    <t>ไชยศ</t>
  </si>
  <si>
    <t>คงประเทศ</t>
  </si>
  <si>
    <t>พันชู</t>
  </si>
  <si>
    <t>เหมวิเชียร</t>
  </si>
  <si>
    <t>สวัสดิ์</t>
  </si>
  <si>
    <t>เลื่อนเกื้อ</t>
  </si>
  <si>
    <t>ณิชมน</t>
  </si>
  <si>
    <t>ใจซื่อ</t>
  </si>
  <si>
    <t>เวทมาหะ</t>
  </si>
  <si>
    <t>หนูเสือ</t>
  </si>
  <si>
    <t>อากร</t>
  </si>
  <si>
    <t>ปัณญ์ตวัน</t>
  </si>
  <si>
    <t>พันคง</t>
  </si>
  <si>
    <t>เฉลิมขวัญ</t>
  </si>
  <si>
    <t>มูลติไชย</t>
  </si>
  <si>
    <t>เอียดทอง</t>
  </si>
  <si>
    <t>เรืองพิบูลย์</t>
  </si>
  <si>
    <t>บุญยอร</t>
  </si>
  <si>
    <t>นาคะวิโรจน์</t>
  </si>
  <si>
    <t>กิตติพล</t>
  </si>
  <si>
    <t>รอดอุบล</t>
  </si>
  <si>
    <t>หะสัน</t>
  </si>
  <si>
    <t>หวันลาเต๊ะ</t>
  </si>
  <si>
    <t>แก้วจันทร์</t>
  </si>
  <si>
    <t>สโมสร</t>
  </si>
  <si>
    <t>สุภา</t>
  </si>
  <si>
    <t>ธนสมบัติ</t>
  </si>
  <si>
    <t>พุทธชาติ</t>
  </si>
  <si>
    <t>จิรา</t>
  </si>
  <si>
    <t>ศรประสิทธิ์</t>
  </si>
  <si>
    <t>อาภาสุณีย์</t>
  </si>
  <si>
    <t>คลายทุกข์</t>
  </si>
  <si>
    <t>เชื้อจีน</t>
  </si>
  <si>
    <t>คณพศ</t>
  </si>
  <si>
    <t>ทองชูช่วย</t>
  </si>
  <si>
    <t>ทิพรินทร์</t>
  </si>
  <si>
    <t>โรจนสุวรรณ</t>
  </si>
  <si>
    <t>สุวีนา</t>
  </si>
  <si>
    <t>พิเศษสิทธิ์</t>
  </si>
  <si>
    <t>นฐวรรณ</t>
  </si>
  <si>
    <t>ชูใหม่</t>
  </si>
  <si>
    <t>จำเริญ</t>
  </si>
  <si>
    <t>สาเรศ</t>
  </si>
  <si>
    <t>หนูเมฆ</t>
  </si>
  <si>
    <t>พรมแก้ว</t>
  </si>
  <si>
    <t>จิรมาศ</t>
  </si>
  <si>
    <t>สุบินมิตร</t>
  </si>
  <si>
    <t>จันทร์เต็ม</t>
  </si>
  <si>
    <t>สุวณี</t>
  </si>
  <si>
    <t>โอฬาริ</t>
  </si>
  <si>
    <t>พิสิษฐ</t>
  </si>
  <si>
    <t>ศิริสรรพ์</t>
  </si>
  <si>
    <t>ดำใส</t>
  </si>
  <si>
    <t>อันติยา</t>
  </si>
  <si>
    <t>ทองพูล</t>
  </si>
  <si>
    <t>ดำยศ</t>
  </si>
  <si>
    <t>ปิยะนาถ</t>
  </si>
  <si>
    <t>มาเอียด</t>
  </si>
  <si>
    <t>วัยทิพย์</t>
  </si>
  <si>
    <t>ตั้นฉ้วน</t>
  </si>
  <si>
    <t>ศรีสังขจร</t>
  </si>
  <si>
    <t>รุจิรา</t>
  </si>
  <si>
    <t>เพ็ชหวล</t>
  </si>
  <si>
    <t>เต้งชู</t>
  </si>
  <si>
    <t>ฐิตารีย์</t>
  </si>
  <si>
    <t>อินเหมือน</t>
  </si>
  <si>
    <t>พิมพิลาภรณ์</t>
  </si>
  <si>
    <t>ทองชิต</t>
  </si>
  <si>
    <t>นวลนิ่ม</t>
  </si>
  <si>
    <t>คงนคร</t>
  </si>
  <si>
    <t>เบญจรัตน์</t>
  </si>
  <si>
    <t>รักษ์ณรงค์</t>
  </si>
  <si>
    <t>ณัฐกานต์</t>
  </si>
  <si>
    <t>ฤกขะวุฒิกุล</t>
  </si>
  <si>
    <t>หมั่นทวี</t>
  </si>
  <si>
    <t>ปิติพงษ์</t>
  </si>
  <si>
    <t>ชัยเพชร</t>
  </si>
  <si>
    <t>ยิ่งยวด</t>
  </si>
  <si>
    <t>จิระวัฒน์</t>
  </si>
  <si>
    <t>อับดุลเลาะ</t>
  </si>
  <si>
    <t>หลีเยาว์</t>
  </si>
  <si>
    <t>เรืองยิ่ง</t>
  </si>
  <si>
    <t>วิรัตน์</t>
  </si>
  <si>
    <t>บำราญ</t>
  </si>
  <si>
    <t>เสรีย์</t>
  </si>
  <si>
    <t>หลังเกต</t>
  </si>
  <si>
    <t>ณัฐธิดา</t>
  </si>
  <si>
    <t>เหมสลาหมาด</t>
  </si>
  <si>
    <t>เยี่ยมศักดิ์</t>
  </si>
  <si>
    <t>ทิพย์สุดา</t>
  </si>
  <si>
    <t>จิ้วจวบ</t>
  </si>
  <si>
    <t>สนั่น</t>
  </si>
  <si>
    <t>เถาวัลย์</t>
  </si>
  <si>
    <t>หมื่นสุวรรณ</t>
  </si>
  <si>
    <t>เชาวลิต</t>
  </si>
  <si>
    <t>ไฝนุ้ย</t>
  </si>
  <si>
    <t>ฮ่องสกุล</t>
  </si>
  <si>
    <t>สุทร</t>
  </si>
  <si>
    <t>สอดส่อง</t>
  </si>
  <si>
    <t>มุณีแนม</t>
  </si>
  <si>
    <t>ต่วนอัมรัน</t>
  </si>
  <si>
    <t>กุโน</t>
  </si>
  <si>
    <t>สิทธิพร</t>
  </si>
  <si>
    <t>มิตรสาร</t>
  </si>
  <si>
    <t>อำไพฤทธิ์</t>
  </si>
  <si>
    <t>ธนริศย์</t>
  </si>
  <si>
    <t>ธนสุทธินพกิตติ์</t>
  </si>
  <si>
    <t>ธนพจน์</t>
  </si>
  <si>
    <t>ศิริอาชาพันธ์</t>
  </si>
  <si>
    <t>อิดือเร๊ะ</t>
  </si>
  <si>
    <t>มะนีหิยา</t>
  </si>
  <si>
    <t>ศรัณย์ภัทร์</t>
  </si>
  <si>
    <t>จันทร์อุดม</t>
  </si>
  <si>
    <t>ผดุงมาศ</t>
  </si>
  <si>
    <t>จันทรัตน์</t>
  </si>
  <si>
    <t>อดินันท์</t>
  </si>
  <si>
    <t>หลงสลำ</t>
  </si>
  <si>
    <t>พรพิสุทธิ์</t>
  </si>
  <si>
    <t>พรมทอง</t>
  </si>
  <si>
    <t>ขุนหมวก</t>
  </si>
  <si>
    <t>จิตติยา</t>
  </si>
  <si>
    <t>โสะหาบ</t>
  </si>
  <si>
    <t>วัชรพันธุ์</t>
  </si>
  <si>
    <t>คนอง</t>
  </si>
  <si>
    <t>สมัตถะ</t>
  </si>
  <si>
    <t>นุ้ยน้ำวงค์</t>
  </si>
  <si>
    <t>ภูวิทู</t>
  </si>
  <si>
    <t>สรเสณี</t>
  </si>
  <si>
    <t>ภูเมษ</t>
  </si>
  <si>
    <t>ปลอดหนู</t>
  </si>
  <si>
    <t>เอกศักดิ์</t>
  </si>
  <si>
    <t>หนูกลับ</t>
  </si>
  <si>
    <t>จันทบูรณ์</t>
  </si>
  <si>
    <t>อัมราน</t>
  </si>
  <si>
    <t>บิลเฉลิม</t>
  </si>
  <si>
    <t>ขจรทุกทิศ</t>
  </si>
  <si>
    <t>ซุลกิฟลี</t>
  </si>
  <si>
    <t>ฮูลูสาแล๊ะ</t>
  </si>
  <si>
    <t>นาคบุตร</t>
  </si>
  <si>
    <t>พีระพัฒน์</t>
  </si>
  <si>
    <t>วั่นเส้ง</t>
  </si>
  <si>
    <t>เล็กดา</t>
  </si>
  <si>
    <t>จีระดำรงธัญญา</t>
  </si>
  <si>
    <t>นนทกาญจน์</t>
  </si>
  <si>
    <t>จันพรม</t>
  </si>
  <si>
    <t>อภิรัตน์</t>
  </si>
  <si>
    <t>ปมลภรรท</t>
  </si>
  <si>
    <t>กรดเต็ม</t>
  </si>
  <si>
    <t>ภานุณี</t>
  </si>
  <si>
    <t>นิเลาะ</t>
  </si>
  <si>
    <t>สุวิจักขณ์</t>
  </si>
  <si>
    <t>ทองหนัน</t>
  </si>
  <si>
    <t>สุภชีพ</t>
  </si>
  <si>
    <t>ด้วงประเสริฐ</t>
  </si>
  <si>
    <t>ฮาซัน</t>
  </si>
  <si>
    <t>มะหะมะอูเซ็ง</t>
  </si>
  <si>
    <t>ปิยณัฐ</t>
  </si>
  <si>
    <t>แก้วเป็นทอง</t>
  </si>
  <si>
    <t>ท้าวสกุล</t>
  </si>
  <si>
    <t>สังข์ทอง</t>
  </si>
  <si>
    <t>สิระทิตย์</t>
  </si>
  <si>
    <t>นะไชย</t>
  </si>
  <si>
    <t>นันทิยา</t>
  </si>
  <si>
    <t>จีนธาดา</t>
  </si>
  <si>
    <t>เทพเงิน</t>
  </si>
  <si>
    <t>บรรพต</t>
  </si>
  <si>
    <t>นิหะ</t>
  </si>
  <si>
    <t>เจ๊ะโส๊ะ</t>
  </si>
  <si>
    <t>นาวาวี</t>
  </si>
  <si>
    <t>มะ</t>
  </si>
  <si>
    <t>มุกตาร์</t>
  </si>
  <si>
    <t>อาบ๊ะ</t>
  </si>
  <si>
    <t>ธัญผกาญจน์</t>
  </si>
  <si>
    <t>ชูตระกูล</t>
  </si>
  <si>
    <t>ศรีแก้วแฝก</t>
  </si>
  <si>
    <t>จุลีรัตน์</t>
  </si>
  <si>
    <t>สำเร</t>
  </si>
  <si>
    <t>ปัญชญา</t>
  </si>
  <si>
    <t>แก้วคล้ำ</t>
  </si>
  <si>
    <t>เซ่งสวัสดิ์</t>
  </si>
  <si>
    <t>อัฐศิษฎ์</t>
  </si>
  <si>
    <t>ดาเดะ</t>
  </si>
  <si>
    <t>สาหิหลา</t>
  </si>
  <si>
    <t>สำลี</t>
  </si>
  <si>
    <t>ชูเอียด</t>
  </si>
  <si>
    <t>ชาคริทธิ์</t>
  </si>
  <si>
    <t>ดิษฐประยูร</t>
  </si>
  <si>
    <t>เทพโอสถ</t>
  </si>
  <si>
    <t>เชี่ยวน้อย</t>
  </si>
  <si>
    <t>ศิลปทินกร</t>
  </si>
  <si>
    <t>พิริยะการสกุล</t>
  </si>
  <si>
    <t>ทรงวิชญ์</t>
  </si>
  <si>
    <t>ภคณัฐ</t>
  </si>
  <si>
    <t>พูลเพิ่ม</t>
  </si>
  <si>
    <t>อนงค์นาฎ</t>
  </si>
  <si>
    <t>ศักแสงโสภา</t>
  </si>
  <si>
    <t>สมมารถ</t>
  </si>
  <si>
    <t>เหลืองสุก</t>
  </si>
  <si>
    <t>ทองมา</t>
  </si>
  <si>
    <t>ปกรณ์วิทย์</t>
  </si>
  <si>
    <t>ปิติพล</t>
  </si>
  <si>
    <t>จัลวรรณา</t>
  </si>
  <si>
    <t>นัฐพงศ์</t>
  </si>
  <si>
    <t>เทียมเงิน</t>
  </si>
  <si>
    <t>ขันติวัฒนพงศ์</t>
  </si>
  <si>
    <t>ทมิตา</t>
  </si>
  <si>
    <t>เรืองฤทธิ์</t>
  </si>
  <si>
    <t>สงสุวรรณ์</t>
  </si>
  <si>
    <t>ประทีป</t>
  </si>
  <si>
    <t>อินน้อย</t>
  </si>
  <si>
    <t>สันติวัฒน์</t>
  </si>
  <si>
    <t>สุขธรณ์</t>
  </si>
  <si>
    <t>คงยัง</t>
  </si>
  <si>
    <t>จักรกฤษ</t>
  </si>
  <si>
    <t>จับใจ</t>
  </si>
  <si>
    <t>ปรภาส</t>
  </si>
  <si>
    <t>โสภาพ</t>
  </si>
  <si>
    <t>อับดุลอามีน</t>
  </si>
  <si>
    <t>หัดมัด</t>
  </si>
  <si>
    <t>อนุรักษ์</t>
  </si>
  <si>
    <t>ประพฤติดี</t>
  </si>
  <si>
    <t>โรสนะ</t>
  </si>
  <si>
    <t>มูซอดี</t>
  </si>
  <si>
    <t>พัชรบุญ</t>
  </si>
  <si>
    <t>ประกิจ</t>
  </si>
  <si>
    <t>อภิเชษฐ์</t>
  </si>
  <si>
    <t>นิ่มวุ่น</t>
  </si>
  <si>
    <t>จันทผลึก</t>
  </si>
  <si>
    <t>ธชภูมิ</t>
  </si>
  <si>
    <t>พรหมอินทร์</t>
  </si>
  <si>
    <t>ปงใจ</t>
  </si>
  <si>
    <t>คงทอง</t>
  </si>
  <si>
    <t>กุลบุตร</t>
  </si>
  <si>
    <t>เทพฤทธิ์</t>
  </si>
  <si>
    <t>ทองช่างเหล็ก</t>
  </si>
  <si>
    <t>จารินี</t>
  </si>
  <si>
    <t>สุวรรณราช</t>
  </si>
  <si>
    <t>จุฑานุช</t>
  </si>
  <si>
    <t>แสนสุข</t>
  </si>
  <si>
    <t>นาฏยา</t>
  </si>
  <si>
    <t>วันคณะ</t>
  </si>
  <si>
    <t>ประเจียด</t>
  </si>
  <si>
    <t>ชุมดี</t>
  </si>
  <si>
    <t>เชษ</t>
  </si>
  <si>
    <t>ไชยกิจ</t>
  </si>
  <si>
    <t>ชินวัตร</t>
  </si>
  <si>
    <t>วังจันทร์</t>
  </si>
  <si>
    <t>รัตพล</t>
  </si>
  <si>
    <t>ชูขาว</t>
  </si>
  <si>
    <t>จิฎาภา</t>
  </si>
  <si>
    <t>ดำกรี</t>
  </si>
  <si>
    <t>นิอารง</t>
  </si>
  <si>
    <t>หนิเซ็ง</t>
  </si>
  <si>
    <t>จงบรรณกิจ</t>
  </si>
  <si>
    <t>จิตรติมา</t>
  </si>
  <si>
    <t>บุตรจีน</t>
  </si>
  <si>
    <t>ปรัญญา</t>
  </si>
  <si>
    <t>รัตนพิสิฏฐ์</t>
  </si>
  <si>
    <t>บุญให้</t>
  </si>
  <si>
    <t>ชูเกียรติ</t>
  </si>
  <si>
    <t>ทองจินดา</t>
  </si>
  <si>
    <t>สุรพล</t>
  </si>
  <si>
    <t>ลูกจันทร์</t>
  </si>
  <si>
    <t>วรพิพัฒน์สกุล</t>
  </si>
  <si>
    <t>รอง สว.(อก) พฐ.จว.นราธิวาส</t>
  </si>
  <si>
    <t>รุ่งนภา นาหนองตูม</t>
  </si>
  <si>
    <t>นาหนองตูม</t>
  </si>
  <si>
    <t>วิภาพร สาริมาน</t>
  </si>
  <si>
    <t>สาริมาน</t>
  </si>
  <si>
    <t>จักรพงษ์ ศรีวงษ์กฎ</t>
  </si>
  <si>
    <t>ทว.ที่ 52/68</t>
  </si>
  <si>
    <t>ศพฐ.1 ที่ 60/68</t>
  </si>
  <si>
    <t>ศพฐ.2 ที่ 52/68</t>
  </si>
  <si>
    <t>ศพฐ.3 ที่ 56/68</t>
  </si>
  <si>
    <t>ศพฐ.4 ที่ 116/68</t>
  </si>
  <si>
    <t>ศพฐ.5 ที่ 84/68</t>
  </si>
  <si>
    <t>ศพฐ.8 ที่ 95/68</t>
  </si>
  <si>
    <t>ศพฐ.9 ที่ 73/68</t>
  </si>
  <si>
    <t>ไฟศอล พัชรธารากุล</t>
  </si>
  <si>
    <t>ไฟศอล</t>
  </si>
  <si>
    <t>พัชรธารากุล</t>
  </si>
  <si>
    <t>ฐานันตะ</t>
  </si>
  <si>
    <t>วัชรธนาภัทร ณรงค์พันธ์</t>
  </si>
  <si>
    <t>วัชรธนาภัทร</t>
  </si>
  <si>
    <t>ณรงค์พันธ์</t>
  </si>
  <si>
    <t>นวัต</t>
  </si>
  <si>
    <t>สุริยา รัตน์เกล้า</t>
  </si>
  <si>
    <t>รัตน์เกล้า</t>
  </si>
  <si>
    <t>วีระยุทธ แสงทอง</t>
  </si>
  <si>
    <t>กรจินันท์ จันทร์กาญจน์</t>
  </si>
  <si>
    <t>กรจินันท์</t>
  </si>
  <si>
    <t>จันทร์กาญจน์</t>
  </si>
  <si>
    <t>สุภาษิต คำนนท์</t>
  </si>
  <si>
    <t>สุภาษิต</t>
  </si>
  <si>
    <t>คำนนท์</t>
  </si>
  <si>
    <t>จุรีภรณ์ แก้วเดิม</t>
  </si>
  <si>
    <t>แก้วเดิม</t>
  </si>
  <si>
    <t>พรชัย การวิจิตต์</t>
  </si>
  <si>
    <t>การวิจิตต์</t>
  </si>
  <si>
    <t>เอกพันธุ์ เหลี่ยวรุ่งเรือง</t>
  </si>
  <si>
    <t>เอกพันธุ์</t>
  </si>
  <si>
    <t>เหลี่ยวรุ่งเรือง</t>
  </si>
  <si>
    <t>พีระพงษ์ ทิพย์มงคล</t>
  </si>
  <si>
    <t>พีระพงษ์</t>
  </si>
  <si>
    <t>ทิพย์มงคล</t>
  </si>
  <si>
    <t>ศุภชัย อินทรเพชร</t>
  </si>
  <si>
    <t>อินทรเพชร</t>
  </si>
  <si>
    <t>บำรุง ชอุ่มผิว</t>
  </si>
  <si>
    <t>ชอุ่มผิว</t>
  </si>
  <si>
    <t>บุตรี บุตรชน</t>
  </si>
  <si>
    <t>บุตรี</t>
  </si>
  <si>
    <t>บุตรชน</t>
  </si>
  <si>
    <t>ฐานทิพย์ บุษบงค์</t>
  </si>
  <si>
    <t>ฐานทิพย์</t>
  </si>
  <si>
    <t>บุษบงค์</t>
  </si>
  <si>
    <t xml:space="preserve">พรพิมล จันทร์แดง </t>
  </si>
  <si>
    <t>ร.ต.ต.</t>
  </si>
  <si>
    <t>อธิภัทร สวนแก้ว</t>
  </si>
  <si>
    <t>อธิภัทร</t>
  </si>
  <si>
    <t>สวนแก้ว</t>
  </si>
  <si>
    <t>สราวุฒิ คุ้มคุณ</t>
  </si>
  <si>
    <t>คุ้มคุณ</t>
  </si>
  <si>
    <t>พุทธวงษ์</t>
  </si>
  <si>
    <t>รอง สว.(อก.) พฐ.จว.ตาก</t>
  </si>
  <si>
    <t>ชลอ พูลสวัสดิ์</t>
  </si>
  <si>
    <t>ชลอ</t>
  </si>
  <si>
    <t>พชรพล กล้องเสียง</t>
  </si>
  <si>
    <t>พชรพล</t>
  </si>
  <si>
    <t>กล้องเสียง</t>
  </si>
  <si>
    <t>สวรส มหรรทัศนะพงศ์</t>
  </si>
  <si>
    <t>ไตรภพ อันพิมพ์</t>
  </si>
  <si>
    <t>ไตรภพ</t>
  </si>
  <si>
    <t>อันพิมพ์</t>
  </si>
  <si>
    <t>ณัฏฐณิชา ไชยวงศ์</t>
  </si>
  <si>
    <t>นิศารัตน์ ศรีขันทะ</t>
  </si>
  <si>
    <t>คมกริช โมรา</t>
  </si>
  <si>
    <t>คมกริช</t>
  </si>
  <si>
    <t>โมรา</t>
  </si>
  <si>
    <t>ธนกร บัวจันทร์</t>
  </si>
  <si>
    <t>บัวจันทร์</t>
  </si>
  <si>
    <t>ณัฐรดา คะตะวงศ์</t>
  </si>
  <si>
    <t>ณัฐรดา</t>
  </si>
  <si>
    <t>คะตะวงศ์</t>
  </si>
  <si>
    <t>สุกัญญา สมวงค์</t>
  </si>
  <si>
    <t>สมวงค์</t>
  </si>
  <si>
    <t>รสลิน จำปา</t>
  </si>
  <si>
    <t>รสลิน</t>
  </si>
  <si>
    <t>ฐิติรัตน์ เพ็ชรรัตน์</t>
  </si>
  <si>
    <t>เพ็ชรรัตน์</t>
  </si>
  <si>
    <t>วิภาวรรณ โยธาทอน</t>
  </si>
  <si>
    <t>วิภาวรรณ</t>
  </si>
  <si>
    <t>โยธาทอน</t>
  </si>
  <si>
    <t xml:space="preserve">มิรินธร เอี่ยมสอาด </t>
  </si>
  <si>
    <t>มิรินธร</t>
  </si>
  <si>
    <t>กาเขียว</t>
  </si>
  <si>
    <t>สุทธิชล แก้วมณี</t>
  </si>
  <si>
    <t>สุทธิชล</t>
  </si>
  <si>
    <t>ปรเมศวร์ สุวรรณภักดี</t>
  </si>
  <si>
    <t>ปรเมศวร์</t>
  </si>
  <si>
    <t>สุวรรณภักดี</t>
  </si>
  <si>
    <t>พรสุดา</t>
  </si>
  <si>
    <t>จีราภัทร์ เกษานนท์</t>
  </si>
  <si>
    <t>จีราภัทร์</t>
  </si>
  <si>
    <t>เกษานนท์</t>
  </si>
  <si>
    <t>ศกลวรรณ ทูนทับ</t>
  </si>
  <si>
    <t>ศกลวรรณ</t>
  </si>
  <si>
    <t>ทูนทับ</t>
  </si>
  <si>
    <t>สพฐ.ตร.90/68</t>
  </si>
  <si>
    <t>ศพฐ.10 ที่ 95/68</t>
  </si>
  <si>
    <t>รอง สว.(อก.) กสก.ศพฐ.2</t>
  </si>
  <si>
    <t>รอง สว.(อก.) กยส.ศพฐ.9</t>
  </si>
  <si>
    <t>รอง สว.(อก.) ศพฐ.9</t>
  </si>
  <si>
    <t>รอง สว.(อก.) พฐ.จว.ระนอง</t>
  </si>
  <si>
    <t>รอง สว.(อก.) กชช.ศพฐ.3</t>
  </si>
  <si>
    <t>รอง สว.(อก.) กยส.ศพฐ.6</t>
  </si>
  <si>
    <t>ณัฐนันท์ กาเขียว</t>
  </si>
  <si>
    <t>ภาณุวัตร ฐานันตะ</t>
  </si>
  <si>
    <t>ภาณุวัตร</t>
  </si>
  <si>
    <t>พรสุดา พูลขำ</t>
  </si>
  <si>
    <t>พูลขำ</t>
  </si>
  <si>
    <t>ม.6,P.C.T.,โดดร่ม,ทำลายวัตถุระเบิด ตร.18</t>
  </si>
  <si>
    <t>นวัต ทิพแก้ว</t>
  </si>
  <si>
    <t>ทิพแก้ว</t>
  </si>
  <si>
    <t>ปวช.,วศ.บ.(วิศกรรมระบบควบคุมและเครื่องมือวัด),การใช้เครื่องวิทยุคมนาคมแบบสังเคราะห์ความถี่(Synthesizer)</t>
  </si>
  <si>
    <t>บช.บ.,การใช้เครื่องวิทยุคมนาคมแบบสังเคราะห์ความถี่(Synthesizer)</t>
  </si>
  <si>
    <t>ม.6,กอป.,ป.ตรี</t>
  </si>
  <si>
    <t>นภาภรณ์ พุทธวงษ์</t>
  </si>
  <si>
    <t>นภาภรณ์</t>
  </si>
  <si>
    <t>ดาผา</t>
  </si>
  <si>
    <t>ณัชชา ดาผา</t>
  </si>
  <si>
    <t>วราภรณ์ แก้วเยื้อง</t>
  </si>
  <si>
    <t>แก้วเยื้อง</t>
  </si>
  <si>
    <t>ต.ว.ท. รุ่น 34</t>
  </si>
  <si>
    <t>ม.6,ชัยยะ</t>
  </si>
  <si>
    <t>นพต. ,ชัยยะ, น.บ.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</si>
</sst>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[$-1870000]d/mm/yyyy;@"/>
    <numFmt numFmtId="167" formatCode="[$-1070000]yyyy;@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0"/>
      <name val="Arial"/>
      <family val="2"/>
    </font>
    <font>
      <sz val="14"/>
      <name val="Cordia New"/>
      <family val="2"/>
    </font>
    <font>
      <sz val="10"/>
      <color indexed="0"/>
      <name val="Arial"/>
      <family val="2"/>
    </font>
    <font>
      <sz val="11"/>
      <color theme="1"/>
      <name val="Calibri"/>
      <family val="2"/>
      <scheme val="minor"/>
    </font>
    <font>
      <b/>
      <sz val="16"/>
      <name val="Angsana New"/>
      <family val="1"/>
    </font>
    <font>
      <sz val="16"/>
      <name val="Angsana New"/>
      <family val="1"/>
    </font>
    <font>
      <sz val="16"/>
      <color theme="1"/>
      <name val="Angsana New"/>
      <family val="1"/>
    </font>
    <font>
      <sz val="16"/>
      <color rgb="FFFF0000"/>
      <name val="Angsana New"/>
      <family val="1"/>
    </font>
    <font>
      <b/>
      <u/>
      <sz val="16"/>
      <name val="Angsana New"/>
      <family val="1"/>
    </font>
    <font>
      <sz val="16"/>
      <color rgb="FF00B050"/>
      <name val="Angsana New"/>
      <family val="1"/>
    </font>
    <font>
      <sz val="16"/>
      <color rgb="FF0070C0"/>
      <name val="Angsana New"/>
      <family val="1"/>
    </font>
    <font>
      <u/>
      <sz val="16"/>
      <name val="Angsana New"/>
      <family val="1"/>
    </font>
    <font>
      <sz val="16"/>
      <color rgb="FFCC66FF"/>
      <name val="Angsana New"/>
      <family val="1"/>
    </font>
    <font>
      <sz val="8"/>
      <name val="Calibri"/>
      <family val="2"/>
      <scheme val="minor"/>
    </font>
    <font>
      <sz val="14"/>
      <name val="Angsana New"/>
      <family val="1"/>
    </font>
    <font>
      <sz val="16"/>
      <color rgb="FF7030A0"/>
      <name val="Angsana New"/>
      <family val="1"/>
    </font>
    <font>
      <sz val="16"/>
      <color rgb="FF00B0F0"/>
      <name val="Angsana New"/>
      <family val="1"/>
    </font>
    <font>
      <sz val="16"/>
      <color theme="9" tint="-0.249977111117893"/>
      <name val="Angsana New"/>
      <family val="1"/>
    </font>
    <font>
      <sz val="16"/>
      <color rgb="FFC00000"/>
      <name val="Angsana New"/>
      <family val="1"/>
    </font>
    <font>
      <sz val="16"/>
      <color rgb="FFFF0000"/>
      <name val="Angsana New"/>
      <family val="1"/>
      <charset val="22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color rgb="FFFF0000"/>
      <name val="Prompt"/>
      <charset val="222"/>
    </font>
    <font>
      <sz val="16"/>
      <color rgb="FF000000"/>
      <name val="TH SarabunPSK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4" fillId="0" borderId="0"/>
    <xf numFmtId="0" fontId="5" fillId="0" borderId="0"/>
    <xf numFmtId="0" fontId="6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3" fillId="0" borderId="0"/>
    <xf numFmtId="0" fontId="2" fillId="0" borderId="0"/>
    <xf numFmtId="0" fontId="1" fillId="0" borderId="0"/>
  </cellStyleXfs>
  <cellXfs count="236">
    <xf numFmtId="0" fontId="0" fillId="0" borderId="0" xfId="0"/>
    <xf numFmtId="0" fontId="9" fillId="0" borderId="1" xfId="0" applyFont="1" applyBorder="1" applyAlignment="1">
      <alignment horizontal="center" vertical="center" shrinkToFit="1"/>
    </xf>
    <xf numFmtId="0" fontId="9" fillId="0" borderId="1" xfId="0" applyFont="1" applyBorder="1" applyAlignment="1">
      <alignment horizontal="left" vertical="center" shrinkToFit="1"/>
    </xf>
    <xf numFmtId="49" fontId="9" fillId="0" borderId="1" xfId="0" applyNumberFormat="1" applyFont="1" applyBorder="1" applyAlignment="1">
      <alignment horizontal="center" vertical="center" shrinkToFit="1"/>
    </xf>
    <xf numFmtId="49" fontId="10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left" vertical="center" shrinkToFit="1"/>
    </xf>
    <xf numFmtId="49" fontId="11" fillId="0" borderId="1" xfId="0" applyNumberFormat="1" applyFont="1" applyBorder="1" applyAlignment="1">
      <alignment horizontal="center" vertical="center" shrinkToFit="1"/>
    </xf>
    <xf numFmtId="0" fontId="9" fillId="0" borderId="0" xfId="0" applyFont="1" applyAlignment="1">
      <alignment shrinkToFit="1"/>
    </xf>
    <xf numFmtId="0" fontId="11" fillId="0" borderId="0" xfId="0" applyFont="1" applyAlignment="1">
      <alignment shrinkToFit="1"/>
    </xf>
    <xf numFmtId="0" fontId="9" fillId="0" borderId="1" xfId="0" applyFont="1" applyBorder="1" applyAlignment="1">
      <alignment vertical="center" shrinkToFit="1"/>
    </xf>
    <xf numFmtId="0" fontId="10" fillId="0" borderId="0" xfId="0" applyFont="1" applyAlignment="1">
      <alignment shrinkToFit="1"/>
    </xf>
    <xf numFmtId="0" fontId="13" fillId="0" borderId="0" xfId="0" applyFont="1" applyAlignment="1">
      <alignment shrinkToFit="1"/>
    </xf>
    <xf numFmtId="0" fontId="9" fillId="0" borderId="0" xfId="0" applyFont="1" applyAlignment="1">
      <alignment horizontal="center" shrinkToFit="1"/>
    </xf>
    <xf numFmtId="49" fontId="9" fillId="0" borderId="1" xfId="0" applyNumberFormat="1" applyFont="1" applyBorder="1" applyAlignment="1">
      <alignment horizontal="left" vertical="center" shrinkToFit="1"/>
    </xf>
    <xf numFmtId="0" fontId="11" fillId="0" borderId="1" xfId="0" applyFont="1" applyBorder="1" applyAlignment="1">
      <alignment vertical="center" shrinkToFit="1"/>
    </xf>
    <xf numFmtId="0" fontId="10" fillId="0" borderId="1" xfId="0" applyFont="1" applyBorder="1" applyAlignment="1">
      <alignment vertical="center" shrinkToFit="1"/>
    </xf>
    <xf numFmtId="0" fontId="10" fillId="0" borderId="0" xfId="0" applyFont="1" applyAlignment="1">
      <alignment horizontal="center" shrinkToFit="1"/>
    </xf>
    <xf numFmtId="49" fontId="9" fillId="0" borderId="1" xfId="0" applyNumberFormat="1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164" fontId="9" fillId="0" borderId="1" xfId="4" applyFont="1" applyFill="1" applyBorder="1" applyAlignment="1">
      <alignment horizontal="center" vertical="center" shrinkToFit="1"/>
    </xf>
    <xf numFmtId="164" fontId="9" fillId="0" borderId="0" xfId="4" applyFont="1" applyFill="1" applyAlignment="1">
      <alignment shrinkToFit="1"/>
    </xf>
    <xf numFmtId="9" fontId="9" fillId="0" borderId="1" xfId="5" applyFont="1" applyFill="1" applyBorder="1" applyAlignment="1">
      <alignment horizontal="center" vertical="center" shrinkToFit="1"/>
    </xf>
    <xf numFmtId="9" fontId="9" fillId="0" borderId="1" xfId="5" applyFont="1" applyFill="1" applyBorder="1" applyAlignment="1">
      <alignment vertical="center" shrinkToFit="1"/>
    </xf>
    <xf numFmtId="9" fontId="9" fillId="0" borderId="0" xfId="5" applyFont="1" applyFill="1" applyAlignment="1">
      <alignment shrinkToFit="1"/>
    </xf>
    <xf numFmtId="49" fontId="9" fillId="2" borderId="1" xfId="0" applyNumberFormat="1" applyFont="1" applyFill="1" applyBorder="1" applyAlignment="1">
      <alignment horizontal="center" vertical="center" shrinkToFit="1"/>
    </xf>
    <xf numFmtId="0" fontId="9" fillId="2" borderId="1" xfId="0" applyFont="1" applyFill="1" applyBorder="1" applyAlignment="1">
      <alignment horizontal="left" vertical="center" shrinkToFit="1"/>
    </xf>
    <xf numFmtId="0" fontId="9" fillId="2" borderId="1" xfId="0" applyFont="1" applyFill="1" applyBorder="1" applyAlignment="1">
      <alignment horizontal="center" vertical="center" shrinkToFit="1"/>
    </xf>
    <xf numFmtId="49" fontId="11" fillId="2" borderId="1" xfId="0" applyNumberFormat="1" applyFont="1" applyFill="1" applyBorder="1" applyAlignment="1">
      <alignment horizontal="center" vertical="center" shrinkToFit="1"/>
    </xf>
    <xf numFmtId="0" fontId="11" fillId="2" borderId="1" xfId="0" applyFont="1" applyFill="1" applyBorder="1" applyAlignment="1">
      <alignment horizontal="center" vertical="center" shrinkToFit="1"/>
    </xf>
    <xf numFmtId="0" fontId="10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1" xfId="0" applyFont="1" applyFill="1" applyBorder="1" applyAlignment="1">
      <alignment vertical="center" shrinkToFit="1"/>
    </xf>
    <xf numFmtId="0" fontId="16" fillId="0" borderId="0" xfId="0" applyFont="1" applyAlignment="1">
      <alignment shrinkToFit="1"/>
    </xf>
    <xf numFmtId="49" fontId="10" fillId="0" borderId="0" xfId="0" applyNumberFormat="1" applyFont="1" applyAlignment="1">
      <alignment shrinkToFit="1"/>
    </xf>
    <xf numFmtId="49" fontId="11" fillId="0" borderId="0" xfId="0" applyNumberFormat="1" applyFont="1" applyAlignment="1">
      <alignment shrinkToFit="1"/>
    </xf>
    <xf numFmtId="49" fontId="9" fillId="0" borderId="0" xfId="0" applyNumberFormat="1" applyFont="1" applyAlignment="1">
      <alignment shrinkToFit="1"/>
    </xf>
    <xf numFmtId="0" fontId="14" fillId="0" borderId="0" xfId="0" applyFont="1" applyAlignment="1">
      <alignment shrinkToFit="1"/>
    </xf>
    <xf numFmtId="0" fontId="10" fillId="2" borderId="0" xfId="0" applyFont="1" applyFill="1" applyAlignment="1">
      <alignment shrinkToFit="1"/>
    </xf>
    <xf numFmtId="0" fontId="9" fillId="2" borderId="0" xfId="0" applyFont="1" applyFill="1" applyAlignment="1">
      <alignment shrinkToFit="1"/>
    </xf>
    <xf numFmtId="49" fontId="9" fillId="2" borderId="1" xfId="0" applyNumberFormat="1" applyFont="1" applyFill="1" applyBorder="1" applyAlignment="1">
      <alignment vertical="center" shrinkToFit="1"/>
    </xf>
    <xf numFmtId="14" fontId="9" fillId="0" borderId="1" xfId="0" applyNumberFormat="1" applyFont="1" applyBorder="1" applyAlignment="1">
      <alignment horizontal="center" vertical="center" shrinkToFit="1"/>
    </xf>
    <xf numFmtId="49" fontId="11" fillId="0" borderId="1" xfId="0" applyNumberFormat="1" applyFont="1" applyBorder="1" applyAlignment="1">
      <alignment vertical="center" shrinkToFit="1"/>
    </xf>
    <xf numFmtId="0" fontId="11" fillId="2" borderId="1" xfId="0" applyFont="1" applyFill="1" applyBorder="1" applyAlignment="1">
      <alignment vertical="center" shrinkToFit="1"/>
    </xf>
    <xf numFmtId="49" fontId="10" fillId="0" borderId="1" xfId="0" applyNumberFormat="1" applyFont="1" applyBorder="1" applyAlignment="1">
      <alignment vertical="center" shrinkToFit="1"/>
    </xf>
    <xf numFmtId="0" fontId="9" fillId="0" borderId="4" xfId="0" applyFont="1" applyBorder="1" applyAlignment="1">
      <alignment vertical="center" shrinkToFit="1"/>
    </xf>
    <xf numFmtId="0" fontId="14" fillId="0" borderId="1" xfId="0" applyFont="1" applyBorder="1" applyAlignment="1">
      <alignment vertical="center" shrinkToFit="1"/>
    </xf>
    <xf numFmtId="0" fontId="11" fillId="0" borderId="1" xfId="0" applyFont="1" applyBorder="1" applyAlignment="1" applyProtection="1">
      <alignment horizontal="center" vertical="center" shrinkToFit="1"/>
      <protection locked="0"/>
    </xf>
    <xf numFmtId="49" fontId="10" fillId="0" borderId="0" xfId="0" applyNumberFormat="1" applyFont="1" applyAlignment="1">
      <alignment horizontal="center" shrinkToFit="1"/>
    </xf>
    <xf numFmtId="0" fontId="10" fillId="2" borderId="1" xfId="0" applyFont="1" applyFill="1" applyBorder="1" applyAlignment="1">
      <alignment vertical="center" shrinkToFit="1"/>
    </xf>
    <xf numFmtId="49" fontId="11" fillId="2" borderId="1" xfId="0" applyNumberFormat="1" applyFont="1" applyFill="1" applyBorder="1" applyAlignment="1">
      <alignment vertical="center" shrinkToFit="1"/>
    </xf>
    <xf numFmtId="49" fontId="11" fillId="2" borderId="0" xfId="0" applyNumberFormat="1" applyFont="1" applyFill="1" applyAlignment="1">
      <alignment shrinkToFit="1"/>
    </xf>
    <xf numFmtId="0" fontId="19" fillId="0" borderId="0" xfId="0" applyFont="1" applyAlignment="1">
      <alignment shrinkToFit="1"/>
    </xf>
    <xf numFmtId="0" fontId="11" fillId="2" borderId="0" xfId="0" applyFont="1" applyFill="1" applyAlignment="1">
      <alignment shrinkToFit="1"/>
    </xf>
    <xf numFmtId="0" fontId="9" fillId="3" borderId="1" xfId="0" applyFont="1" applyFill="1" applyBorder="1" applyAlignment="1">
      <alignment horizontal="center" vertical="center" shrinkToFit="1"/>
    </xf>
    <xf numFmtId="49" fontId="9" fillId="3" borderId="1" xfId="0" applyNumberFormat="1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vertical="center" shrinkToFit="1"/>
    </xf>
    <xf numFmtId="49" fontId="9" fillId="3" borderId="1" xfId="0" applyNumberFormat="1" applyFont="1" applyFill="1" applyBorder="1" applyAlignment="1">
      <alignment vertical="center" shrinkToFit="1"/>
    </xf>
    <xf numFmtId="0" fontId="21" fillId="0" borderId="1" xfId="0" applyFont="1" applyBorder="1" applyAlignment="1">
      <alignment horizontal="left" vertical="center" shrinkToFit="1"/>
    </xf>
    <xf numFmtId="0" fontId="21" fillId="0" borderId="1" xfId="0" applyFont="1" applyBorder="1" applyAlignment="1">
      <alignment horizontal="center" vertical="center" shrinkToFit="1"/>
    </xf>
    <xf numFmtId="49" fontId="21" fillId="0" borderId="1" xfId="0" applyNumberFormat="1" applyFont="1" applyBorder="1" applyAlignment="1">
      <alignment horizontal="center" vertical="center" shrinkToFit="1"/>
    </xf>
    <xf numFmtId="0" fontId="21" fillId="0" borderId="1" xfId="0" applyFont="1" applyBorder="1" applyAlignment="1">
      <alignment vertical="center" shrinkToFit="1"/>
    </xf>
    <xf numFmtId="49" fontId="21" fillId="0" borderId="1" xfId="0" applyNumberFormat="1" applyFont="1" applyBorder="1" applyAlignment="1">
      <alignment vertical="center" shrinkToFit="1"/>
    </xf>
    <xf numFmtId="0" fontId="21" fillId="2" borderId="1" xfId="0" applyFont="1" applyFill="1" applyBorder="1" applyAlignment="1">
      <alignment horizontal="left" vertical="center" shrinkToFit="1"/>
    </xf>
    <xf numFmtId="0" fontId="21" fillId="2" borderId="1" xfId="0" applyFont="1" applyFill="1" applyBorder="1" applyAlignment="1">
      <alignment horizontal="center" vertical="center" shrinkToFit="1"/>
    </xf>
    <xf numFmtId="0" fontId="21" fillId="2" borderId="1" xfId="0" applyFont="1" applyFill="1" applyBorder="1" applyAlignment="1">
      <alignment vertical="center" shrinkToFit="1"/>
    </xf>
    <xf numFmtId="0" fontId="11" fillId="2" borderId="1" xfId="0" applyFont="1" applyFill="1" applyBorder="1" applyAlignment="1">
      <alignment horizontal="left" vertical="center" shrinkToFit="1"/>
    </xf>
    <xf numFmtId="0" fontId="18" fillId="3" borderId="1" xfId="0" applyFont="1" applyFill="1" applyBorder="1" applyAlignment="1">
      <alignment horizontal="center" vertical="center" shrinkToFit="1"/>
    </xf>
    <xf numFmtId="0" fontId="22" fillId="2" borderId="1" xfId="0" applyFont="1" applyFill="1" applyBorder="1" applyAlignment="1">
      <alignment vertical="center" shrinkToFit="1"/>
    </xf>
    <xf numFmtId="0" fontId="22" fillId="2" borderId="1" xfId="0" applyFont="1" applyFill="1" applyBorder="1" applyAlignment="1">
      <alignment horizontal="center" vertical="center" shrinkToFit="1"/>
    </xf>
    <xf numFmtId="165" fontId="9" fillId="0" borderId="4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165" fontId="9" fillId="2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165" fontId="21" fillId="0" borderId="1" xfId="0" applyNumberFormat="1" applyFont="1" applyBorder="1" applyAlignment="1">
      <alignment horizontal="center" vertical="center"/>
    </xf>
    <xf numFmtId="165" fontId="9" fillId="0" borderId="1" xfId="0" quotePrefix="1" applyNumberFormat="1" applyFont="1" applyBorder="1" applyAlignment="1">
      <alignment horizontal="center" vertical="center"/>
    </xf>
    <xf numFmtId="165" fontId="21" fillId="0" borderId="1" xfId="0" quotePrefix="1" applyNumberFormat="1" applyFont="1" applyBorder="1" applyAlignment="1">
      <alignment horizontal="center" vertical="center"/>
    </xf>
    <xf numFmtId="165" fontId="11" fillId="2" borderId="1" xfId="0" applyNumberFormat="1" applyFont="1" applyFill="1" applyBorder="1" applyAlignment="1">
      <alignment horizontal="center" vertical="center"/>
    </xf>
    <xf numFmtId="165" fontId="21" fillId="2" borderId="1" xfId="0" applyNumberFormat="1" applyFont="1" applyFill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center" vertical="center"/>
    </xf>
    <xf numFmtId="165" fontId="9" fillId="0" borderId="1" xfId="5" applyNumberFormat="1" applyFont="1" applyFill="1" applyBorder="1" applyAlignment="1">
      <alignment horizontal="center" vertical="center"/>
    </xf>
    <xf numFmtId="165" fontId="22" fillId="2" borderId="1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 shrinkToFit="1"/>
    </xf>
    <xf numFmtId="165" fontId="14" fillId="0" borderId="1" xfId="0" applyNumberFormat="1" applyFont="1" applyBorder="1" applyAlignment="1">
      <alignment horizontal="center" vertical="center"/>
    </xf>
    <xf numFmtId="165" fontId="9" fillId="2" borderId="4" xfId="0" applyNumberFormat="1" applyFont="1" applyFill="1" applyBorder="1" applyAlignment="1">
      <alignment horizontal="center" vertical="center"/>
    </xf>
    <xf numFmtId="165" fontId="10" fillId="2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 shrinkToFit="1"/>
    </xf>
    <xf numFmtId="165" fontId="11" fillId="0" borderId="1" xfId="0" applyNumberFormat="1" applyFont="1" applyBorder="1" applyAlignment="1">
      <alignment horizontal="center" vertical="center" shrinkToFit="1"/>
    </xf>
    <xf numFmtId="165" fontId="9" fillId="2" borderId="1" xfId="0" applyNumberFormat="1" applyFont="1" applyFill="1" applyBorder="1" applyAlignment="1">
      <alignment horizontal="center" vertical="center" shrinkToFit="1"/>
    </xf>
    <xf numFmtId="165" fontId="10" fillId="2" borderId="1" xfId="0" applyNumberFormat="1" applyFont="1" applyFill="1" applyBorder="1" applyAlignment="1">
      <alignment horizontal="center" vertical="center" shrinkToFit="1"/>
    </xf>
    <xf numFmtId="165" fontId="11" fillId="2" borderId="1" xfId="0" applyNumberFormat="1" applyFont="1" applyFill="1" applyBorder="1" applyAlignment="1">
      <alignment horizontal="center" vertical="center" shrinkToFit="1"/>
    </xf>
    <xf numFmtId="49" fontId="11" fillId="2" borderId="1" xfId="0" applyNumberFormat="1" applyFont="1" applyFill="1" applyBorder="1" applyAlignment="1">
      <alignment horizontal="left" vertical="center" shrinkToFit="1"/>
    </xf>
    <xf numFmtId="0" fontId="10" fillId="2" borderId="1" xfId="0" applyFont="1" applyFill="1" applyBorder="1" applyAlignment="1">
      <alignment horizontal="left" vertical="center" shrinkToFit="1"/>
    </xf>
    <xf numFmtId="0" fontId="23" fillId="2" borderId="1" xfId="0" applyFont="1" applyFill="1" applyBorder="1" applyAlignment="1">
      <alignment horizontal="left" vertical="center" shrinkToFit="1"/>
    </xf>
    <xf numFmtId="49" fontId="23" fillId="2" borderId="1" xfId="0" applyNumberFormat="1" applyFont="1" applyFill="1" applyBorder="1" applyAlignment="1">
      <alignment horizontal="center" vertical="center" shrinkToFit="1"/>
    </xf>
    <xf numFmtId="0" fontId="23" fillId="2" borderId="1" xfId="0" applyFont="1" applyFill="1" applyBorder="1" applyAlignment="1">
      <alignment horizontal="center" vertical="center" shrinkToFit="1"/>
    </xf>
    <xf numFmtId="165" fontId="23" fillId="2" borderId="1" xfId="0" applyNumberFormat="1" applyFont="1" applyFill="1" applyBorder="1" applyAlignment="1">
      <alignment horizontal="center" vertical="center" shrinkToFit="1"/>
    </xf>
    <xf numFmtId="0" fontId="23" fillId="4" borderId="1" xfId="0" applyFont="1" applyFill="1" applyBorder="1" applyAlignment="1">
      <alignment horizontal="center" vertical="center" shrinkToFit="1"/>
    </xf>
    <xf numFmtId="0" fontId="9" fillId="4" borderId="4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center" vertical="center" shrinkToFit="1"/>
    </xf>
    <xf numFmtId="0" fontId="9" fillId="4" borderId="2" xfId="0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shrinkToFit="1"/>
    </xf>
    <xf numFmtId="49" fontId="9" fillId="2" borderId="3" xfId="0" applyNumberFormat="1" applyFont="1" applyFill="1" applyBorder="1" applyAlignment="1">
      <alignment horizontal="center" vertical="center" shrinkToFit="1"/>
    </xf>
    <xf numFmtId="49" fontId="11" fillId="2" borderId="3" xfId="0" applyNumberFormat="1" applyFont="1" applyFill="1" applyBorder="1" applyAlignment="1">
      <alignment horizontal="center" vertical="center" shrinkToFit="1"/>
    </xf>
    <xf numFmtId="49" fontId="21" fillId="2" borderId="3" xfId="0" applyNumberFormat="1" applyFont="1" applyFill="1" applyBorder="1" applyAlignment="1">
      <alignment horizontal="center" vertical="center" shrinkToFit="1"/>
    </xf>
    <xf numFmtId="49" fontId="10" fillId="2" borderId="3" xfId="0" applyNumberFormat="1" applyFont="1" applyFill="1" applyBorder="1" applyAlignment="1">
      <alignment horizontal="center" vertical="center" shrinkToFit="1"/>
    </xf>
    <xf numFmtId="49" fontId="22" fillId="2" borderId="3" xfId="0" applyNumberFormat="1" applyFont="1" applyFill="1" applyBorder="1" applyAlignment="1">
      <alignment horizontal="center" vertical="center" shrinkToFit="1"/>
    </xf>
    <xf numFmtId="49" fontId="9" fillId="2" borderId="7" xfId="0" applyNumberFormat="1" applyFont="1" applyFill="1" applyBorder="1" applyAlignment="1">
      <alignment horizontal="center" vertical="center" shrinkToFit="1"/>
    </xf>
    <xf numFmtId="0" fontId="10" fillId="4" borderId="5" xfId="0" applyFont="1" applyFill="1" applyBorder="1" applyAlignment="1">
      <alignment horizontal="center" vertical="center" shrinkToFit="1"/>
    </xf>
    <xf numFmtId="0" fontId="9" fillId="4" borderId="5" xfId="0" applyFont="1" applyFill="1" applyBorder="1" applyAlignment="1">
      <alignment horizontal="center" vertical="center" shrinkToFit="1"/>
    </xf>
    <xf numFmtId="0" fontId="11" fillId="4" borderId="5" xfId="0" applyFont="1" applyFill="1" applyBorder="1" applyAlignment="1">
      <alignment horizontal="center" vertical="center" shrinkToFit="1"/>
    </xf>
    <xf numFmtId="0" fontId="21" fillId="4" borderId="5" xfId="0" applyFont="1" applyFill="1" applyBorder="1" applyAlignment="1">
      <alignment horizontal="center" vertical="center" shrinkToFit="1"/>
    </xf>
    <xf numFmtId="49" fontId="10" fillId="4" borderId="5" xfId="0" applyNumberFormat="1" applyFont="1" applyFill="1" applyBorder="1" applyAlignment="1">
      <alignment horizontal="center" vertical="center" shrinkToFit="1"/>
    </xf>
    <xf numFmtId="49" fontId="9" fillId="4" borderId="5" xfId="0" applyNumberFormat="1" applyFont="1" applyFill="1" applyBorder="1" applyAlignment="1">
      <alignment horizontal="center" vertical="center" shrinkToFit="1"/>
    </xf>
    <xf numFmtId="49" fontId="21" fillId="4" borderId="5" xfId="0" applyNumberFormat="1" applyFont="1" applyFill="1" applyBorder="1" applyAlignment="1">
      <alignment horizontal="center" vertical="center" shrinkToFit="1"/>
    </xf>
    <xf numFmtId="9" fontId="9" fillId="4" borderId="5" xfId="5" applyFont="1" applyFill="1" applyBorder="1" applyAlignment="1">
      <alignment horizontal="center" vertical="center" shrinkToFit="1"/>
    </xf>
    <xf numFmtId="9" fontId="9" fillId="4" borderId="1" xfId="5" applyFont="1" applyFill="1" applyBorder="1" applyAlignment="1">
      <alignment horizontal="center" vertical="center" shrinkToFit="1"/>
    </xf>
    <xf numFmtId="49" fontId="9" fillId="4" borderId="1" xfId="0" applyNumberFormat="1" applyFont="1" applyFill="1" applyBorder="1" applyAlignment="1">
      <alignment horizontal="center" vertical="center" shrinkToFit="1"/>
    </xf>
    <xf numFmtId="0" fontId="11" fillId="4" borderId="4" xfId="0" applyFont="1" applyFill="1" applyBorder="1" applyAlignment="1">
      <alignment horizontal="center" vertical="center" shrinkToFit="1"/>
    </xf>
    <xf numFmtId="0" fontId="11" fillId="4" borderId="1" xfId="0" applyFont="1" applyFill="1" applyBorder="1" applyAlignment="1">
      <alignment horizontal="center" vertical="center" shrinkToFit="1"/>
    </xf>
    <xf numFmtId="0" fontId="9" fillId="6" borderId="4" xfId="0" applyFont="1" applyFill="1" applyBorder="1" applyAlignment="1">
      <alignment horizontal="center" vertical="center" shrinkToFit="1"/>
    </xf>
    <xf numFmtId="165" fontId="9" fillId="6" borderId="4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shrinkToFit="1"/>
    </xf>
    <xf numFmtId="165" fontId="9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vertical="center" shrinkToFit="1"/>
    </xf>
    <xf numFmtId="0" fontId="9" fillId="6" borderId="1" xfId="0" applyFont="1" applyFill="1" applyBorder="1" applyAlignment="1">
      <alignment horizontal="center" vertical="center" shrinkToFit="1"/>
    </xf>
    <xf numFmtId="0" fontId="10" fillId="6" borderId="1" xfId="0" applyFont="1" applyFill="1" applyBorder="1" applyAlignment="1">
      <alignment horizontal="center" vertical="center" shrinkToFit="1"/>
    </xf>
    <xf numFmtId="49" fontId="11" fillId="6" borderId="1" xfId="0" applyNumberFormat="1" applyFont="1" applyFill="1" applyBorder="1" applyAlignment="1">
      <alignment horizontal="center" vertical="center" shrinkToFit="1"/>
    </xf>
    <xf numFmtId="0" fontId="10" fillId="4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left" vertical="center" shrinkToFit="1"/>
    </xf>
    <xf numFmtId="0" fontId="11" fillId="2" borderId="4" xfId="0" applyFont="1" applyFill="1" applyBorder="1" applyAlignment="1">
      <alignment horizontal="left" vertical="center" shrinkToFit="1"/>
    </xf>
    <xf numFmtId="49" fontId="9" fillId="2" borderId="1" xfId="0" applyNumberFormat="1" applyFont="1" applyFill="1" applyBorder="1" applyAlignment="1">
      <alignment horizontal="left" vertical="center" shrinkToFit="1"/>
    </xf>
    <xf numFmtId="49" fontId="10" fillId="2" borderId="1" xfId="0" applyNumberFormat="1" applyFont="1" applyFill="1" applyBorder="1" applyAlignment="1">
      <alignment horizontal="center" vertical="center" shrinkToFit="1"/>
    </xf>
    <xf numFmtId="49" fontId="10" fillId="2" borderId="1" xfId="0" applyNumberFormat="1" applyFont="1" applyFill="1" applyBorder="1" applyAlignment="1">
      <alignment horizontal="left" vertical="center" shrinkToFit="1"/>
    </xf>
    <xf numFmtId="49" fontId="21" fillId="2" borderId="1" xfId="0" applyNumberFormat="1" applyFont="1" applyFill="1" applyBorder="1" applyAlignment="1">
      <alignment horizontal="left" vertical="center" shrinkToFit="1"/>
    </xf>
    <xf numFmtId="9" fontId="9" fillId="2" borderId="1" xfId="5" applyFont="1" applyFill="1" applyBorder="1" applyAlignment="1">
      <alignment horizontal="left" vertical="center" shrinkToFit="1"/>
    </xf>
    <xf numFmtId="9" fontId="9" fillId="2" borderId="1" xfId="5" applyFont="1" applyFill="1" applyBorder="1" applyAlignment="1">
      <alignment horizontal="center" vertical="center" shrinkToFit="1"/>
    </xf>
    <xf numFmtId="0" fontId="14" fillId="2" borderId="1" xfId="0" applyFont="1" applyFill="1" applyBorder="1" applyAlignment="1">
      <alignment horizontal="left" vertical="center" shrinkToFit="1"/>
    </xf>
    <xf numFmtId="0" fontId="14" fillId="2" borderId="1" xfId="0" applyFont="1" applyFill="1" applyBorder="1" applyAlignment="1">
      <alignment horizontal="center" vertical="center" shrinkToFit="1"/>
    </xf>
    <xf numFmtId="165" fontId="9" fillId="2" borderId="4" xfId="0" applyNumberFormat="1" applyFont="1" applyFill="1" applyBorder="1" applyAlignment="1">
      <alignment horizontal="center" vertical="center" shrinkToFit="1"/>
    </xf>
    <xf numFmtId="165" fontId="11" fillId="2" borderId="4" xfId="0" applyNumberFormat="1" applyFont="1" applyFill="1" applyBorder="1" applyAlignment="1">
      <alignment horizontal="center" vertical="center"/>
    </xf>
    <xf numFmtId="165" fontId="9" fillId="2" borderId="1" xfId="5" applyNumberFormat="1" applyFont="1" applyFill="1" applyBorder="1" applyAlignment="1">
      <alignment horizontal="center" vertical="center" shrinkToFit="1"/>
    </xf>
    <xf numFmtId="165" fontId="9" fillId="2" borderId="6" xfId="0" applyNumberFormat="1" applyFont="1" applyFill="1" applyBorder="1" applyAlignment="1">
      <alignment horizontal="center" vertical="center" shrinkToFit="1"/>
    </xf>
    <xf numFmtId="165" fontId="14" fillId="2" borderId="1" xfId="0" applyNumberFormat="1" applyFont="1" applyFill="1" applyBorder="1" applyAlignment="1">
      <alignment horizontal="center" vertical="center" shrinkToFit="1"/>
    </xf>
    <xf numFmtId="165" fontId="9" fillId="2" borderId="6" xfId="0" applyNumberFormat="1" applyFont="1" applyFill="1" applyBorder="1" applyAlignment="1">
      <alignment horizontal="center" vertical="center"/>
    </xf>
    <xf numFmtId="49" fontId="9" fillId="2" borderId="4" xfId="0" applyNumberFormat="1" applyFont="1" applyFill="1" applyBorder="1" applyAlignment="1">
      <alignment horizontal="center" vertical="center" shrinkToFit="1"/>
    </xf>
    <xf numFmtId="0" fontId="11" fillId="2" borderId="4" xfId="0" applyFont="1" applyFill="1" applyBorder="1" applyAlignment="1">
      <alignment horizontal="center" vertical="center" shrinkToFit="1"/>
    </xf>
    <xf numFmtId="49" fontId="9" fillId="2" borderId="3" xfId="5" applyNumberFormat="1" applyFont="1" applyFill="1" applyBorder="1" applyAlignment="1">
      <alignment horizontal="center" vertical="center" shrinkToFit="1"/>
    </xf>
    <xf numFmtId="0" fontId="9" fillId="2" borderId="9" xfId="0" applyFont="1" applyFill="1" applyBorder="1" applyAlignment="1">
      <alignment horizontal="center" vertical="center" shrinkToFit="1"/>
    </xf>
    <xf numFmtId="0" fontId="15" fillId="6" borderId="1" xfId="0" applyFont="1" applyFill="1" applyBorder="1" applyAlignment="1">
      <alignment horizontal="left" vertical="center" shrinkToFit="1"/>
    </xf>
    <xf numFmtId="0" fontId="15" fillId="6" borderId="1" xfId="0" applyFont="1" applyFill="1" applyBorder="1" applyAlignment="1">
      <alignment horizontal="center" vertical="center" shrinkToFit="1"/>
    </xf>
    <xf numFmtId="165" fontId="9" fillId="6" borderId="1" xfId="0" applyNumberFormat="1" applyFont="1" applyFill="1" applyBorder="1" applyAlignment="1">
      <alignment horizontal="center" vertical="center" shrinkToFit="1"/>
    </xf>
    <xf numFmtId="0" fontId="9" fillId="6" borderId="4" xfId="0" applyFont="1" applyFill="1" applyBorder="1" applyAlignment="1">
      <alignment horizontal="left" vertical="center" shrinkToFit="1"/>
    </xf>
    <xf numFmtId="0" fontId="12" fillId="6" borderId="1" xfId="0" applyFont="1" applyFill="1" applyBorder="1" applyAlignment="1">
      <alignment horizontal="left" vertical="center" shrinkToFit="1"/>
    </xf>
    <xf numFmtId="0" fontId="12" fillId="6" borderId="1" xfId="0" applyFont="1" applyFill="1" applyBorder="1" applyAlignment="1">
      <alignment horizontal="center" vertical="center" shrinkToFit="1"/>
    </xf>
    <xf numFmtId="0" fontId="11" fillId="6" borderId="1" xfId="0" applyFont="1" applyFill="1" applyBorder="1" applyAlignment="1">
      <alignment horizontal="left" vertical="center" shrinkToFit="1"/>
    </xf>
    <xf numFmtId="49" fontId="9" fillId="6" borderId="4" xfId="0" applyNumberFormat="1" applyFont="1" applyFill="1" applyBorder="1" applyAlignment="1">
      <alignment horizontal="center" vertical="center" shrinkToFit="1"/>
    </xf>
    <xf numFmtId="49" fontId="9" fillId="6" borderId="1" xfId="0" applyNumberFormat="1" applyFont="1" applyFill="1" applyBorder="1" applyAlignment="1">
      <alignment horizontal="center" vertical="center" shrinkToFit="1"/>
    </xf>
    <xf numFmtId="0" fontId="11" fillId="0" borderId="1" xfId="0" applyFont="1" applyBorder="1" applyAlignment="1" applyProtection="1">
      <alignment vertical="center" shrinkToFit="1"/>
      <protection locked="0"/>
    </xf>
    <xf numFmtId="0" fontId="10" fillId="0" borderId="1" xfId="0" applyFont="1" applyBorder="1" applyAlignment="1">
      <alignment horizontal="left" vertical="center" shrinkToFit="1"/>
    </xf>
    <xf numFmtId="0" fontId="19" fillId="0" borderId="1" xfId="0" applyFont="1" applyBorder="1" applyAlignment="1">
      <alignment horizontal="left" vertical="center" shrinkToFit="1"/>
    </xf>
    <xf numFmtId="0" fontId="16" fillId="0" borderId="1" xfId="0" applyFont="1" applyBorder="1" applyAlignment="1">
      <alignment horizontal="left" vertical="center" shrinkToFit="1"/>
    </xf>
    <xf numFmtId="49" fontId="10" fillId="0" borderId="1" xfId="0" applyNumberFormat="1" applyFont="1" applyBorder="1" applyAlignment="1">
      <alignment horizontal="left" vertical="center" shrinkToFit="1"/>
    </xf>
    <xf numFmtId="49" fontId="11" fillId="0" borderId="1" xfId="0" applyNumberFormat="1" applyFont="1" applyBorder="1" applyAlignment="1">
      <alignment horizontal="left" vertical="center" shrinkToFit="1"/>
    </xf>
    <xf numFmtId="164" fontId="9" fillId="0" borderId="1" xfId="4" applyFont="1" applyFill="1" applyBorder="1" applyAlignment="1">
      <alignment horizontal="left" vertical="center" shrinkToFit="1"/>
    </xf>
    <xf numFmtId="9" fontId="9" fillId="0" borderId="1" xfId="5" applyFont="1" applyFill="1" applyBorder="1" applyAlignment="1">
      <alignment horizontal="left" vertical="center" shrinkToFit="1"/>
    </xf>
    <xf numFmtId="0" fontId="14" fillId="0" borderId="1" xfId="0" applyFont="1" applyBorder="1" applyAlignment="1">
      <alignment horizontal="left" vertical="center" shrinkToFit="1"/>
    </xf>
    <xf numFmtId="0" fontId="9" fillId="0" borderId="1" xfId="0" applyFont="1" applyBorder="1" applyAlignment="1" applyProtection="1">
      <alignment horizontal="center" vertical="center" shrinkToFit="1"/>
      <protection locked="0"/>
    </xf>
    <xf numFmtId="0" fontId="10" fillId="6" borderId="1" xfId="0" applyFont="1" applyFill="1" applyBorder="1" applyAlignment="1">
      <alignment horizontal="left" vertical="center" shrinkToFit="1"/>
    </xf>
    <xf numFmtId="49" fontId="11" fillId="4" borderId="5" xfId="0" applyNumberFormat="1" applyFont="1" applyFill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center" vertical="center" shrinkToFit="1"/>
    </xf>
    <xf numFmtId="167" fontId="25" fillId="5" borderId="1" xfId="0" applyNumberFormat="1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left" vertical="center" shrinkToFit="1"/>
    </xf>
    <xf numFmtId="0" fontId="23" fillId="4" borderId="4" xfId="0" applyFont="1" applyFill="1" applyBorder="1" applyAlignment="1">
      <alignment horizontal="center" vertical="center" shrinkToFit="1"/>
    </xf>
    <xf numFmtId="165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left"/>
    </xf>
    <xf numFmtId="164" fontId="11" fillId="2" borderId="1" xfId="4" applyFont="1" applyFill="1" applyBorder="1" applyAlignment="1">
      <alignment horizontal="left" vertical="center" shrinkToFit="1"/>
    </xf>
    <xf numFmtId="164" fontId="11" fillId="2" borderId="1" xfId="4" applyFont="1" applyFill="1" applyBorder="1" applyAlignment="1">
      <alignment horizontal="center" vertical="center" shrinkToFit="1"/>
    </xf>
    <xf numFmtId="165" fontId="11" fillId="2" borderId="1" xfId="4" applyNumberFormat="1" applyFont="1" applyFill="1" applyBorder="1" applyAlignment="1">
      <alignment horizontal="center" vertical="center" shrinkToFit="1"/>
    </xf>
    <xf numFmtId="165" fontId="11" fillId="0" borderId="1" xfId="4" applyNumberFormat="1" applyFont="1" applyFill="1" applyBorder="1" applyAlignment="1">
      <alignment horizontal="center" vertical="center"/>
    </xf>
    <xf numFmtId="164" fontId="11" fillId="0" borderId="1" xfId="4" applyFont="1" applyFill="1" applyBorder="1" applyAlignment="1">
      <alignment vertical="center" shrinkToFit="1"/>
    </xf>
    <xf numFmtId="164" fontId="11" fillId="0" borderId="1" xfId="4" applyFont="1" applyFill="1" applyBorder="1" applyAlignment="1">
      <alignment horizontal="center" vertical="center" shrinkToFit="1"/>
    </xf>
    <xf numFmtId="164" fontId="11" fillId="4" borderId="5" xfId="4" applyFont="1" applyFill="1" applyBorder="1" applyAlignment="1">
      <alignment horizontal="center" vertical="center" shrinkToFit="1"/>
    </xf>
    <xf numFmtId="164" fontId="11" fillId="4" borderId="1" xfId="4" applyFont="1" applyFill="1" applyBorder="1" applyAlignment="1">
      <alignment horizontal="center" vertical="center" shrinkToFit="1"/>
    </xf>
    <xf numFmtId="49" fontId="11" fillId="2" borderId="3" xfId="4" applyNumberFormat="1" applyFont="1" applyFill="1" applyBorder="1" applyAlignment="1">
      <alignment horizontal="center" vertical="center" shrinkToFit="1"/>
    </xf>
    <xf numFmtId="165" fontId="9" fillId="6" borderId="4" xfId="0" applyNumberFormat="1" applyFont="1" applyFill="1" applyBorder="1" applyAlignment="1">
      <alignment horizontal="center" vertical="center" shrinkToFit="1"/>
    </xf>
    <xf numFmtId="0" fontId="9" fillId="6" borderId="4" xfId="0" applyFont="1" applyFill="1" applyBorder="1" applyAlignment="1">
      <alignment vertical="center" shrinkToFit="1"/>
    </xf>
    <xf numFmtId="0" fontId="20" fillId="2" borderId="1" xfId="0" applyFont="1" applyFill="1" applyBorder="1" applyAlignment="1">
      <alignment horizontal="left" vertical="center" shrinkToFit="1"/>
    </xf>
    <xf numFmtId="0" fontId="20" fillId="2" borderId="1" xfId="0" applyFont="1" applyFill="1" applyBorder="1" applyAlignment="1">
      <alignment horizontal="center" vertical="center" shrinkToFit="1"/>
    </xf>
    <xf numFmtId="49" fontId="20" fillId="2" borderId="1" xfId="0" applyNumberFormat="1" applyFont="1" applyFill="1" applyBorder="1" applyAlignment="1">
      <alignment horizontal="center" vertical="center" shrinkToFit="1"/>
    </xf>
    <xf numFmtId="49" fontId="20" fillId="2" borderId="1" xfId="0" applyNumberFormat="1" applyFont="1" applyFill="1" applyBorder="1" applyAlignment="1">
      <alignment horizontal="left" vertical="center" shrinkToFit="1"/>
    </xf>
    <xf numFmtId="49" fontId="0" fillId="0" borderId="0" xfId="0" applyNumberFormat="1" applyAlignment="1">
      <alignment horizontal="center"/>
    </xf>
    <xf numFmtId="165" fontId="11" fillId="2" borderId="4" xfId="0" applyNumberFormat="1" applyFont="1" applyFill="1" applyBorder="1" applyAlignment="1">
      <alignment horizontal="center" vertical="center" shrinkToFit="1"/>
    </xf>
    <xf numFmtId="165" fontId="9" fillId="2" borderId="9" xfId="0" applyNumberFormat="1" applyFont="1" applyFill="1" applyBorder="1" applyAlignment="1">
      <alignment horizontal="center" vertical="center" shrinkToFit="1"/>
    </xf>
    <xf numFmtId="165" fontId="8" fillId="0" borderId="4" xfId="0" applyNumberFormat="1" applyFont="1" applyBorder="1" applyAlignment="1">
      <alignment horizontal="center" vertical="center"/>
    </xf>
    <xf numFmtId="165" fontId="11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vertical="center" shrinkToFit="1"/>
    </xf>
    <xf numFmtId="0" fontId="11" fillId="0" borderId="4" xfId="0" applyFont="1" applyBorder="1" applyAlignment="1">
      <alignment vertical="center" shrinkToFit="1"/>
    </xf>
    <xf numFmtId="0" fontId="9" fillId="6" borderId="1" xfId="0" applyFont="1" applyFill="1" applyBorder="1" applyAlignment="1">
      <alignment horizontal="left" vertical="center" shrinkToFit="1"/>
    </xf>
    <xf numFmtId="0" fontId="8" fillId="0" borderId="4" xfId="0" applyFont="1" applyBorder="1" applyAlignment="1">
      <alignment horizontal="center" vertical="center" shrinkToFit="1"/>
    </xf>
    <xf numFmtId="0" fontId="11" fillId="4" borderId="10" xfId="0" applyFont="1" applyFill="1" applyBorder="1" applyAlignment="1">
      <alignment horizontal="center" vertical="center" shrinkToFit="1"/>
    </xf>
    <xf numFmtId="0" fontId="9" fillId="4" borderId="8" xfId="0" applyFont="1" applyFill="1" applyBorder="1" applyAlignment="1">
      <alignment horizontal="center" vertical="center" shrinkToFit="1"/>
    </xf>
    <xf numFmtId="49" fontId="8" fillId="2" borderId="7" xfId="0" applyNumberFormat="1" applyFont="1" applyFill="1" applyBorder="1" applyAlignment="1">
      <alignment horizontal="center" vertical="center" shrinkToFit="1"/>
    </xf>
    <xf numFmtId="49" fontId="27" fillId="0" borderId="1" xfId="0" applyNumberFormat="1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 shrinkToFit="1"/>
    </xf>
    <xf numFmtId="0" fontId="9" fillId="0" borderId="9" xfId="0" applyFont="1" applyBorder="1" applyAlignment="1">
      <alignment horizontal="center" vertical="center" shrinkToFit="1"/>
    </xf>
    <xf numFmtId="0" fontId="9" fillId="0" borderId="1" xfId="0" applyFont="1" applyBorder="1" applyAlignment="1" applyProtection="1">
      <alignment vertical="center" shrinkToFit="1"/>
      <protection locked="0"/>
    </xf>
    <xf numFmtId="0" fontId="0" fillId="0" borderId="0" xfId="0" applyAlignment="1">
      <alignment horizontal="center"/>
    </xf>
    <xf numFmtId="165" fontId="0" fillId="0" borderId="0" xfId="0" applyNumberFormat="1"/>
    <xf numFmtId="0" fontId="0" fillId="0" borderId="0" xfId="0" applyAlignment="1">
      <alignment horizontal="left" vertical="center"/>
    </xf>
    <xf numFmtId="0" fontId="12" fillId="6" borderId="4" xfId="0" applyFont="1" applyFill="1" applyBorder="1" applyAlignment="1">
      <alignment horizontal="left" vertical="center" shrinkToFit="1"/>
    </xf>
    <xf numFmtId="0" fontId="15" fillId="6" borderId="4" xfId="0" applyFont="1" applyFill="1" applyBorder="1" applyAlignment="1">
      <alignment horizontal="left" vertical="center" shrinkToFit="1"/>
    </xf>
    <xf numFmtId="165" fontId="9" fillId="0" borderId="0" xfId="0" applyNumberFormat="1" applyFont="1" applyAlignment="1">
      <alignment horizontal="center" vertical="center"/>
    </xf>
    <xf numFmtId="0" fontId="9" fillId="4" borderId="0" xfId="0" applyFont="1" applyFill="1" applyAlignment="1">
      <alignment horizontal="center" vertical="center" shrinkToFit="1"/>
    </xf>
    <xf numFmtId="49" fontId="9" fillId="2" borderId="0" xfId="0" applyNumberFormat="1" applyFont="1" applyFill="1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23" fillId="4" borderId="0" xfId="0" applyFont="1" applyFill="1" applyAlignment="1">
      <alignment horizontal="center" vertical="center" shrinkToFit="1"/>
    </xf>
    <xf numFmtId="0" fontId="21" fillId="4" borderId="0" xfId="0" applyFont="1" applyFill="1" applyAlignment="1">
      <alignment horizontal="center" vertical="center" shrinkToFit="1"/>
    </xf>
    <xf numFmtId="49" fontId="21" fillId="2" borderId="0" xfId="0" applyNumberFormat="1" applyFont="1" applyFill="1" applyAlignment="1">
      <alignment horizontal="center" vertical="center" shrinkToFit="1"/>
    </xf>
    <xf numFmtId="167" fontId="0" fillId="5" borderId="1" xfId="0" applyNumberFormat="1" applyFill="1" applyBorder="1" applyAlignment="1">
      <alignment horizontal="center" vertical="center"/>
    </xf>
    <xf numFmtId="167" fontId="0" fillId="6" borderId="1" xfId="0" applyNumberFormat="1" applyFill="1" applyBorder="1" applyAlignment="1">
      <alignment horizontal="center" vertical="center"/>
    </xf>
    <xf numFmtId="49" fontId="9" fillId="2" borderId="0" xfId="0" applyNumberFormat="1" applyFont="1" applyFill="1" applyAlignment="1">
      <alignment vertical="center" shrinkToFit="1"/>
    </xf>
    <xf numFmtId="49" fontId="26" fillId="2" borderId="0" xfId="0" applyNumberFormat="1" applyFont="1" applyFill="1" applyAlignment="1">
      <alignment horizontal="center" vertical="center"/>
    </xf>
    <xf numFmtId="167" fontId="24" fillId="5" borderId="1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 shrinkToFit="1"/>
    </xf>
    <xf numFmtId="49" fontId="11" fillId="2" borderId="3" xfId="0" applyNumberFormat="1" applyFont="1" applyFill="1" applyBorder="1" applyAlignment="1">
      <alignment vertical="center" shrinkToFit="1"/>
    </xf>
    <xf numFmtId="165" fontId="9" fillId="0" borderId="0" xfId="0" applyNumberFormat="1" applyFont="1" applyAlignment="1">
      <alignment horizontal="center" vertical="center" shrinkToFit="1"/>
    </xf>
    <xf numFmtId="0" fontId="9" fillId="2" borderId="0" xfId="0" applyFont="1" applyFill="1" applyAlignment="1">
      <alignment horizontal="center" vertical="center" shrinkToFit="1"/>
    </xf>
    <xf numFmtId="165" fontId="11" fillId="2" borderId="1" xfId="0" applyNumberFormat="1" applyFont="1" applyFill="1" applyBorder="1" applyAlignment="1">
      <alignment vertical="center" shrinkToFit="1"/>
    </xf>
    <xf numFmtId="0" fontId="10" fillId="2" borderId="9" xfId="0" applyFont="1" applyFill="1" applyBorder="1" applyAlignment="1">
      <alignment horizontal="left" vertical="center" shrinkToFit="1"/>
    </xf>
  </cellXfs>
  <cellStyles count="12">
    <cellStyle name="Comma" xfId="4" builtinId="3"/>
    <cellStyle name="Comma 2" xfId="7" xr:uid="{3112DA90-19FA-41B1-A883-70E1B3C2359E}"/>
    <cellStyle name="Normal" xfId="0" builtinId="0"/>
    <cellStyle name="Normal 2" xfId="3" xr:uid="{00000000-0005-0000-0000-000000000000}"/>
    <cellStyle name="Normal 3" xfId="6" xr:uid="{00000000-0005-0000-0000-000001000000}"/>
    <cellStyle name="Normal 4" xfId="8" xr:uid="{938F0C9D-C067-4978-8618-37B901986B60}"/>
    <cellStyle name="Normal 5" xfId="9" xr:uid="{7D1A1BAC-D7CC-495D-94E9-7040AF97AA8A}"/>
    <cellStyle name="Normal 5 2" xfId="10" xr:uid="{DAF357D9-5E0B-4D84-A28C-487F190D9EB1}"/>
    <cellStyle name="Percent" xfId="5" builtinId="5"/>
    <cellStyle name="ปกติ 2" xfId="2" xr:uid="{00000000-0005-0000-0000-000004000000}"/>
    <cellStyle name="ปกติ 2 2" xfId="1" xr:uid="{00000000-0005-0000-0000-000005000000}"/>
    <cellStyle name="ปกติ 3" xfId="11" xr:uid="{0E9F84B4-FB94-47F6-8236-9536E8CC1169}"/>
  </cellStyles>
  <dxfs count="0"/>
  <tableStyles count="0" defaultTableStyle="TableStyleMedium2" defaultPivotStyle="PivotStyleLight16"/>
  <colors>
    <mruColors>
      <color rgb="FF66FF33"/>
      <color rgb="FFFF7D7D"/>
      <color rgb="FF003300"/>
      <color rgb="FF660033"/>
      <color rgb="FFB81E9B"/>
      <color rgb="FFCC66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Y2549"/>
  <sheetViews>
    <sheetView tabSelected="1" zoomScale="85" zoomScaleNormal="85" workbookViewId="0">
      <pane ySplit="1" topLeftCell="A2" activePane="bottomLeft" state="frozen"/>
      <selection activeCell="M1" sqref="M1"/>
      <selection pane="bottomLeft" activeCell="Q15" sqref="Q15"/>
    </sheetView>
  </sheetViews>
  <sheetFormatPr defaultColWidth="9" defaultRowHeight="21.3" customHeight="1"/>
  <cols>
    <col min="1" max="1" width="14" bestFit="1" customWidth="1"/>
    <col min="2" max="2" width="5.46484375" customWidth="1"/>
    <col min="3" max="3" width="15.796875" style="215" customWidth="1"/>
    <col min="4" max="5" width="15.796875" style="180" customWidth="1"/>
    <col min="6" max="6" width="33.1328125" bestFit="1" customWidth="1"/>
    <col min="7" max="7" width="15.796875" customWidth="1"/>
    <col min="8" max="8" width="22.796875" style="214" customWidth="1"/>
    <col min="9" max="9" width="15.1328125" customWidth="1"/>
    <col min="10" max="10" width="13" customWidth="1"/>
    <col min="11" max="11" width="14.46484375" bestFit="1" customWidth="1"/>
    <col min="12" max="12" width="29.1328125" customWidth="1"/>
    <col min="13" max="13" width="16.46484375" customWidth="1"/>
    <col min="14" max="14" width="22.796875" customWidth="1"/>
    <col min="15" max="16" width="22.46484375" customWidth="1"/>
    <col min="17" max="17" width="20.46484375" style="196" customWidth="1"/>
    <col min="18" max="18" width="26.46484375" customWidth="1"/>
    <col min="19" max="19" width="11.1328125" customWidth="1"/>
    <col min="20" max="20" width="21.46484375" customWidth="1"/>
    <col min="21" max="21" width="21.1328125" customWidth="1"/>
    <col min="22" max="22" width="9" customWidth="1"/>
    <col min="23" max="23" width="9" style="213" customWidth="1"/>
    <col min="24" max="24" width="16.46484375" customWidth="1"/>
    <col min="25" max="25" width="21.46484375" customWidth="1"/>
  </cols>
  <sheetData>
    <row r="1" spans="1:25" s="18" customFormat="1" ht="21.3" customHeight="1">
      <c r="A1" s="155" t="s">
        <v>0</v>
      </c>
      <c r="B1" s="123" t="s">
        <v>1</v>
      </c>
      <c r="C1" s="123" t="s">
        <v>2</v>
      </c>
      <c r="D1" s="155"/>
      <c r="E1" s="155"/>
      <c r="F1" s="123" t="s">
        <v>3</v>
      </c>
      <c r="G1" s="123" t="s">
        <v>4</v>
      </c>
      <c r="H1" s="190" t="s">
        <v>5</v>
      </c>
      <c r="I1" s="124" t="s">
        <v>6</v>
      </c>
      <c r="J1" s="124" t="s">
        <v>147</v>
      </c>
      <c r="K1" s="124" t="s">
        <v>7</v>
      </c>
      <c r="L1" s="123" t="s">
        <v>8</v>
      </c>
      <c r="M1" s="123" t="s">
        <v>9</v>
      </c>
      <c r="N1" s="123" t="s">
        <v>7795</v>
      </c>
      <c r="O1" s="123" t="s">
        <v>7796</v>
      </c>
      <c r="P1" s="123" t="s">
        <v>7608</v>
      </c>
      <c r="Q1" s="159"/>
      <c r="R1" s="123" t="s">
        <v>10</v>
      </c>
      <c r="S1" s="154" t="s">
        <v>11</v>
      </c>
      <c r="T1" s="128" t="s">
        <v>7676</v>
      </c>
      <c r="U1" s="128" t="s">
        <v>7689</v>
      </c>
      <c r="V1" s="128" t="s">
        <v>7609</v>
      </c>
      <c r="W1" s="128" t="s">
        <v>7677</v>
      </c>
      <c r="X1" s="123" t="s">
        <v>7793</v>
      </c>
      <c r="Y1" s="123" t="s">
        <v>7794</v>
      </c>
    </row>
    <row r="2" spans="1:25" s="10" customFormat="1" ht="21.3" customHeight="1">
      <c r="A2" s="132"/>
      <c r="B2" s="33"/>
      <c r="C2" s="30" t="s">
        <v>18</v>
      </c>
      <c r="D2" s="27"/>
      <c r="E2" s="27"/>
      <c r="F2" s="68" t="s">
        <v>148</v>
      </c>
      <c r="G2" s="121" t="s">
        <v>150</v>
      </c>
      <c r="H2" s="142" t="s">
        <v>19</v>
      </c>
      <c r="I2" s="199" t="s">
        <v>19</v>
      </c>
      <c r="J2" s="199" t="s">
        <v>19</v>
      </c>
      <c r="K2" s="199" t="s">
        <v>19</v>
      </c>
      <c r="L2" s="201"/>
      <c r="M2" s="204"/>
      <c r="N2" s="205" t="s">
        <v>14</v>
      </c>
      <c r="O2" s="122" t="s">
        <v>27</v>
      </c>
      <c r="P2" s="122"/>
      <c r="Q2" s="207"/>
      <c r="R2" s="209"/>
      <c r="S2" s="225" t="str">
        <f t="shared" ref="S2:S65" si="0">IF(K2&lt;&gt;"",DATE(YEAR(K2)+60+(K2&gt;=DATE(YEAR(K2),10,2)),10,1),"")</f>
        <v/>
      </c>
      <c r="T2" s="7" t="s">
        <v>5623</v>
      </c>
      <c r="U2" s="7" t="s">
        <v>5623</v>
      </c>
      <c r="V2" s="161" t="str" cm="1">
        <f t="array" ref="V2">_xlfn.IFS(C2="","",COUNTIF(C2,"ตำแหน่งว่าง*"),"ว่าง",COUNTIF(C2,"&lt;&gt;ตำแหน่งว่าง*"),"คนครอง")</f>
        <v>ว่าง</v>
      </c>
      <c r="W2" s="49" cm="1">
        <f t="array" ref="W2">_xlfn.IFS(COUNTIF(F2,"ผบ.หมู่*"),51,COUNTIF(F2,"รอง สว.*"),43)</f>
        <v>51</v>
      </c>
      <c r="X2" s="210" t="s">
        <v>149</v>
      </c>
      <c r="Y2" s="6" t="s">
        <v>27</v>
      </c>
    </row>
    <row r="3" spans="1:25" s="10" customFormat="1" ht="21.3" customHeight="1">
      <c r="A3" s="132"/>
      <c r="B3" s="28"/>
      <c r="C3" s="30" t="s">
        <v>18</v>
      </c>
      <c r="D3" s="27"/>
      <c r="E3" s="27"/>
      <c r="F3" s="68" t="s">
        <v>148</v>
      </c>
      <c r="G3" s="121" t="s">
        <v>152</v>
      </c>
      <c r="H3" s="142" t="s">
        <v>19</v>
      </c>
      <c r="I3" s="72" t="s">
        <v>19</v>
      </c>
      <c r="J3" s="72" t="s">
        <v>19</v>
      </c>
      <c r="K3" s="73" t="s">
        <v>19</v>
      </c>
      <c r="L3" s="47"/>
      <c r="M3" s="1"/>
      <c r="N3" s="113" t="s">
        <v>14</v>
      </c>
      <c r="O3" s="122" t="s">
        <v>27</v>
      </c>
      <c r="P3" s="122"/>
      <c r="Q3" s="105"/>
      <c r="R3" s="33"/>
      <c r="S3" s="225" t="str">
        <f t="shared" si="0"/>
        <v/>
      </c>
      <c r="T3" s="7" t="s">
        <v>5623</v>
      </c>
      <c r="U3" s="7" t="s">
        <v>5623</v>
      </c>
      <c r="V3" s="161" t="str" cm="1">
        <f t="array" ref="V3">_xlfn.IFS(C3="","",COUNTIF(C3,"ตำแหน่งว่าง*"),"ว่าง",COUNTIF(C3,"&lt;&gt;ตำแหน่งว่าง*"),"คนครอง")</f>
        <v>ว่าง</v>
      </c>
      <c r="W3" s="49" cm="1">
        <f t="array" ref="W3">_xlfn.IFS(COUNTIF(F3,"ผบ.หมู่*"),51,COUNTIF(F3,"รอง สว.*"),43)</f>
        <v>51</v>
      </c>
      <c r="X3" s="6" t="s">
        <v>151</v>
      </c>
      <c r="Y3" s="6" t="s">
        <v>27</v>
      </c>
    </row>
    <row r="4" spans="1:25" s="10" customFormat="1" ht="21.3" customHeight="1">
      <c r="A4" s="132"/>
      <c r="B4" s="28"/>
      <c r="C4" s="30" t="s">
        <v>18</v>
      </c>
      <c r="D4" s="27"/>
      <c r="E4" s="27"/>
      <c r="F4" s="68" t="s">
        <v>148</v>
      </c>
      <c r="G4" s="121" t="s">
        <v>154</v>
      </c>
      <c r="H4" s="142" t="s">
        <v>19</v>
      </c>
      <c r="I4" s="72" t="s">
        <v>19</v>
      </c>
      <c r="J4" s="72" t="s">
        <v>19</v>
      </c>
      <c r="K4" s="73" t="s">
        <v>19</v>
      </c>
      <c r="L4" s="47"/>
      <c r="M4" s="1"/>
      <c r="N4" s="113" t="s">
        <v>14</v>
      </c>
      <c r="O4" s="122" t="s">
        <v>27</v>
      </c>
      <c r="P4" s="122"/>
      <c r="Q4" s="105"/>
      <c r="R4" s="33"/>
      <c r="S4" s="225" t="str">
        <f t="shared" si="0"/>
        <v/>
      </c>
      <c r="T4" s="7" t="s">
        <v>5623</v>
      </c>
      <c r="U4" s="7" t="s">
        <v>5623</v>
      </c>
      <c r="V4" s="161" t="str" cm="1">
        <f t="array" ref="V4">_xlfn.IFS(C4="","",COUNTIF(C4,"ตำแหน่งว่าง*"),"ว่าง",COUNTIF(C4,"&lt;&gt;ตำแหน่งว่าง*"),"คนครอง")</f>
        <v>ว่าง</v>
      </c>
      <c r="W4" s="49" cm="1">
        <f t="array" ref="W4">_xlfn.IFS(COUNTIF(F4,"ผบ.หมู่*"),51,COUNTIF(F4,"รอง สว.*"),43)</f>
        <v>51</v>
      </c>
      <c r="X4" s="6" t="s">
        <v>153</v>
      </c>
      <c r="Y4" s="6" t="s">
        <v>27</v>
      </c>
    </row>
    <row r="5" spans="1:25" s="10" customFormat="1" ht="21.3" customHeight="1">
      <c r="A5" s="133"/>
      <c r="B5" s="30"/>
      <c r="C5" s="30" t="s">
        <v>18</v>
      </c>
      <c r="D5" s="27"/>
      <c r="E5" s="27"/>
      <c r="F5" s="68" t="s">
        <v>148</v>
      </c>
      <c r="G5" s="121" t="s">
        <v>156</v>
      </c>
      <c r="H5" s="197" t="s">
        <v>19</v>
      </c>
      <c r="I5" s="200" t="s">
        <v>19</v>
      </c>
      <c r="J5" s="200" t="s">
        <v>19</v>
      </c>
      <c r="K5" s="74" t="s">
        <v>19</v>
      </c>
      <c r="L5" s="202"/>
      <c r="M5" s="6"/>
      <c r="N5" s="113" t="s">
        <v>14</v>
      </c>
      <c r="O5" s="122" t="s">
        <v>27</v>
      </c>
      <c r="P5" s="122"/>
      <c r="Q5" s="106"/>
      <c r="R5" s="149"/>
      <c r="S5" s="225" t="str">
        <f t="shared" si="0"/>
        <v/>
      </c>
      <c r="T5" s="7" t="s">
        <v>5623</v>
      </c>
      <c r="U5" s="7" t="s">
        <v>5623</v>
      </c>
      <c r="V5" s="161" t="str" cm="1">
        <f t="array" ref="V5">_xlfn.IFS(C5="","",COUNTIF(C5,"ตำแหน่งว่าง*"),"ว่าง",COUNTIF(C5,"&lt;&gt;ตำแหน่งว่าง*"),"คนครอง")</f>
        <v>ว่าง</v>
      </c>
      <c r="W5" s="49" cm="1">
        <f t="array" ref="W5">_xlfn.IFS(COUNTIF(F5,"ผบ.หมู่*"),51,COUNTIF(F5,"รอง สว.*"),43)</f>
        <v>51</v>
      </c>
      <c r="X5" s="6" t="s">
        <v>155</v>
      </c>
      <c r="Y5" s="6" t="s">
        <v>27</v>
      </c>
    </row>
    <row r="6" spans="1:25" s="10" customFormat="1" ht="21.3" customHeight="1">
      <c r="A6" s="216" t="s">
        <v>51</v>
      </c>
      <c r="B6" s="157"/>
      <c r="C6" s="125"/>
      <c r="D6" s="158"/>
      <c r="E6" s="158"/>
      <c r="F6" s="158"/>
      <c r="G6" s="125"/>
      <c r="H6" s="190" t="s">
        <v>19</v>
      </c>
      <c r="I6" s="124" t="s">
        <v>19</v>
      </c>
      <c r="J6" s="124" t="s">
        <v>19</v>
      </c>
      <c r="K6" s="126" t="s">
        <v>19</v>
      </c>
      <c r="L6" s="191"/>
      <c r="M6" s="128"/>
      <c r="N6" s="125"/>
      <c r="O6" s="125"/>
      <c r="P6" s="125"/>
      <c r="Q6" s="160"/>
      <c r="R6" s="123"/>
      <c r="S6" s="226" t="str">
        <f t="shared" si="0"/>
        <v/>
      </c>
      <c r="T6" s="158"/>
      <c r="U6" s="158"/>
      <c r="V6" s="158" t="str" cm="1">
        <f t="array" ref="V6">_xlfn.IFS(C6="","",COUNTIF(C6,"ตำแหน่งว่าง*"),"ว่าง",COUNTIF(C6,"&lt;&gt;ตำแหน่งว่าง*"),"คนครอง")</f>
        <v/>
      </c>
      <c r="W6" s="125"/>
      <c r="X6" s="125"/>
      <c r="Y6" s="125"/>
    </row>
    <row r="7" spans="1:25" s="10" customFormat="1" ht="21.3" customHeight="1">
      <c r="A7" s="132" t="s">
        <v>169</v>
      </c>
      <c r="B7" s="28" t="s">
        <v>21</v>
      </c>
      <c r="C7" s="27" t="s">
        <v>406</v>
      </c>
      <c r="D7" s="27" t="s">
        <v>8023</v>
      </c>
      <c r="E7" s="27" t="s">
        <v>8363</v>
      </c>
      <c r="F7" s="27" t="s">
        <v>407</v>
      </c>
      <c r="G7" s="101" t="s">
        <v>409</v>
      </c>
      <c r="H7" s="87">
        <v>45092</v>
      </c>
      <c r="I7" s="72">
        <v>45092</v>
      </c>
      <c r="J7" s="72">
        <v>45092</v>
      </c>
      <c r="K7" s="73">
        <v>33388</v>
      </c>
      <c r="L7" s="32" t="s">
        <v>410</v>
      </c>
      <c r="M7" s="30" t="s">
        <v>32</v>
      </c>
      <c r="N7" s="112" t="s">
        <v>14</v>
      </c>
      <c r="O7" s="104" t="s">
        <v>27</v>
      </c>
      <c r="P7" s="104"/>
      <c r="Q7" s="105"/>
      <c r="R7" s="33" t="s">
        <v>174</v>
      </c>
      <c r="S7" s="225">
        <f t="shared" si="0"/>
        <v>55427</v>
      </c>
      <c r="T7" s="7" t="s">
        <v>51</v>
      </c>
      <c r="U7" s="7" t="s">
        <v>5623</v>
      </c>
      <c r="V7" s="161" t="str" cm="1">
        <f t="array" ref="V7">_xlfn.IFS(C7="","",COUNTIF(C7,"ตำแหน่งว่าง*"),"ว่าง",COUNTIF(C7,"&lt;&gt;ตำแหน่งว่าง*"),"คนครอง")</f>
        <v>คนครอง</v>
      </c>
      <c r="W7" s="49" cm="1">
        <f t="array" ref="W7">_xlfn.IFS(COUNTIF(F7,"ผบ.หมู่*"),51,COUNTIF(F7,"รอง สว.*"),43)</f>
        <v>51</v>
      </c>
      <c r="X7" s="1" t="s">
        <v>408</v>
      </c>
      <c r="Y7" s="1" t="s">
        <v>27</v>
      </c>
    </row>
    <row r="8" spans="1:25" s="10" customFormat="1" ht="21.3" customHeight="1">
      <c r="A8" s="132" t="s">
        <v>169</v>
      </c>
      <c r="B8" s="28" t="s">
        <v>21</v>
      </c>
      <c r="C8" s="27" t="s">
        <v>411</v>
      </c>
      <c r="D8" s="27" t="s">
        <v>8364</v>
      </c>
      <c r="E8" s="27" t="s">
        <v>8365</v>
      </c>
      <c r="F8" s="27" t="s">
        <v>407</v>
      </c>
      <c r="G8" s="101" t="s">
        <v>413</v>
      </c>
      <c r="H8" s="87">
        <v>45092</v>
      </c>
      <c r="I8" s="72">
        <v>45092</v>
      </c>
      <c r="J8" s="72">
        <v>45092</v>
      </c>
      <c r="K8" s="73">
        <v>35544</v>
      </c>
      <c r="L8" s="32" t="s">
        <v>414</v>
      </c>
      <c r="M8" s="30" t="s">
        <v>57</v>
      </c>
      <c r="N8" s="112" t="s">
        <v>14</v>
      </c>
      <c r="O8" s="104" t="s">
        <v>27</v>
      </c>
      <c r="P8" s="104"/>
      <c r="Q8" s="105"/>
      <c r="R8" s="33" t="s">
        <v>174</v>
      </c>
      <c r="S8" s="225">
        <f t="shared" si="0"/>
        <v>57619</v>
      </c>
      <c r="T8" s="7" t="s">
        <v>51</v>
      </c>
      <c r="U8" s="7" t="s">
        <v>5623</v>
      </c>
      <c r="V8" s="161" t="str" cm="1">
        <f t="array" ref="V8">_xlfn.IFS(C8="","",COUNTIF(C8,"ตำแหน่งว่าง*"),"ว่าง",COUNTIF(C8,"&lt;&gt;ตำแหน่งว่าง*"),"คนครอง")</f>
        <v>คนครอง</v>
      </c>
      <c r="W8" s="49" cm="1">
        <f t="array" ref="W8">_xlfn.IFS(COUNTIF(F8,"ผบ.หมู่*"),51,COUNTIF(F8,"รอง สว.*"),43)</f>
        <v>51</v>
      </c>
      <c r="X8" s="1" t="s">
        <v>412</v>
      </c>
      <c r="Y8" s="1" t="s">
        <v>27</v>
      </c>
    </row>
    <row r="9" spans="1:25" s="10" customFormat="1" ht="21.3" customHeight="1">
      <c r="A9" s="132" t="s">
        <v>169</v>
      </c>
      <c r="B9" s="28" t="s">
        <v>21</v>
      </c>
      <c r="C9" s="27" t="s">
        <v>7962</v>
      </c>
      <c r="D9" s="27" t="s">
        <v>8366</v>
      </c>
      <c r="E9" s="27" t="s">
        <v>8367</v>
      </c>
      <c r="F9" s="27" t="s">
        <v>407</v>
      </c>
      <c r="G9" s="101" t="s">
        <v>416</v>
      </c>
      <c r="H9" s="87">
        <v>45092</v>
      </c>
      <c r="I9" s="72">
        <v>45092</v>
      </c>
      <c r="J9" s="72">
        <v>45092</v>
      </c>
      <c r="K9" s="73">
        <v>35554</v>
      </c>
      <c r="L9" s="32" t="s">
        <v>417</v>
      </c>
      <c r="M9" s="30" t="s">
        <v>56</v>
      </c>
      <c r="N9" s="112" t="s">
        <v>14</v>
      </c>
      <c r="O9" s="104" t="s">
        <v>27</v>
      </c>
      <c r="P9" s="104"/>
      <c r="Q9" s="105"/>
      <c r="R9" s="33" t="s">
        <v>174</v>
      </c>
      <c r="S9" s="225">
        <f t="shared" si="0"/>
        <v>57619</v>
      </c>
      <c r="T9" s="7" t="s">
        <v>51</v>
      </c>
      <c r="U9" s="7" t="s">
        <v>5623</v>
      </c>
      <c r="V9" s="161" t="str" cm="1">
        <f t="array" ref="V9">_xlfn.IFS(C9="","",COUNTIF(C9,"ตำแหน่งว่าง*"),"ว่าง",COUNTIF(C9,"&lt;&gt;ตำแหน่งว่าง*"),"คนครอง")</f>
        <v>คนครอง</v>
      </c>
      <c r="W9" s="49" cm="1">
        <f t="array" ref="W9">_xlfn.IFS(COUNTIF(F9,"ผบ.หมู่*"),51,COUNTIF(F9,"รอง สว.*"),43)</f>
        <v>51</v>
      </c>
      <c r="X9" s="1" t="s">
        <v>415</v>
      </c>
      <c r="Y9" s="1" t="s">
        <v>27</v>
      </c>
    </row>
    <row r="10" spans="1:25" s="10" customFormat="1" ht="21.3" customHeight="1">
      <c r="A10" s="132"/>
      <c r="B10" s="28"/>
      <c r="C10" s="30" t="s">
        <v>18</v>
      </c>
      <c r="D10" s="27"/>
      <c r="E10" s="27"/>
      <c r="F10" s="68" t="s">
        <v>407</v>
      </c>
      <c r="G10" s="121" t="s">
        <v>419</v>
      </c>
      <c r="H10" s="142"/>
      <c r="I10" s="72" t="s">
        <v>19</v>
      </c>
      <c r="J10" s="72" t="s">
        <v>19</v>
      </c>
      <c r="K10" s="73" t="s">
        <v>19</v>
      </c>
      <c r="L10" s="47"/>
      <c r="M10" s="1"/>
      <c r="N10" s="113" t="s">
        <v>14</v>
      </c>
      <c r="O10" s="122" t="s">
        <v>27</v>
      </c>
      <c r="P10" s="122"/>
      <c r="Q10" s="105"/>
      <c r="R10" s="33"/>
      <c r="S10" s="225" t="str">
        <f t="shared" si="0"/>
        <v/>
      </c>
      <c r="T10" s="7" t="s">
        <v>51</v>
      </c>
      <c r="U10" s="7" t="s">
        <v>5623</v>
      </c>
      <c r="V10" s="161" t="str" cm="1">
        <f t="array" ref="V10">_xlfn.IFS(C10="","",COUNTIF(C10,"ตำแหน่งว่าง*"),"ว่าง",COUNTIF(C10,"&lt;&gt;ตำแหน่งว่าง*"),"คนครอง")</f>
        <v>ว่าง</v>
      </c>
      <c r="W10" s="49" cm="1">
        <f t="array" ref="W10">_xlfn.IFS(COUNTIF(F10,"ผบ.หมู่*"),51,COUNTIF(F10,"รอง สว.*"),43)</f>
        <v>51</v>
      </c>
      <c r="X10" s="6" t="s">
        <v>418</v>
      </c>
      <c r="Y10" s="6" t="s">
        <v>27</v>
      </c>
    </row>
    <row r="11" spans="1:25" s="10" customFormat="1" ht="21.3" customHeight="1">
      <c r="A11" s="132"/>
      <c r="B11" s="28"/>
      <c r="C11" s="30" t="s">
        <v>18</v>
      </c>
      <c r="D11" s="27"/>
      <c r="E11" s="27"/>
      <c r="F11" s="68" t="s">
        <v>407</v>
      </c>
      <c r="G11" s="121" t="s">
        <v>421</v>
      </c>
      <c r="H11" s="142" t="s">
        <v>19</v>
      </c>
      <c r="I11" s="72" t="s">
        <v>19</v>
      </c>
      <c r="J11" s="72" t="s">
        <v>19</v>
      </c>
      <c r="K11" s="73" t="s">
        <v>19</v>
      </c>
      <c r="L11" s="47"/>
      <c r="M11" s="1"/>
      <c r="N11" s="113" t="s">
        <v>14</v>
      </c>
      <c r="O11" s="122" t="s">
        <v>27</v>
      </c>
      <c r="P11" s="122"/>
      <c r="Q11" s="105"/>
      <c r="R11" s="33"/>
      <c r="S11" s="225" t="str">
        <f t="shared" si="0"/>
        <v/>
      </c>
      <c r="T11" s="7" t="s">
        <v>51</v>
      </c>
      <c r="U11" s="7" t="s">
        <v>5623</v>
      </c>
      <c r="V11" s="161" t="str" cm="1">
        <f t="array" ref="V11">_xlfn.IFS(C11="","",COUNTIF(C11,"ตำแหน่งว่าง*"),"ว่าง",COUNTIF(C11,"&lt;&gt;ตำแหน่งว่าง*"),"คนครอง")</f>
        <v>ว่าง</v>
      </c>
      <c r="W11" s="49" cm="1">
        <f t="array" ref="W11">_xlfn.IFS(COUNTIF(F11,"ผบ.หมู่*"),51,COUNTIF(F11,"รอง สว.*"),43)</f>
        <v>51</v>
      </c>
      <c r="X11" s="6" t="s">
        <v>420</v>
      </c>
      <c r="Y11" s="6" t="s">
        <v>27</v>
      </c>
    </row>
    <row r="12" spans="1:25" s="10" customFormat="1" ht="21.3" customHeight="1">
      <c r="A12" s="132"/>
      <c r="B12" s="28"/>
      <c r="C12" s="30" t="s">
        <v>18</v>
      </c>
      <c r="D12" s="27"/>
      <c r="E12" s="27"/>
      <c r="F12" s="68" t="s">
        <v>407</v>
      </c>
      <c r="G12" s="121" t="s">
        <v>423</v>
      </c>
      <c r="H12" s="142" t="s">
        <v>19</v>
      </c>
      <c r="I12" s="72" t="s">
        <v>19</v>
      </c>
      <c r="J12" s="72" t="s">
        <v>19</v>
      </c>
      <c r="K12" s="73" t="s">
        <v>19</v>
      </c>
      <c r="L12" s="47"/>
      <c r="M12" s="1"/>
      <c r="N12" s="113" t="s">
        <v>14</v>
      </c>
      <c r="O12" s="122" t="s">
        <v>27</v>
      </c>
      <c r="P12" s="122"/>
      <c r="Q12" s="105"/>
      <c r="R12" s="33"/>
      <c r="S12" s="225" t="str">
        <f t="shared" si="0"/>
        <v/>
      </c>
      <c r="T12" s="7" t="s">
        <v>51</v>
      </c>
      <c r="U12" s="7" t="s">
        <v>5623</v>
      </c>
      <c r="V12" s="161" t="str" cm="1">
        <f t="array" ref="V12">_xlfn.IFS(C12="","",COUNTIF(C12,"ตำแหน่งว่าง*"),"ว่าง",COUNTIF(C12,"&lt;&gt;ตำแหน่งว่าง*"),"คนครอง")</f>
        <v>ว่าง</v>
      </c>
      <c r="W12" s="49" cm="1">
        <f t="array" ref="W12">_xlfn.IFS(COUNTIF(F12,"ผบ.หมู่*"),51,COUNTIF(F12,"รอง สว.*"),43)</f>
        <v>51</v>
      </c>
      <c r="X12" s="6" t="s">
        <v>422</v>
      </c>
      <c r="Y12" s="6" t="s">
        <v>424</v>
      </c>
    </row>
    <row r="13" spans="1:25" s="10" customFormat="1" ht="21.3" customHeight="1">
      <c r="A13" s="132"/>
      <c r="B13" s="28"/>
      <c r="C13" s="30" t="s">
        <v>18</v>
      </c>
      <c r="D13" s="27"/>
      <c r="E13" s="27"/>
      <c r="F13" s="68" t="s">
        <v>407</v>
      </c>
      <c r="G13" s="121" t="s">
        <v>426</v>
      </c>
      <c r="H13" s="142" t="s">
        <v>19</v>
      </c>
      <c r="I13" s="72" t="s">
        <v>19</v>
      </c>
      <c r="J13" s="72" t="s">
        <v>19</v>
      </c>
      <c r="K13" s="73" t="s">
        <v>19</v>
      </c>
      <c r="L13" s="47"/>
      <c r="M13" s="1"/>
      <c r="N13" s="113" t="s">
        <v>14</v>
      </c>
      <c r="O13" s="122" t="s">
        <v>27</v>
      </c>
      <c r="P13" s="122"/>
      <c r="Q13" s="105"/>
      <c r="R13" s="33"/>
      <c r="S13" s="225" t="str">
        <f t="shared" si="0"/>
        <v/>
      </c>
      <c r="T13" s="7" t="s">
        <v>51</v>
      </c>
      <c r="U13" s="7" t="s">
        <v>5623</v>
      </c>
      <c r="V13" s="161" t="str" cm="1">
        <f t="array" ref="V13">_xlfn.IFS(C13="","",COUNTIF(C13,"ตำแหน่งว่าง*"),"ว่าง",COUNTIF(C13,"&lt;&gt;ตำแหน่งว่าง*"),"คนครอง")</f>
        <v>ว่าง</v>
      </c>
      <c r="W13" s="49" cm="1">
        <f t="array" ref="W13">_xlfn.IFS(COUNTIF(F13,"ผบ.หมู่*"),51,COUNTIF(F13,"รอง สว.*"),43)</f>
        <v>51</v>
      </c>
      <c r="X13" s="6" t="s">
        <v>425</v>
      </c>
      <c r="Y13" s="6" t="s">
        <v>424</v>
      </c>
    </row>
    <row r="14" spans="1:25" s="10" customFormat="1" ht="21.3" customHeight="1">
      <c r="A14" s="132"/>
      <c r="B14" s="28"/>
      <c r="C14" s="30" t="s">
        <v>18</v>
      </c>
      <c r="D14" s="27"/>
      <c r="E14" s="27"/>
      <c r="F14" s="68" t="s">
        <v>407</v>
      </c>
      <c r="G14" s="121" t="s">
        <v>428</v>
      </c>
      <c r="H14" s="142" t="s">
        <v>19</v>
      </c>
      <c r="I14" s="72" t="s">
        <v>19</v>
      </c>
      <c r="J14" s="72" t="s">
        <v>19</v>
      </c>
      <c r="K14" s="73" t="s">
        <v>19</v>
      </c>
      <c r="L14" s="47"/>
      <c r="M14" s="1"/>
      <c r="N14" s="113" t="s">
        <v>14</v>
      </c>
      <c r="O14" s="122" t="s">
        <v>27</v>
      </c>
      <c r="P14" s="122"/>
      <c r="Q14" s="105"/>
      <c r="R14" s="33"/>
      <c r="S14" s="225" t="str">
        <f t="shared" si="0"/>
        <v/>
      </c>
      <c r="T14" s="7" t="s">
        <v>51</v>
      </c>
      <c r="U14" s="7" t="s">
        <v>5623</v>
      </c>
      <c r="V14" s="161" t="str" cm="1">
        <f t="array" ref="V14">_xlfn.IFS(C14="","",COUNTIF(C14,"ตำแหน่งว่าง*"),"ว่าง",COUNTIF(C14,"&lt;&gt;ตำแหน่งว่าง*"),"คนครอง")</f>
        <v>ว่าง</v>
      </c>
      <c r="W14" s="49" cm="1">
        <f t="array" ref="W14">_xlfn.IFS(COUNTIF(F14,"ผบ.หมู่*"),51,COUNTIF(F14,"รอง สว.*"),43)</f>
        <v>51</v>
      </c>
      <c r="X14" s="6" t="s">
        <v>427</v>
      </c>
      <c r="Y14" s="6" t="s">
        <v>424</v>
      </c>
    </row>
    <row r="15" spans="1:25" s="10" customFormat="1" ht="21.3" customHeight="1">
      <c r="A15" s="132"/>
      <c r="B15" s="28"/>
      <c r="C15" s="30" t="s">
        <v>18</v>
      </c>
      <c r="D15" s="27"/>
      <c r="E15" s="27"/>
      <c r="F15" s="68" t="s">
        <v>407</v>
      </c>
      <c r="G15" s="121" t="s">
        <v>430</v>
      </c>
      <c r="H15" s="142" t="s">
        <v>19</v>
      </c>
      <c r="I15" s="72" t="s">
        <v>19</v>
      </c>
      <c r="J15" s="72" t="s">
        <v>19</v>
      </c>
      <c r="K15" s="73" t="s">
        <v>19</v>
      </c>
      <c r="L15" s="47"/>
      <c r="M15" s="1"/>
      <c r="N15" s="113" t="s">
        <v>14</v>
      </c>
      <c r="O15" s="122" t="s">
        <v>27</v>
      </c>
      <c r="P15" s="122"/>
      <c r="Q15" s="105"/>
      <c r="R15" s="33"/>
      <c r="S15" s="225" t="str">
        <f t="shared" si="0"/>
        <v/>
      </c>
      <c r="T15" s="7" t="s">
        <v>51</v>
      </c>
      <c r="U15" s="7" t="s">
        <v>5623</v>
      </c>
      <c r="V15" s="161" t="str" cm="1">
        <f t="array" ref="V15">_xlfn.IFS(C15="","",COUNTIF(C15,"ตำแหน่งว่าง*"),"ว่าง",COUNTIF(C15,"&lt;&gt;ตำแหน่งว่าง*"),"คนครอง")</f>
        <v>ว่าง</v>
      </c>
      <c r="W15" s="49" cm="1">
        <f t="array" ref="W15">_xlfn.IFS(COUNTIF(F15,"ผบ.หมู่*"),51,COUNTIF(F15,"รอง สว.*"),43)</f>
        <v>51</v>
      </c>
      <c r="X15" s="6" t="s">
        <v>429</v>
      </c>
      <c r="Y15" s="6" t="s">
        <v>424</v>
      </c>
    </row>
    <row r="16" spans="1:25" s="10" customFormat="1" ht="21.3" customHeight="1">
      <c r="A16" s="132"/>
      <c r="B16" s="28"/>
      <c r="C16" s="30" t="s">
        <v>18</v>
      </c>
      <c r="D16" s="27"/>
      <c r="E16" s="27"/>
      <c r="F16" s="68" t="s">
        <v>407</v>
      </c>
      <c r="G16" s="121" t="s">
        <v>432</v>
      </c>
      <c r="H16" s="142" t="s">
        <v>19</v>
      </c>
      <c r="I16" s="72" t="s">
        <v>19</v>
      </c>
      <c r="J16" s="72" t="s">
        <v>19</v>
      </c>
      <c r="K16" s="73" t="s">
        <v>19</v>
      </c>
      <c r="L16" s="47"/>
      <c r="M16" s="1"/>
      <c r="N16" s="113" t="s">
        <v>14</v>
      </c>
      <c r="O16" s="122" t="s">
        <v>27</v>
      </c>
      <c r="P16" s="122"/>
      <c r="Q16" s="105"/>
      <c r="R16" s="33"/>
      <c r="S16" s="225" t="str">
        <f t="shared" si="0"/>
        <v/>
      </c>
      <c r="T16" s="7" t="s">
        <v>51</v>
      </c>
      <c r="U16" s="7" t="s">
        <v>5623</v>
      </c>
      <c r="V16" s="161" t="str" cm="1">
        <f t="array" ref="V16">_xlfn.IFS(C16="","",COUNTIF(C16,"ตำแหน่งว่าง*"),"ว่าง",COUNTIF(C16,"&lt;&gt;ตำแหน่งว่าง*"),"คนครอง")</f>
        <v>ว่าง</v>
      </c>
      <c r="W16" s="49" cm="1">
        <f t="array" ref="W16">_xlfn.IFS(COUNTIF(F16,"ผบ.หมู่*"),51,COUNTIF(F16,"รอง สว.*"),43)</f>
        <v>51</v>
      </c>
      <c r="X16" s="6" t="s">
        <v>431</v>
      </c>
      <c r="Y16" s="6" t="s">
        <v>424</v>
      </c>
    </row>
    <row r="17" spans="1:25" s="10" customFormat="1" ht="21.3" customHeight="1">
      <c r="A17" s="132"/>
      <c r="B17" s="28"/>
      <c r="C17" s="30" t="s">
        <v>18</v>
      </c>
      <c r="D17" s="27"/>
      <c r="E17" s="27"/>
      <c r="F17" s="68" t="s">
        <v>407</v>
      </c>
      <c r="G17" s="121" t="s">
        <v>434</v>
      </c>
      <c r="H17" s="142" t="s">
        <v>19</v>
      </c>
      <c r="I17" s="72" t="s">
        <v>19</v>
      </c>
      <c r="J17" s="72" t="s">
        <v>19</v>
      </c>
      <c r="K17" s="73" t="s">
        <v>19</v>
      </c>
      <c r="L17" s="47"/>
      <c r="M17" s="1"/>
      <c r="N17" s="113" t="s">
        <v>14</v>
      </c>
      <c r="O17" s="122" t="s">
        <v>27</v>
      </c>
      <c r="P17" s="122"/>
      <c r="Q17" s="105"/>
      <c r="R17" s="33"/>
      <c r="S17" s="225" t="str">
        <f t="shared" si="0"/>
        <v/>
      </c>
      <c r="T17" s="7" t="s">
        <v>51</v>
      </c>
      <c r="U17" s="7" t="s">
        <v>5623</v>
      </c>
      <c r="V17" s="161" t="str" cm="1">
        <f t="array" ref="V17">_xlfn.IFS(C17="","",COUNTIF(C17,"ตำแหน่งว่าง*"),"ว่าง",COUNTIF(C17,"&lt;&gt;ตำแหน่งว่าง*"),"คนครอง")</f>
        <v>ว่าง</v>
      </c>
      <c r="W17" s="49" cm="1">
        <f t="array" ref="W17">_xlfn.IFS(COUNTIF(F17,"ผบ.หมู่*"),51,COUNTIF(F17,"รอง สว.*"),43)</f>
        <v>51</v>
      </c>
      <c r="X17" s="6" t="s">
        <v>433</v>
      </c>
      <c r="Y17" s="6" t="s">
        <v>424</v>
      </c>
    </row>
    <row r="18" spans="1:25" s="10" customFormat="1" ht="21.3" customHeight="1">
      <c r="A18" s="132" t="s">
        <v>30</v>
      </c>
      <c r="B18" s="28" t="s">
        <v>12</v>
      </c>
      <c r="C18" s="95" t="s">
        <v>435</v>
      </c>
      <c r="D18" s="27" t="s">
        <v>8073</v>
      </c>
      <c r="E18" s="27" t="s">
        <v>8165</v>
      </c>
      <c r="F18" s="27" t="s">
        <v>436</v>
      </c>
      <c r="G18" s="101" t="s">
        <v>438</v>
      </c>
      <c r="H18" s="142">
        <v>44999</v>
      </c>
      <c r="I18" s="87">
        <v>43554</v>
      </c>
      <c r="J18" s="87">
        <v>32174</v>
      </c>
      <c r="K18" s="75">
        <v>24276</v>
      </c>
      <c r="L18" s="32" t="s">
        <v>439</v>
      </c>
      <c r="M18" s="28" t="s">
        <v>16</v>
      </c>
      <c r="N18" s="111" t="s">
        <v>14</v>
      </c>
      <c r="O18" s="104" t="s">
        <v>52</v>
      </c>
      <c r="P18" s="104" t="s">
        <v>52</v>
      </c>
      <c r="Q18" s="105"/>
      <c r="R18" s="33" t="s">
        <v>440</v>
      </c>
      <c r="S18" s="225">
        <f t="shared" si="0"/>
        <v>46296</v>
      </c>
      <c r="T18" s="7" t="s">
        <v>51</v>
      </c>
      <c r="U18" s="7" t="s">
        <v>5623</v>
      </c>
      <c r="V18" s="161" t="str" cm="1">
        <f t="array" ref="V18">_xlfn.IFS(C18="","",COUNTIF(C18,"ตำแหน่งว่าง*"),"ว่าง",COUNTIF(C18,"&lt;&gt;ตำแหน่งว่าง*"),"คนครอง")</f>
        <v>คนครอง</v>
      </c>
      <c r="W18" s="49" cm="1">
        <f t="array" ref="W18">_xlfn.IFS(COUNTIF(F18,"ผบ.หมู่*"),51,COUNTIF(F18,"รอง สว.*"),43)</f>
        <v>43</v>
      </c>
      <c r="X18" s="1" t="s">
        <v>437</v>
      </c>
      <c r="Y18" s="31" t="s">
        <v>52</v>
      </c>
    </row>
    <row r="19" spans="1:25" s="9" customFormat="1" ht="21.3" customHeight="1">
      <c r="A19" s="132"/>
      <c r="B19" s="28"/>
      <c r="C19" s="30" t="s">
        <v>18</v>
      </c>
      <c r="D19" s="27"/>
      <c r="E19" s="27"/>
      <c r="F19" s="68" t="s">
        <v>407</v>
      </c>
      <c r="G19" s="121" t="s">
        <v>442</v>
      </c>
      <c r="H19" s="142" t="s">
        <v>19</v>
      </c>
      <c r="I19" s="72" t="s">
        <v>19</v>
      </c>
      <c r="J19" s="72" t="s">
        <v>19</v>
      </c>
      <c r="K19" s="73" t="s">
        <v>19</v>
      </c>
      <c r="L19" s="47"/>
      <c r="M19" s="1"/>
      <c r="N19" s="113" t="s">
        <v>14</v>
      </c>
      <c r="O19" s="122" t="s">
        <v>52</v>
      </c>
      <c r="P19" s="122" t="s">
        <v>52</v>
      </c>
      <c r="Q19" s="105"/>
      <c r="R19" s="33"/>
      <c r="S19" s="225" t="str">
        <f t="shared" si="0"/>
        <v/>
      </c>
      <c r="T19" s="2" t="s">
        <v>51</v>
      </c>
      <c r="U19" s="7" t="s">
        <v>5623</v>
      </c>
      <c r="V19" s="161" t="str" cm="1">
        <f t="array" ref="V19">_xlfn.IFS(C19="","",COUNTIF(C19,"ตำแหน่งว่าง*"),"ว่าง",COUNTIF(C19,"&lt;&gt;ตำแหน่งว่าง*"),"คนครอง")</f>
        <v>ว่าง</v>
      </c>
      <c r="W19" s="49" cm="1">
        <f t="array" ref="W19">_xlfn.IFS(COUNTIF(F19,"ผบ.หมู่*"),51,COUNTIF(F19,"รอง สว.*"),43)</f>
        <v>51</v>
      </c>
      <c r="X19" s="6" t="s">
        <v>441</v>
      </c>
      <c r="Y19" s="6" t="s">
        <v>52</v>
      </c>
    </row>
    <row r="20" spans="1:25" s="10" customFormat="1" ht="21.3" customHeight="1">
      <c r="A20" s="132"/>
      <c r="B20" s="28"/>
      <c r="C20" s="30" t="s">
        <v>18</v>
      </c>
      <c r="D20" s="27"/>
      <c r="E20" s="27"/>
      <c r="F20" s="68" t="s">
        <v>407</v>
      </c>
      <c r="G20" s="121" t="s">
        <v>444</v>
      </c>
      <c r="H20" s="142" t="s">
        <v>19</v>
      </c>
      <c r="I20" s="72" t="s">
        <v>19</v>
      </c>
      <c r="J20" s="72" t="s">
        <v>19</v>
      </c>
      <c r="K20" s="73" t="s">
        <v>19</v>
      </c>
      <c r="L20" s="47"/>
      <c r="M20" s="1"/>
      <c r="N20" s="113" t="s">
        <v>14</v>
      </c>
      <c r="O20" s="122" t="s">
        <v>52</v>
      </c>
      <c r="P20" s="122" t="s">
        <v>52</v>
      </c>
      <c r="Q20" s="105"/>
      <c r="R20" s="33"/>
      <c r="S20" s="225" t="str">
        <f t="shared" si="0"/>
        <v/>
      </c>
      <c r="T20" s="7" t="s">
        <v>51</v>
      </c>
      <c r="U20" s="7" t="s">
        <v>5623</v>
      </c>
      <c r="V20" s="161" t="str" cm="1">
        <f t="array" ref="V20">_xlfn.IFS(C20="","",COUNTIF(C20,"ตำแหน่งว่าง*"),"ว่าง",COUNTIF(C20,"&lt;&gt;ตำแหน่งว่าง*"),"คนครอง")</f>
        <v>ว่าง</v>
      </c>
      <c r="W20" s="49" cm="1">
        <f t="array" ref="W20">_xlfn.IFS(COUNTIF(F20,"ผบ.หมู่*"),51,COUNTIF(F20,"รอง สว.*"),43)</f>
        <v>51</v>
      </c>
      <c r="X20" s="6" t="s">
        <v>443</v>
      </c>
      <c r="Y20" s="6" t="s">
        <v>52</v>
      </c>
    </row>
    <row r="21" spans="1:25" s="10" customFormat="1" ht="21.3" customHeight="1">
      <c r="A21" s="132"/>
      <c r="B21" s="28"/>
      <c r="C21" s="30" t="s">
        <v>18</v>
      </c>
      <c r="D21" s="27"/>
      <c r="E21" s="27"/>
      <c r="F21" s="68" t="s">
        <v>407</v>
      </c>
      <c r="G21" s="121" t="s">
        <v>446</v>
      </c>
      <c r="H21" s="142" t="s">
        <v>19</v>
      </c>
      <c r="I21" s="72" t="s">
        <v>19</v>
      </c>
      <c r="J21" s="72" t="s">
        <v>19</v>
      </c>
      <c r="K21" s="73" t="s">
        <v>19</v>
      </c>
      <c r="L21" s="47"/>
      <c r="M21" s="1"/>
      <c r="N21" s="113" t="s">
        <v>14</v>
      </c>
      <c r="O21" s="122" t="s">
        <v>52</v>
      </c>
      <c r="P21" s="122" t="s">
        <v>52</v>
      </c>
      <c r="Q21" s="105"/>
      <c r="R21" s="33"/>
      <c r="S21" s="225" t="str">
        <f t="shared" si="0"/>
        <v/>
      </c>
      <c r="T21" s="7" t="s">
        <v>51</v>
      </c>
      <c r="U21" s="7" t="s">
        <v>5623</v>
      </c>
      <c r="V21" s="161" t="str" cm="1">
        <f t="array" ref="V21">_xlfn.IFS(C21="","",COUNTIF(C21,"ตำแหน่งว่าง*"),"ว่าง",COUNTIF(C21,"&lt;&gt;ตำแหน่งว่าง*"),"คนครอง")</f>
        <v>ว่าง</v>
      </c>
      <c r="W21" s="49" cm="1">
        <f t="array" ref="W21">_xlfn.IFS(COUNTIF(F21,"ผบ.หมู่*"),51,COUNTIF(F21,"รอง สว.*"),43)</f>
        <v>51</v>
      </c>
      <c r="X21" s="6" t="s">
        <v>445</v>
      </c>
      <c r="Y21" s="6" t="s">
        <v>52</v>
      </c>
    </row>
    <row r="22" spans="1:25" s="10" customFormat="1" ht="21.3" customHeight="1">
      <c r="A22" s="132"/>
      <c r="B22" s="28"/>
      <c r="C22" s="30" t="s">
        <v>18</v>
      </c>
      <c r="D22" s="27"/>
      <c r="E22" s="27"/>
      <c r="F22" s="68" t="s">
        <v>407</v>
      </c>
      <c r="G22" s="121" t="s">
        <v>448</v>
      </c>
      <c r="H22" s="142" t="s">
        <v>19</v>
      </c>
      <c r="I22" s="72" t="s">
        <v>19</v>
      </c>
      <c r="J22" s="72" t="s">
        <v>19</v>
      </c>
      <c r="K22" s="73" t="s">
        <v>19</v>
      </c>
      <c r="L22" s="47"/>
      <c r="M22" s="1"/>
      <c r="N22" s="113" t="s">
        <v>14</v>
      </c>
      <c r="O22" s="122" t="s">
        <v>52</v>
      </c>
      <c r="P22" s="122" t="s">
        <v>52</v>
      </c>
      <c r="Q22" s="105"/>
      <c r="R22" s="33"/>
      <c r="S22" s="225" t="str">
        <f t="shared" si="0"/>
        <v/>
      </c>
      <c r="T22" s="7" t="s">
        <v>51</v>
      </c>
      <c r="U22" s="7" t="s">
        <v>5623</v>
      </c>
      <c r="V22" s="161" t="str" cm="1">
        <f t="array" ref="V22">_xlfn.IFS(C22="","",COUNTIF(C22,"ตำแหน่งว่าง*"),"ว่าง",COUNTIF(C22,"&lt;&gt;ตำแหน่งว่าง*"),"คนครอง")</f>
        <v>ว่าง</v>
      </c>
      <c r="W22" s="49" cm="1">
        <f t="array" ref="W22">_xlfn.IFS(COUNTIF(F22,"ผบ.หมู่*"),51,COUNTIF(F22,"รอง สว.*"),43)</f>
        <v>51</v>
      </c>
      <c r="X22" s="6" t="s">
        <v>447</v>
      </c>
      <c r="Y22" s="6" t="s">
        <v>52</v>
      </c>
    </row>
    <row r="23" spans="1:25" s="10" customFormat="1" ht="21.3" customHeight="1">
      <c r="A23" s="132"/>
      <c r="B23" s="28"/>
      <c r="C23" s="30" t="s">
        <v>18</v>
      </c>
      <c r="D23" s="27"/>
      <c r="E23" s="27"/>
      <c r="F23" s="68" t="s">
        <v>407</v>
      </c>
      <c r="G23" s="121" t="s">
        <v>450</v>
      </c>
      <c r="H23" s="142" t="s">
        <v>19</v>
      </c>
      <c r="I23" s="72" t="s">
        <v>19</v>
      </c>
      <c r="J23" s="72" t="s">
        <v>19</v>
      </c>
      <c r="K23" s="73" t="s">
        <v>19</v>
      </c>
      <c r="L23" s="47"/>
      <c r="M23" s="1"/>
      <c r="N23" s="113" t="s">
        <v>14</v>
      </c>
      <c r="O23" s="122" t="s">
        <v>52</v>
      </c>
      <c r="P23" s="122" t="s">
        <v>52</v>
      </c>
      <c r="Q23" s="105"/>
      <c r="R23" s="33"/>
      <c r="S23" s="225" t="str">
        <f t="shared" si="0"/>
        <v/>
      </c>
      <c r="T23" s="7" t="s">
        <v>51</v>
      </c>
      <c r="U23" s="7" t="s">
        <v>5623</v>
      </c>
      <c r="V23" s="161" t="str" cm="1">
        <f t="array" ref="V23">_xlfn.IFS(C23="","",COUNTIF(C23,"ตำแหน่งว่าง*"),"ว่าง",COUNTIF(C23,"&lt;&gt;ตำแหน่งว่าง*"),"คนครอง")</f>
        <v>ว่าง</v>
      </c>
      <c r="W23" s="49" cm="1">
        <f t="array" ref="W23">_xlfn.IFS(COUNTIF(F23,"ผบ.หมู่*"),51,COUNTIF(F23,"รอง สว.*"),43)</f>
        <v>51</v>
      </c>
      <c r="X23" s="6" t="s">
        <v>449</v>
      </c>
      <c r="Y23" s="6" t="s">
        <v>52</v>
      </c>
    </row>
    <row r="24" spans="1:25" s="10" customFormat="1" ht="21.3" customHeight="1">
      <c r="A24" s="132"/>
      <c r="B24" s="28"/>
      <c r="C24" s="30" t="s">
        <v>18</v>
      </c>
      <c r="D24" s="27"/>
      <c r="E24" s="27"/>
      <c r="F24" s="68" t="s">
        <v>407</v>
      </c>
      <c r="G24" s="121" t="s">
        <v>452</v>
      </c>
      <c r="H24" s="142" t="s">
        <v>19</v>
      </c>
      <c r="I24" s="72" t="s">
        <v>19</v>
      </c>
      <c r="J24" s="72" t="s">
        <v>19</v>
      </c>
      <c r="K24" s="73" t="s">
        <v>19</v>
      </c>
      <c r="L24" s="47"/>
      <c r="M24" s="1"/>
      <c r="N24" s="113" t="s">
        <v>14</v>
      </c>
      <c r="O24" s="122" t="s">
        <v>52</v>
      </c>
      <c r="P24" s="122" t="s">
        <v>52</v>
      </c>
      <c r="Q24" s="105"/>
      <c r="R24" s="33"/>
      <c r="S24" s="225" t="str">
        <f t="shared" si="0"/>
        <v/>
      </c>
      <c r="T24" s="7" t="s">
        <v>51</v>
      </c>
      <c r="U24" s="7" t="s">
        <v>5623</v>
      </c>
      <c r="V24" s="161" t="str" cm="1">
        <f t="array" ref="V24">_xlfn.IFS(C24="","",COUNTIF(C24,"ตำแหน่งว่าง*"),"ว่าง",COUNTIF(C24,"&lt;&gt;ตำแหน่งว่าง*"),"คนครอง")</f>
        <v>ว่าง</v>
      </c>
      <c r="W24" s="49" cm="1">
        <f t="array" ref="W24">_xlfn.IFS(COUNTIF(F24,"ผบ.หมู่*"),51,COUNTIF(F24,"รอง สว.*"),43)</f>
        <v>51</v>
      </c>
      <c r="X24" s="6" t="s">
        <v>451</v>
      </c>
      <c r="Y24" s="6" t="s">
        <v>52</v>
      </c>
    </row>
    <row r="25" spans="1:25" s="10" customFormat="1" ht="21.3" customHeight="1">
      <c r="A25" s="132"/>
      <c r="B25" s="28"/>
      <c r="C25" s="30" t="s">
        <v>18</v>
      </c>
      <c r="D25" s="27"/>
      <c r="E25" s="27"/>
      <c r="F25" s="68" t="s">
        <v>407</v>
      </c>
      <c r="G25" s="121" t="s">
        <v>454</v>
      </c>
      <c r="H25" s="142" t="s">
        <v>19</v>
      </c>
      <c r="I25" s="72" t="s">
        <v>19</v>
      </c>
      <c r="J25" s="72" t="s">
        <v>19</v>
      </c>
      <c r="K25" s="73" t="s">
        <v>19</v>
      </c>
      <c r="L25" s="47"/>
      <c r="M25" s="1"/>
      <c r="N25" s="113" t="s">
        <v>14</v>
      </c>
      <c r="O25" s="122" t="s">
        <v>52</v>
      </c>
      <c r="P25" s="122" t="s">
        <v>52</v>
      </c>
      <c r="Q25" s="105"/>
      <c r="R25" s="33"/>
      <c r="S25" s="225" t="str">
        <f t="shared" si="0"/>
        <v/>
      </c>
      <c r="T25" s="7" t="s">
        <v>51</v>
      </c>
      <c r="U25" s="7" t="s">
        <v>5623</v>
      </c>
      <c r="V25" s="161" t="str" cm="1">
        <f t="array" ref="V25">_xlfn.IFS(C25="","",COUNTIF(C25,"ตำแหน่งว่าง*"),"ว่าง",COUNTIF(C25,"&lt;&gt;ตำแหน่งว่าง*"),"คนครอง")</f>
        <v>ว่าง</v>
      </c>
      <c r="W25" s="49" cm="1">
        <f t="array" ref="W25">_xlfn.IFS(COUNTIF(F25,"ผบ.หมู่*"),51,COUNTIF(F25,"รอง สว.*"),43)</f>
        <v>51</v>
      </c>
      <c r="X25" s="6" t="s">
        <v>453</v>
      </c>
      <c r="Y25" s="6" t="s">
        <v>52</v>
      </c>
    </row>
    <row r="26" spans="1:25" s="10" customFormat="1" ht="21.3" customHeight="1">
      <c r="A26" s="132"/>
      <c r="B26" s="28"/>
      <c r="C26" s="30" t="s">
        <v>18</v>
      </c>
      <c r="D26" s="27"/>
      <c r="E26" s="27"/>
      <c r="F26" s="68" t="s">
        <v>407</v>
      </c>
      <c r="G26" s="121" t="s">
        <v>456</v>
      </c>
      <c r="H26" s="142" t="s">
        <v>19</v>
      </c>
      <c r="I26" s="72" t="s">
        <v>19</v>
      </c>
      <c r="J26" s="72" t="s">
        <v>19</v>
      </c>
      <c r="K26" s="73" t="s">
        <v>19</v>
      </c>
      <c r="L26" s="47"/>
      <c r="M26" s="1"/>
      <c r="N26" s="113" t="s">
        <v>14</v>
      </c>
      <c r="O26" s="122" t="s">
        <v>52</v>
      </c>
      <c r="P26" s="122" t="s">
        <v>52</v>
      </c>
      <c r="Q26" s="105"/>
      <c r="R26" s="33"/>
      <c r="S26" s="225" t="str">
        <f t="shared" si="0"/>
        <v/>
      </c>
      <c r="T26" s="7" t="s">
        <v>51</v>
      </c>
      <c r="U26" s="7" t="s">
        <v>5623</v>
      </c>
      <c r="V26" s="161" t="str" cm="1">
        <f t="array" ref="V26">_xlfn.IFS(C26="","",COUNTIF(C26,"ตำแหน่งว่าง*"),"ว่าง",COUNTIF(C26,"&lt;&gt;ตำแหน่งว่าง*"),"คนครอง")</f>
        <v>ว่าง</v>
      </c>
      <c r="W26" s="49" cm="1">
        <f t="array" ref="W26">_xlfn.IFS(COUNTIF(F26,"ผบ.หมู่*"),51,COUNTIF(F26,"รอง สว.*"),43)</f>
        <v>51</v>
      </c>
      <c r="X26" s="6" t="s">
        <v>455</v>
      </c>
      <c r="Y26" s="6" t="s">
        <v>52</v>
      </c>
    </row>
    <row r="27" spans="1:25" s="10" customFormat="1" ht="21.3" customHeight="1">
      <c r="A27" s="133"/>
      <c r="B27" s="30"/>
      <c r="C27" s="30" t="s">
        <v>18</v>
      </c>
      <c r="D27" s="27"/>
      <c r="E27" s="27"/>
      <c r="F27" s="68" t="s">
        <v>407</v>
      </c>
      <c r="G27" s="121" t="s">
        <v>458</v>
      </c>
      <c r="H27" s="197" t="s">
        <v>19</v>
      </c>
      <c r="I27" s="200" t="s">
        <v>19</v>
      </c>
      <c r="J27" s="200" t="s">
        <v>19</v>
      </c>
      <c r="K27" s="74" t="s">
        <v>19</v>
      </c>
      <c r="L27" s="202"/>
      <c r="M27" s="6"/>
      <c r="N27" s="113" t="s">
        <v>14</v>
      </c>
      <c r="O27" s="122" t="s">
        <v>52</v>
      </c>
      <c r="P27" s="122" t="s">
        <v>52</v>
      </c>
      <c r="Q27" s="106"/>
      <c r="R27" s="149"/>
      <c r="S27" s="225" t="str">
        <f t="shared" si="0"/>
        <v/>
      </c>
      <c r="T27" s="7" t="s">
        <v>51</v>
      </c>
      <c r="U27" s="7" t="s">
        <v>5623</v>
      </c>
      <c r="V27" s="161" t="str" cm="1">
        <f t="array" ref="V27">_xlfn.IFS(C27="","",COUNTIF(C27,"ตำแหน่งว่าง*"),"ว่าง",COUNTIF(C27,"&lt;&gt;ตำแหน่งว่าง*"),"คนครอง")</f>
        <v>ว่าง</v>
      </c>
      <c r="W27" s="49" cm="1">
        <f t="array" ref="W27">_xlfn.IFS(COUNTIF(F27,"ผบ.หมู่*"),51,COUNTIF(F27,"รอง สว.*"),43)</f>
        <v>51</v>
      </c>
      <c r="X27" s="6" t="s">
        <v>457</v>
      </c>
      <c r="Y27" s="6" t="s">
        <v>52</v>
      </c>
    </row>
    <row r="28" spans="1:25" s="10" customFormat="1" ht="21.3" customHeight="1">
      <c r="A28" s="132"/>
      <c r="B28" s="28"/>
      <c r="C28" s="30" t="s">
        <v>18</v>
      </c>
      <c r="D28" s="27"/>
      <c r="E28" s="27"/>
      <c r="F28" s="68" t="s">
        <v>407</v>
      </c>
      <c r="G28" s="121" t="s">
        <v>460</v>
      </c>
      <c r="H28" s="142" t="s">
        <v>19</v>
      </c>
      <c r="I28" s="72" t="s">
        <v>19</v>
      </c>
      <c r="J28" s="72" t="s">
        <v>19</v>
      </c>
      <c r="K28" s="73" t="s">
        <v>19</v>
      </c>
      <c r="L28" s="47"/>
      <c r="M28" s="1"/>
      <c r="N28" s="113" t="s">
        <v>14</v>
      </c>
      <c r="O28" s="122" t="s">
        <v>52</v>
      </c>
      <c r="P28" s="122" t="s">
        <v>52</v>
      </c>
      <c r="Q28" s="105"/>
      <c r="R28" s="33"/>
      <c r="S28" s="225" t="str">
        <f t="shared" si="0"/>
        <v/>
      </c>
      <c r="T28" s="7" t="s">
        <v>51</v>
      </c>
      <c r="U28" s="7" t="s">
        <v>5623</v>
      </c>
      <c r="V28" s="161" t="str" cm="1">
        <f t="array" ref="V28">_xlfn.IFS(C28="","",COUNTIF(C28,"ตำแหน่งว่าง*"),"ว่าง",COUNTIF(C28,"&lt;&gt;ตำแหน่งว่าง*"),"คนครอง")</f>
        <v>ว่าง</v>
      </c>
      <c r="W28" s="49" cm="1">
        <f t="array" ref="W28">_xlfn.IFS(COUNTIF(F28,"ผบ.หมู่*"),51,COUNTIF(F28,"รอง สว.*"),43)</f>
        <v>51</v>
      </c>
      <c r="X28" s="6" t="s">
        <v>459</v>
      </c>
      <c r="Y28" s="6" t="s">
        <v>52</v>
      </c>
    </row>
    <row r="29" spans="1:25" s="10" customFormat="1" ht="21.3" customHeight="1">
      <c r="A29" s="132"/>
      <c r="B29" s="28"/>
      <c r="C29" s="30" t="s">
        <v>18</v>
      </c>
      <c r="D29" s="27"/>
      <c r="E29" s="27"/>
      <c r="F29" s="68" t="s">
        <v>407</v>
      </c>
      <c r="G29" s="121" t="s">
        <v>462</v>
      </c>
      <c r="H29" s="142" t="s">
        <v>19</v>
      </c>
      <c r="I29" s="72" t="s">
        <v>19</v>
      </c>
      <c r="J29" s="72" t="s">
        <v>19</v>
      </c>
      <c r="K29" s="73" t="s">
        <v>19</v>
      </c>
      <c r="L29" s="47"/>
      <c r="M29" s="1"/>
      <c r="N29" s="113" t="s">
        <v>14</v>
      </c>
      <c r="O29" s="122" t="s">
        <v>52</v>
      </c>
      <c r="P29" s="122" t="s">
        <v>52</v>
      </c>
      <c r="Q29" s="105"/>
      <c r="R29" s="33"/>
      <c r="S29" s="225" t="str">
        <f t="shared" si="0"/>
        <v/>
      </c>
      <c r="T29" s="7" t="s">
        <v>51</v>
      </c>
      <c r="U29" s="7" t="s">
        <v>5623</v>
      </c>
      <c r="V29" s="161" t="str" cm="1">
        <f t="array" ref="V29">_xlfn.IFS(C29="","",COUNTIF(C29,"ตำแหน่งว่าง*"),"ว่าง",COUNTIF(C29,"&lt;&gt;ตำแหน่งว่าง*"),"คนครอง")</f>
        <v>ว่าง</v>
      </c>
      <c r="W29" s="49" cm="1">
        <f t="array" ref="W29">_xlfn.IFS(COUNTIF(F29,"ผบ.หมู่*"),51,COUNTIF(F29,"รอง สว.*"),43)</f>
        <v>51</v>
      </c>
      <c r="X29" s="6" t="s">
        <v>461</v>
      </c>
      <c r="Y29" s="6" t="s">
        <v>52</v>
      </c>
    </row>
    <row r="30" spans="1:25" s="10" customFormat="1" ht="21.3" customHeight="1">
      <c r="A30" s="132"/>
      <c r="B30" s="28"/>
      <c r="C30" s="30" t="s">
        <v>18</v>
      </c>
      <c r="D30" s="27"/>
      <c r="E30" s="27"/>
      <c r="F30" s="68" t="s">
        <v>407</v>
      </c>
      <c r="G30" s="121" t="s">
        <v>464</v>
      </c>
      <c r="H30" s="142" t="s">
        <v>19</v>
      </c>
      <c r="I30" s="72" t="s">
        <v>19</v>
      </c>
      <c r="J30" s="72" t="s">
        <v>19</v>
      </c>
      <c r="K30" s="73" t="s">
        <v>19</v>
      </c>
      <c r="L30" s="47"/>
      <c r="M30" s="1"/>
      <c r="N30" s="113" t="s">
        <v>14</v>
      </c>
      <c r="O30" s="122" t="s">
        <v>52</v>
      </c>
      <c r="P30" s="122" t="s">
        <v>52</v>
      </c>
      <c r="Q30" s="105"/>
      <c r="R30" s="33"/>
      <c r="S30" s="225" t="str">
        <f t="shared" si="0"/>
        <v/>
      </c>
      <c r="T30" s="7" t="s">
        <v>51</v>
      </c>
      <c r="U30" s="7" t="s">
        <v>5623</v>
      </c>
      <c r="V30" s="161" t="str" cm="1">
        <f t="array" ref="V30">_xlfn.IFS(C30="","",COUNTIF(C30,"ตำแหน่งว่าง*"),"ว่าง",COUNTIF(C30,"&lt;&gt;ตำแหน่งว่าง*"),"คนครอง")</f>
        <v>ว่าง</v>
      </c>
      <c r="W30" s="49" cm="1">
        <f t="array" ref="W30">_xlfn.IFS(COUNTIF(F30,"ผบ.หมู่*"),51,COUNTIF(F30,"รอง สว.*"),43)</f>
        <v>51</v>
      </c>
      <c r="X30" s="6" t="s">
        <v>463</v>
      </c>
      <c r="Y30" s="6" t="s">
        <v>52</v>
      </c>
    </row>
    <row r="31" spans="1:25" s="10" customFormat="1" ht="21.3" customHeight="1">
      <c r="A31" s="132"/>
      <c r="B31" s="28"/>
      <c r="C31" s="30" t="s">
        <v>18</v>
      </c>
      <c r="D31" s="27"/>
      <c r="E31" s="27"/>
      <c r="F31" s="68" t="s">
        <v>407</v>
      </c>
      <c r="G31" s="121" t="s">
        <v>466</v>
      </c>
      <c r="H31" s="142" t="s">
        <v>19</v>
      </c>
      <c r="I31" s="72" t="s">
        <v>19</v>
      </c>
      <c r="J31" s="72" t="s">
        <v>19</v>
      </c>
      <c r="K31" s="73" t="s">
        <v>19</v>
      </c>
      <c r="L31" s="47"/>
      <c r="M31" s="1"/>
      <c r="N31" s="113" t="s">
        <v>14</v>
      </c>
      <c r="O31" s="122" t="s">
        <v>52</v>
      </c>
      <c r="P31" s="122" t="s">
        <v>52</v>
      </c>
      <c r="Q31" s="105"/>
      <c r="R31" s="33"/>
      <c r="S31" s="225" t="str">
        <f t="shared" si="0"/>
        <v/>
      </c>
      <c r="T31" s="7" t="s">
        <v>51</v>
      </c>
      <c r="U31" s="7" t="s">
        <v>5623</v>
      </c>
      <c r="V31" s="161" t="str" cm="1">
        <f t="array" ref="V31">_xlfn.IFS(C31="","",COUNTIF(C31,"ตำแหน่งว่าง*"),"ว่าง",COUNTIF(C31,"&lt;&gt;ตำแหน่งว่าง*"),"คนครอง")</f>
        <v>ว่าง</v>
      </c>
      <c r="W31" s="49" cm="1">
        <f t="array" ref="W31">_xlfn.IFS(COUNTIF(F31,"ผบ.หมู่*"),51,COUNTIF(F31,"รอง สว.*"),43)</f>
        <v>51</v>
      </c>
      <c r="X31" s="6" t="s">
        <v>465</v>
      </c>
      <c r="Y31" s="6" t="s">
        <v>52</v>
      </c>
    </row>
    <row r="32" spans="1:25" s="10" customFormat="1" ht="21.3" customHeight="1">
      <c r="A32" s="132"/>
      <c r="B32" s="28"/>
      <c r="C32" s="30" t="s">
        <v>18</v>
      </c>
      <c r="D32" s="27"/>
      <c r="E32" s="27"/>
      <c r="F32" s="68" t="s">
        <v>407</v>
      </c>
      <c r="G32" s="121" t="s">
        <v>468</v>
      </c>
      <c r="H32" s="142" t="s">
        <v>19</v>
      </c>
      <c r="I32" s="72" t="s">
        <v>19</v>
      </c>
      <c r="J32" s="72" t="s">
        <v>19</v>
      </c>
      <c r="K32" s="73" t="s">
        <v>19</v>
      </c>
      <c r="L32" s="47"/>
      <c r="M32" s="1"/>
      <c r="N32" s="113" t="s">
        <v>14</v>
      </c>
      <c r="O32" s="122" t="s">
        <v>52</v>
      </c>
      <c r="P32" s="122" t="s">
        <v>52</v>
      </c>
      <c r="Q32" s="105"/>
      <c r="R32" s="33"/>
      <c r="S32" s="225" t="str">
        <f t="shared" si="0"/>
        <v/>
      </c>
      <c r="T32" s="7" t="s">
        <v>51</v>
      </c>
      <c r="U32" s="7" t="s">
        <v>5623</v>
      </c>
      <c r="V32" s="161" t="str" cm="1">
        <f t="array" ref="V32">_xlfn.IFS(C32="","",COUNTIF(C32,"ตำแหน่งว่าง*"),"ว่าง",COUNTIF(C32,"&lt;&gt;ตำแหน่งว่าง*"),"คนครอง")</f>
        <v>ว่าง</v>
      </c>
      <c r="W32" s="49" cm="1">
        <f t="array" ref="W32">_xlfn.IFS(COUNTIF(F32,"ผบ.หมู่*"),51,COUNTIF(F32,"รอง สว.*"),43)</f>
        <v>51</v>
      </c>
      <c r="X32" s="6" t="s">
        <v>467</v>
      </c>
      <c r="Y32" s="6" t="s">
        <v>52</v>
      </c>
    </row>
    <row r="33" spans="1:25" s="10" customFormat="1" ht="21.3" customHeight="1">
      <c r="A33" s="132"/>
      <c r="B33" s="28"/>
      <c r="C33" s="30" t="s">
        <v>18</v>
      </c>
      <c r="D33" s="27"/>
      <c r="E33" s="27"/>
      <c r="F33" s="68" t="s">
        <v>407</v>
      </c>
      <c r="G33" s="121" t="s">
        <v>470</v>
      </c>
      <c r="H33" s="142" t="s">
        <v>19</v>
      </c>
      <c r="I33" s="72" t="s">
        <v>19</v>
      </c>
      <c r="J33" s="72" t="s">
        <v>19</v>
      </c>
      <c r="K33" s="73" t="s">
        <v>19</v>
      </c>
      <c r="L33" s="47"/>
      <c r="M33" s="1"/>
      <c r="N33" s="113" t="s">
        <v>14</v>
      </c>
      <c r="O33" s="122" t="s">
        <v>52</v>
      </c>
      <c r="P33" s="122" t="s">
        <v>52</v>
      </c>
      <c r="Q33" s="105"/>
      <c r="R33" s="33"/>
      <c r="S33" s="225" t="str">
        <f t="shared" si="0"/>
        <v/>
      </c>
      <c r="T33" s="7" t="s">
        <v>51</v>
      </c>
      <c r="U33" s="7" t="s">
        <v>5623</v>
      </c>
      <c r="V33" s="161" t="str" cm="1">
        <f t="array" ref="V33">_xlfn.IFS(C33="","",COUNTIF(C33,"ตำแหน่งว่าง*"),"ว่าง",COUNTIF(C33,"&lt;&gt;ตำแหน่งว่าง*"),"คนครอง")</f>
        <v>ว่าง</v>
      </c>
      <c r="W33" s="49" cm="1">
        <f t="array" ref="W33">_xlfn.IFS(COUNTIF(F33,"ผบ.หมู่*"),51,COUNTIF(F33,"รอง สว.*"),43)</f>
        <v>51</v>
      </c>
      <c r="X33" s="6" t="s">
        <v>469</v>
      </c>
      <c r="Y33" s="6" t="s">
        <v>52</v>
      </c>
    </row>
    <row r="34" spans="1:25" s="10" customFormat="1" ht="21.3" customHeight="1">
      <c r="A34" s="132"/>
      <c r="B34" s="28"/>
      <c r="C34" s="30" t="s">
        <v>18</v>
      </c>
      <c r="D34" s="27"/>
      <c r="E34" s="27"/>
      <c r="F34" s="68" t="s">
        <v>407</v>
      </c>
      <c r="G34" s="121" t="s">
        <v>472</v>
      </c>
      <c r="H34" s="142" t="s">
        <v>19</v>
      </c>
      <c r="I34" s="72" t="s">
        <v>19</v>
      </c>
      <c r="J34" s="72" t="s">
        <v>19</v>
      </c>
      <c r="K34" s="73" t="s">
        <v>19</v>
      </c>
      <c r="L34" s="47"/>
      <c r="M34" s="1"/>
      <c r="N34" s="113" t="s">
        <v>14</v>
      </c>
      <c r="O34" s="122" t="s">
        <v>52</v>
      </c>
      <c r="P34" s="122" t="s">
        <v>52</v>
      </c>
      <c r="Q34" s="105"/>
      <c r="R34" s="33"/>
      <c r="S34" s="225" t="str">
        <f t="shared" si="0"/>
        <v/>
      </c>
      <c r="T34" s="7" t="s">
        <v>51</v>
      </c>
      <c r="U34" s="7" t="s">
        <v>5623</v>
      </c>
      <c r="V34" s="161" t="str" cm="1">
        <f t="array" ref="V34">_xlfn.IFS(C34="","",COUNTIF(C34,"ตำแหน่งว่าง*"),"ว่าง",COUNTIF(C34,"&lt;&gt;ตำแหน่งว่าง*"),"คนครอง")</f>
        <v>ว่าง</v>
      </c>
      <c r="W34" s="49" cm="1">
        <f t="array" ref="W34">_xlfn.IFS(COUNTIF(F34,"ผบ.หมู่*"),51,COUNTIF(F34,"รอง สว.*"),43)</f>
        <v>51</v>
      </c>
      <c r="X34" s="6" t="s">
        <v>471</v>
      </c>
      <c r="Y34" s="6" t="s">
        <v>52</v>
      </c>
    </row>
    <row r="35" spans="1:25" s="10" customFormat="1" ht="21.3" customHeight="1">
      <c r="A35" s="132"/>
      <c r="B35" s="28"/>
      <c r="C35" s="30" t="s">
        <v>18</v>
      </c>
      <c r="D35" s="27"/>
      <c r="E35" s="27"/>
      <c r="F35" s="68" t="s">
        <v>407</v>
      </c>
      <c r="G35" s="121" t="s">
        <v>474</v>
      </c>
      <c r="H35" s="142" t="s">
        <v>19</v>
      </c>
      <c r="I35" s="72" t="s">
        <v>19</v>
      </c>
      <c r="J35" s="72" t="s">
        <v>19</v>
      </c>
      <c r="K35" s="73" t="s">
        <v>19</v>
      </c>
      <c r="L35" s="47"/>
      <c r="M35" s="1"/>
      <c r="N35" s="113" t="s">
        <v>14</v>
      </c>
      <c r="O35" s="122" t="s">
        <v>52</v>
      </c>
      <c r="P35" s="122" t="s">
        <v>52</v>
      </c>
      <c r="Q35" s="105"/>
      <c r="R35" s="33"/>
      <c r="S35" s="225" t="str">
        <f t="shared" si="0"/>
        <v/>
      </c>
      <c r="T35" s="7" t="s">
        <v>51</v>
      </c>
      <c r="U35" s="7" t="s">
        <v>5623</v>
      </c>
      <c r="V35" s="161" t="str" cm="1">
        <f t="array" ref="V35">_xlfn.IFS(C35="","",COUNTIF(C35,"ตำแหน่งว่าง*"),"ว่าง",COUNTIF(C35,"&lt;&gt;ตำแหน่งว่าง*"),"คนครอง")</f>
        <v>ว่าง</v>
      </c>
      <c r="W35" s="49" cm="1">
        <f t="array" ref="W35">_xlfn.IFS(COUNTIF(F35,"ผบ.หมู่*"),51,COUNTIF(F35,"รอง สว.*"),43)</f>
        <v>51</v>
      </c>
      <c r="X35" s="6" t="s">
        <v>473</v>
      </c>
      <c r="Y35" s="6" t="s">
        <v>52</v>
      </c>
    </row>
    <row r="36" spans="1:25" s="10" customFormat="1" ht="21.3" customHeight="1">
      <c r="A36" s="132"/>
      <c r="B36" s="28"/>
      <c r="C36" s="30" t="s">
        <v>18</v>
      </c>
      <c r="D36" s="27"/>
      <c r="E36" s="27"/>
      <c r="F36" s="68" t="s">
        <v>407</v>
      </c>
      <c r="G36" s="121" t="s">
        <v>476</v>
      </c>
      <c r="H36" s="142" t="s">
        <v>19</v>
      </c>
      <c r="I36" s="72" t="s">
        <v>19</v>
      </c>
      <c r="J36" s="72" t="s">
        <v>19</v>
      </c>
      <c r="K36" s="73" t="s">
        <v>19</v>
      </c>
      <c r="L36" s="47"/>
      <c r="M36" s="1"/>
      <c r="N36" s="113" t="s">
        <v>14</v>
      </c>
      <c r="O36" s="122" t="s">
        <v>52</v>
      </c>
      <c r="P36" s="122" t="s">
        <v>52</v>
      </c>
      <c r="Q36" s="105"/>
      <c r="R36" s="33"/>
      <c r="S36" s="225" t="str">
        <f t="shared" si="0"/>
        <v/>
      </c>
      <c r="T36" s="7" t="s">
        <v>51</v>
      </c>
      <c r="U36" s="7" t="s">
        <v>5623</v>
      </c>
      <c r="V36" s="161" t="str" cm="1">
        <f t="array" ref="V36">_xlfn.IFS(C36="","",COUNTIF(C36,"ตำแหน่งว่าง*"),"ว่าง",COUNTIF(C36,"&lt;&gt;ตำแหน่งว่าง*"),"คนครอง")</f>
        <v>ว่าง</v>
      </c>
      <c r="W36" s="49" cm="1">
        <f t="array" ref="W36">_xlfn.IFS(COUNTIF(F36,"ผบ.หมู่*"),51,COUNTIF(F36,"รอง สว.*"),43)</f>
        <v>51</v>
      </c>
      <c r="X36" s="6" t="s">
        <v>475</v>
      </c>
      <c r="Y36" s="6" t="s">
        <v>52</v>
      </c>
    </row>
    <row r="37" spans="1:25" s="10" customFormat="1" ht="21.3" customHeight="1">
      <c r="A37" s="132"/>
      <c r="B37" s="28"/>
      <c r="C37" s="30" t="s">
        <v>18</v>
      </c>
      <c r="D37" s="27"/>
      <c r="E37" s="27"/>
      <c r="F37" s="68" t="s">
        <v>407</v>
      </c>
      <c r="G37" s="121" t="s">
        <v>478</v>
      </c>
      <c r="H37" s="142" t="s">
        <v>19</v>
      </c>
      <c r="I37" s="72" t="s">
        <v>19</v>
      </c>
      <c r="J37" s="72" t="s">
        <v>19</v>
      </c>
      <c r="K37" s="73" t="s">
        <v>19</v>
      </c>
      <c r="L37" s="47"/>
      <c r="M37" s="1"/>
      <c r="N37" s="113" t="s">
        <v>14</v>
      </c>
      <c r="O37" s="122" t="s">
        <v>52</v>
      </c>
      <c r="P37" s="122" t="s">
        <v>52</v>
      </c>
      <c r="Q37" s="105"/>
      <c r="R37" s="33"/>
      <c r="S37" s="225" t="str">
        <f t="shared" si="0"/>
        <v/>
      </c>
      <c r="T37" s="7" t="s">
        <v>51</v>
      </c>
      <c r="U37" s="7" t="s">
        <v>5623</v>
      </c>
      <c r="V37" s="161" t="str" cm="1">
        <f t="array" ref="V37">_xlfn.IFS(C37="","",COUNTIF(C37,"ตำแหน่งว่าง*"),"ว่าง",COUNTIF(C37,"&lt;&gt;ตำแหน่งว่าง*"),"คนครอง")</f>
        <v>ว่าง</v>
      </c>
      <c r="W37" s="49" cm="1">
        <f t="array" ref="W37">_xlfn.IFS(COUNTIF(F37,"ผบ.หมู่*"),51,COUNTIF(F37,"รอง สว.*"),43)</f>
        <v>51</v>
      </c>
      <c r="X37" s="6" t="s">
        <v>477</v>
      </c>
      <c r="Y37" s="6" t="s">
        <v>52</v>
      </c>
    </row>
    <row r="38" spans="1:25" s="10" customFormat="1" ht="21.3" customHeight="1">
      <c r="A38" s="217" t="s">
        <v>54</v>
      </c>
      <c r="B38" s="153"/>
      <c r="C38" s="125"/>
      <c r="D38" s="27"/>
      <c r="E38" s="158"/>
      <c r="F38" s="158"/>
      <c r="G38" s="125"/>
      <c r="H38" s="190" t="s">
        <v>19</v>
      </c>
      <c r="I38" s="124" t="s">
        <v>19</v>
      </c>
      <c r="J38" s="124" t="s">
        <v>19</v>
      </c>
      <c r="K38" s="126" t="s">
        <v>19</v>
      </c>
      <c r="L38" s="191"/>
      <c r="M38" s="128"/>
      <c r="N38" s="125"/>
      <c r="O38" s="125"/>
      <c r="P38" s="125"/>
      <c r="Q38" s="160"/>
      <c r="R38" s="123"/>
      <c r="S38" s="226" t="str">
        <f t="shared" si="0"/>
        <v/>
      </c>
      <c r="T38" s="158"/>
      <c r="U38" s="158"/>
      <c r="V38" s="158" t="str" cm="1">
        <f t="array" ref="V38">_xlfn.IFS(C38="","",COUNTIF(C38,"ตำแหน่งว่าง*"),"ว่าง",COUNTIF(C38,"&lt;&gt;ตำแหน่งว่าง*"),"คนครอง")</f>
        <v/>
      </c>
      <c r="W38" s="125"/>
      <c r="X38" s="125"/>
      <c r="Y38" s="125"/>
    </row>
    <row r="39" spans="1:25" s="10" customFormat="1" ht="21.3" customHeight="1">
      <c r="A39" s="132"/>
      <c r="B39" s="28"/>
      <c r="C39" s="30" t="s">
        <v>18</v>
      </c>
      <c r="D39" s="27"/>
      <c r="E39" s="27"/>
      <c r="F39" s="68" t="s">
        <v>485</v>
      </c>
      <c r="G39" s="121" t="s">
        <v>504</v>
      </c>
      <c r="H39" s="142" t="s">
        <v>19</v>
      </c>
      <c r="I39" s="72" t="s">
        <v>19</v>
      </c>
      <c r="J39" s="72" t="s">
        <v>19</v>
      </c>
      <c r="K39" s="73" t="s">
        <v>19</v>
      </c>
      <c r="L39" s="47"/>
      <c r="M39" s="1"/>
      <c r="N39" s="113" t="s">
        <v>14</v>
      </c>
      <c r="O39" s="122" t="s">
        <v>52</v>
      </c>
      <c r="P39" s="122" t="s">
        <v>505</v>
      </c>
      <c r="Q39" s="105"/>
      <c r="R39" s="33"/>
      <c r="S39" s="225" t="str">
        <f t="shared" si="0"/>
        <v/>
      </c>
      <c r="T39" s="7" t="s">
        <v>54</v>
      </c>
      <c r="U39" s="7" t="s">
        <v>5623</v>
      </c>
      <c r="V39" s="161" t="str" cm="1">
        <f t="array" ref="V39">_xlfn.IFS(C39="","",COUNTIF(C39,"ตำแหน่งว่าง*"),"ว่าง",COUNTIF(C39,"&lt;&gt;ตำแหน่งว่าง*"),"คนครอง")</f>
        <v>ว่าง</v>
      </c>
      <c r="W39" s="49" cm="1">
        <f t="array" ref="W39">_xlfn.IFS(COUNTIF(F39,"ผบ.หมู่*"),51,COUNTIF(F39,"รอง สว.*"),43)</f>
        <v>51</v>
      </c>
      <c r="X39" s="6" t="s">
        <v>503</v>
      </c>
      <c r="Y39" s="6" t="s">
        <v>505</v>
      </c>
    </row>
    <row r="40" spans="1:25" s="10" customFormat="1" ht="21.3" customHeight="1">
      <c r="A40" s="132"/>
      <c r="B40" s="28"/>
      <c r="C40" s="30" t="s">
        <v>18</v>
      </c>
      <c r="D40" s="27"/>
      <c r="E40" s="27"/>
      <c r="F40" s="68" t="s">
        <v>485</v>
      </c>
      <c r="G40" s="121" t="s">
        <v>507</v>
      </c>
      <c r="H40" s="142" t="s">
        <v>19</v>
      </c>
      <c r="I40" s="72" t="s">
        <v>19</v>
      </c>
      <c r="J40" s="72" t="s">
        <v>19</v>
      </c>
      <c r="K40" s="73" t="s">
        <v>19</v>
      </c>
      <c r="L40" s="47"/>
      <c r="M40" s="1"/>
      <c r="N40" s="113" t="s">
        <v>14</v>
      </c>
      <c r="O40" s="122" t="s">
        <v>52</v>
      </c>
      <c r="P40" s="122" t="s">
        <v>505</v>
      </c>
      <c r="Q40" s="105"/>
      <c r="R40" s="33"/>
      <c r="S40" s="225" t="str">
        <f t="shared" si="0"/>
        <v/>
      </c>
      <c r="T40" s="7" t="s">
        <v>54</v>
      </c>
      <c r="U40" s="7" t="s">
        <v>5623</v>
      </c>
      <c r="V40" s="161" t="str" cm="1">
        <f t="array" ref="V40">_xlfn.IFS(C40="","",COUNTIF(C40,"ตำแหน่งว่าง*"),"ว่าง",COUNTIF(C40,"&lt;&gt;ตำแหน่งว่าง*"),"คนครอง")</f>
        <v>ว่าง</v>
      </c>
      <c r="W40" s="49" cm="1">
        <f t="array" ref="W40">_xlfn.IFS(COUNTIF(F40,"ผบ.หมู่*"),51,COUNTIF(F40,"รอง สว.*"),43)</f>
        <v>51</v>
      </c>
      <c r="X40" s="6" t="s">
        <v>506</v>
      </c>
      <c r="Y40" s="6" t="s">
        <v>505</v>
      </c>
    </row>
    <row r="41" spans="1:25" s="10" customFormat="1" ht="21.3" customHeight="1">
      <c r="A41" s="132"/>
      <c r="B41" s="28"/>
      <c r="C41" s="30" t="s">
        <v>18</v>
      </c>
      <c r="D41" s="27"/>
      <c r="E41" s="27"/>
      <c r="F41" s="68" t="s">
        <v>485</v>
      </c>
      <c r="G41" s="121" t="s">
        <v>509</v>
      </c>
      <c r="H41" s="142"/>
      <c r="I41" s="72" t="s">
        <v>19</v>
      </c>
      <c r="J41" s="72" t="s">
        <v>19</v>
      </c>
      <c r="K41" s="73" t="s">
        <v>19</v>
      </c>
      <c r="L41" s="47"/>
      <c r="M41" s="1"/>
      <c r="N41" s="113" t="s">
        <v>14</v>
      </c>
      <c r="O41" s="122" t="s">
        <v>52</v>
      </c>
      <c r="P41" s="122" t="s">
        <v>505</v>
      </c>
      <c r="Q41" s="105"/>
      <c r="R41" s="33"/>
      <c r="S41" s="225" t="str">
        <f t="shared" si="0"/>
        <v/>
      </c>
      <c r="T41" s="7" t="s">
        <v>54</v>
      </c>
      <c r="U41" s="7" t="s">
        <v>5623</v>
      </c>
      <c r="V41" s="161" t="str" cm="1">
        <f t="array" ref="V41">_xlfn.IFS(C41="","",COUNTIF(C41,"ตำแหน่งว่าง*"),"ว่าง",COUNTIF(C41,"&lt;&gt;ตำแหน่งว่าง*"),"คนครอง")</f>
        <v>ว่าง</v>
      </c>
      <c r="W41" s="49" cm="1">
        <f t="array" ref="W41">_xlfn.IFS(COUNTIF(F41,"ผบ.หมู่*"),51,COUNTIF(F41,"รอง สว.*"),43)</f>
        <v>51</v>
      </c>
      <c r="X41" s="6" t="s">
        <v>508</v>
      </c>
      <c r="Y41" s="6" t="s">
        <v>505</v>
      </c>
    </row>
    <row r="42" spans="1:25" s="10" customFormat="1" ht="21.3" customHeight="1">
      <c r="A42" s="132"/>
      <c r="B42" s="28"/>
      <c r="C42" s="28" t="s">
        <v>18</v>
      </c>
      <c r="D42" s="27"/>
      <c r="E42" s="27"/>
      <c r="F42" s="27" t="s">
        <v>485</v>
      </c>
      <c r="G42" s="101" t="s">
        <v>511</v>
      </c>
      <c r="H42" s="142"/>
      <c r="I42" s="72"/>
      <c r="J42" s="72"/>
      <c r="K42" s="73"/>
      <c r="L42" s="47"/>
      <c r="M42" s="1"/>
      <c r="N42" s="112" t="s">
        <v>14</v>
      </c>
      <c r="O42" s="104" t="s">
        <v>52</v>
      </c>
      <c r="P42" s="104" t="s">
        <v>505</v>
      </c>
      <c r="Q42" s="105"/>
      <c r="R42" s="33"/>
      <c r="S42" s="225" t="str">
        <f t="shared" si="0"/>
        <v/>
      </c>
      <c r="T42" s="7" t="s">
        <v>54</v>
      </c>
      <c r="U42" s="7" t="s">
        <v>5623</v>
      </c>
      <c r="V42" s="161" t="str" cm="1">
        <f t="array" ref="V42">_xlfn.IFS(C42="","",COUNTIF(C42,"ตำแหน่งว่าง*"),"ว่าง",COUNTIF(C42,"&lt;&gt;ตำแหน่งว่าง*"),"คนครอง")</f>
        <v>ว่าง</v>
      </c>
      <c r="W42" s="49" cm="1">
        <f t="array" ref="W42">_xlfn.IFS(COUNTIF(F42,"ผบ.หมู่*"),51,COUNTIF(F42,"รอง สว.*"),43)</f>
        <v>51</v>
      </c>
      <c r="X42" s="1" t="s">
        <v>510</v>
      </c>
      <c r="Y42" s="1" t="s">
        <v>505</v>
      </c>
    </row>
    <row r="43" spans="1:25" s="12" customFormat="1" ht="21.3" customHeight="1">
      <c r="A43" s="132"/>
      <c r="B43" s="28"/>
      <c r="C43" s="30" t="s">
        <v>18</v>
      </c>
      <c r="D43" s="27"/>
      <c r="E43" s="27"/>
      <c r="F43" s="68" t="s">
        <v>485</v>
      </c>
      <c r="G43" s="121" t="s">
        <v>481</v>
      </c>
      <c r="H43" s="197"/>
      <c r="I43" s="200"/>
      <c r="J43" s="200"/>
      <c r="K43" s="74"/>
      <c r="L43" s="202"/>
      <c r="M43" s="6"/>
      <c r="N43" s="113" t="s">
        <v>14</v>
      </c>
      <c r="O43" s="122" t="s">
        <v>27</v>
      </c>
      <c r="P43" s="122"/>
      <c r="Q43" s="106"/>
      <c r="R43" s="149"/>
      <c r="S43" s="225" t="str">
        <f t="shared" si="0"/>
        <v/>
      </c>
      <c r="T43" s="162" t="s">
        <v>54</v>
      </c>
      <c r="U43" s="7" t="s">
        <v>5623</v>
      </c>
      <c r="V43" s="161" t="str" cm="1">
        <f t="array" ref="V43">_xlfn.IFS(C43="","",COUNTIF(C43,"ตำแหน่งว่าง*"),"ว่าง",COUNTIF(C43,"&lt;&gt;ตำแหน่งว่าง*"),"คนครอง")</f>
        <v>ว่าง</v>
      </c>
      <c r="W43" s="49" cm="1">
        <f t="array" ref="W43">_xlfn.IFS(COUNTIF(F43,"ผบ.หมู่*"),51,COUNTIF(F43,"รอง สว.*"),43)</f>
        <v>51</v>
      </c>
      <c r="X43" s="6" t="s">
        <v>480</v>
      </c>
      <c r="Y43" s="6" t="s">
        <v>27</v>
      </c>
    </row>
    <row r="44" spans="1:25" s="10" customFormat="1" ht="21.3" customHeight="1">
      <c r="A44" s="132" t="s">
        <v>169</v>
      </c>
      <c r="B44" s="28" t="s">
        <v>21</v>
      </c>
      <c r="C44" s="27" t="s">
        <v>484</v>
      </c>
      <c r="D44" s="27" t="s">
        <v>7966</v>
      </c>
      <c r="E44" s="27" t="s">
        <v>8370</v>
      </c>
      <c r="F44" s="27" t="s">
        <v>485</v>
      </c>
      <c r="G44" s="101" t="s">
        <v>487</v>
      </c>
      <c r="H44" s="87">
        <v>45092</v>
      </c>
      <c r="I44" s="72">
        <v>45092</v>
      </c>
      <c r="J44" s="72">
        <v>45092</v>
      </c>
      <c r="K44" s="73">
        <v>35778</v>
      </c>
      <c r="L44" s="47" t="s">
        <v>82</v>
      </c>
      <c r="M44" s="1" t="s">
        <v>40</v>
      </c>
      <c r="N44" s="112" t="s">
        <v>14</v>
      </c>
      <c r="O44" s="104" t="s">
        <v>27</v>
      </c>
      <c r="P44" s="104"/>
      <c r="Q44" s="105"/>
      <c r="R44" s="33" t="s">
        <v>174</v>
      </c>
      <c r="S44" s="225">
        <f t="shared" si="0"/>
        <v>57984</v>
      </c>
      <c r="T44" s="7" t="s">
        <v>54</v>
      </c>
      <c r="U44" s="7" t="s">
        <v>5623</v>
      </c>
      <c r="V44" s="161" t="str" cm="1">
        <f t="array" ref="V44">_xlfn.IFS(C44="","",COUNTIF(C44,"ตำแหน่งว่าง*"),"ว่าง",COUNTIF(C44,"&lt;&gt;ตำแหน่งว่าง*"),"คนครอง")</f>
        <v>คนครอง</v>
      </c>
      <c r="W44" s="49" cm="1">
        <f t="array" ref="W44">_xlfn.IFS(COUNTIF(F44,"ผบ.หมู่*"),51,COUNTIF(F44,"รอง สว.*"),43)</f>
        <v>51</v>
      </c>
      <c r="X44" s="1" t="s">
        <v>486</v>
      </c>
      <c r="Y44" s="1" t="s">
        <v>27</v>
      </c>
    </row>
    <row r="45" spans="1:25" s="10" customFormat="1" ht="21.3" customHeight="1">
      <c r="A45" s="132" t="s">
        <v>169</v>
      </c>
      <c r="B45" s="28" t="s">
        <v>21</v>
      </c>
      <c r="C45" s="27" t="s">
        <v>488</v>
      </c>
      <c r="D45" s="27" t="s">
        <v>8013</v>
      </c>
      <c r="E45" s="27" t="s">
        <v>8371</v>
      </c>
      <c r="F45" s="27" t="s">
        <v>485</v>
      </c>
      <c r="G45" s="101" t="s">
        <v>490</v>
      </c>
      <c r="H45" s="87">
        <v>45092</v>
      </c>
      <c r="I45" s="72">
        <v>45092</v>
      </c>
      <c r="J45" s="72">
        <v>45092</v>
      </c>
      <c r="K45" s="73">
        <v>34824</v>
      </c>
      <c r="L45" s="47" t="s">
        <v>82</v>
      </c>
      <c r="M45" s="1" t="s">
        <v>16</v>
      </c>
      <c r="N45" s="112" t="s">
        <v>14</v>
      </c>
      <c r="O45" s="104" t="s">
        <v>27</v>
      </c>
      <c r="P45" s="104"/>
      <c r="Q45" s="105"/>
      <c r="R45" s="33" t="s">
        <v>174</v>
      </c>
      <c r="S45" s="225">
        <f t="shared" si="0"/>
        <v>56888</v>
      </c>
      <c r="T45" s="7" t="s">
        <v>54</v>
      </c>
      <c r="U45" s="7" t="s">
        <v>5623</v>
      </c>
      <c r="V45" s="161" t="str" cm="1">
        <f t="array" ref="V45">_xlfn.IFS(C45="","",COUNTIF(C45,"ตำแหน่งว่าง*"),"ว่าง",COUNTIF(C45,"&lt;&gt;ตำแหน่งว่าง*"),"คนครอง")</f>
        <v>คนครอง</v>
      </c>
      <c r="W45" s="49" cm="1">
        <f t="array" ref="W45">_xlfn.IFS(COUNTIF(F45,"ผบ.หมู่*"),51,COUNTIF(F45,"รอง สว.*"),43)</f>
        <v>51</v>
      </c>
      <c r="X45" s="1" t="s">
        <v>489</v>
      </c>
      <c r="Y45" s="1" t="s">
        <v>27</v>
      </c>
    </row>
    <row r="46" spans="1:25" s="10" customFormat="1" ht="21.3" customHeight="1">
      <c r="A46" s="133"/>
      <c r="B46" s="30"/>
      <c r="C46" s="30" t="s">
        <v>18</v>
      </c>
      <c r="D46" s="27"/>
      <c r="E46" s="27"/>
      <c r="F46" s="68" t="s">
        <v>485</v>
      </c>
      <c r="G46" s="121" t="s">
        <v>492</v>
      </c>
      <c r="H46" s="197"/>
      <c r="I46" s="200" t="s">
        <v>19</v>
      </c>
      <c r="J46" s="200" t="s">
        <v>19</v>
      </c>
      <c r="K46" s="74" t="s">
        <v>19</v>
      </c>
      <c r="L46" s="202"/>
      <c r="M46" s="6"/>
      <c r="N46" s="113" t="s">
        <v>14</v>
      </c>
      <c r="O46" s="122" t="s">
        <v>27</v>
      </c>
      <c r="P46" s="122"/>
      <c r="Q46" s="106"/>
      <c r="R46" s="149"/>
      <c r="S46" s="225" t="str">
        <f t="shared" si="0"/>
        <v/>
      </c>
      <c r="T46" s="7" t="s">
        <v>54</v>
      </c>
      <c r="U46" s="7" t="s">
        <v>5623</v>
      </c>
      <c r="V46" s="161" t="str" cm="1">
        <f t="array" ref="V46">_xlfn.IFS(C46="","",COUNTIF(C46,"ตำแหน่งว่าง*"),"ว่าง",COUNTIF(C46,"&lt;&gt;ตำแหน่งว่าง*"),"คนครอง")</f>
        <v>ว่าง</v>
      </c>
      <c r="W46" s="49" cm="1">
        <f t="array" ref="W46">_xlfn.IFS(COUNTIF(F46,"ผบ.หมู่*"),51,COUNTIF(F46,"รอง สว.*"),43)</f>
        <v>51</v>
      </c>
      <c r="X46" s="6" t="s">
        <v>491</v>
      </c>
      <c r="Y46" s="6" t="s">
        <v>27</v>
      </c>
    </row>
    <row r="47" spans="1:25" s="10" customFormat="1" ht="21.3" customHeight="1">
      <c r="A47" s="132"/>
      <c r="B47" s="28"/>
      <c r="C47" s="30" t="s">
        <v>18</v>
      </c>
      <c r="D47" s="27"/>
      <c r="E47" s="27"/>
      <c r="F47" s="68" t="s">
        <v>485</v>
      </c>
      <c r="G47" s="121" t="s">
        <v>494</v>
      </c>
      <c r="H47" s="142" t="s">
        <v>19</v>
      </c>
      <c r="I47" s="72" t="s">
        <v>19</v>
      </c>
      <c r="J47" s="72" t="s">
        <v>19</v>
      </c>
      <c r="K47" s="73" t="s">
        <v>19</v>
      </c>
      <c r="L47" s="47"/>
      <c r="M47" s="1"/>
      <c r="N47" s="113" t="s">
        <v>14</v>
      </c>
      <c r="O47" s="122" t="s">
        <v>27</v>
      </c>
      <c r="P47" s="122"/>
      <c r="Q47" s="105"/>
      <c r="R47" s="33"/>
      <c r="S47" s="225" t="str">
        <f t="shared" si="0"/>
        <v/>
      </c>
      <c r="T47" s="7" t="s">
        <v>54</v>
      </c>
      <c r="U47" s="7" t="s">
        <v>5623</v>
      </c>
      <c r="V47" s="161" t="str" cm="1">
        <f t="array" ref="V47">_xlfn.IFS(C47="","",COUNTIF(C47,"ตำแหน่งว่าง*"),"ว่าง",COUNTIF(C47,"&lt;&gt;ตำแหน่งว่าง*"),"คนครอง")</f>
        <v>ว่าง</v>
      </c>
      <c r="W47" s="49" cm="1">
        <f t="array" ref="W47">_xlfn.IFS(COUNTIF(F47,"ผบ.หมู่*"),51,COUNTIF(F47,"รอง สว.*"),43)</f>
        <v>51</v>
      </c>
      <c r="X47" s="6" t="s">
        <v>493</v>
      </c>
      <c r="Y47" s="6" t="s">
        <v>27</v>
      </c>
    </row>
    <row r="48" spans="1:25" s="10" customFormat="1" ht="21.3" customHeight="1">
      <c r="A48" s="132"/>
      <c r="B48" s="28"/>
      <c r="C48" s="30" t="s">
        <v>18</v>
      </c>
      <c r="D48" s="27"/>
      <c r="E48" s="27"/>
      <c r="F48" s="68" t="s">
        <v>485</v>
      </c>
      <c r="G48" s="121" t="s">
        <v>496</v>
      </c>
      <c r="H48" s="142" t="s">
        <v>19</v>
      </c>
      <c r="I48" s="72" t="s">
        <v>19</v>
      </c>
      <c r="J48" s="72" t="s">
        <v>19</v>
      </c>
      <c r="K48" s="73" t="s">
        <v>19</v>
      </c>
      <c r="L48" s="47"/>
      <c r="M48" s="1"/>
      <c r="N48" s="113" t="s">
        <v>14</v>
      </c>
      <c r="O48" s="122" t="s">
        <v>27</v>
      </c>
      <c r="P48" s="122"/>
      <c r="Q48" s="105"/>
      <c r="R48" s="33"/>
      <c r="S48" s="225" t="str">
        <f t="shared" si="0"/>
        <v/>
      </c>
      <c r="T48" s="7" t="s">
        <v>54</v>
      </c>
      <c r="U48" s="7" t="s">
        <v>5623</v>
      </c>
      <c r="V48" s="161" t="str" cm="1">
        <f t="array" ref="V48">_xlfn.IFS(C48="","",COUNTIF(C48,"ตำแหน่งว่าง*"),"ว่าง",COUNTIF(C48,"&lt;&gt;ตำแหน่งว่าง*"),"คนครอง")</f>
        <v>ว่าง</v>
      </c>
      <c r="W48" s="49" cm="1">
        <f t="array" ref="W48">_xlfn.IFS(COUNTIF(F48,"ผบ.หมู่*"),51,COUNTIF(F48,"รอง สว.*"),43)</f>
        <v>51</v>
      </c>
      <c r="X48" s="6" t="s">
        <v>495</v>
      </c>
      <c r="Y48" s="6" t="s">
        <v>27</v>
      </c>
    </row>
    <row r="49" spans="1:25" s="10" customFormat="1" ht="21.3" customHeight="1">
      <c r="A49" s="132"/>
      <c r="B49" s="28"/>
      <c r="C49" s="30" t="s">
        <v>18</v>
      </c>
      <c r="D49" s="27"/>
      <c r="E49" s="27"/>
      <c r="F49" s="68" t="s">
        <v>485</v>
      </c>
      <c r="G49" s="121" t="s">
        <v>498</v>
      </c>
      <c r="H49" s="142" t="s">
        <v>19</v>
      </c>
      <c r="I49" s="72" t="s">
        <v>19</v>
      </c>
      <c r="J49" s="72" t="s">
        <v>19</v>
      </c>
      <c r="K49" s="73" t="s">
        <v>19</v>
      </c>
      <c r="L49" s="47"/>
      <c r="M49" s="1"/>
      <c r="N49" s="113" t="s">
        <v>14</v>
      </c>
      <c r="O49" s="122" t="s">
        <v>59</v>
      </c>
      <c r="P49" s="122"/>
      <c r="Q49" s="105"/>
      <c r="R49" s="33"/>
      <c r="S49" s="225" t="str">
        <f t="shared" si="0"/>
        <v/>
      </c>
      <c r="T49" s="7" t="s">
        <v>54</v>
      </c>
      <c r="U49" s="7" t="s">
        <v>5623</v>
      </c>
      <c r="V49" s="161" t="str" cm="1">
        <f t="array" ref="V49">_xlfn.IFS(C49="","",COUNTIF(C49,"ตำแหน่งว่าง*"),"ว่าง",COUNTIF(C49,"&lt;&gt;ตำแหน่งว่าง*"),"คนครอง")</f>
        <v>ว่าง</v>
      </c>
      <c r="W49" s="49" cm="1">
        <f t="array" ref="W49">_xlfn.IFS(COUNTIF(F49,"ผบ.หมู่*"),51,COUNTIF(F49,"รอง สว.*"),43)</f>
        <v>51</v>
      </c>
      <c r="X49" s="6" t="s">
        <v>497</v>
      </c>
      <c r="Y49" s="6" t="s">
        <v>59</v>
      </c>
    </row>
    <row r="50" spans="1:25" s="10" customFormat="1" ht="21.3" customHeight="1">
      <c r="A50" s="132"/>
      <c r="B50" s="28"/>
      <c r="C50" s="30" t="s">
        <v>18</v>
      </c>
      <c r="D50" s="27"/>
      <c r="E50" s="27"/>
      <c r="F50" s="68" t="s">
        <v>485</v>
      </c>
      <c r="G50" s="121" t="s">
        <v>500</v>
      </c>
      <c r="H50" s="142" t="s">
        <v>19</v>
      </c>
      <c r="I50" s="72" t="s">
        <v>19</v>
      </c>
      <c r="J50" s="72" t="s">
        <v>19</v>
      </c>
      <c r="K50" s="73" t="s">
        <v>19</v>
      </c>
      <c r="L50" s="47"/>
      <c r="M50" s="1"/>
      <c r="N50" s="113" t="s">
        <v>14</v>
      </c>
      <c r="O50" s="122" t="s">
        <v>59</v>
      </c>
      <c r="P50" s="122"/>
      <c r="Q50" s="105"/>
      <c r="R50" s="33"/>
      <c r="S50" s="225" t="str">
        <f t="shared" si="0"/>
        <v/>
      </c>
      <c r="T50" s="7" t="s">
        <v>54</v>
      </c>
      <c r="U50" s="7" t="s">
        <v>5623</v>
      </c>
      <c r="V50" s="161" t="str" cm="1">
        <f t="array" ref="V50">_xlfn.IFS(C50="","",COUNTIF(C50,"ตำแหน่งว่าง*"),"ว่าง",COUNTIF(C50,"&lt;&gt;ตำแหน่งว่าง*"),"คนครอง")</f>
        <v>ว่าง</v>
      </c>
      <c r="W50" s="49" cm="1">
        <f t="array" ref="W50">_xlfn.IFS(COUNTIF(F50,"ผบ.หมู่*"),51,COUNTIF(F50,"รอง สว.*"),43)</f>
        <v>51</v>
      </c>
      <c r="X50" s="6" t="s">
        <v>499</v>
      </c>
      <c r="Y50" s="6" t="s">
        <v>59</v>
      </c>
    </row>
    <row r="51" spans="1:25" s="10" customFormat="1" ht="21.3" customHeight="1">
      <c r="A51" s="132"/>
      <c r="B51" s="28"/>
      <c r="C51" s="30" t="s">
        <v>18</v>
      </c>
      <c r="D51" s="27"/>
      <c r="E51" s="27"/>
      <c r="F51" s="68" t="s">
        <v>485</v>
      </c>
      <c r="G51" s="121" t="s">
        <v>502</v>
      </c>
      <c r="H51" s="142" t="s">
        <v>19</v>
      </c>
      <c r="I51" s="72" t="s">
        <v>19</v>
      </c>
      <c r="J51" s="72" t="s">
        <v>19</v>
      </c>
      <c r="K51" s="73" t="s">
        <v>19</v>
      </c>
      <c r="L51" s="47"/>
      <c r="M51" s="1"/>
      <c r="N51" s="113" t="s">
        <v>14</v>
      </c>
      <c r="O51" s="122" t="s">
        <v>59</v>
      </c>
      <c r="P51" s="122"/>
      <c r="Q51" s="105"/>
      <c r="R51" s="33"/>
      <c r="S51" s="225" t="str">
        <f t="shared" si="0"/>
        <v/>
      </c>
      <c r="T51" s="7" t="s">
        <v>54</v>
      </c>
      <c r="U51" s="7" t="s">
        <v>5623</v>
      </c>
      <c r="V51" s="161" t="str" cm="1">
        <f t="array" ref="V51">_xlfn.IFS(C51="","",COUNTIF(C51,"ตำแหน่งว่าง*"),"ว่าง",COUNTIF(C51,"&lt;&gt;ตำแหน่งว่าง*"),"คนครอง")</f>
        <v>ว่าง</v>
      </c>
      <c r="W51" s="49" cm="1">
        <f t="array" ref="W51">_xlfn.IFS(COUNTIF(F51,"ผบ.หมู่*"),51,COUNTIF(F51,"รอง สว.*"),43)</f>
        <v>51</v>
      </c>
      <c r="X51" s="6" t="s">
        <v>501</v>
      </c>
      <c r="Y51" s="6" t="s">
        <v>59</v>
      </c>
    </row>
    <row r="52" spans="1:25" s="10" customFormat="1" ht="21.3" customHeight="1">
      <c r="A52" s="27" t="s">
        <v>612</v>
      </c>
      <c r="B52" s="28" t="s">
        <v>12</v>
      </c>
      <c r="C52" s="27" t="s">
        <v>7750</v>
      </c>
      <c r="D52" s="27" t="s">
        <v>8368</v>
      </c>
      <c r="E52" s="27" t="s">
        <v>8369</v>
      </c>
      <c r="F52" s="68" t="s">
        <v>485</v>
      </c>
      <c r="G52" s="121" t="s">
        <v>513</v>
      </c>
      <c r="H52" s="142">
        <v>45768</v>
      </c>
      <c r="I52" s="72">
        <v>41579</v>
      </c>
      <c r="J52" s="72">
        <v>41579</v>
      </c>
      <c r="K52" s="73">
        <v>33287</v>
      </c>
      <c r="L52" s="47" t="s">
        <v>7739</v>
      </c>
      <c r="M52" s="1" t="s">
        <v>7609</v>
      </c>
      <c r="N52" s="113" t="s">
        <v>14</v>
      </c>
      <c r="O52" s="122" t="s">
        <v>55</v>
      </c>
      <c r="P52" s="122" t="s">
        <v>55</v>
      </c>
      <c r="Q52" s="105"/>
      <c r="R52" s="33" t="s">
        <v>10804</v>
      </c>
      <c r="S52" s="225">
        <f t="shared" si="0"/>
        <v>55427</v>
      </c>
      <c r="T52" s="7" t="s">
        <v>54</v>
      </c>
      <c r="U52" s="7" t="s">
        <v>5623</v>
      </c>
      <c r="V52" s="161" t="str" cm="1">
        <f t="array" ref="V52">_xlfn.IFS(C52="","",COUNTIF(C52,"ตำแหน่งว่าง*"),"ว่าง",COUNTIF(C52,"&lt;&gt;ตำแหน่งว่าง*"),"คนครอง")</f>
        <v>คนครอง</v>
      </c>
      <c r="W52" s="49" cm="1">
        <f t="array" ref="W52">_xlfn.IFS(COUNTIF(F52,"ผบ.หมู่*"),51,COUNTIF(F52,"รอง สว.*"),43)</f>
        <v>51</v>
      </c>
      <c r="X52" s="6" t="s">
        <v>512</v>
      </c>
      <c r="Y52" s="6" t="s">
        <v>55</v>
      </c>
    </row>
    <row r="53" spans="1:25" s="10" customFormat="1" ht="21.3" customHeight="1">
      <c r="A53" s="27" t="s">
        <v>612</v>
      </c>
      <c r="B53" s="28" t="s">
        <v>12</v>
      </c>
      <c r="C53" s="27" t="s">
        <v>10812</v>
      </c>
      <c r="D53" s="27" t="s">
        <v>8039</v>
      </c>
      <c r="E53" s="27" t="s">
        <v>10791</v>
      </c>
      <c r="F53" s="27" t="s">
        <v>485</v>
      </c>
      <c r="G53" s="101" t="s">
        <v>515</v>
      </c>
      <c r="H53" s="142">
        <v>45768</v>
      </c>
      <c r="I53" s="72">
        <v>42522</v>
      </c>
      <c r="J53" s="72">
        <v>42522</v>
      </c>
      <c r="K53" s="73">
        <v>33289</v>
      </c>
      <c r="L53" s="47" t="s">
        <v>10817</v>
      </c>
      <c r="M53" s="1" t="s">
        <v>7609</v>
      </c>
      <c r="N53" s="112" t="s">
        <v>14</v>
      </c>
      <c r="O53" s="104" t="s">
        <v>55</v>
      </c>
      <c r="P53" s="104" t="s">
        <v>55</v>
      </c>
      <c r="Q53" s="105"/>
      <c r="R53" s="33" t="s">
        <v>10804</v>
      </c>
      <c r="S53" s="174">
        <f t="shared" si="0"/>
        <v>55427</v>
      </c>
      <c r="T53" s="2" t="s">
        <v>54</v>
      </c>
      <c r="U53" s="2" t="s">
        <v>5623</v>
      </c>
      <c r="V53" s="212" t="str" cm="1">
        <f t="array" ref="V53">_xlfn.IFS(C53="","",COUNTIF(C53,"ตำแหน่งว่าง*"),"ว่าง",COUNTIF(C53,"&lt;&gt;ตำแหน่งว่าง*"),"คนครอง")</f>
        <v>คนครอง</v>
      </c>
      <c r="W53" s="170" cm="1">
        <f t="array" ref="W53">_xlfn.IFS(COUNTIF(F53,"ผบ.หมู่*"),51,COUNTIF(F53,"รอง สว.*"),43)</f>
        <v>51</v>
      </c>
      <c r="X53" s="1" t="s">
        <v>514</v>
      </c>
      <c r="Y53" s="1" t="s">
        <v>55</v>
      </c>
    </row>
    <row r="54" spans="1:25" s="10" customFormat="1" ht="21.3" customHeight="1">
      <c r="A54" s="27"/>
      <c r="B54" s="28"/>
      <c r="C54" s="30" t="s">
        <v>18</v>
      </c>
      <c r="D54" s="27"/>
      <c r="E54" s="27"/>
      <c r="F54" s="68" t="s">
        <v>485</v>
      </c>
      <c r="G54" s="121" t="s">
        <v>517</v>
      </c>
      <c r="H54" s="142" t="s">
        <v>19</v>
      </c>
      <c r="I54" s="72" t="s">
        <v>19</v>
      </c>
      <c r="J54" s="72" t="s">
        <v>19</v>
      </c>
      <c r="K54" s="73" t="s">
        <v>19</v>
      </c>
      <c r="L54" s="47"/>
      <c r="M54" s="1"/>
      <c r="N54" s="113" t="s">
        <v>14</v>
      </c>
      <c r="O54" s="122" t="s">
        <v>55</v>
      </c>
      <c r="P54" s="122" t="s">
        <v>55</v>
      </c>
      <c r="Q54" s="105"/>
      <c r="R54" s="33"/>
      <c r="S54" s="225" t="str">
        <f t="shared" si="0"/>
        <v/>
      </c>
      <c r="T54" s="7" t="s">
        <v>54</v>
      </c>
      <c r="U54" s="7" t="s">
        <v>5623</v>
      </c>
      <c r="V54" s="161" t="str" cm="1">
        <f t="array" ref="V54">_xlfn.IFS(C54="","",COUNTIF(C54,"ตำแหน่งว่าง*"),"ว่าง",COUNTIF(C54,"&lt;&gt;ตำแหน่งว่าง*"),"คนครอง")</f>
        <v>ว่าง</v>
      </c>
      <c r="W54" s="49" cm="1">
        <f t="array" ref="W54">_xlfn.IFS(COUNTIF(F54,"ผบ.หมู่*"),51,COUNTIF(F54,"รอง สว.*"),43)</f>
        <v>51</v>
      </c>
      <c r="X54" s="6" t="s">
        <v>516</v>
      </c>
      <c r="Y54" s="6" t="s">
        <v>55</v>
      </c>
    </row>
    <row r="55" spans="1:25" s="10" customFormat="1" ht="21.3" customHeight="1">
      <c r="A55" s="27"/>
      <c r="B55" s="28"/>
      <c r="C55" s="30" t="s">
        <v>18</v>
      </c>
      <c r="D55" s="27"/>
      <c r="E55" s="27"/>
      <c r="F55" s="68" t="s">
        <v>485</v>
      </c>
      <c r="G55" s="121" t="s">
        <v>519</v>
      </c>
      <c r="H55" s="142" t="s">
        <v>19</v>
      </c>
      <c r="I55" s="72" t="s">
        <v>19</v>
      </c>
      <c r="J55" s="72" t="s">
        <v>19</v>
      </c>
      <c r="K55" s="73" t="s">
        <v>19</v>
      </c>
      <c r="L55" s="47"/>
      <c r="M55" s="1"/>
      <c r="N55" s="113" t="s">
        <v>14</v>
      </c>
      <c r="O55" s="122" t="s">
        <v>55</v>
      </c>
      <c r="P55" s="122" t="s">
        <v>55</v>
      </c>
      <c r="Q55" s="105"/>
      <c r="R55" s="33"/>
      <c r="S55" s="225" t="str">
        <f t="shared" si="0"/>
        <v/>
      </c>
      <c r="T55" s="7" t="s">
        <v>54</v>
      </c>
      <c r="U55" s="7" t="s">
        <v>5623</v>
      </c>
      <c r="V55" s="161" t="str" cm="1">
        <f t="array" ref="V55">_xlfn.IFS(C55="","",COUNTIF(C55,"ตำแหน่งว่าง*"),"ว่าง",COUNTIF(C55,"&lt;&gt;ตำแหน่งว่าง*"),"คนครอง")</f>
        <v>ว่าง</v>
      </c>
      <c r="W55" s="49" cm="1">
        <f t="array" ref="W55">_xlfn.IFS(COUNTIF(F55,"ผบ.หมู่*"),51,COUNTIF(F55,"รอง สว.*"),43)</f>
        <v>51</v>
      </c>
      <c r="X55" s="6" t="s">
        <v>518</v>
      </c>
      <c r="Y55" s="6" t="s">
        <v>55</v>
      </c>
    </row>
    <row r="56" spans="1:25" s="10" customFormat="1" ht="21.3" customHeight="1">
      <c r="A56" s="27"/>
      <c r="B56" s="28"/>
      <c r="C56" s="30" t="s">
        <v>18</v>
      </c>
      <c r="D56" s="27"/>
      <c r="E56" s="27"/>
      <c r="F56" s="68" t="s">
        <v>485</v>
      </c>
      <c r="G56" s="121" t="s">
        <v>521</v>
      </c>
      <c r="H56" s="142" t="s">
        <v>19</v>
      </c>
      <c r="I56" s="72" t="s">
        <v>19</v>
      </c>
      <c r="J56" s="72" t="s">
        <v>19</v>
      </c>
      <c r="K56" s="73" t="s">
        <v>19</v>
      </c>
      <c r="L56" s="47"/>
      <c r="M56" s="1"/>
      <c r="N56" s="113" t="s">
        <v>14</v>
      </c>
      <c r="O56" s="122" t="s">
        <v>55</v>
      </c>
      <c r="P56" s="122" t="s">
        <v>55</v>
      </c>
      <c r="Q56" s="105"/>
      <c r="R56" s="33"/>
      <c r="S56" s="225" t="str">
        <f t="shared" si="0"/>
        <v/>
      </c>
      <c r="T56" s="7" t="s">
        <v>54</v>
      </c>
      <c r="U56" s="7" t="s">
        <v>5623</v>
      </c>
      <c r="V56" s="161" t="str" cm="1">
        <f t="array" ref="V56">_xlfn.IFS(C56="","",COUNTIF(C56,"ตำแหน่งว่าง*"),"ว่าง",COUNTIF(C56,"&lt;&gt;ตำแหน่งว่าง*"),"คนครอง")</f>
        <v>ว่าง</v>
      </c>
      <c r="W56" s="49" cm="1">
        <f t="array" ref="W56">_xlfn.IFS(COUNTIF(F56,"ผบ.หมู่*"),51,COUNTIF(F56,"รอง สว.*"),43)</f>
        <v>51</v>
      </c>
      <c r="X56" s="6" t="s">
        <v>520</v>
      </c>
      <c r="Y56" s="6" t="s">
        <v>55</v>
      </c>
    </row>
    <row r="57" spans="1:25" s="10" customFormat="1" ht="21.3" customHeight="1">
      <c r="A57" s="27"/>
      <c r="B57" s="28"/>
      <c r="C57" s="30" t="s">
        <v>18</v>
      </c>
      <c r="D57" s="27"/>
      <c r="E57" s="27"/>
      <c r="F57" s="68" t="s">
        <v>485</v>
      </c>
      <c r="G57" s="121" t="s">
        <v>523</v>
      </c>
      <c r="H57" s="142" t="s">
        <v>19</v>
      </c>
      <c r="I57" s="72" t="s">
        <v>19</v>
      </c>
      <c r="J57" s="72" t="s">
        <v>19</v>
      </c>
      <c r="K57" s="73" t="s">
        <v>19</v>
      </c>
      <c r="L57" s="47"/>
      <c r="M57" s="1"/>
      <c r="N57" s="113" t="s">
        <v>14</v>
      </c>
      <c r="O57" s="122" t="s">
        <v>55</v>
      </c>
      <c r="P57" s="122" t="s">
        <v>55</v>
      </c>
      <c r="Q57" s="105"/>
      <c r="R57" s="33"/>
      <c r="S57" s="225" t="str">
        <f t="shared" si="0"/>
        <v/>
      </c>
      <c r="T57" s="7" t="s">
        <v>54</v>
      </c>
      <c r="U57" s="7" t="s">
        <v>5623</v>
      </c>
      <c r="V57" s="161" t="str" cm="1">
        <f t="array" ref="V57">_xlfn.IFS(C57="","",COUNTIF(C57,"ตำแหน่งว่าง*"),"ว่าง",COUNTIF(C57,"&lt;&gt;ตำแหน่งว่าง*"),"คนครอง")</f>
        <v>ว่าง</v>
      </c>
      <c r="W57" s="49" cm="1">
        <f t="array" ref="W57">_xlfn.IFS(COUNTIF(F57,"ผบ.หมู่*"),51,COUNTIF(F57,"รอง สว.*"),43)</f>
        <v>51</v>
      </c>
      <c r="X57" s="6" t="s">
        <v>522</v>
      </c>
      <c r="Y57" s="6" t="s">
        <v>55</v>
      </c>
    </row>
    <row r="58" spans="1:25" s="10" customFormat="1" ht="21.3" customHeight="1">
      <c r="A58" s="152" t="s">
        <v>20</v>
      </c>
      <c r="B58" s="153"/>
      <c r="C58" s="125"/>
      <c r="D58" s="27"/>
      <c r="E58" s="158"/>
      <c r="F58" s="158"/>
      <c r="G58" s="125"/>
      <c r="H58" s="190" t="s">
        <v>19</v>
      </c>
      <c r="I58" s="124" t="s">
        <v>19</v>
      </c>
      <c r="J58" s="124" t="s">
        <v>19</v>
      </c>
      <c r="K58" s="126" t="s">
        <v>19</v>
      </c>
      <c r="L58" s="191"/>
      <c r="M58" s="128"/>
      <c r="N58" s="125"/>
      <c r="O58" s="125"/>
      <c r="P58" s="125"/>
      <c r="Q58" s="160"/>
      <c r="R58" s="123"/>
      <c r="S58" s="226" t="str">
        <f t="shared" si="0"/>
        <v/>
      </c>
      <c r="T58" s="158"/>
      <c r="U58" s="158"/>
      <c r="V58" s="158" t="str" cm="1">
        <f t="array" ref="V58">_xlfn.IFS(C58="","",COUNTIF(C58,"ตำแหน่งว่าง*"),"ว่าง",COUNTIF(C58,"&lt;&gt;ตำแหน่งว่าง*"),"คนครอง")</f>
        <v/>
      </c>
      <c r="W58" s="125"/>
      <c r="X58" s="125"/>
      <c r="Y58" s="125"/>
    </row>
    <row r="59" spans="1:25" s="12" customFormat="1" ht="21.3" customHeight="1">
      <c r="A59" s="27" t="s">
        <v>10753</v>
      </c>
      <c r="B59" s="28" t="s">
        <v>21</v>
      </c>
      <c r="C59" s="95" t="s">
        <v>158</v>
      </c>
      <c r="D59" s="27" t="s">
        <v>8142</v>
      </c>
      <c r="E59" s="27" t="s">
        <v>8372</v>
      </c>
      <c r="F59" s="95" t="s">
        <v>7802</v>
      </c>
      <c r="G59" s="101" t="s">
        <v>161</v>
      </c>
      <c r="H59" s="142">
        <v>45382</v>
      </c>
      <c r="I59" s="72">
        <v>45382</v>
      </c>
      <c r="J59" s="72">
        <v>35095</v>
      </c>
      <c r="K59" s="73">
        <v>25943</v>
      </c>
      <c r="L59" s="47" t="s">
        <v>162</v>
      </c>
      <c r="M59" s="1" t="s">
        <v>163</v>
      </c>
      <c r="N59" s="111" t="s">
        <v>14</v>
      </c>
      <c r="O59" s="104" t="s">
        <v>27</v>
      </c>
      <c r="P59" s="104"/>
      <c r="Q59" s="105"/>
      <c r="R59" s="33" t="s">
        <v>7801</v>
      </c>
      <c r="S59" s="225">
        <f t="shared" si="0"/>
        <v>48122</v>
      </c>
      <c r="T59" s="162" t="s">
        <v>20</v>
      </c>
      <c r="U59" s="162" t="s">
        <v>20</v>
      </c>
      <c r="V59" s="161" t="str" cm="1">
        <f t="array" ref="V59">_xlfn.IFS(C59="","",COUNTIF(C59,"ตำแหน่งว่าง*"),"ว่าง",COUNTIF(C59,"&lt;&gt;ตำแหน่งว่าง*"),"คนครอง")</f>
        <v>คนครอง</v>
      </c>
      <c r="W59" s="49" cm="1">
        <f t="array" ref="W59">_xlfn.IFS(COUNTIF(F59,"ผบ.หมู่*"),51,COUNTIF(F59,"รอง สว.*"),43)</f>
        <v>43</v>
      </c>
      <c r="X59" s="5" t="s">
        <v>160</v>
      </c>
      <c r="Y59" s="5" t="s">
        <v>27</v>
      </c>
    </row>
    <row r="60" spans="1:25" s="10" customFormat="1" ht="21.3" customHeight="1">
      <c r="A60" s="27"/>
      <c r="B60" s="30"/>
      <c r="C60" s="30" t="s">
        <v>18</v>
      </c>
      <c r="D60" s="27"/>
      <c r="E60" s="27"/>
      <c r="F60" s="68" t="s">
        <v>159</v>
      </c>
      <c r="G60" s="121" t="s">
        <v>166</v>
      </c>
      <c r="H60" s="142" t="s">
        <v>19</v>
      </c>
      <c r="I60" s="72" t="s">
        <v>19</v>
      </c>
      <c r="J60" s="72" t="s">
        <v>19</v>
      </c>
      <c r="K60" s="73" t="s">
        <v>19</v>
      </c>
      <c r="L60" s="47"/>
      <c r="M60" s="1"/>
      <c r="N60" s="113" t="s">
        <v>14</v>
      </c>
      <c r="O60" s="122" t="s">
        <v>27</v>
      </c>
      <c r="P60" s="122"/>
      <c r="Q60" s="106"/>
      <c r="R60" s="149"/>
      <c r="S60" s="225" t="str">
        <f t="shared" si="0"/>
        <v/>
      </c>
      <c r="T60" s="7" t="s">
        <v>20</v>
      </c>
      <c r="U60" s="162" t="s">
        <v>20</v>
      </c>
      <c r="V60" s="161" t="str" cm="1">
        <f t="array" ref="V60">_xlfn.IFS(C60="","",COUNTIF(C60,"ตำแหน่งว่าง*"),"ว่าง",COUNTIF(C60,"&lt;&gt;ตำแหน่งว่าง*"),"คนครอง")</f>
        <v>ว่าง</v>
      </c>
      <c r="W60" s="49" cm="1">
        <f t="array" ref="W60">_xlfn.IFS(COUNTIF(F60,"ผบ.หมู่*"),51,COUNTIF(F60,"รอง สว.*"),43)</f>
        <v>51</v>
      </c>
      <c r="X60" s="6" t="s">
        <v>165</v>
      </c>
      <c r="Y60" s="6" t="s">
        <v>27</v>
      </c>
    </row>
    <row r="61" spans="1:25" s="10" customFormat="1" ht="21.3" customHeight="1">
      <c r="A61" s="27"/>
      <c r="B61" s="28"/>
      <c r="C61" s="30" t="s">
        <v>18</v>
      </c>
      <c r="D61" s="27"/>
      <c r="E61" s="27"/>
      <c r="F61" s="68" t="s">
        <v>159</v>
      </c>
      <c r="G61" s="121" t="s">
        <v>168</v>
      </c>
      <c r="H61" s="142" t="s">
        <v>19</v>
      </c>
      <c r="I61" s="72" t="s">
        <v>19</v>
      </c>
      <c r="J61" s="72" t="s">
        <v>19</v>
      </c>
      <c r="K61" s="73" t="s">
        <v>19</v>
      </c>
      <c r="L61" s="47"/>
      <c r="M61" s="1"/>
      <c r="N61" s="113" t="s">
        <v>14</v>
      </c>
      <c r="O61" s="122" t="s">
        <v>27</v>
      </c>
      <c r="P61" s="122"/>
      <c r="Q61" s="105"/>
      <c r="R61" s="33"/>
      <c r="S61" s="225" t="str">
        <f t="shared" si="0"/>
        <v/>
      </c>
      <c r="T61" s="7" t="s">
        <v>20</v>
      </c>
      <c r="U61" s="162" t="s">
        <v>20</v>
      </c>
      <c r="V61" s="161" t="str" cm="1">
        <f t="array" ref="V61">_xlfn.IFS(C61="","",COUNTIF(C61,"ตำแหน่งว่าง*"),"ว่าง",COUNTIF(C61,"&lt;&gt;ตำแหน่งว่าง*"),"คนครอง")</f>
        <v>ว่าง</v>
      </c>
      <c r="W61" s="49" cm="1">
        <f t="array" ref="W61">_xlfn.IFS(COUNTIF(F61,"ผบ.หมู่*"),51,COUNTIF(F61,"รอง สว.*"),43)</f>
        <v>51</v>
      </c>
      <c r="X61" s="6" t="s">
        <v>167</v>
      </c>
      <c r="Y61" s="6" t="s">
        <v>27</v>
      </c>
    </row>
    <row r="62" spans="1:25" s="10" customFormat="1" ht="21.3" customHeight="1">
      <c r="A62" s="27" t="s">
        <v>169</v>
      </c>
      <c r="B62" s="28" t="s">
        <v>21</v>
      </c>
      <c r="C62" s="27" t="s">
        <v>170</v>
      </c>
      <c r="D62" s="27" t="s">
        <v>8320</v>
      </c>
      <c r="E62" s="27" t="s">
        <v>8373</v>
      </c>
      <c r="F62" s="27" t="s">
        <v>171</v>
      </c>
      <c r="G62" s="101" t="s">
        <v>173</v>
      </c>
      <c r="H62" s="87">
        <v>45092</v>
      </c>
      <c r="I62" s="72">
        <v>45092</v>
      </c>
      <c r="J62" s="72">
        <v>45092</v>
      </c>
      <c r="K62" s="73">
        <v>32392</v>
      </c>
      <c r="L62" s="47" t="s">
        <v>82</v>
      </c>
      <c r="M62" s="1" t="s">
        <v>77</v>
      </c>
      <c r="N62" s="112" t="s">
        <v>14</v>
      </c>
      <c r="O62" s="104" t="s">
        <v>27</v>
      </c>
      <c r="P62" s="104"/>
      <c r="Q62" s="105"/>
      <c r="R62" s="33" t="s">
        <v>174</v>
      </c>
      <c r="S62" s="225">
        <f t="shared" si="0"/>
        <v>54332</v>
      </c>
      <c r="T62" s="7" t="s">
        <v>7683</v>
      </c>
      <c r="U62" s="162" t="s">
        <v>20</v>
      </c>
      <c r="V62" s="161" t="str" cm="1">
        <f t="array" ref="V62">_xlfn.IFS(C62="","",COUNTIF(C62,"ตำแหน่งว่าง*"),"ว่าง",COUNTIF(C62,"&lt;&gt;ตำแหน่งว่าง*"),"คนครอง")</f>
        <v>คนครอง</v>
      </c>
      <c r="W62" s="49" cm="1">
        <f t="array" ref="W62">_xlfn.IFS(COUNTIF(F62,"ผบ.หมู่*"),51,COUNTIF(F62,"รอง สว.*"),43)</f>
        <v>51</v>
      </c>
      <c r="X62" s="1" t="s">
        <v>172</v>
      </c>
      <c r="Y62" s="1" t="s">
        <v>27</v>
      </c>
    </row>
    <row r="63" spans="1:25" s="10" customFormat="1" ht="21.3" customHeight="1">
      <c r="A63" s="27" t="s">
        <v>169</v>
      </c>
      <c r="B63" s="28" t="s">
        <v>21</v>
      </c>
      <c r="C63" s="27" t="s">
        <v>175</v>
      </c>
      <c r="D63" s="27" t="s">
        <v>8374</v>
      </c>
      <c r="E63" s="27" t="s">
        <v>8375</v>
      </c>
      <c r="F63" s="27" t="s">
        <v>171</v>
      </c>
      <c r="G63" s="101" t="s">
        <v>177</v>
      </c>
      <c r="H63" s="87">
        <v>45092</v>
      </c>
      <c r="I63" s="72">
        <v>45092</v>
      </c>
      <c r="J63" s="72">
        <v>45092</v>
      </c>
      <c r="K63" s="73">
        <v>35057</v>
      </c>
      <c r="L63" s="47" t="s">
        <v>82</v>
      </c>
      <c r="M63" s="1" t="s">
        <v>47</v>
      </c>
      <c r="N63" s="112" t="s">
        <v>14</v>
      </c>
      <c r="O63" s="104" t="s">
        <v>27</v>
      </c>
      <c r="P63" s="104"/>
      <c r="Q63" s="105"/>
      <c r="R63" s="33" t="s">
        <v>174</v>
      </c>
      <c r="S63" s="225">
        <f t="shared" si="0"/>
        <v>57254</v>
      </c>
      <c r="T63" s="7" t="s">
        <v>7683</v>
      </c>
      <c r="U63" s="162" t="s">
        <v>20</v>
      </c>
      <c r="V63" s="161" t="str" cm="1">
        <f t="array" ref="V63">_xlfn.IFS(C63="","",COUNTIF(C63,"ตำแหน่งว่าง*"),"ว่าง",COUNTIF(C63,"&lt;&gt;ตำแหน่งว่าง*"),"คนครอง")</f>
        <v>คนครอง</v>
      </c>
      <c r="W63" s="49" cm="1">
        <f t="array" ref="W63">_xlfn.IFS(COUNTIF(F63,"ผบ.หมู่*"),51,COUNTIF(F63,"รอง สว.*"),43)</f>
        <v>51</v>
      </c>
      <c r="X63" s="1" t="s">
        <v>176</v>
      </c>
      <c r="Y63" s="1" t="s">
        <v>27</v>
      </c>
    </row>
    <row r="64" spans="1:25" s="10" customFormat="1" ht="21.3" customHeight="1">
      <c r="A64" s="27" t="s">
        <v>169</v>
      </c>
      <c r="B64" s="28" t="s">
        <v>12</v>
      </c>
      <c r="C64" s="27" t="s">
        <v>178</v>
      </c>
      <c r="D64" s="27" t="s">
        <v>8376</v>
      </c>
      <c r="E64" s="27" t="s">
        <v>8377</v>
      </c>
      <c r="F64" s="27" t="s">
        <v>179</v>
      </c>
      <c r="G64" s="101" t="s">
        <v>181</v>
      </c>
      <c r="H64" s="87">
        <v>45092</v>
      </c>
      <c r="I64" s="72">
        <v>45092</v>
      </c>
      <c r="J64" s="72">
        <v>45092</v>
      </c>
      <c r="K64" s="73">
        <v>34057</v>
      </c>
      <c r="L64" s="47" t="s">
        <v>82</v>
      </c>
      <c r="M64" s="1" t="s">
        <v>77</v>
      </c>
      <c r="N64" s="112" t="s">
        <v>14</v>
      </c>
      <c r="O64" s="104" t="s">
        <v>27</v>
      </c>
      <c r="P64" s="104"/>
      <c r="Q64" s="105"/>
      <c r="R64" s="33" t="s">
        <v>174</v>
      </c>
      <c r="S64" s="225">
        <f t="shared" si="0"/>
        <v>56158</v>
      </c>
      <c r="T64" s="7" t="s">
        <v>7683</v>
      </c>
      <c r="U64" s="162" t="s">
        <v>20</v>
      </c>
      <c r="V64" s="161" t="str" cm="1">
        <f t="array" ref="V64">_xlfn.IFS(C64="","",COUNTIF(C64,"ตำแหน่งว่าง*"),"ว่าง",COUNTIF(C64,"&lt;&gt;ตำแหน่งว่าง*"),"คนครอง")</f>
        <v>คนครอง</v>
      </c>
      <c r="W64" s="49" cm="1">
        <f t="array" ref="W64">_xlfn.IFS(COUNTIF(F64,"ผบ.หมู่*"),51,COUNTIF(F64,"รอง สว.*"),43)</f>
        <v>51</v>
      </c>
      <c r="X64" s="1" t="s">
        <v>180</v>
      </c>
      <c r="Y64" s="1" t="s">
        <v>27</v>
      </c>
    </row>
    <row r="65" spans="1:25" s="12" customFormat="1" ht="21.3" customHeight="1">
      <c r="A65" s="27"/>
      <c r="B65" s="28"/>
      <c r="C65" s="31" t="s">
        <v>18</v>
      </c>
      <c r="D65" s="27"/>
      <c r="E65" s="27"/>
      <c r="F65" s="95" t="s">
        <v>179</v>
      </c>
      <c r="G65" s="101" t="s">
        <v>185</v>
      </c>
      <c r="H65" s="87"/>
      <c r="I65" s="72"/>
      <c r="J65" s="72"/>
      <c r="K65" s="73"/>
      <c r="L65" s="47"/>
      <c r="M65" s="1"/>
      <c r="N65" s="111" t="s">
        <v>14</v>
      </c>
      <c r="O65" s="104" t="s">
        <v>27</v>
      </c>
      <c r="P65" s="104"/>
      <c r="Q65" s="105"/>
      <c r="R65" s="33"/>
      <c r="S65" s="225" t="str">
        <f t="shared" si="0"/>
        <v/>
      </c>
      <c r="T65" s="162" t="s">
        <v>7683</v>
      </c>
      <c r="U65" s="162" t="s">
        <v>20</v>
      </c>
      <c r="V65" s="161" t="str" cm="1">
        <f t="array" ref="V65">_xlfn.IFS(C65="","",COUNTIF(C65,"ตำแหน่งว่าง*"),"ว่าง",COUNTIF(C65,"&lt;&gt;ตำแหน่งว่าง*"),"คนครอง")</f>
        <v>ว่าง</v>
      </c>
      <c r="W65" s="49" cm="1">
        <f t="array" ref="W65">_xlfn.IFS(COUNTIF(F65,"ผบ.หมู่*"),51,COUNTIF(F65,"รอง สว.*"),43)</f>
        <v>51</v>
      </c>
      <c r="X65" s="5" t="s">
        <v>184</v>
      </c>
      <c r="Y65" s="5" t="s">
        <v>27</v>
      </c>
    </row>
    <row r="66" spans="1:25" s="10" customFormat="1" ht="21.3" customHeight="1">
      <c r="A66" s="27" t="s">
        <v>169</v>
      </c>
      <c r="B66" s="28" t="s">
        <v>21</v>
      </c>
      <c r="C66" s="27" t="s">
        <v>187</v>
      </c>
      <c r="D66" s="27" t="s">
        <v>8380</v>
      </c>
      <c r="E66" s="27" t="s">
        <v>8381</v>
      </c>
      <c r="F66" s="27" t="s">
        <v>179</v>
      </c>
      <c r="G66" s="101" t="s">
        <v>189</v>
      </c>
      <c r="H66" s="87">
        <v>45092</v>
      </c>
      <c r="I66" s="72">
        <v>45092</v>
      </c>
      <c r="J66" s="72">
        <v>45092</v>
      </c>
      <c r="K66" s="73">
        <v>35776</v>
      </c>
      <c r="L66" s="47" t="s">
        <v>82</v>
      </c>
      <c r="M66" s="1" t="s">
        <v>57</v>
      </c>
      <c r="N66" s="112" t="s">
        <v>14</v>
      </c>
      <c r="O66" s="104" t="s">
        <v>27</v>
      </c>
      <c r="P66" s="104"/>
      <c r="Q66" s="105"/>
      <c r="R66" s="33" t="s">
        <v>174</v>
      </c>
      <c r="S66" s="225">
        <f t="shared" ref="S66:S129" si="1">IF(K66&lt;&gt;"",DATE(YEAR(K66)+60+(K66&gt;=DATE(YEAR(K66),10,2)),10,1),"")</f>
        <v>57984</v>
      </c>
      <c r="T66" s="7" t="s">
        <v>7683</v>
      </c>
      <c r="U66" s="162" t="s">
        <v>20</v>
      </c>
      <c r="V66" s="161" t="str" cm="1">
        <f t="array" ref="V66">_xlfn.IFS(C66="","",COUNTIF(C66,"ตำแหน่งว่าง*"),"ว่าง",COUNTIF(C66,"&lt;&gt;ตำแหน่งว่าง*"),"คนครอง")</f>
        <v>คนครอง</v>
      </c>
      <c r="W66" s="49" cm="1">
        <f t="array" ref="W66">_xlfn.IFS(COUNTIF(F66,"ผบ.หมู่*"),51,COUNTIF(F66,"รอง สว.*"),43)</f>
        <v>51</v>
      </c>
      <c r="X66" s="1" t="s">
        <v>188</v>
      </c>
      <c r="Y66" s="1" t="s">
        <v>27</v>
      </c>
    </row>
    <row r="67" spans="1:25" s="10" customFormat="1" ht="21.3" customHeight="1">
      <c r="A67" s="27" t="s">
        <v>169</v>
      </c>
      <c r="B67" s="28" t="s">
        <v>21</v>
      </c>
      <c r="C67" s="27" t="s">
        <v>190</v>
      </c>
      <c r="D67" s="27" t="s">
        <v>8382</v>
      </c>
      <c r="E67" s="27" t="s">
        <v>8383</v>
      </c>
      <c r="F67" s="27" t="s">
        <v>179</v>
      </c>
      <c r="G67" s="101" t="s">
        <v>192</v>
      </c>
      <c r="H67" s="87">
        <v>45047</v>
      </c>
      <c r="I67" s="72">
        <v>45047</v>
      </c>
      <c r="J67" s="72">
        <v>45047</v>
      </c>
      <c r="K67" s="73">
        <v>35879</v>
      </c>
      <c r="L67" s="47" t="s">
        <v>82</v>
      </c>
      <c r="M67" s="1" t="s">
        <v>23</v>
      </c>
      <c r="N67" s="112" t="s">
        <v>14</v>
      </c>
      <c r="O67" s="104" t="s">
        <v>27</v>
      </c>
      <c r="P67" s="104"/>
      <c r="Q67" s="105"/>
      <c r="R67" s="33" t="s">
        <v>193</v>
      </c>
      <c r="S67" s="225">
        <f t="shared" si="1"/>
        <v>57984</v>
      </c>
      <c r="T67" s="7" t="s">
        <v>7683</v>
      </c>
      <c r="U67" s="162" t="s">
        <v>20</v>
      </c>
      <c r="V67" s="161" t="str" cm="1">
        <f t="array" ref="V67">_xlfn.IFS(C67="","",COUNTIF(C67,"ตำแหน่งว่าง*"),"ว่าง",COUNTIF(C67,"&lt;&gt;ตำแหน่งว่าง*"),"คนครอง")</f>
        <v>คนครอง</v>
      </c>
      <c r="W67" s="49" cm="1">
        <f t="array" ref="W67">_xlfn.IFS(COUNTIF(F67,"ผบ.หมู่*"),51,COUNTIF(F67,"รอง สว.*"),43)</f>
        <v>51</v>
      </c>
      <c r="X67" s="1" t="s">
        <v>191</v>
      </c>
      <c r="Y67" s="1" t="s">
        <v>27</v>
      </c>
    </row>
    <row r="68" spans="1:25" s="10" customFormat="1" ht="21.3" customHeight="1">
      <c r="A68" s="27" t="s">
        <v>169</v>
      </c>
      <c r="B68" s="28" t="s">
        <v>21</v>
      </c>
      <c r="C68" s="27" t="s">
        <v>194</v>
      </c>
      <c r="D68" s="27" t="s">
        <v>8384</v>
      </c>
      <c r="E68" s="27" t="s">
        <v>8385</v>
      </c>
      <c r="F68" s="27" t="s">
        <v>179</v>
      </c>
      <c r="G68" s="101" t="s">
        <v>196</v>
      </c>
      <c r="H68" s="87">
        <v>45092</v>
      </c>
      <c r="I68" s="72">
        <v>45092</v>
      </c>
      <c r="J68" s="72">
        <v>45092</v>
      </c>
      <c r="K68" s="73">
        <v>33616</v>
      </c>
      <c r="L68" s="47" t="s">
        <v>112</v>
      </c>
      <c r="M68" s="1" t="s">
        <v>56</v>
      </c>
      <c r="N68" s="112" t="s">
        <v>14</v>
      </c>
      <c r="O68" s="104" t="s">
        <v>27</v>
      </c>
      <c r="P68" s="104"/>
      <c r="Q68" s="105"/>
      <c r="R68" s="33" t="s">
        <v>174</v>
      </c>
      <c r="S68" s="225">
        <f t="shared" si="1"/>
        <v>55793</v>
      </c>
      <c r="T68" s="7" t="s">
        <v>7683</v>
      </c>
      <c r="U68" s="162" t="s">
        <v>20</v>
      </c>
      <c r="V68" s="161" t="str" cm="1">
        <f t="array" ref="V68">_xlfn.IFS(C68="","",COUNTIF(C68,"ตำแหน่งว่าง*"),"ว่าง",COUNTIF(C68,"&lt;&gt;ตำแหน่งว่าง*"),"คนครอง")</f>
        <v>คนครอง</v>
      </c>
      <c r="W68" s="49" cm="1">
        <f t="array" ref="W68">_xlfn.IFS(COUNTIF(F68,"ผบ.หมู่*"),51,COUNTIF(F68,"รอง สว.*"),43)</f>
        <v>51</v>
      </c>
      <c r="X68" s="1" t="s">
        <v>195</v>
      </c>
      <c r="Y68" s="1" t="s">
        <v>27</v>
      </c>
    </row>
    <row r="69" spans="1:25" s="10" customFormat="1" ht="21.3" customHeight="1">
      <c r="A69" s="27" t="s">
        <v>169</v>
      </c>
      <c r="B69" s="28" t="s">
        <v>12</v>
      </c>
      <c r="C69" s="27" t="s">
        <v>197</v>
      </c>
      <c r="D69" s="27" t="s">
        <v>8106</v>
      </c>
      <c r="E69" s="27" t="s">
        <v>8386</v>
      </c>
      <c r="F69" s="27" t="s">
        <v>171</v>
      </c>
      <c r="G69" s="104" t="s">
        <v>199</v>
      </c>
      <c r="H69" s="75">
        <v>45092</v>
      </c>
      <c r="I69" s="73">
        <v>45092</v>
      </c>
      <c r="J69" s="73">
        <v>45092</v>
      </c>
      <c r="K69" s="73">
        <v>34001</v>
      </c>
      <c r="L69" s="11" t="s">
        <v>200</v>
      </c>
      <c r="M69" s="1" t="s">
        <v>77</v>
      </c>
      <c r="N69" s="104" t="s">
        <v>14</v>
      </c>
      <c r="O69" s="104" t="s">
        <v>27</v>
      </c>
      <c r="P69" s="104"/>
      <c r="Q69" s="26"/>
      <c r="R69" s="28" t="s">
        <v>7682</v>
      </c>
      <c r="S69" s="225">
        <f t="shared" si="1"/>
        <v>56158</v>
      </c>
      <c r="T69" s="7" t="s">
        <v>7683</v>
      </c>
      <c r="U69" s="162" t="s">
        <v>20</v>
      </c>
      <c r="V69" s="161" t="str" cm="1">
        <f t="array" ref="V69">_xlfn.IFS(C69="","",COUNTIF(C69,"ตำแหน่งว่าง*"),"ว่าง",COUNTIF(C69,"&lt;&gt;ตำแหน่งว่าง*"),"คนครอง")</f>
        <v>คนครอง</v>
      </c>
      <c r="W69" s="49" cm="1">
        <f t="array" ref="W69">_xlfn.IFS(COUNTIF(F69,"ผบ.หมู่*"),51,COUNTIF(F69,"รอง สว.*"),43)</f>
        <v>51</v>
      </c>
      <c r="X69" s="1" t="s">
        <v>198</v>
      </c>
      <c r="Y69" s="1" t="s">
        <v>27</v>
      </c>
    </row>
    <row r="70" spans="1:25" s="12" customFormat="1" ht="21.3" customHeight="1">
      <c r="A70" s="27" t="s">
        <v>169</v>
      </c>
      <c r="B70" s="28" t="s">
        <v>12</v>
      </c>
      <c r="C70" s="27" t="s">
        <v>201</v>
      </c>
      <c r="D70" s="27" t="s">
        <v>8315</v>
      </c>
      <c r="E70" s="27" t="s">
        <v>8387</v>
      </c>
      <c r="F70" s="27" t="s">
        <v>179</v>
      </c>
      <c r="G70" s="104" t="s">
        <v>203</v>
      </c>
      <c r="H70" s="75">
        <v>45092</v>
      </c>
      <c r="I70" s="73">
        <v>45092</v>
      </c>
      <c r="J70" s="73">
        <v>45092</v>
      </c>
      <c r="K70" s="73">
        <v>34248</v>
      </c>
      <c r="L70" s="11" t="s">
        <v>112</v>
      </c>
      <c r="M70" s="1" t="s">
        <v>24</v>
      </c>
      <c r="N70" s="104" t="s">
        <v>14</v>
      </c>
      <c r="O70" s="104" t="s">
        <v>27</v>
      </c>
      <c r="P70" s="104"/>
      <c r="Q70" s="26"/>
      <c r="R70" s="28" t="s">
        <v>7682</v>
      </c>
      <c r="S70" s="225">
        <f t="shared" si="1"/>
        <v>56523</v>
      </c>
      <c r="T70" s="162" t="s">
        <v>7683</v>
      </c>
      <c r="U70" s="162" t="s">
        <v>20</v>
      </c>
      <c r="V70" s="161" t="str" cm="1">
        <f t="array" ref="V70">_xlfn.IFS(C70="","",COUNTIF(C70,"ตำแหน่งว่าง*"),"ว่าง",COUNTIF(C70,"&lt;&gt;ตำแหน่งว่าง*"),"คนครอง")</f>
        <v>คนครอง</v>
      </c>
      <c r="W70" s="49" cm="1">
        <f t="array" ref="W70">_xlfn.IFS(COUNTIF(F70,"ผบ.หมู่*"),51,COUNTIF(F70,"รอง สว.*"),43)</f>
        <v>51</v>
      </c>
      <c r="X70" s="1" t="s">
        <v>202</v>
      </c>
      <c r="Y70" s="1" t="s">
        <v>27</v>
      </c>
    </row>
    <row r="71" spans="1:25" s="10" customFormat="1" ht="21.3" customHeight="1">
      <c r="A71" s="27" t="s">
        <v>208</v>
      </c>
      <c r="B71" s="28" t="s">
        <v>21</v>
      </c>
      <c r="C71" s="27" t="s">
        <v>10766</v>
      </c>
      <c r="D71" s="27" t="s">
        <v>10168</v>
      </c>
      <c r="E71" s="27" t="s">
        <v>10169</v>
      </c>
      <c r="F71" s="27" t="s">
        <v>171</v>
      </c>
      <c r="G71" s="101" t="s">
        <v>205</v>
      </c>
      <c r="H71" s="87">
        <v>45768</v>
      </c>
      <c r="I71" s="72">
        <v>43693</v>
      </c>
      <c r="J71" s="72">
        <v>43693</v>
      </c>
      <c r="K71" s="73">
        <v>36752</v>
      </c>
      <c r="L71" s="47" t="s">
        <v>82</v>
      </c>
      <c r="M71" s="1" t="s">
        <v>140</v>
      </c>
      <c r="N71" s="112" t="s">
        <v>14</v>
      </c>
      <c r="O71" s="104" t="s">
        <v>27</v>
      </c>
      <c r="P71" s="104"/>
      <c r="Q71" s="105"/>
      <c r="R71" s="33" t="s">
        <v>10804</v>
      </c>
      <c r="S71" s="174">
        <f t="shared" si="1"/>
        <v>58715</v>
      </c>
      <c r="T71" s="2" t="s">
        <v>7683</v>
      </c>
      <c r="U71" s="2" t="s">
        <v>20</v>
      </c>
      <c r="V71" s="212" t="str" cm="1">
        <f t="array" ref="V71">_xlfn.IFS(C71="","",COUNTIF(C71,"ตำแหน่งว่าง*"),"ว่าง",COUNTIF(C71,"&lt;&gt;ตำแหน่งว่าง*"),"คนครอง")</f>
        <v>คนครอง</v>
      </c>
      <c r="W71" s="170" cm="1">
        <f t="array" ref="W71">_xlfn.IFS(COUNTIF(F71,"ผบ.หมู่*"),51,COUNTIF(F71,"รอง สว.*"),43)</f>
        <v>51</v>
      </c>
      <c r="X71" s="1" t="s">
        <v>204</v>
      </c>
      <c r="Y71" s="1" t="s">
        <v>27</v>
      </c>
    </row>
    <row r="72" spans="1:25" s="12" customFormat="1" ht="21.3" customHeight="1">
      <c r="A72" s="68"/>
      <c r="B72" s="30"/>
      <c r="C72" s="30" t="s">
        <v>18</v>
      </c>
      <c r="D72" s="27"/>
      <c r="E72" s="27"/>
      <c r="F72" s="68" t="s">
        <v>171</v>
      </c>
      <c r="G72" s="121" t="s">
        <v>207</v>
      </c>
      <c r="H72" s="143" t="s">
        <v>19</v>
      </c>
      <c r="I72" s="200" t="s">
        <v>19</v>
      </c>
      <c r="J72" s="200" t="s">
        <v>19</v>
      </c>
      <c r="K72" s="74" t="s">
        <v>19</v>
      </c>
      <c r="L72" s="202"/>
      <c r="M72" s="6"/>
      <c r="N72" s="113" t="s">
        <v>14</v>
      </c>
      <c r="O72" s="122" t="s">
        <v>27</v>
      </c>
      <c r="P72" s="122"/>
      <c r="Q72" s="106"/>
      <c r="R72" s="149"/>
      <c r="S72" s="225" t="str">
        <f t="shared" si="1"/>
        <v/>
      </c>
      <c r="T72" s="162" t="s">
        <v>7683</v>
      </c>
      <c r="U72" s="162" t="s">
        <v>20</v>
      </c>
      <c r="V72" s="161" t="str" cm="1">
        <f t="array" ref="V72">_xlfn.IFS(C72="","",COUNTIF(C72,"ตำแหน่งว่าง*"),"ว่าง",COUNTIF(C72,"&lt;&gt;ตำแหน่งว่าง*"),"คนครอง")</f>
        <v>ว่าง</v>
      </c>
      <c r="W72" s="49" cm="1">
        <f t="array" ref="W72">_xlfn.IFS(COUNTIF(F72,"ผบ.หมู่*"),51,COUNTIF(F72,"รอง สว.*"),43)</f>
        <v>51</v>
      </c>
      <c r="X72" s="6" t="s">
        <v>206</v>
      </c>
      <c r="Y72" s="6" t="s">
        <v>27</v>
      </c>
    </row>
    <row r="73" spans="1:25" s="12" customFormat="1" ht="21.3" customHeight="1">
      <c r="A73" s="27"/>
      <c r="B73" s="28"/>
      <c r="C73" s="30" t="s">
        <v>18</v>
      </c>
      <c r="D73" s="27"/>
      <c r="E73" s="27"/>
      <c r="F73" s="68" t="s">
        <v>171</v>
      </c>
      <c r="G73" s="121" t="s">
        <v>211</v>
      </c>
      <c r="H73" s="143"/>
      <c r="I73" s="200"/>
      <c r="J73" s="200"/>
      <c r="K73" s="74"/>
      <c r="L73" s="202"/>
      <c r="M73" s="6"/>
      <c r="N73" s="113" t="s">
        <v>14</v>
      </c>
      <c r="O73" s="122" t="s">
        <v>27</v>
      </c>
      <c r="P73" s="122"/>
      <c r="Q73" s="106"/>
      <c r="R73" s="149"/>
      <c r="S73" s="225" t="str">
        <f t="shared" si="1"/>
        <v/>
      </c>
      <c r="T73" s="162" t="s">
        <v>7683</v>
      </c>
      <c r="U73" s="162" t="s">
        <v>20</v>
      </c>
      <c r="V73" s="161" t="str" cm="1">
        <f t="array" ref="V73">_xlfn.IFS(C73="","",COUNTIF(C73,"ตำแหน่งว่าง*"),"ว่าง",COUNTIF(C73,"&lt;&gt;ตำแหน่งว่าง*"),"คนครอง")</f>
        <v>ว่าง</v>
      </c>
      <c r="W73" s="49" cm="1">
        <f t="array" ref="W73">_xlfn.IFS(COUNTIF(F73,"ผบ.หมู่*"),51,COUNTIF(F73,"รอง สว.*"),43)</f>
        <v>51</v>
      </c>
      <c r="X73" s="6" t="s">
        <v>210</v>
      </c>
      <c r="Y73" s="6" t="s">
        <v>27</v>
      </c>
    </row>
    <row r="74" spans="1:25" s="10" customFormat="1" ht="21.3" customHeight="1">
      <c r="A74" s="27"/>
      <c r="B74" s="28"/>
      <c r="C74" s="30" t="s">
        <v>18</v>
      </c>
      <c r="D74" s="27"/>
      <c r="E74" s="27"/>
      <c r="F74" s="68" t="s">
        <v>171</v>
      </c>
      <c r="G74" s="121" t="s">
        <v>214</v>
      </c>
      <c r="H74" s="87" t="s">
        <v>19</v>
      </c>
      <c r="I74" s="72" t="s">
        <v>19</v>
      </c>
      <c r="J74" s="72" t="s">
        <v>19</v>
      </c>
      <c r="K74" s="73" t="s">
        <v>19</v>
      </c>
      <c r="L74" s="47"/>
      <c r="M74" s="1"/>
      <c r="N74" s="113" t="s">
        <v>14</v>
      </c>
      <c r="O74" s="122" t="s">
        <v>27</v>
      </c>
      <c r="P74" s="122"/>
      <c r="Q74" s="105"/>
      <c r="R74" s="33"/>
      <c r="S74" s="225" t="str">
        <f t="shared" si="1"/>
        <v/>
      </c>
      <c r="T74" s="7" t="s">
        <v>7683</v>
      </c>
      <c r="U74" s="162" t="s">
        <v>20</v>
      </c>
      <c r="V74" s="161" t="str" cm="1">
        <f t="array" ref="V74">_xlfn.IFS(C74="","",COUNTIF(C74,"ตำแหน่งว่าง*"),"ว่าง",COUNTIF(C74,"&lt;&gt;ตำแหน่งว่าง*"),"คนครอง")</f>
        <v>ว่าง</v>
      </c>
      <c r="W74" s="49" cm="1">
        <f t="array" ref="W74">_xlfn.IFS(COUNTIF(F74,"ผบ.หมู่*"),51,COUNTIF(F74,"รอง สว.*"),43)</f>
        <v>51</v>
      </c>
      <c r="X74" s="6" t="s">
        <v>213</v>
      </c>
      <c r="Y74" s="6" t="s">
        <v>27</v>
      </c>
    </row>
    <row r="75" spans="1:25" s="12" customFormat="1" ht="21.3" customHeight="1">
      <c r="A75" s="68"/>
      <c r="B75" s="30"/>
      <c r="C75" s="30" t="s">
        <v>18</v>
      </c>
      <c r="D75" s="27"/>
      <c r="E75" s="27"/>
      <c r="F75" s="68" t="s">
        <v>171</v>
      </c>
      <c r="G75" s="121" t="s">
        <v>216</v>
      </c>
      <c r="H75" s="143" t="s">
        <v>19</v>
      </c>
      <c r="I75" s="200" t="s">
        <v>19</v>
      </c>
      <c r="J75" s="200" t="s">
        <v>19</v>
      </c>
      <c r="K75" s="74" t="s">
        <v>19</v>
      </c>
      <c r="L75" s="202"/>
      <c r="M75" s="6"/>
      <c r="N75" s="113" t="s">
        <v>14</v>
      </c>
      <c r="O75" s="122" t="s">
        <v>27</v>
      </c>
      <c r="P75" s="122"/>
      <c r="Q75" s="106"/>
      <c r="R75" s="149"/>
      <c r="S75" s="225" t="str">
        <f t="shared" si="1"/>
        <v/>
      </c>
      <c r="T75" s="162" t="s">
        <v>7683</v>
      </c>
      <c r="U75" s="162" t="s">
        <v>20</v>
      </c>
      <c r="V75" s="161" t="str" cm="1">
        <f t="array" ref="V75">_xlfn.IFS(C75="","",COUNTIF(C75,"ตำแหน่งว่าง*"),"ว่าง",COUNTIF(C75,"&lt;&gt;ตำแหน่งว่าง*"),"คนครอง")</f>
        <v>ว่าง</v>
      </c>
      <c r="W75" s="49" cm="1">
        <f t="array" ref="W75">_xlfn.IFS(COUNTIF(F75,"ผบ.หมู่*"),51,COUNTIF(F75,"รอง สว.*"),43)</f>
        <v>51</v>
      </c>
      <c r="X75" s="6" t="s">
        <v>215</v>
      </c>
      <c r="Y75" s="6" t="s">
        <v>27</v>
      </c>
    </row>
    <row r="76" spans="1:25" s="10" customFormat="1" ht="21.3" customHeight="1">
      <c r="A76" s="27"/>
      <c r="B76" s="30"/>
      <c r="C76" s="30" t="s">
        <v>18</v>
      </c>
      <c r="D76" s="27"/>
      <c r="E76" s="27"/>
      <c r="F76" s="68" t="s">
        <v>171</v>
      </c>
      <c r="G76" s="121" t="s">
        <v>218</v>
      </c>
      <c r="H76" s="87" t="s">
        <v>19</v>
      </c>
      <c r="I76" s="72" t="s">
        <v>19</v>
      </c>
      <c r="J76" s="72" t="s">
        <v>19</v>
      </c>
      <c r="K76" s="73" t="s">
        <v>19</v>
      </c>
      <c r="L76" s="47"/>
      <c r="M76" s="1"/>
      <c r="N76" s="113" t="s">
        <v>14</v>
      </c>
      <c r="O76" s="122" t="s">
        <v>27</v>
      </c>
      <c r="P76" s="122"/>
      <c r="Q76" s="106"/>
      <c r="R76" s="149"/>
      <c r="S76" s="225" t="str">
        <f t="shared" si="1"/>
        <v/>
      </c>
      <c r="T76" s="7" t="s">
        <v>7683</v>
      </c>
      <c r="U76" s="162" t="s">
        <v>20</v>
      </c>
      <c r="V76" s="161" t="str" cm="1">
        <f t="array" ref="V76">_xlfn.IFS(C76="","",COUNTIF(C76,"ตำแหน่งว่าง*"),"ว่าง",COUNTIF(C76,"&lt;&gt;ตำแหน่งว่าง*"),"คนครอง")</f>
        <v>ว่าง</v>
      </c>
      <c r="W76" s="49" cm="1">
        <f t="array" ref="W76">_xlfn.IFS(COUNTIF(F76,"ผบ.หมู่*"),51,COUNTIF(F76,"รอง สว.*"),43)</f>
        <v>51</v>
      </c>
      <c r="X76" s="6" t="s">
        <v>217</v>
      </c>
      <c r="Y76" s="6" t="s">
        <v>27</v>
      </c>
    </row>
    <row r="77" spans="1:25" s="10" customFormat="1" ht="21.3" customHeight="1">
      <c r="A77" s="27"/>
      <c r="B77" s="30"/>
      <c r="C77" s="30" t="s">
        <v>18</v>
      </c>
      <c r="D77" s="27"/>
      <c r="E77" s="27"/>
      <c r="F77" s="68" t="s">
        <v>171</v>
      </c>
      <c r="G77" s="121" t="s">
        <v>220</v>
      </c>
      <c r="H77" s="87" t="s">
        <v>19</v>
      </c>
      <c r="I77" s="72" t="s">
        <v>19</v>
      </c>
      <c r="J77" s="72" t="s">
        <v>19</v>
      </c>
      <c r="K77" s="73" t="s">
        <v>19</v>
      </c>
      <c r="L77" s="47"/>
      <c r="M77" s="1"/>
      <c r="N77" s="113" t="s">
        <v>14</v>
      </c>
      <c r="O77" s="122" t="s">
        <v>27</v>
      </c>
      <c r="P77" s="122"/>
      <c r="Q77" s="106"/>
      <c r="R77" s="149"/>
      <c r="S77" s="225" t="str">
        <f t="shared" si="1"/>
        <v/>
      </c>
      <c r="T77" s="7" t="s">
        <v>7683</v>
      </c>
      <c r="U77" s="162" t="s">
        <v>20</v>
      </c>
      <c r="V77" s="161" t="str" cm="1">
        <f t="array" ref="V77">_xlfn.IFS(C77="","",COUNTIF(C77,"ตำแหน่งว่าง*"),"ว่าง",COUNTIF(C77,"&lt;&gt;ตำแหน่งว่าง*"),"คนครอง")</f>
        <v>ว่าง</v>
      </c>
      <c r="W77" s="49" cm="1">
        <f t="array" ref="W77">_xlfn.IFS(COUNTIF(F77,"ผบ.หมู่*"),51,COUNTIF(F77,"รอง สว.*"),43)</f>
        <v>51</v>
      </c>
      <c r="X77" s="6" t="s">
        <v>219</v>
      </c>
      <c r="Y77" s="6" t="s">
        <v>27</v>
      </c>
    </row>
    <row r="78" spans="1:25" s="10" customFormat="1" ht="21.3" customHeight="1">
      <c r="A78" s="27"/>
      <c r="B78" s="28"/>
      <c r="C78" s="30" t="s">
        <v>18</v>
      </c>
      <c r="D78" s="27"/>
      <c r="E78" s="27"/>
      <c r="F78" s="68" t="s">
        <v>171</v>
      </c>
      <c r="G78" s="121" t="s">
        <v>222</v>
      </c>
      <c r="H78" s="87" t="s">
        <v>19</v>
      </c>
      <c r="I78" s="72" t="s">
        <v>19</v>
      </c>
      <c r="J78" s="72" t="s">
        <v>19</v>
      </c>
      <c r="K78" s="73" t="s">
        <v>19</v>
      </c>
      <c r="L78" s="47"/>
      <c r="M78" s="1"/>
      <c r="N78" s="113" t="s">
        <v>14</v>
      </c>
      <c r="O78" s="122" t="s">
        <v>27</v>
      </c>
      <c r="P78" s="122"/>
      <c r="Q78" s="105"/>
      <c r="R78" s="33"/>
      <c r="S78" s="225" t="str">
        <f t="shared" si="1"/>
        <v/>
      </c>
      <c r="T78" s="7" t="s">
        <v>7683</v>
      </c>
      <c r="U78" s="162" t="s">
        <v>20</v>
      </c>
      <c r="V78" s="161" t="str" cm="1">
        <f t="array" ref="V78">_xlfn.IFS(C78="","",COUNTIF(C78,"ตำแหน่งว่าง*"),"ว่าง",COUNTIF(C78,"&lt;&gt;ตำแหน่งว่าง*"),"คนครอง")</f>
        <v>ว่าง</v>
      </c>
      <c r="W78" s="49" cm="1">
        <f t="array" ref="W78">_xlfn.IFS(COUNTIF(F78,"ผบ.หมู่*"),51,COUNTIF(F78,"รอง สว.*"),43)</f>
        <v>51</v>
      </c>
      <c r="X78" s="6" t="s">
        <v>221</v>
      </c>
      <c r="Y78" s="6" t="s">
        <v>27</v>
      </c>
    </row>
    <row r="79" spans="1:25" s="12" customFormat="1" ht="21.3" customHeight="1">
      <c r="A79" s="27" t="s">
        <v>157</v>
      </c>
      <c r="B79" s="28" t="s">
        <v>21</v>
      </c>
      <c r="C79" s="95" t="s">
        <v>223</v>
      </c>
      <c r="D79" s="27" t="s">
        <v>8223</v>
      </c>
      <c r="E79" s="27" t="s">
        <v>8388</v>
      </c>
      <c r="F79" s="95" t="s">
        <v>171</v>
      </c>
      <c r="G79" s="101" t="s">
        <v>225</v>
      </c>
      <c r="H79" s="87">
        <v>40084</v>
      </c>
      <c r="I79" s="72">
        <v>40084</v>
      </c>
      <c r="J79" s="72">
        <v>40084</v>
      </c>
      <c r="K79" s="73">
        <v>30908</v>
      </c>
      <c r="L79" s="47" t="s">
        <v>68</v>
      </c>
      <c r="M79" s="1" t="s">
        <v>35</v>
      </c>
      <c r="N79" s="111" t="s">
        <v>14</v>
      </c>
      <c r="O79" s="104" t="s">
        <v>27</v>
      </c>
      <c r="P79" s="104"/>
      <c r="Q79" s="105"/>
      <c r="R79" s="33" t="s">
        <v>226</v>
      </c>
      <c r="S79" s="225">
        <f t="shared" si="1"/>
        <v>52871</v>
      </c>
      <c r="T79" s="162" t="s">
        <v>7683</v>
      </c>
      <c r="U79" s="162" t="s">
        <v>20</v>
      </c>
      <c r="V79" s="161" t="str" cm="1">
        <f t="array" ref="V79">_xlfn.IFS(C79="","",COUNTIF(C79,"ตำแหน่งว่าง*"),"ว่าง",COUNTIF(C79,"&lt;&gt;ตำแหน่งว่าง*"),"คนครอง")</f>
        <v>คนครอง</v>
      </c>
      <c r="W79" s="49" cm="1">
        <f t="array" ref="W79">_xlfn.IFS(COUNTIF(F79,"ผบ.หมู่*"),51,COUNTIF(F79,"รอง สว.*"),43)</f>
        <v>51</v>
      </c>
      <c r="X79" s="5" t="s">
        <v>224</v>
      </c>
      <c r="Y79" s="5" t="s">
        <v>27</v>
      </c>
    </row>
    <row r="80" spans="1:25" s="10" customFormat="1" ht="21.3" customHeight="1">
      <c r="A80" s="27"/>
      <c r="B80" s="28"/>
      <c r="C80" s="30" t="s">
        <v>18</v>
      </c>
      <c r="D80" s="27"/>
      <c r="E80" s="27"/>
      <c r="F80" s="68" t="s">
        <v>171</v>
      </c>
      <c r="G80" s="121" t="s">
        <v>228</v>
      </c>
      <c r="H80" s="87" t="s">
        <v>19</v>
      </c>
      <c r="I80" s="72" t="s">
        <v>19</v>
      </c>
      <c r="J80" s="72" t="s">
        <v>19</v>
      </c>
      <c r="K80" s="73" t="s">
        <v>19</v>
      </c>
      <c r="L80" s="47"/>
      <c r="M80" s="1"/>
      <c r="N80" s="113" t="s">
        <v>14</v>
      </c>
      <c r="O80" s="122" t="s">
        <v>27</v>
      </c>
      <c r="P80" s="122"/>
      <c r="Q80" s="105"/>
      <c r="R80" s="33"/>
      <c r="S80" s="225" t="str">
        <f t="shared" si="1"/>
        <v/>
      </c>
      <c r="T80" s="7" t="s">
        <v>7683</v>
      </c>
      <c r="U80" s="162" t="s">
        <v>20</v>
      </c>
      <c r="V80" s="161" t="str" cm="1">
        <f t="array" ref="V80">_xlfn.IFS(C80="","",COUNTIF(C80,"ตำแหน่งว่าง*"),"ว่าง",COUNTIF(C80,"&lt;&gt;ตำแหน่งว่าง*"),"คนครอง")</f>
        <v>ว่าง</v>
      </c>
      <c r="W80" s="49" cm="1">
        <f t="array" ref="W80">_xlfn.IFS(COUNTIF(F80,"ผบ.หมู่*"),51,COUNTIF(F80,"รอง สว.*"),43)</f>
        <v>51</v>
      </c>
      <c r="X80" s="6" t="s">
        <v>227</v>
      </c>
      <c r="Y80" s="6" t="s">
        <v>27</v>
      </c>
    </row>
    <row r="81" spans="1:25" s="10" customFormat="1" ht="21.3" customHeight="1">
      <c r="A81" s="27"/>
      <c r="B81" s="28"/>
      <c r="C81" s="30" t="s">
        <v>18</v>
      </c>
      <c r="D81" s="27"/>
      <c r="E81" s="27"/>
      <c r="F81" s="68" t="s">
        <v>171</v>
      </c>
      <c r="G81" s="121" t="s">
        <v>230</v>
      </c>
      <c r="H81" s="87" t="s">
        <v>19</v>
      </c>
      <c r="I81" s="72" t="s">
        <v>19</v>
      </c>
      <c r="J81" s="72" t="s">
        <v>19</v>
      </c>
      <c r="K81" s="73" t="s">
        <v>19</v>
      </c>
      <c r="L81" s="47"/>
      <c r="M81" s="1"/>
      <c r="N81" s="113" t="s">
        <v>14</v>
      </c>
      <c r="O81" s="122" t="s">
        <v>27</v>
      </c>
      <c r="P81" s="122"/>
      <c r="Q81" s="105"/>
      <c r="R81" s="33"/>
      <c r="S81" s="225" t="str">
        <f t="shared" si="1"/>
        <v/>
      </c>
      <c r="T81" s="7" t="s">
        <v>7683</v>
      </c>
      <c r="U81" s="162" t="s">
        <v>20</v>
      </c>
      <c r="V81" s="161" t="str" cm="1">
        <f t="array" ref="V81">_xlfn.IFS(C81="","",COUNTIF(C81,"ตำแหน่งว่าง*"),"ว่าง",COUNTIF(C81,"&lt;&gt;ตำแหน่งว่าง*"),"คนครอง")</f>
        <v>ว่าง</v>
      </c>
      <c r="W81" s="49" cm="1">
        <f t="array" ref="W81">_xlfn.IFS(COUNTIF(F81,"ผบ.หมู่*"),51,COUNTIF(F81,"รอง สว.*"),43)</f>
        <v>51</v>
      </c>
      <c r="X81" s="6" t="s">
        <v>229</v>
      </c>
      <c r="Y81" s="6" t="s">
        <v>27</v>
      </c>
    </row>
    <row r="82" spans="1:25" s="10" customFormat="1" ht="21.3" customHeight="1">
      <c r="A82" s="27"/>
      <c r="B82" s="30"/>
      <c r="C82" s="30" t="s">
        <v>18</v>
      </c>
      <c r="D82" s="27"/>
      <c r="E82" s="27"/>
      <c r="F82" s="68" t="s">
        <v>171</v>
      </c>
      <c r="G82" s="121" t="s">
        <v>232</v>
      </c>
      <c r="H82" s="87" t="s">
        <v>19</v>
      </c>
      <c r="I82" s="72" t="s">
        <v>19</v>
      </c>
      <c r="J82" s="72" t="s">
        <v>19</v>
      </c>
      <c r="K82" s="73" t="s">
        <v>19</v>
      </c>
      <c r="L82" s="47"/>
      <c r="M82" s="1"/>
      <c r="N82" s="113" t="s">
        <v>14</v>
      </c>
      <c r="O82" s="122" t="s">
        <v>27</v>
      </c>
      <c r="P82" s="122"/>
      <c r="Q82" s="106"/>
      <c r="R82" s="149"/>
      <c r="S82" s="225" t="str">
        <f t="shared" si="1"/>
        <v/>
      </c>
      <c r="T82" s="7" t="s">
        <v>7683</v>
      </c>
      <c r="U82" s="162" t="s">
        <v>20</v>
      </c>
      <c r="V82" s="161" t="str" cm="1">
        <f t="array" ref="V82">_xlfn.IFS(C82="","",COUNTIF(C82,"ตำแหน่งว่าง*"),"ว่าง",COUNTIF(C82,"&lt;&gt;ตำแหน่งว่าง*"),"คนครอง")</f>
        <v>ว่าง</v>
      </c>
      <c r="W82" s="49" cm="1">
        <f t="array" ref="W82">_xlfn.IFS(COUNTIF(F82,"ผบ.หมู่*"),51,COUNTIF(F82,"รอง สว.*"),43)</f>
        <v>51</v>
      </c>
      <c r="X82" s="6" t="s">
        <v>231</v>
      </c>
      <c r="Y82" s="6" t="s">
        <v>27</v>
      </c>
    </row>
    <row r="83" spans="1:25" s="10" customFormat="1" ht="21.3" customHeight="1">
      <c r="A83" s="27"/>
      <c r="B83" s="28"/>
      <c r="C83" s="30" t="s">
        <v>18</v>
      </c>
      <c r="D83" s="27"/>
      <c r="E83" s="27"/>
      <c r="F83" s="68" t="s">
        <v>171</v>
      </c>
      <c r="G83" s="121" t="s">
        <v>234</v>
      </c>
      <c r="H83" s="87" t="s">
        <v>19</v>
      </c>
      <c r="I83" s="72" t="s">
        <v>19</v>
      </c>
      <c r="J83" s="72" t="s">
        <v>19</v>
      </c>
      <c r="K83" s="73" t="s">
        <v>19</v>
      </c>
      <c r="L83" s="47"/>
      <c r="M83" s="1"/>
      <c r="N83" s="113" t="s">
        <v>14</v>
      </c>
      <c r="O83" s="122" t="s">
        <v>27</v>
      </c>
      <c r="P83" s="122"/>
      <c r="Q83" s="105"/>
      <c r="R83" s="33"/>
      <c r="S83" s="225" t="str">
        <f t="shared" si="1"/>
        <v/>
      </c>
      <c r="T83" s="7" t="s">
        <v>7683</v>
      </c>
      <c r="U83" s="162" t="s">
        <v>20</v>
      </c>
      <c r="V83" s="161" t="str" cm="1">
        <f t="array" ref="V83">_xlfn.IFS(C83="","",COUNTIF(C83,"ตำแหน่งว่าง*"),"ว่าง",COUNTIF(C83,"&lt;&gt;ตำแหน่งว่าง*"),"คนครอง")</f>
        <v>ว่าง</v>
      </c>
      <c r="W83" s="49" cm="1">
        <f t="array" ref="W83">_xlfn.IFS(COUNTIF(F83,"ผบ.หมู่*"),51,COUNTIF(F83,"รอง สว.*"),43)</f>
        <v>51</v>
      </c>
      <c r="X83" s="6" t="s">
        <v>233</v>
      </c>
      <c r="Y83" s="6" t="s">
        <v>27</v>
      </c>
    </row>
    <row r="84" spans="1:25" s="10" customFormat="1" ht="21.3" customHeight="1">
      <c r="A84" s="27"/>
      <c r="B84" s="28"/>
      <c r="C84" s="30" t="s">
        <v>18</v>
      </c>
      <c r="D84" s="27"/>
      <c r="E84" s="27"/>
      <c r="F84" s="68" t="s">
        <v>171</v>
      </c>
      <c r="G84" s="121" t="s">
        <v>236</v>
      </c>
      <c r="H84" s="87" t="s">
        <v>19</v>
      </c>
      <c r="I84" s="72" t="s">
        <v>19</v>
      </c>
      <c r="J84" s="72" t="s">
        <v>19</v>
      </c>
      <c r="K84" s="73" t="s">
        <v>19</v>
      </c>
      <c r="L84" s="47"/>
      <c r="M84" s="1"/>
      <c r="N84" s="113" t="s">
        <v>14</v>
      </c>
      <c r="O84" s="122" t="s">
        <v>27</v>
      </c>
      <c r="P84" s="122"/>
      <c r="Q84" s="105"/>
      <c r="R84" s="33"/>
      <c r="S84" s="225" t="str">
        <f t="shared" si="1"/>
        <v/>
      </c>
      <c r="T84" s="7" t="s">
        <v>7683</v>
      </c>
      <c r="U84" s="162" t="s">
        <v>20</v>
      </c>
      <c r="V84" s="161" t="str" cm="1">
        <f t="array" ref="V84">_xlfn.IFS(C84="","",COUNTIF(C84,"ตำแหน่งว่าง*"),"ว่าง",COUNTIF(C84,"&lt;&gt;ตำแหน่งว่าง*"),"คนครอง")</f>
        <v>ว่าง</v>
      </c>
      <c r="W84" s="49" cm="1">
        <f t="array" ref="W84">_xlfn.IFS(COUNTIF(F84,"ผบ.หมู่*"),51,COUNTIF(F84,"รอง สว.*"),43)</f>
        <v>51</v>
      </c>
      <c r="X84" s="6" t="s">
        <v>235</v>
      </c>
      <c r="Y84" s="6" t="s">
        <v>27</v>
      </c>
    </row>
    <row r="85" spans="1:25" s="10" customFormat="1" ht="21.3" customHeight="1">
      <c r="A85" s="27"/>
      <c r="B85" s="28"/>
      <c r="C85" s="30" t="s">
        <v>18</v>
      </c>
      <c r="D85" s="27"/>
      <c r="E85" s="27"/>
      <c r="F85" s="68" t="s">
        <v>171</v>
      </c>
      <c r="G85" s="121" t="s">
        <v>238</v>
      </c>
      <c r="H85" s="87" t="s">
        <v>19</v>
      </c>
      <c r="I85" s="72" t="s">
        <v>19</v>
      </c>
      <c r="J85" s="72" t="s">
        <v>19</v>
      </c>
      <c r="K85" s="73" t="s">
        <v>19</v>
      </c>
      <c r="L85" s="47"/>
      <c r="M85" s="1"/>
      <c r="N85" s="113" t="s">
        <v>14</v>
      </c>
      <c r="O85" s="122" t="s">
        <v>27</v>
      </c>
      <c r="P85" s="122"/>
      <c r="Q85" s="105"/>
      <c r="R85" s="33"/>
      <c r="S85" s="225" t="str">
        <f t="shared" si="1"/>
        <v/>
      </c>
      <c r="T85" s="7" t="s">
        <v>7683</v>
      </c>
      <c r="U85" s="162" t="s">
        <v>20</v>
      </c>
      <c r="V85" s="161" t="str" cm="1">
        <f t="array" ref="V85">_xlfn.IFS(C85="","",COUNTIF(C85,"ตำแหน่งว่าง*"),"ว่าง",COUNTIF(C85,"&lt;&gt;ตำแหน่งว่าง*"),"คนครอง")</f>
        <v>ว่าง</v>
      </c>
      <c r="W85" s="49" cm="1">
        <f t="array" ref="W85">_xlfn.IFS(COUNTIF(F85,"ผบ.หมู่*"),51,COUNTIF(F85,"รอง สว.*"),43)</f>
        <v>51</v>
      </c>
      <c r="X85" s="6" t="s">
        <v>237</v>
      </c>
      <c r="Y85" s="6" t="s">
        <v>27</v>
      </c>
    </row>
    <row r="86" spans="1:25" s="10" customFormat="1" ht="21.3" customHeight="1">
      <c r="A86" s="27" t="s">
        <v>169</v>
      </c>
      <c r="B86" s="28" t="s">
        <v>12</v>
      </c>
      <c r="C86" s="27" t="s">
        <v>239</v>
      </c>
      <c r="D86" s="27" t="s">
        <v>8389</v>
      </c>
      <c r="E86" s="27" t="s">
        <v>8390</v>
      </c>
      <c r="F86" s="27" t="s">
        <v>240</v>
      </c>
      <c r="G86" s="101" t="s">
        <v>242</v>
      </c>
      <c r="H86" s="87">
        <v>45092</v>
      </c>
      <c r="I86" s="72">
        <v>45092</v>
      </c>
      <c r="J86" s="72">
        <v>45092</v>
      </c>
      <c r="K86" s="73">
        <v>35798</v>
      </c>
      <c r="L86" s="47" t="s">
        <v>82</v>
      </c>
      <c r="M86" s="1" t="s">
        <v>39</v>
      </c>
      <c r="N86" s="112" t="s">
        <v>14</v>
      </c>
      <c r="O86" s="104" t="s">
        <v>27</v>
      </c>
      <c r="P86" s="104"/>
      <c r="Q86" s="105"/>
      <c r="R86" s="33" t="s">
        <v>174</v>
      </c>
      <c r="S86" s="225">
        <f t="shared" si="1"/>
        <v>57984</v>
      </c>
      <c r="T86" s="7" t="s">
        <v>7684</v>
      </c>
      <c r="U86" s="162" t="s">
        <v>20</v>
      </c>
      <c r="V86" s="161" t="str" cm="1">
        <f t="array" ref="V86">_xlfn.IFS(C86="","",COUNTIF(C86,"ตำแหน่งว่าง*"),"ว่าง",COUNTIF(C86,"&lt;&gt;ตำแหน่งว่าง*"),"คนครอง")</f>
        <v>คนครอง</v>
      </c>
      <c r="W86" s="49" cm="1">
        <f t="array" ref="W86">_xlfn.IFS(COUNTIF(F86,"ผบ.หมู่*"),51,COUNTIF(F86,"รอง สว.*"),43)</f>
        <v>51</v>
      </c>
      <c r="X86" s="1" t="s">
        <v>241</v>
      </c>
      <c r="Y86" s="1" t="s">
        <v>27</v>
      </c>
    </row>
    <row r="87" spans="1:25" s="10" customFormat="1" ht="21.3" customHeight="1">
      <c r="A87" s="27" t="s">
        <v>169</v>
      </c>
      <c r="B87" s="28" t="s">
        <v>21</v>
      </c>
      <c r="C87" s="27" t="s">
        <v>243</v>
      </c>
      <c r="D87" s="27" t="s">
        <v>8391</v>
      </c>
      <c r="E87" s="27" t="s">
        <v>8392</v>
      </c>
      <c r="F87" s="27" t="s">
        <v>240</v>
      </c>
      <c r="G87" s="101" t="s">
        <v>245</v>
      </c>
      <c r="H87" s="87">
        <v>45092</v>
      </c>
      <c r="I87" s="72">
        <v>45092</v>
      </c>
      <c r="J87" s="72">
        <v>45092</v>
      </c>
      <c r="K87" s="73">
        <v>36771</v>
      </c>
      <c r="L87" s="47" t="s">
        <v>82</v>
      </c>
      <c r="M87" s="1" t="s">
        <v>13</v>
      </c>
      <c r="N87" s="112" t="s">
        <v>14</v>
      </c>
      <c r="O87" s="104" t="s">
        <v>27</v>
      </c>
      <c r="P87" s="104"/>
      <c r="Q87" s="105"/>
      <c r="R87" s="33" t="s">
        <v>174</v>
      </c>
      <c r="S87" s="225">
        <f t="shared" si="1"/>
        <v>58715</v>
      </c>
      <c r="T87" s="7" t="s">
        <v>7684</v>
      </c>
      <c r="U87" s="162" t="s">
        <v>20</v>
      </c>
      <c r="V87" s="161" t="str" cm="1">
        <f t="array" ref="V87">_xlfn.IFS(C87="","",COUNTIF(C87,"ตำแหน่งว่าง*"),"ว่าง",COUNTIF(C87,"&lt;&gt;ตำแหน่งว่าง*"),"คนครอง")</f>
        <v>คนครอง</v>
      </c>
      <c r="W87" s="49" cm="1">
        <f t="array" ref="W87">_xlfn.IFS(COUNTIF(F87,"ผบ.หมู่*"),51,COUNTIF(F87,"รอง สว.*"),43)</f>
        <v>51</v>
      </c>
      <c r="X87" s="1" t="s">
        <v>244</v>
      </c>
      <c r="Y87" s="1" t="s">
        <v>27</v>
      </c>
    </row>
    <row r="88" spans="1:25" s="12" customFormat="1" ht="21.3" customHeight="1">
      <c r="A88" s="27" t="s">
        <v>169</v>
      </c>
      <c r="B88" s="28" t="s">
        <v>21</v>
      </c>
      <c r="C88" s="27" t="s">
        <v>246</v>
      </c>
      <c r="D88" s="27" t="s">
        <v>8393</v>
      </c>
      <c r="E88" s="27" t="s">
        <v>8394</v>
      </c>
      <c r="F88" s="27" t="s">
        <v>240</v>
      </c>
      <c r="G88" s="104" t="s">
        <v>248</v>
      </c>
      <c r="H88" s="75">
        <v>45092</v>
      </c>
      <c r="I88" s="73">
        <v>45092</v>
      </c>
      <c r="J88" s="73">
        <v>45092</v>
      </c>
      <c r="K88" s="73">
        <v>36993</v>
      </c>
      <c r="L88" s="11" t="s">
        <v>82</v>
      </c>
      <c r="M88" s="1" t="s">
        <v>126</v>
      </c>
      <c r="N88" s="104" t="s">
        <v>14</v>
      </c>
      <c r="O88" s="104" t="s">
        <v>27</v>
      </c>
      <c r="P88" s="104"/>
      <c r="Q88" s="26"/>
      <c r="R88" s="28" t="s">
        <v>7682</v>
      </c>
      <c r="S88" s="225">
        <f t="shared" si="1"/>
        <v>59080</v>
      </c>
      <c r="T88" s="162" t="s">
        <v>7684</v>
      </c>
      <c r="U88" s="162" t="s">
        <v>20</v>
      </c>
      <c r="V88" s="161" t="str" cm="1">
        <f t="array" ref="V88">_xlfn.IFS(C88="","",COUNTIF(C88,"ตำแหน่งว่าง*"),"ว่าง",COUNTIF(C88,"&lt;&gt;ตำแหน่งว่าง*"),"คนครอง")</f>
        <v>คนครอง</v>
      </c>
      <c r="W88" s="49" cm="1">
        <f t="array" ref="W88">_xlfn.IFS(COUNTIF(F88,"ผบ.หมู่*"),51,COUNTIF(F88,"รอง สว.*"),43)</f>
        <v>51</v>
      </c>
      <c r="X88" s="1" t="s">
        <v>247</v>
      </c>
      <c r="Y88" s="1" t="s">
        <v>27</v>
      </c>
    </row>
    <row r="89" spans="1:25" s="10" customFormat="1" ht="21.3" customHeight="1">
      <c r="A89" s="132"/>
      <c r="B89" s="28"/>
      <c r="C89" s="30" t="s">
        <v>18</v>
      </c>
      <c r="D89" s="27"/>
      <c r="E89" s="27"/>
      <c r="F89" s="68" t="s">
        <v>240</v>
      </c>
      <c r="G89" s="121" t="s">
        <v>250</v>
      </c>
      <c r="H89" s="87" t="s">
        <v>19</v>
      </c>
      <c r="I89" s="72" t="s">
        <v>19</v>
      </c>
      <c r="J89" s="72" t="s">
        <v>19</v>
      </c>
      <c r="K89" s="73" t="s">
        <v>19</v>
      </c>
      <c r="L89" s="47"/>
      <c r="M89" s="1"/>
      <c r="N89" s="113" t="s">
        <v>14</v>
      </c>
      <c r="O89" s="122" t="s">
        <v>27</v>
      </c>
      <c r="P89" s="122"/>
      <c r="Q89" s="105"/>
      <c r="R89" s="33"/>
      <c r="S89" s="225" t="str">
        <f t="shared" si="1"/>
        <v/>
      </c>
      <c r="T89" s="7" t="s">
        <v>7684</v>
      </c>
      <c r="U89" s="162" t="s">
        <v>20</v>
      </c>
      <c r="V89" s="161" t="str" cm="1">
        <f t="array" ref="V89">_xlfn.IFS(C89="","",COUNTIF(C89,"ตำแหน่งว่าง*"),"ว่าง",COUNTIF(C89,"&lt;&gt;ตำแหน่งว่าง*"),"คนครอง")</f>
        <v>ว่าง</v>
      </c>
      <c r="W89" s="49" cm="1">
        <f t="array" ref="W89">_xlfn.IFS(COUNTIF(F89,"ผบ.หมู่*"),51,COUNTIF(F89,"รอง สว.*"),43)</f>
        <v>51</v>
      </c>
      <c r="X89" s="6" t="s">
        <v>249</v>
      </c>
      <c r="Y89" s="6" t="s">
        <v>27</v>
      </c>
    </row>
    <row r="90" spans="1:25" s="10" customFormat="1" ht="21.3" customHeight="1">
      <c r="A90" s="27"/>
      <c r="B90" s="30"/>
      <c r="C90" s="30" t="s">
        <v>18</v>
      </c>
      <c r="D90" s="27"/>
      <c r="E90" s="27"/>
      <c r="F90" s="68" t="s">
        <v>240</v>
      </c>
      <c r="G90" s="121" t="s">
        <v>252</v>
      </c>
      <c r="H90" s="87" t="s">
        <v>19</v>
      </c>
      <c r="I90" s="72" t="s">
        <v>19</v>
      </c>
      <c r="J90" s="72" t="s">
        <v>19</v>
      </c>
      <c r="K90" s="73" t="s">
        <v>19</v>
      </c>
      <c r="L90" s="47"/>
      <c r="M90" s="1"/>
      <c r="N90" s="113" t="s">
        <v>14</v>
      </c>
      <c r="O90" s="122" t="s">
        <v>27</v>
      </c>
      <c r="P90" s="122"/>
      <c r="Q90" s="106"/>
      <c r="R90" s="149"/>
      <c r="S90" s="225" t="str">
        <f t="shared" si="1"/>
        <v/>
      </c>
      <c r="T90" s="7" t="s">
        <v>7684</v>
      </c>
      <c r="U90" s="162" t="s">
        <v>20</v>
      </c>
      <c r="V90" s="161" t="str" cm="1">
        <f t="array" ref="V90">_xlfn.IFS(C90="","",COUNTIF(C90,"ตำแหน่งว่าง*"),"ว่าง",COUNTIF(C90,"&lt;&gt;ตำแหน่งว่าง*"),"คนครอง")</f>
        <v>ว่าง</v>
      </c>
      <c r="W90" s="49" cm="1">
        <f t="array" ref="W90">_xlfn.IFS(COUNTIF(F90,"ผบ.หมู่*"),51,COUNTIF(F90,"รอง สว.*"),43)</f>
        <v>51</v>
      </c>
      <c r="X90" s="6" t="s">
        <v>251</v>
      </c>
      <c r="Y90" s="6" t="s">
        <v>27</v>
      </c>
    </row>
    <row r="91" spans="1:25" s="10" customFormat="1" ht="21.3" customHeight="1">
      <c r="A91" s="27"/>
      <c r="B91" s="30"/>
      <c r="C91" s="30" t="s">
        <v>18</v>
      </c>
      <c r="D91" s="27"/>
      <c r="E91" s="27"/>
      <c r="F91" s="68" t="s">
        <v>240</v>
      </c>
      <c r="G91" s="121" t="s">
        <v>254</v>
      </c>
      <c r="H91" s="87" t="s">
        <v>19</v>
      </c>
      <c r="I91" s="72" t="s">
        <v>19</v>
      </c>
      <c r="J91" s="72" t="s">
        <v>19</v>
      </c>
      <c r="K91" s="73" t="s">
        <v>19</v>
      </c>
      <c r="L91" s="47"/>
      <c r="M91" s="1"/>
      <c r="N91" s="113" t="s">
        <v>14</v>
      </c>
      <c r="O91" s="122" t="s">
        <v>27</v>
      </c>
      <c r="P91" s="122"/>
      <c r="Q91" s="106"/>
      <c r="R91" s="149"/>
      <c r="S91" s="225" t="str">
        <f t="shared" si="1"/>
        <v/>
      </c>
      <c r="T91" s="7" t="s">
        <v>7684</v>
      </c>
      <c r="U91" s="162" t="s">
        <v>20</v>
      </c>
      <c r="V91" s="161" t="str" cm="1">
        <f t="array" ref="V91">_xlfn.IFS(C91="","",COUNTIF(C91,"ตำแหน่งว่าง*"),"ว่าง",COUNTIF(C91,"&lt;&gt;ตำแหน่งว่าง*"),"คนครอง")</f>
        <v>ว่าง</v>
      </c>
      <c r="W91" s="49" cm="1">
        <f t="array" ref="W91">_xlfn.IFS(COUNTIF(F91,"ผบ.หมู่*"),51,COUNTIF(F91,"รอง สว.*"),43)</f>
        <v>51</v>
      </c>
      <c r="X91" s="6" t="s">
        <v>253</v>
      </c>
      <c r="Y91" s="6" t="s">
        <v>27</v>
      </c>
    </row>
    <row r="92" spans="1:25" s="10" customFormat="1" ht="21.3" customHeight="1">
      <c r="A92" s="27"/>
      <c r="B92" s="28"/>
      <c r="C92" s="30" t="s">
        <v>18</v>
      </c>
      <c r="D92" s="27"/>
      <c r="E92" s="27"/>
      <c r="F92" s="68" t="s">
        <v>240</v>
      </c>
      <c r="G92" s="121" t="s">
        <v>256</v>
      </c>
      <c r="H92" s="87" t="s">
        <v>19</v>
      </c>
      <c r="I92" s="72" t="s">
        <v>19</v>
      </c>
      <c r="J92" s="72" t="s">
        <v>19</v>
      </c>
      <c r="K92" s="73" t="s">
        <v>19</v>
      </c>
      <c r="L92" s="47"/>
      <c r="M92" s="1"/>
      <c r="N92" s="113" t="s">
        <v>14</v>
      </c>
      <c r="O92" s="122" t="s">
        <v>27</v>
      </c>
      <c r="P92" s="122"/>
      <c r="Q92" s="105"/>
      <c r="R92" s="33"/>
      <c r="S92" s="225" t="str">
        <f t="shared" si="1"/>
        <v/>
      </c>
      <c r="T92" s="7" t="s">
        <v>7684</v>
      </c>
      <c r="U92" s="162" t="s">
        <v>20</v>
      </c>
      <c r="V92" s="161" t="str" cm="1">
        <f t="array" ref="V92">_xlfn.IFS(C92="","",COUNTIF(C92,"ตำแหน่งว่าง*"),"ว่าง",COUNTIF(C92,"&lt;&gt;ตำแหน่งว่าง*"),"คนครอง")</f>
        <v>ว่าง</v>
      </c>
      <c r="W92" s="49" cm="1">
        <f t="array" ref="W92">_xlfn.IFS(COUNTIF(F92,"ผบ.หมู่*"),51,COUNTIF(F92,"รอง สว.*"),43)</f>
        <v>51</v>
      </c>
      <c r="X92" s="6" t="s">
        <v>255</v>
      </c>
      <c r="Y92" s="6" t="s">
        <v>27</v>
      </c>
    </row>
    <row r="93" spans="1:25" s="12" customFormat="1" ht="21.3" customHeight="1">
      <c r="A93" s="27" t="s">
        <v>30</v>
      </c>
      <c r="B93" s="28" t="s">
        <v>21</v>
      </c>
      <c r="C93" s="95" t="s">
        <v>257</v>
      </c>
      <c r="D93" s="27" t="s">
        <v>8348</v>
      </c>
      <c r="E93" s="27" t="s">
        <v>8395</v>
      </c>
      <c r="F93" s="95" t="s">
        <v>258</v>
      </c>
      <c r="G93" s="101" t="s">
        <v>260</v>
      </c>
      <c r="H93" s="87">
        <v>34352</v>
      </c>
      <c r="I93" s="72">
        <v>34352</v>
      </c>
      <c r="J93" s="72">
        <v>34352</v>
      </c>
      <c r="K93" s="73">
        <v>24094</v>
      </c>
      <c r="L93" s="47" t="s">
        <v>261</v>
      </c>
      <c r="M93" s="1" t="s">
        <v>163</v>
      </c>
      <c r="N93" s="111" t="s">
        <v>14</v>
      </c>
      <c r="O93" s="104" t="s">
        <v>27</v>
      </c>
      <c r="P93" s="104"/>
      <c r="Q93" s="105"/>
      <c r="R93" s="33" t="s">
        <v>164</v>
      </c>
      <c r="S93" s="225">
        <f t="shared" si="1"/>
        <v>46296</v>
      </c>
      <c r="T93" s="162" t="s">
        <v>7684</v>
      </c>
      <c r="U93" s="162" t="s">
        <v>20</v>
      </c>
      <c r="V93" s="161" t="str" cm="1">
        <f t="array" ref="V93">_xlfn.IFS(C93="","",COUNTIF(C93,"ตำแหน่งว่าง*"),"ว่าง",COUNTIF(C93,"&lt;&gt;ตำแหน่งว่าง*"),"คนครอง")</f>
        <v>คนครอง</v>
      </c>
      <c r="W93" s="49" cm="1">
        <f t="array" ref="W93">_xlfn.IFS(COUNTIF(F93,"ผบ.หมู่*"),51,COUNTIF(F93,"รอง สว.*"),43)</f>
        <v>43</v>
      </c>
      <c r="X93" s="5" t="s">
        <v>259</v>
      </c>
      <c r="Y93" s="5" t="s">
        <v>27</v>
      </c>
    </row>
    <row r="94" spans="1:25" s="12" customFormat="1" ht="21.3" customHeight="1">
      <c r="A94" s="27"/>
      <c r="B94" s="28"/>
      <c r="C94" s="30" t="s">
        <v>18</v>
      </c>
      <c r="D94" s="27"/>
      <c r="E94" s="27"/>
      <c r="F94" s="95" t="s">
        <v>240</v>
      </c>
      <c r="G94" s="101" t="s">
        <v>263</v>
      </c>
      <c r="H94" s="87"/>
      <c r="I94" s="72"/>
      <c r="J94" s="72"/>
      <c r="K94" s="73"/>
      <c r="L94" s="47"/>
      <c r="M94" s="1"/>
      <c r="N94" s="111" t="s">
        <v>14</v>
      </c>
      <c r="O94" s="104" t="s">
        <v>27</v>
      </c>
      <c r="P94" s="104"/>
      <c r="Q94" s="105"/>
      <c r="R94" s="33"/>
      <c r="S94" s="225" t="str">
        <f t="shared" si="1"/>
        <v/>
      </c>
      <c r="T94" s="162" t="s">
        <v>7684</v>
      </c>
      <c r="U94" s="162" t="s">
        <v>20</v>
      </c>
      <c r="V94" s="161" t="str" cm="1">
        <f t="array" ref="V94">_xlfn.IFS(C94="","",COUNTIF(C94,"ตำแหน่งว่าง*"),"ว่าง",COUNTIF(C94,"&lt;&gt;ตำแหน่งว่าง*"),"คนครอง")</f>
        <v>ว่าง</v>
      </c>
      <c r="W94" s="49" cm="1">
        <f t="array" ref="W94">_xlfn.IFS(COUNTIF(F94,"ผบ.หมู่*"),51,COUNTIF(F94,"รอง สว.*"),43)</f>
        <v>51</v>
      </c>
      <c r="X94" s="5" t="s">
        <v>262</v>
      </c>
      <c r="Y94" s="5" t="s">
        <v>27</v>
      </c>
    </row>
    <row r="95" spans="1:25" s="10" customFormat="1" ht="21.3" customHeight="1">
      <c r="A95" s="27"/>
      <c r="B95" s="28"/>
      <c r="C95" s="30" t="s">
        <v>18</v>
      </c>
      <c r="D95" s="27"/>
      <c r="E95" s="27"/>
      <c r="F95" s="68" t="s">
        <v>240</v>
      </c>
      <c r="G95" s="121" t="s">
        <v>265</v>
      </c>
      <c r="H95" s="87" t="s">
        <v>19</v>
      </c>
      <c r="I95" s="72" t="s">
        <v>19</v>
      </c>
      <c r="J95" s="72" t="s">
        <v>19</v>
      </c>
      <c r="K95" s="73" t="s">
        <v>19</v>
      </c>
      <c r="L95" s="47"/>
      <c r="M95" s="1"/>
      <c r="N95" s="113" t="s">
        <v>14</v>
      </c>
      <c r="O95" s="122" t="s">
        <v>27</v>
      </c>
      <c r="P95" s="122"/>
      <c r="Q95" s="105"/>
      <c r="R95" s="33"/>
      <c r="S95" s="225" t="str">
        <f t="shared" si="1"/>
        <v/>
      </c>
      <c r="T95" s="7" t="s">
        <v>7684</v>
      </c>
      <c r="U95" s="162" t="s">
        <v>20</v>
      </c>
      <c r="V95" s="161" t="str" cm="1">
        <f t="array" ref="V95">_xlfn.IFS(C95="","",COUNTIF(C95,"ตำแหน่งว่าง*"),"ว่าง",COUNTIF(C95,"&lt;&gt;ตำแหน่งว่าง*"),"คนครอง")</f>
        <v>ว่าง</v>
      </c>
      <c r="W95" s="49" cm="1">
        <f t="array" ref="W95">_xlfn.IFS(COUNTIF(F95,"ผบ.หมู่*"),51,COUNTIF(F95,"รอง สว.*"),43)</f>
        <v>51</v>
      </c>
      <c r="X95" s="6" t="s">
        <v>264</v>
      </c>
      <c r="Y95" s="6" t="s">
        <v>27</v>
      </c>
    </row>
    <row r="96" spans="1:25" s="10" customFormat="1" ht="21.3" customHeight="1">
      <c r="A96" s="27"/>
      <c r="B96" s="28"/>
      <c r="C96" s="30" t="s">
        <v>18</v>
      </c>
      <c r="D96" s="27"/>
      <c r="E96" s="27"/>
      <c r="F96" s="68" t="s">
        <v>240</v>
      </c>
      <c r="G96" s="121" t="s">
        <v>267</v>
      </c>
      <c r="H96" s="87" t="s">
        <v>19</v>
      </c>
      <c r="I96" s="72" t="s">
        <v>19</v>
      </c>
      <c r="J96" s="72" t="s">
        <v>19</v>
      </c>
      <c r="K96" s="73" t="s">
        <v>19</v>
      </c>
      <c r="L96" s="47"/>
      <c r="M96" s="1"/>
      <c r="N96" s="113" t="s">
        <v>14</v>
      </c>
      <c r="O96" s="122" t="s">
        <v>27</v>
      </c>
      <c r="P96" s="122"/>
      <c r="Q96" s="105"/>
      <c r="R96" s="33"/>
      <c r="S96" s="225" t="str">
        <f t="shared" si="1"/>
        <v/>
      </c>
      <c r="T96" s="7" t="s">
        <v>7684</v>
      </c>
      <c r="U96" s="162" t="s">
        <v>20</v>
      </c>
      <c r="V96" s="161" t="str" cm="1">
        <f t="array" ref="V96">_xlfn.IFS(C96="","",COUNTIF(C96,"ตำแหน่งว่าง*"),"ว่าง",COUNTIF(C96,"&lt;&gt;ตำแหน่งว่าง*"),"คนครอง")</f>
        <v>ว่าง</v>
      </c>
      <c r="W96" s="49" cm="1">
        <f t="array" ref="W96">_xlfn.IFS(COUNTIF(F96,"ผบ.หมู่*"),51,COUNTIF(F96,"รอง สว.*"),43)</f>
        <v>51</v>
      </c>
      <c r="X96" s="6" t="s">
        <v>266</v>
      </c>
      <c r="Y96" s="6" t="s">
        <v>27</v>
      </c>
    </row>
    <row r="97" spans="1:25" s="10" customFormat="1" ht="21.3" customHeight="1">
      <c r="A97" s="27"/>
      <c r="B97" s="28"/>
      <c r="C97" s="30" t="s">
        <v>18</v>
      </c>
      <c r="D97" s="27"/>
      <c r="E97" s="27"/>
      <c r="F97" s="68" t="s">
        <v>240</v>
      </c>
      <c r="G97" s="121" t="s">
        <v>269</v>
      </c>
      <c r="H97" s="87" t="s">
        <v>19</v>
      </c>
      <c r="I97" s="72" t="s">
        <v>19</v>
      </c>
      <c r="J97" s="72" t="s">
        <v>19</v>
      </c>
      <c r="K97" s="73" t="s">
        <v>19</v>
      </c>
      <c r="L97" s="47"/>
      <c r="M97" s="1"/>
      <c r="N97" s="113" t="s">
        <v>14</v>
      </c>
      <c r="O97" s="122" t="s">
        <v>27</v>
      </c>
      <c r="P97" s="122"/>
      <c r="Q97" s="105"/>
      <c r="R97" s="33"/>
      <c r="S97" s="225" t="str">
        <f t="shared" si="1"/>
        <v/>
      </c>
      <c r="T97" s="7" t="s">
        <v>7684</v>
      </c>
      <c r="U97" s="162" t="s">
        <v>20</v>
      </c>
      <c r="V97" s="161" t="str" cm="1">
        <f t="array" ref="V97">_xlfn.IFS(C97="","",COUNTIF(C97,"ตำแหน่งว่าง*"),"ว่าง",COUNTIF(C97,"&lt;&gt;ตำแหน่งว่าง*"),"คนครอง")</f>
        <v>ว่าง</v>
      </c>
      <c r="W97" s="49" cm="1">
        <f t="array" ref="W97">_xlfn.IFS(COUNTIF(F97,"ผบ.หมู่*"),51,COUNTIF(F97,"รอง สว.*"),43)</f>
        <v>51</v>
      </c>
      <c r="X97" s="6" t="s">
        <v>268</v>
      </c>
      <c r="Y97" s="6" t="s">
        <v>27</v>
      </c>
    </row>
    <row r="98" spans="1:25" s="10" customFormat="1" ht="21.3" customHeight="1">
      <c r="A98" s="27"/>
      <c r="B98" s="28"/>
      <c r="C98" s="30" t="s">
        <v>18</v>
      </c>
      <c r="D98" s="27"/>
      <c r="E98" s="27"/>
      <c r="F98" s="68" t="s">
        <v>240</v>
      </c>
      <c r="G98" s="121" t="s">
        <v>271</v>
      </c>
      <c r="H98" s="87" t="s">
        <v>19</v>
      </c>
      <c r="I98" s="72" t="s">
        <v>19</v>
      </c>
      <c r="J98" s="72" t="s">
        <v>19</v>
      </c>
      <c r="K98" s="73" t="s">
        <v>19</v>
      </c>
      <c r="L98" s="47"/>
      <c r="M98" s="1"/>
      <c r="N98" s="113" t="s">
        <v>14</v>
      </c>
      <c r="O98" s="122" t="s">
        <v>27</v>
      </c>
      <c r="P98" s="122"/>
      <c r="Q98" s="105"/>
      <c r="R98" s="33"/>
      <c r="S98" s="225" t="str">
        <f t="shared" si="1"/>
        <v/>
      </c>
      <c r="T98" s="7" t="s">
        <v>7684</v>
      </c>
      <c r="U98" s="162" t="s">
        <v>20</v>
      </c>
      <c r="V98" s="161" t="str" cm="1">
        <f t="array" ref="V98">_xlfn.IFS(C98="","",COUNTIF(C98,"ตำแหน่งว่าง*"),"ว่าง",COUNTIF(C98,"&lt;&gt;ตำแหน่งว่าง*"),"คนครอง")</f>
        <v>ว่าง</v>
      </c>
      <c r="W98" s="49" cm="1">
        <f t="array" ref="W98">_xlfn.IFS(COUNTIF(F98,"ผบ.หมู่*"),51,COUNTIF(F98,"รอง สว.*"),43)</f>
        <v>51</v>
      </c>
      <c r="X98" s="6" t="s">
        <v>270</v>
      </c>
      <c r="Y98" s="6" t="s">
        <v>27</v>
      </c>
    </row>
    <row r="99" spans="1:25" s="10" customFormat="1" ht="21.3" customHeight="1">
      <c r="A99" s="27"/>
      <c r="B99" s="28"/>
      <c r="C99" s="30" t="s">
        <v>18</v>
      </c>
      <c r="D99" s="27"/>
      <c r="E99" s="27"/>
      <c r="F99" s="68" t="s">
        <v>240</v>
      </c>
      <c r="G99" s="121" t="s">
        <v>273</v>
      </c>
      <c r="H99" s="87" t="s">
        <v>19</v>
      </c>
      <c r="I99" s="72" t="s">
        <v>19</v>
      </c>
      <c r="J99" s="72" t="s">
        <v>19</v>
      </c>
      <c r="K99" s="73" t="s">
        <v>19</v>
      </c>
      <c r="L99" s="47"/>
      <c r="M99" s="1"/>
      <c r="N99" s="113" t="s">
        <v>14</v>
      </c>
      <c r="O99" s="122" t="s">
        <v>27</v>
      </c>
      <c r="P99" s="122"/>
      <c r="Q99" s="105"/>
      <c r="R99" s="33"/>
      <c r="S99" s="225" t="str">
        <f t="shared" si="1"/>
        <v/>
      </c>
      <c r="T99" s="7" t="s">
        <v>7684</v>
      </c>
      <c r="U99" s="162" t="s">
        <v>20</v>
      </c>
      <c r="V99" s="161" t="str" cm="1">
        <f t="array" ref="V99">_xlfn.IFS(C99="","",COUNTIF(C99,"ตำแหน่งว่าง*"),"ว่าง",COUNTIF(C99,"&lt;&gt;ตำแหน่งว่าง*"),"คนครอง")</f>
        <v>ว่าง</v>
      </c>
      <c r="W99" s="49" cm="1">
        <f t="array" ref="W99">_xlfn.IFS(COUNTIF(F99,"ผบ.หมู่*"),51,COUNTIF(F99,"รอง สว.*"),43)</f>
        <v>51</v>
      </c>
      <c r="X99" s="6" t="s">
        <v>272</v>
      </c>
      <c r="Y99" s="6" t="s">
        <v>27</v>
      </c>
    </row>
    <row r="100" spans="1:25" s="10" customFormat="1" ht="21.3" customHeight="1">
      <c r="A100" s="27"/>
      <c r="B100" s="28"/>
      <c r="C100" s="30" t="s">
        <v>18</v>
      </c>
      <c r="D100" s="27"/>
      <c r="E100" s="27"/>
      <c r="F100" s="68" t="s">
        <v>240</v>
      </c>
      <c r="G100" s="121" t="s">
        <v>275</v>
      </c>
      <c r="H100" s="87" t="s">
        <v>19</v>
      </c>
      <c r="I100" s="72" t="s">
        <v>19</v>
      </c>
      <c r="J100" s="72" t="s">
        <v>19</v>
      </c>
      <c r="K100" s="73" t="s">
        <v>19</v>
      </c>
      <c r="L100" s="47"/>
      <c r="M100" s="1"/>
      <c r="N100" s="113" t="s">
        <v>14</v>
      </c>
      <c r="O100" s="122" t="s">
        <v>27</v>
      </c>
      <c r="P100" s="122"/>
      <c r="Q100" s="105"/>
      <c r="R100" s="33"/>
      <c r="S100" s="225" t="str">
        <f t="shared" si="1"/>
        <v/>
      </c>
      <c r="T100" s="7" t="s">
        <v>7684</v>
      </c>
      <c r="U100" s="162" t="s">
        <v>20</v>
      </c>
      <c r="V100" s="161" t="str" cm="1">
        <f t="array" ref="V100">_xlfn.IFS(C100="","",COUNTIF(C100,"ตำแหน่งว่าง*"),"ว่าง",COUNTIF(C100,"&lt;&gt;ตำแหน่งว่าง*"),"คนครอง")</f>
        <v>ว่าง</v>
      </c>
      <c r="W100" s="49" cm="1">
        <f t="array" ref="W100">_xlfn.IFS(COUNTIF(F100,"ผบ.หมู่*"),51,COUNTIF(F100,"รอง สว.*"),43)</f>
        <v>51</v>
      </c>
      <c r="X100" s="6" t="s">
        <v>274</v>
      </c>
      <c r="Y100" s="6" t="s">
        <v>27</v>
      </c>
    </row>
    <row r="101" spans="1:25" s="12" customFormat="1" ht="21.3" customHeight="1">
      <c r="A101" s="27" t="s">
        <v>208</v>
      </c>
      <c r="B101" s="28" t="s">
        <v>21</v>
      </c>
      <c r="C101" s="95" t="s">
        <v>276</v>
      </c>
      <c r="D101" s="27" t="s">
        <v>8396</v>
      </c>
      <c r="E101" s="27" t="s">
        <v>8397</v>
      </c>
      <c r="F101" s="95" t="s">
        <v>277</v>
      </c>
      <c r="G101" s="101" t="s">
        <v>279</v>
      </c>
      <c r="H101" s="87">
        <v>43132</v>
      </c>
      <c r="I101" s="72">
        <v>43132</v>
      </c>
      <c r="J101" s="72">
        <v>43132</v>
      </c>
      <c r="K101" s="73">
        <v>34261</v>
      </c>
      <c r="L101" s="47" t="s">
        <v>82</v>
      </c>
      <c r="M101" s="1" t="s">
        <v>126</v>
      </c>
      <c r="N101" s="111" t="s">
        <v>14</v>
      </c>
      <c r="O101" s="104" t="s">
        <v>27</v>
      </c>
      <c r="P101" s="104"/>
      <c r="Q101" s="105"/>
      <c r="R101" s="33" t="s">
        <v>186</v>
      </c>
      <c r="S101" s="225">
        <f t="shared" si="1"/>
        <v>56523</v>
      </c>
      <c r="T101" s="162" t="s">
        <v>7685</v>
      </c>
      <c r="U101" s="162" t="s">
        <v>20</v>
      </c>
      <c r="V101" s="161" t="str" cm="1">
        <f t="array" ref="V101">_xlfn.IFS(C101="","",COUNTIF(C101,"ตำแหน่งว่าง*"),"ว่าง",COUNTIF(C101,"&lt;&gt;ตำแหน่งว่าง*"),"คนครอง")</f>
        <v>คนครอง</v>
      </c>
      <c r="W101" s="49" cm="1">
        <f t="array" ref="W101">_xlfn.IFS(COUNTIF(F101,"ผบ.หมู่*"),51,COUNTIF(F101,"รอง สว.*"),43)</f>
        <v>51</v>
      </c>
      <c r="X101" s="5" t="s">
        <v>278</v>
      </c>
      <c r="Y101" s="5" t="s">
        <v>27</v>
      </c>
    </row>
    <row r="102" spans="1:25" s="9" customFormat="1" ht="21.3" customHeight="1">
      <c r="A102" s="27"/>
      <c r="B102" s="28"/>
      <c r="C102" s="30" t="s">
        <v>18</v>
      </c>
      <c r="D102" s="27"/>
      <c r="E102" s="27"/>
      <c r="F102" s="68" t="s">
        <v>277</v>
      </c>
      <c r="G102" s="121" t="s">
        <v>281</v>
      </c>
      <c r="H102" s="87" t="s">
        <v>19</v>
      </c>
      <c r="I102" s="73" t="s">
        <v>19</v>
      </c>
      <c r="J102" s="72" t="s">
        <v>19</v>
      </c>
      <c r="K102" s="73" t="s">
        <v>19</v>
      </c>
      <c r="L102" s="11"/>
      <c r="M102" s="1"/>
      <c r="N102" s="112" t="s">
        <v>14</v>
      </c>
      <c r="O102" s="122" t="s">
        <v>27</v>
      </c>
      <c r="P102" s="122"/>
      <c r="Q102" s="105"/>
      <c r="R102" s="33"/>
      <c r="S102" s="225" t="str">
        <f t="shared" si="1"/>
        <v/>
      </c>
      <c r="T102" s="2" t="s">
        <v>7685</v>
      </c>
      <c r="U102" s="162" t="s">
        <v>20</v>
      </c>
      <c r="V102" s="161" t="str" cm="1">
        <f t="array" ref="V102">_xlfn.IFS(C102="","",COUNTIF(C102,"ตำแหน่งว่าง*"),"ว่าง",COUNTIF(C102,"&lt;&gt;ตำแหน่งว่าง*"),"คนครอง")</f>
        <v>ว่าง</v>
      </c>
      <c r="W102" s="49" cm="1">
        <f t="array" ref="W102">_xlfn.IFS(COUNTIF(F102,"ผบ.หมู่*"),51,COUNTIF(F102,"รอง สว.*"),43)</f>
        <v>51</v>
      </c>
      <c r="X102" s="6" t="s">
        <v>280</v>
      </c>
      <c r="Y102" s="1" t="s">
        <v>27</v>
      </c>
    </row>
    <row r="103" spans="1:25" s="10" customFormat="1" ht="21.3" customHeight="1">
      <c r="A103" s="27" t="s">
        <v>169</v>
      </c>
      <c r="B103" s="28" t="s">
        <v>21</v>
      </c>
      <c r="C103" s="27" t="s">
        <v>7812</v>
      </c>
      <c r="D103" s="27" t="s">
        <v>8398</v>
      </c>
      <c r="E103" s="27" t="s">
        <v>8399</v>
      </c>
      <c r="F103" s="27" t="s">
        <v>277</v>
      </c>
      <c r="G103" s="101" t="s">
        <v>283</v>
      </c>
      <c r="H103" s="87">
        <v>45092</v>
      </c>
      <c r="I103" s="73">
        <v>45092</v>
      </c>
      <c r="J103" s="72">
        <v>45092</v>
      </c>
      <c r="K103" s="73">
        <v>35929</v>
      </c>
      <c r="L103" s="11" t="s">
        <v>82</v>
      </c>
      <c r="M103" s="1" t="s">
        <v>46</v>
      </c>
      <c r="N103" s="112" t="s">
        <v>14</v>
      </c>
      <c r="O103" s="104" t="s">
        <v>27</v>
      </c>
      <c r="P103" s="104"/>
      <c r="Q103" s="105"/>
      <c r="R103" s="33" t="s">
        <v>174</v>
      </c>
      <c r="S103" s="225">
        <f t="shared" si="1"/>
        <v>57984</v>
      </c>
      <c r="T103" s="7" t="s">
        <v>7685</v>
      </c>
      <c r="U103" s="162" t="s">
        <v>20</v>
      </c>
      <c r="V103" s="161" t="str" cm="1">
        <f t="array" ref="V103">_xlfn.IFS(C103="","",COUNTIF(C103,"ตำแหน่งว่าง*"),"ว่าง",COUNTIF(C103,"&lt;&gt;ตำแหน่งว่าง*"),"คนครอง")</f>
        <v>คนครอง</v>
      </c>
      <c r="W103" s="49" cm="1">
        <f t="array" ref="W103">_xlfn.IFS(COUNTIF(F103,"ผบ.หมู่*"),51,COUNTIF(F103,"รอง สว.*"),43)</f>
        <v>51</v>
      </c>
      <c r="X103" s="1" t="s">
        <v>282</v>
      </c>
      <c r="Y103" s="1" t="s">
        <v>27</v>
      </c>
    </row>
    <row r="104" spans="1:25" s="10" customFormat="1" ht="21.3" customHeight="1">
      <c r="A104" s="27" t="s">
        <v>169</v>
      </c>
      <c r="B104" s="28" t="s">
        <v>12</v>
      </c>
      <c r="C104" s="27" t="s">
        <v>284</v>
      </c>
      <c r="D104" s="27" t="s">
        <v>8400</v>
      </c>
      <c r="E104" s="27" t="s">
        <v>8401</v>
      </c>
      <c r="F104" s="27" t="s">
        <v>277</v>
      </c>
      <c r="G104" s="101" t="s">
        <v>286</v>
      </c>
      <c r="H104" s="87">
        <v>45092</v>
      </c>
      <c r="I104" s="73">
        <v>45092</v>
      </c>
      <c r="J104" s="72">
        <v>45092</v>
      </c>
      <c r="K104" s="73">
        <v>34429</v>
      </c>
      <c r="L104" s="11" t="s">
        <v>82</v>
      </c>
      <c r="M104" s="1" t="s">
        <v>34</v>
      </c>
      <c r="N104" s="112" t="s">
        <v>14</v>
      </c>
      <c r="O104" s="104" t="s">
        <v>27</v>
      </c>
      <c r="P104" s="104"/>
      <c r="Q104" s="105"/>
      <c r="R104" s="33" t="s">
        <v>174</v>
      </c>
      <c r="S104" s="225">
        <f t="shared" si="1"/>
        <v>56523</v>
      </c>
      <c r="T104" s="7" t="s">
        <v>7685</v>
      </c>
      <c r="U104" s="162" t="s">
        <v>20</v>
      </c>
      <c r="V104" s="161" t="str" cm="1">
        <f t="array" ref="V104">_xlfn.IFS(C104="","",COUNTIF(C104,"ตำแหน่งว่าง*"),"ว่าง",COUNTIF(C104,"&lt;&gt;ตำแหน่งว่าง*"),"คนครอง")</f>
        <v>คนครอง</v>
      </c>
      <c r="W104" s="49" cm="1">
        <f t="array" ref="W104">_xlfn.IFS(COUNTIF(F104,"ผบ.หมู่*"),51,COUNTIF(F104,"รอง สว.*"),43)</f>
        <v>51</v>
      </c>
      <c r="X104" s="1" t="s">
        <v>285</v>
      </c>
      <c r="Y104" s="1" t="s">
        <v>27</v>
      </c>
    </row>
    <row r="105" spans="1:25" s="12" customFormat="1" ht="21.3" customHeight="1">
      <c r="A105" s="27" t="s">
        <v>208</v>
      </c>
      <c r="B105" s="28" t="s">
        <v>21</v>
      </c>
      <c r="C105" s="95" t="s">
        <v>287</v>
      </c>
      <c r="D105" s="27" t="s">
        <v>8402</v>
      </c>
      <c r="E105" s="27" t="s">
        <v>8403</v>
      </c>
      <c r="F105" s="95" t="s">
        <v>277</v>
      </c>
      <c r="G105" s="101" t="s">
        <v>289</v>
      </c>
      <c r="H105" s="87">
        <v>43132</v>
      </c>
      <c r="I105" s="73">
        <v>43132</v>
      </c>
      <c r="J105" s="72">
        <v>43132</v>
      </c>
      <c r="K105" s="73">
        <v>33301</v>
      </c>
      <c r="L105" s="11" t="s">
        <v>82</v>
      </c>
      <c r="M105" s="1" t="s">
        <v>23</v>
      </c>
      <c r="N105" s="111" t="s">
        <v>14</v>
      </c>
      <c r="O105" s="104" t="s">
        <v>27</v>
      </c>
      <c r="P105" s="104"/>
      <c r="Q105" s="105"/>
      <c r="R105" s="33" t="s">
        <v>186</v>
      </c>
      <c r="S105" s="225">
        <f t="shared" si="1"/>
        <v>55427</v>
      </c>
      <c r="T105" s="162" t="s">
        <v>7685</v>
      </c>
      <c r="U105" s="162" t="s">
        <v>20</v>
      </c>
      <c r="V105" s="161" t="str" cm="1">
        <f t="array" ref="V105">_xlfn.IFS(C105="","",COUNTIF(C105,"ตำแหน่งว่าง*"),"ว่าง",COUNTIF(C105,"&lt;&gt;ตำแหน่งว่าง*"),"คนครอง")</f>
        <v>คนครอง</v>
      </c>
      <c r="W105" s="49" cm="1">
        <f t="array" ref="W105">_xlfn.IFS(COUNTIF(F105,"ผบ.หมู่*"),51,COUNTIF(F105,"รอง สว.*"),43)</f>
        <v>51</v>
      </c>
      <c r="X105" s="5" t="s">
        <v>288</v>
      </c>
      <c r="Y105" s="5" t="s">
        <v>27</v>
      </c>
    </row>
    <row r="106" spans="1:25" s="10" customFormat="1" ht="21.3" customHeight="1">
      <c r="A106" s="27"/>
      <c r="B106" s="30"/>
      <c r="C106" s="30" t="s">
        <v>18</v>
      </c>
      <c r="D106" s="27"/>
      <c r="E106" s="27"/>
      <c r="F106" s="68" t="s">
        <v>277</v>
      </c>
      <c r="G106" s="121" t="s">
        <v>291</v>
      </c>
      <c r="H106" s="87" t="s">
        <v>19</v>
      </c>
      <c r="I106" s="73" t="s">
        <v>19</v>
      </c>
      <c r="J106" s="72" t="s">
        <v>19</v>
      </c>
      <c r="K106" s="73" t="s">
        <v>19</v>
      </c>
      <c r="L106" s="11"/>
      <c r="M106" s="1"/>
      <c r="N106" s="113" t="s">
        <v>14</v>
      </c>
      <c r="O106" s="122" t="s">
        <v>27</v>
      </c>
      <c r="P106" s="122"/>
      <c r="Q106" s="106"/>
      <c r="R106" s="149"/>
      <c r="S106" s="225" t="str">
        <f t="shared" si="1"/>
        <v/>
      </c>
      <c r="T106" s="7" t="s">
        <v>7685</v>
      </c>
      <c r="U106" s="162" t="s">
        <v>20</v>
      </c>
      <c r="V106" s="161" t="str" cm="1">
        <f t="array" ref="V106">_xlfn.IFS(C106="","",COUNTIF(C106,"ตำแหน่งว่าง*"),"ว่าง",COUNTIF(C106,"&lt;&gt;ตำแหน่งว่าง*"),"คนครอง")</f>
        <v>ว่าง</v>
      </c>
      <c r="W106" s="49" cm="1">
        <f t="array" ref="W106">_xlfn.IFS(COUNTIF(F106,"ผบ.หมู่*"),51,COUNTIF(F106,"รอง สว.*"),43)</f>
        <v>51</v>
      </c>
      <c r="X106" s="6" t="s">
        <v>290</v>
      </c>
      <c r="Y106" s="6" t="s">
        <v>27</v>
      </c>
    </row>
    <row r="107" spans="1:25" s="10" customFormat="1" ht="21.3" customHeight="1">
      <c r="A107" s="27"/>
      <c r="B107" s="30"/>
      <c r="C107" s="30" t="s">
        <v>18</v>
      </c>
      <c r="D107" s="27"/>
      <c r="E107" s="27"/>
      <c r="F107" s="68" t="s">
        <v>277</v>
      </c>
      <c r="G107" s="121" t="s">
        <v>293</v>
      </c>
      <c r="H107" s="87" t="s">
        <v>19</v>
      </c>
      <c r="I107" s="73" t="s">
        <v>19</v>
      </c>
      <c r="J107" s="72" t="s">
        <v>19</v>
      </c>
      <c r="K107" s="73" t="s">
        <v>19</v>
      </c>
      <c r="L107" s="11"/>
      <c r="M107" s="1"/>
      <c r="N107" s="113" t="s">
        <v>14</v>
      </c>
      <c r="O107" s="122" t="s">
        <v>27</v>
      </c>
      <c r="P107" s="122"/>
      <c r="Q107" s="106"/>
      <c r="R107" s="149"/>
      <c r="S107" s="225" t="str">
        <f t="shared" si="1"/>
        <v/>
      </c>
      <c r="T107" s="7" t="s">
        <v>7685</v>
      </c>
      <c r="U107" s="162" t="s">
        <v>20</v>
      </c>
      <c r="V107" s="161" t="str" cm="1">
        <f t="array" ref="V107">_xlfn.IFS(C107="","",COUNTIF(C107,"ตำแหน่งว่าง*"),"ว่าง",COUNTIF(C107,"&lt;&gt;ตำแหน่งว่าง*"),"คนครอง")</f>
        <v>ว่าง</v>
      </c>
      <c r="W107" s="49" cm="1">
        <f t="array" ref="W107">_xlfn.IFS(COUNTIF(F107,"ผบ.หมู่*"),51,COUNTIF(F107,"รอง สว.*"),43)</f>
        <v>51</v>
      </c>
      <c r="X107" s="6" t="s">
        <v>292</v>
      </c>
      <c r="Y107" s="6" t="s">
        <v>27</v>
      </c>
    </row>
    <row r="108" spans="1:25" s="10" customFormat="1" ht="21.3" customHeight="1">
      <c r="A108" s="27"/>
      <c r="B108" s="28"/>
      <c r="C108" s="30" t="s">
        <v>18</v>
      </c>
      <c r="D108" s="27"/>
      <c r="E108" s="27"/>
      <c r="F108" s="68" t="s">
        <v>277</v>
      </c>
      <c r="G108" s="121" t="s">
        <v>295</v>
      </c>
      <c r="H108" s="87" t="s">
        <v>19</v>
      </c>
      <c r="I108" s="73" t="s">
        <v>19</v>
      </c>
      <c r="J108" s="72" t="s">
        <v>19</v>
      </c>
      <c r="K108" s="73" t="s">
        <v>19</v>
      </c>
      <c r="L108" s="11"/>
      <c r="M108" s="1"/>
      <c r="N108" s="113" t="s">
        <v>14</v>
      </c>
      <c r="O108" s="122" t="s">
        <v>27</v>
      </c>
      <c r="P108" s="122"/>
      <c r="Q108" s="105"/>
      <c r="R108" s="33"/>
      <c r="S108" s="225" t="str">
        <f t="shared" si="1"/>
        <v/>
      </c>
      <c r="T108" s="7" t="s">
        <v>7685</v>
      </c>
      <c r="U108" s="162" t="s">
        <v>20</v>
      </c>
      <c r="V108" s="161" t="str" cm="1">
        <f t="array" ref="V108">_xlfn.IFS(C108="","",COUNTIF(C108,"ตำแหน่งว่าง*"),"ว่าง",COUNTIF(C108,"&lt;&gt;ตำแหน่งว่าง*"),"คนครอง")</f>
        <v>ว่าง</v>
      </c>
      <c r="W108" s="49" cm="1">
        <f t="array" ref="W108">_xlfn.IFS(COUNTIF(F108,"ผบ.หมู่*"),51,COUNTIF(F108,"รอง สว.*"),43)</f>
        <v>51</v>
      </c>
      <c r="X108" s="6" t="s">
        <v>294</v>
      </c>
      <c r="Y108" s="6" t="s">
        <v>27</v>
      </c>
    </row>
    <row r="109" spans="1:25" s="10" customFormat="1" ht="21.3" customHeight="1">
      <c r="A109" s="27"/>
      <c r="B109" s="28"/>
      <c r="C109" s="30" t="s">
        <v>18</v>
      </c>
      <c r="D109" s="27"/>
      <c r="E109" s="27"/>
      <c r="F109" s="68" t="s">
        <v>277</v>
      </c>
      <c r="G109" s="121" t="s">
        <v>297</v>
      </c>
      <c r="H109" s="87" t="s">
        <v>19</v>
      </c>
      <c r="I109" s="73" t="s">
        <v>19</v>
      </c>
      <c r="J109" s="72" t="s">
        <v>19</v>
      </c>
      <c r="K109" s="73" t="s">
        <v>19</v>
      </c>
      <c r="L109" s="11"/>
      <c r="M109" s="1"/>
      <c r="N109" s="113" t="s">
        <v>14</v>
      </c>
      <c r="O109" s="122" t="s">
        <v>27</v>
      </c>
      <c r="P109" s="122"/>
      <c r="Q109" s="105"/>
      <c r="R109" s="33"/>
      <c r="S109" s="225" t="str">
        <f t="shared" si="1"/>
        <v/>
      </c>
      <c r="T109" s="7" t="s">
        <v>7685</v>
      </c>
      <c r="U109" s="162" t="s">
        <v>20</v>
      </c>
      <c r="V109" s="161" t="str" cm="1">
        <f t="array" ref="V109">_xlfn.IFS(C109="","",COUNTIF(C109,"ตำแหน่งว่าง*"),"ว่าง",COUNTIF(C109,"&lt;&gt;ตำแหน่งว่าง*"),"คนครอง")</f>
        <v>ว่าง</v>
      </c>
      <c r="W109" s="49" cm="1">
        <f t="array" ref="W109">_xlfn.IFS(COUNTIF(F109,"ผบ.หมู่*"),51,COUNTIF(F109,"รอง สว.*"),43)</f>
        <v>51</v>
      </c>
      <c r="X109" s="6" t="s">
        <v>296</v>
      </c>
      <c r="Y109" s="6" t="s">
        <v>27</v>
      </c>
    </row>
    <row r="110" spans="1:25" s="10" customFormat="1" ht="21.3" customHeight="1">
      <c r="A110" s="27"/>
      <c r="B110" s="28"/>
      <c r="C110" s="30" t="s">
        <v>18</v>
      </c>
      <c r="D110" s="27"/>
      <c r="E110" s="27"/>
      <c r="F110" s="68" t="s">
        <v>277</v>
      </c>
      <c r="G110" s="121" t="s">
        <v>299</v>
      </c>
      <c r="H110" s="87" t="s">
        <v>19</v>
      </c>
      <c r="I110" s="73" t="s">
        <v>19</v>
      </c>
      <c r="J110" s="72" t="s">
        <v>19</v>
      </c>
      <c r="K110" s="73" t="s">
        <v>19</v>
      </c>
      <c r="L110" s="11"/>
      <c r="M110" s="1"/>
      <c r="N110" s="113" t="s">
        <v>14</v>
      </c>
      <c r="O110" s="122" t="s">
        <v>27</v>
      </c>
      <c r="P110" s="122"/>
      <c r="Q110" s="105"/>
      <c r="R110" s="33"/>
      <c r="S110" s="225" t="str">
        <f t="shared" si="1"/>
        <v/>
      </c>
      <c r="T110" s="7" t="s">
        <v>7685</v>
      </c>
      <c r="U110" s="162" t="s">
        <v>20</v>
      </c>
      <c r="V110" s="161" t="str" cm="1">
        <f t="array" ref="V110">_xlfn.IFS(C110="","",COUNTIF(C110,"ตำแหน่งว่าง*"),"ว่าง",COUNTIF(C110,"&lt;&gt;ตำแหน่งว่าง*"),"คนครอง")</f>
        <v>ว่าง</v>
      </c>
      <c r="W110" s="49" cm="1">
        <f t="array" ref="W110">_xlfn.IFS(COUNTIF(F110,"ผบ.หมู่*"),51,COUNTIF(F110,"รอง สว.*"),43)</f>
        <v>51</v>
      </c>
      <c r="X110" s="6" t="s">
        <v>298</v>
      </c>
      <c r="Y110" s="6" t="s">
        <v>27</v>
      </c>
    </row>
    <row r="111" spans="1:25" s="10" customFormat="1" ht="21.3" customHeight="1">
      <c r="A111" s="27"/>
      <c r="B111" s="28"/>
      <c r="C111" s="30" t="s">
        <v>18</v>
      </c>
      <c r="D111" s="27"/>
      <c r="E111" s="27"/>
      <c r="F111" s="68" t="s">
        <v>277</v>
      </c>
      <c r="G111" s="121" t="s">
        <v>301</v>
      </c>
      <c r="H111" s="87" t="s">
        <v>19</v>
      </c>
      <c r="I111" s="73" t="s">
        <v>19</v>
      </c>
      <c r="J111" s="72" t="s">
        <v>19</v>
      </c>
      <c r="K111" s="73" t="s">
        <v>19</v>
      </c>
      <c r="L111" s="11"/>
      <c r="M111" s="1"/>
      <c r="N111" s="113" t="s">
        <v>14</v>
      </c>
      <c r="O111" s="122" t="s">
        <v>27</v>
      </c>
      <c r="P111" s="122"/>
      <c r="Q111" s="105"/>
      <c r="R111" s="33"/>
      <c r="S111" s="225" t="str">
        <f t="shared" si="1"/>
        <v/>
      </c>
      <c r="T111" s="7" t="s">
        <v>7685</v>
      </c>
      <c r="U111" s="162" t="s">
        <v>20</v>
      </c>
      <c r="V111" s="161" t="str" cm="1">
        <f t="array" ref="V111">_xlfn.IFS(C111="","",COUNTIF(C111,"ตำแหน่งว่าง*"),"ว่าง",COUNTIF(C111,"&lt;&gt;ตำแหน่งว่าง*"),"คนครอง")</f>
        <v>ว่าง</v>
      </c>
      <c r="W111" s="49" cm="1">
        <f t="array" ref="W111">_xlfn.IFS(COUNTIF(F111,"ผบ.หมู่*"),51,COUNTIF(F111,"รอง สว.*"),43)</f>
        <v>51</v>
      </c>
      <c r="X111" s="6" t="s">
        <v>300</v>
      </c>
      <c r="Y111" s="6" t="s">
        <v>27</v>
      </c>
    </row>
    <row r="112" spans="1:25" s="10" customFormat="1" ht="21.3" customHeight="1">
      <c r="A112" s="27"/>
      <c r="B112" s="28"/>
      <c r="C112" s="30" t="s">
        <v>18</v>
      </c>
      <c r="D112" s="27"/>
      <c r="E112" s="27"/>
      <c r="F112" s="68" t="s">
        <v>277</v>
      </c>
      <c r="G112" s="121" t="s">
        <v>303</v>
      </c>
      <c r="H112" s="87" t="s">
        <v>19</v>
      </c>
      <c r="I112" s="73" t="s">
        <v>19</v>
      </c>
      <c r="J112" s="72" t="s">
        <v>19</v>
      </c>
      <c r="K112" s="73" t="s">
        <v>19</v>
      </c>
      <c r="L112" s="11"/>
      <c r="M112" s="1"/>
      <c r="N112" s="113" t="s">
        <v>14</v>
      </c>
      <c r="O112" s="122" t="s">
        <v>27</v>
      </c>
      <c r="P112" s="122"/>
      <c r="Q112" s="105"/>
      <c r="R112" s="33"/>
      <c r="S112" s="225" t="str">
        <f t="shared" si="1"/>
        <v/>
      </c>
      <c r="T112" s="7" t="s">
        <v>7685</v>
      </c>
      <c r="U112" s="162" t="s">
        <v>20</v>
      </c>
      <c r="V112" s="161" t="str" cm="1">
        <f t="array" ref="V112">_xlfn.IFS(C112="","",COUNTIF(C112,"ตำแหน่งว่าง*"),"ว่าง",COUNTIF(C112,"&lt;&gt;ตำแหน่งว่าง*"),"คนครอง")</f>
        <v>ว่าง</v>
      </c>
      <c r="W112" s="49" cm="1">
        <f t="array" ref="W112">_xlfn.IFS(COUNTIF(F112,"ผบ.หมู่*"),51,COUNTIF(F112,"รอง สว.*"),43)</f>
        <v>51</v>
      </c>
      <c r="X112" s="6" t="s">
        <v>302</v>
      </c>
      <c r="Y112" s="6" t="s">
        <v>27</v>
      </c>
    </row>
    <row r="113" spans="1:25" s="10" customFormat="1" ht="21.3" customHeight="1">
      <c r="A113" s="27"/>
      <c r="B113" s="28"/>
      <c r="C113" s="30" t="s">
        <v>18</v>
      </c>
      <c r="D113" s="27"/>
      <c r="E113" s="27"/>
      <c r="F113" s="68" t="s">
        <v>277</v>
      </c>
      <c r="G113" s="121" t="s">
        <v>305</v>
      </c>
      <c r="H113" s="87" t="s">
        <v>19</v>
      </c>
      <c r="I113" s="73" t="s">
        <v>19</v>
      </c>
      <c r="J113" s="72" t="s">
        <v>19</v>
      </c>
      <c r="K113" s="73" t="s">
        <v>19</v>
      </c>
      <c r="L113" s="11"/>
      <c r="M113" s="1"/>
      <c r="N113" s="113" t="s">
        <v>14</v>
      </c>
      <c r="O113" s="122" t="s">
        <v>27</v>
      </c>
      <c r="P113" s="122"/>
      <c r="Q113" s="105"/>
      <c r="R113" s="33"/>
      <c r="S113" s="225" t="str">
        <f t="shared" si="1"/>
        <v/>
      </c>
      <c r="T113" s="7" t="s">
        <v>7685</v>
      </c>
      <c r="U113" s="162" t="s">
        <v>20</v>
      </c>
      <c r="V113" s="161" t="str" cm="1">
        <f t="array" ref="V113">_xlfn.IFS(C113="","",COUNTIF(C113,"ตำแหน่งว่าง*"),"ว่าง",COUNTIF(C113,"&lt;&gt;ตำแหน่งว่าง*"),"คนครอง")</f>
        <v>ว่าง</v>
      </c>
      <c r="W113" s="49" cm="1">
        <f t="array" ref="W113">_xlfn.IFS(COUNTIF(F113,"ผบ.หมู่*"),51,COUNTIF(F113,"รอง สว.*"),43)</f>
        <v>51</v>
      </c>
      <c r="X113" s="6" t="s">
        <v>304</v>
      </c>
      <c r="Y113" s="6" t="s">
        <v>27</v>
      </c>
    </row>
    <row r="114" spans="1:25" s="10" customFormat="1" ht="21.3" customHeight="1">
      <c r="A114" s="27"/>
      <c r="B114" s="28"/>
      <c r="C114" s="30" t="s">
        <v>18</v>
      </c>
      <c r="D114" s="27"/>
      <c r="E114" s="27"/>
      <c r="F114" s="68" t="s">
        <v>277</v>
      </c>
      <c r="G114" s="121" t="s">
        <v>307</v>
      </c>
      <c r="H114" s="87" t="s">
        <v>19</v>
      </c>
      <c r="I114" s="73" t="s">
        <v>19</v>
      </c>
      <c r="J114" s="72" t="s">
        <v>19</v>
      </c>
      <c r="K114" s="73" t="s">
        <v>19</v>
      </c>
      <c r="L114" s="11"/>
      <c r="M114" s="1"/>
      <c r="N114" s="113" t="s">
        <v>14</v>
      </c>
      <c r="O114" s="122" t="s">
        <v>27</v>
      </c>
      <c r="P114" s="122"/>
      <c r="Q114" s="105"/>
      <c r="R114" s="33"/>
      <c r="S114" s="225" t="str">
        <f t="shared" si="1"/>
        <v/>
      </c>
      <c r="T114" s="7" t="s">
        <v>7685</v>
      </c>
      <c r="U114" s="162" t="s">
        <v>20</v>
      </c>
      <c r="V114" s="161" t="str" cm="1">
        <f t="array" ref="V114">_xlfn.IFS(C114="","",COUNTIF(C114,"ตำแหน่งว่าง*"),"ว่าง",COUNTIF(C114,"&lt;&gt;ตำแหน่งว่าง*"),"คนครอง")</f>
        <v>ว่าง</v>
      </c>
      <c r="W114" s="49" cm="1">
        <f t="array" ref="W114">_xlfn.IFS(COUNTIF(F114,"ผบ.หมู่*"),51,COUNTIF(F114,"รอง สว.*"),43)</f>
        <v>51</v>
      </c>
      <c r="X114" s="6" t="s">
        <v>306</v>
      </c>
      <c r="Y114" s="6" t="s">
        <v>27</v>
      </c>
    </row>
    <row r="115" spans="1:25" s="10" customFormat="1" ht="21.3" customHeight="1">
      <c r="A115" s="27"/>
      <c r="B115" s="28"/>
      <c r="C115" s="30" t="s">
        <v>18</v>
      </c>
      <c r="D115" s="27"/>
      <c r="E115" s="27"/>
      <c r="F115" s="68" t="s">
        <v>277</v>
      </c>
      <c r="G115" s="121" t="s">
        <v>309</v>
      </c>
      <c r="H115" s="87" t="s">
        <v>19</v>
      </c>
      <c r="I115" s="73" t="s">
        <v>19</v>
      </c>
      <c r="J115" s="72" t="s">
        <v>19</v>
      </c>
      <c r="K115" s="73" t="s">
        <v>19</v>
      </c>
      <c r="L115" s="11"/>
      <c r="M115" s="1"/>
      <c r="N115" s="113" t="s">
        <v>14</v>
      </c>
      <c r="O115" s="122" t="s">
        <v>27</v>
      </c>
      <c r="P115" s="122"/>
      <c r="Q115" s="105"/>
      <c r="R115" s="33"/>
      <c r="S115" s="225" t="str">
        <f t="shared" si="1"/>
        <v/>
      </c>
      <c r="T115" s="7" t="s">
        <v>7685</v>
      </c>
      <c r="U115" s="162" t="s">
        <v>20</v>
      </c>
      <c r="V115" s="161" t="str" cm="1">
        <f t="array" ref="V115">_xlfn.IFS(C115="","",COUNTIF(C115,"ตำแหน่งว่าง*"),"ว่าง",COUNTIF(C115,"&lt;&gt;ตำแหน่งว่าง*"),"คนครอง")</f>
        <v>ว่าง</v>
      </c>
      <c r="W115" s="49" cm="1">
        <f t="array" ref="W115">_xlfn.IFS(COUNTIF(F115,"ผบ.หมู่*"),51,COUNTIF(F115,"รอง สว.*"),43)</f>
        <v>51</v>
      </c>
      <c r="X115" s="6" t="s">
        <v>308</v>
      </c>
      <c r="Y115" s="6" t="s">
        <v>27</v>
      </c>
    </row>
    <row r="116" spans="1:25" s="10" customFormat="1" ht="21.3" customHeight="1">
      <c r="A116" s="27"/>
      <c r="B116" s="28"/>
      <c r="C116" s="30" t="s">
        <v>18</v>
      </c>
      <c r="D116" s="27"/>
      <c r="E116" s="27"/>
      <c r="F116" s="68" t="s">
        <v>277</v>
      </c>
      <c r="G116" s="121" t="s">
        <v>311</v>
      </c>
      <c r="H116" s="87" t="s">
        <v>19</v>
      </c>
      <c r="I116" s="73" t="s">
        <v>19</v>
      </c>
      <c r="J116" s="72" t="s">
        <v>19</v>
      </c>
      <c r="K116" s="73" t="s">
        <v>19</v>
      </c>
      <c r="L116" s="11"/>
      <c r="M116" s="1"/>
      <c r="N116" s="113" t="s">
        <v>14</v>
      </c>
      <c r="O116" s="122" t="s">
        <v>27</v>
      </c>
      <c r="P116" s="122"/>
      <c r="Q116" s="105"/>
      <c r="R116" s="33"/>
      <c r="S116" s="225" t="str">
        <f t="shared" si="1"/>
        <v/>
      </c>
      <c r="T116" s="7" t="s">
        <v>7685</v>
      </c>
      <c r="U116" s="162" t="s">
        <v>20</v>
      </c>
      <c r="V116" s="161" t="str" cm="1">
        <f t="array" ref="V116">_xlfn.IFS(C116="","",COUNTIF(C116,"ตำแหน่งว่าง*"),"ว่าง",COUNTIF(C116,"&lt;&gt;ตำแหน่งว่าง*"),"คนครอง")</f>
        <v>ว่าง</v>
      </c>
      <c r="W116" s="49" cm="1">
        <f t="array" ref="W116">_xlfn.IFS(COUNTIF(F116,"ผบ.หมู่*"),51,COUNTIF(F116,"รอง สว.*"),43)</f>
        <v>51</v>
      </c>
      <c r="X116" s="6" t="s">
        <v>310</v>
      </c>
      <c r="Y116" s="6" t="s">
        <v>27</v>
      </c>
    </row>
    <row r="117" spans="1:25" s="10" customFormat="1" ht="21.3" customHeight="1">
      <c r="A117" s="27" t="s">
        <v>169</v>
      </c>
      <c r="B117" s="28" t="s">
        <v>21</v>
      </c>
      <c r="C117" s="27" t="s">
        <v>312</v>
      </c>
      <c r="D117" s="27" t="s">
        <v>8404</v>
      </c>
      <c r="E117" s="27" t="s">
        <v>8317</v>
      </c>
      <c r="F117" s="27" t="s">
        <v>313</v>
      </c>
      <c r="G117" s="101" t="s">
        <v>315</v>
      </c>
      <c r="H117" s="87">
        <v>45092</v>
      </c>
      <c r="I117" s="73">
        <v>45092</v>
      </c>
      <c r="J117" s="72">
        <v>45092</v>
      </c>
      <c r="K117" s="73">
        <v>33902</v>
      </c>
      <c r="L117" s="11" t="s">
        <v>82</v>
      </c>
      <c r="M117" s="1" t="s">
        <v>96</v>
      </c>
      <c r="N117" s="112" t="s">
        <v>14</v>
      </c>
      <c r="O117" s="104" t="s">
        <v>27</v>
      </c>
      <c r="P117" s="104"/>
      <c r="Q117" s="105"/>
      <c r="R117" s="33" t="s">
        <v>174</v>
      </c>
      <c r="S117" s="225">
        <f t="shared" si="1"/>
        <v>56158</v>
      </c>
      <c r="T117" s="7" t="s">
        <v>7686</v>
      </c>
      <c r="U117" s="162" t="s">
        <v>20</v>
      </c>
      <c r="V117" s="161" t="str" cm="1">
        <f t="array" ref="V117">_xlfn.IFS(C117="","",COUNTIF(C117,"ตำแหน่งว่าง*"),"ว่าง",COUNTIF(C117,"&lt;&gt;ตำแหน่งว่าง*"),"คนครอง")</f>
        <v>คนครอง</v>
      </c>
      <c r="W117" s="49" cm="1">
        <f t="array" ref="W117">_xlfn.IFS(COUNTIF(F117,"ผบ.หมู่*"),51,COUNTIF(F117,"รอง สว.*"),43)</f>
        <v>51</v>
      </c>
      <c r="X117" s="1" t="s">
        <v>314</v>
      </c>
      <c r="Y117" s="1" t="s">
        <v>27</v>
      </c>
    </row>
    <row r="118" spans="1:25" s="10" customFormat="1" ht="21.3" customHeight="1">
      <c r="A118" s="27" t="s">
        <v>169</v>
      </c>
      <c r="B118" s="28" t="s">
        <v>21</v>
      </c>
      <c r="C118" s="27" t="s">
        <v>316</v>
      </c>
      <c r="D118" s="27" t="s">
        <v>8405</v>
      </c>
      <c r="E118" s="27" t="s">
        <v>8406</v>
      </c>
      <c r="F118" s="27" t="s">
        <v>313</v>
      </c>
      <c r="G118" s="101" t="s">
        <v>318</v>
      </c>
      <c r="H118" s="87">
        <v>45092</v>
      </c>
      <c r="I118" s="73">
        <v>45092</v>
      </c>
      <c r="J118" s="72">
        <v>45092</v>
      </c>
      <c r="K118" s="73">
        <v>35347</v>
      </c>
      <c r="L118" s="11" t="s">
        <v>82</v>
      </c>
      <c r="M118" s="1" t="s">
        <v>47</v>
      </c>
      <c r="N118" s="112" t="s">
        <v>14</v>
      </c>
      <c r="O118" s="104" t="s">
        <v>27</v>
      </c>
      <c r="P118" s="104"/>
      <c r="Q118" s="105"/>
      <c r="R118" s="33" t="s">
        <v>174</v>
      </c>
      <c r="S118" s="225">
        <f t="shared" si="1"/>
        <v>57619</v>
      </c>
      <c r="T118" s="7" t="s">
        <v>7686</v>
      </c>
      <c r="U118" s="162" t="s">
        <v>20</v>
      </c>
      <c r="V118" s="161" t="str" cm="1">
        <f t="array" ref="V118">_xlfn.IFS(C118="","",COUNTIF(C118,"ตำแหน่งว่าง*"),"ว่าง",COUNTIF(C118,"&lt;&gt;ตำแหน่งว่าง*"),"คนครอง")</f>
        <v>คนครอง</v>
      </c>
      <c r="W118" s="49" cm="1">
        <f t="array" ref="W118">_xlfn.IFS(COUNTIF(F118,"ผบ.หมู่*"),51,COUNTIF(F118,"รอง สว.*"),43)</f>
        <v>51</v>
      </c>
      <c r="X118" s="1" t="s">
        <v>317</v>
      </c>
      <c r="Y118" s="1" t="s">
        <v>27</v>
      </c>
    </row>
    <row r="119" spans="1:25" s="10" customFormat="1" ht="21.3" customHeight="1">
      <c r="A119" s="27" t="s">
        <v>169</v>
      </c>
      <c r="B119" s="28" t="s">
        <v>21</v>
      </c>
      <c r="C119" s="27" t="s">
        <v>319</v>
      </c>
      <c r="D119" s="27" t="s">
        <v>8396</v>
      </c>
      <c r="E119" s="27" t="s">
        <v>8089</v>
      </c>
      <c r="F119" s="27" t="s">
        <v>313</v>
      </c>
      <c r="G119" s="104" t="s">
        <v>321</v>
      </c>
      <c r="H119" s="75">
        <v>45092</v>
      </c>
      <c r="I119" s="73">
        <v>45092</v>
      </c>
      <c r="J119" s="73">
        <v>45092</v>
      </c>
      <c r="K119" s="73">
        <v>36944</v>
      </c>
      <c r="L119" s="11" t="s">
        <v>82</v>
      </c>
      <c r="M119" s="1" t="s">
        <v>145</v>
      </c>
      <c r="N119" s="104" t="s">
        <v>14</v>
      </c>
      <c r="O119" s="104" t="s">
        <v>27</v>
      </c>
      <c r="P119" s="104"/>
      <c r="Q119" s="26"/>
      <c r="R119" s="28" t="s">
        <v>7682</v>
      </c>
      <c r="S119" s="225">
        <f t="shared" si="1"/>
        <v>59080</v>
      </c>
      <c r="T119" s="7" t="s">
        <v>7686</v>
      </c>
      <c r="U119" s="162" t="s">
        <v>20</v>
      </c>
      <c r="V119" s="161" t="str" cm="1">
        <f t="array" ref="V119">_xlfn.IFS(C119="","",COUNTIF(C119,"ตำแหน่งว่าง*"),"ว่าง",COUNTIF(C119,"&lt;&gt;ตำแหน่งว่าง*"),"คนครอง")</f>
        <v>คนครอง</v>
      </c>
      <c r="W119" s="49" cm="1">
        <f t="array" ref="W119">_xlfn.IFS(COUNTIF(F119,"ผบ.หมู่*"),51,COUNTIF(F119,"รอง สว.*"),43)</f>
        <v>51</v>
      </c>
      <c r="X119" s="1" t="s">
        <v>320</v>
      </c>
      <c r="Y119" s="1" t="s">
        <v>27</v>
      </c>
    </row>
    <row r="120" spans="1:25" s="12" customFormat="1" ht="21.3" customHeight="1">
      <c r="A120" s="27"/>
      <c r="B120" s="28"/>
      <c r="C120" s="95" t="s">
        <v>18</v>
      </c>
      <c r="D120" s="27"/>
      <c r="E120" s="27"/>
      <c r="F120" s="27" t="s">
        <v>313</v>
      </c>
      <c r="G120" s="101" t="s">
        <v>323</v>
      </c>
      <c r="H120" s="87"/>
      <c r="I120" s="73"/>
      <c r="J120" s="72"/>
      <c r="K120" s="73"/>
      <c r="L120" s="11"/>
      <c r="M120" s="1"/>
      <c r="N120" s="111" t="s">
        <v>14</v>
      </c>
      <c r="O120" s="104" t="s">
        <v>27</v>
      </c>
      <c r="P120" s="104"/>
      <c r="Q120" s="105"/>
      <c r="R120" s="148"/>
      <c r="S120" s="225" t="str">
        <f t="shared" si="1"/>
        <v/>
      </c>
      <c r="T120" s="162" t="s">
        <v>7686</v>
      </c>
      <c r="U120" s="162" t="s">
        <v>20</v>
      </c>
      <c r="V120" s="161" t="str" cm="1">
        <f t="array" ref="V120">_xlfn.IFS(C120="","",COUNTIF(C120,"ตำแหน่งว่าง*"),"ว่าง",COUNTIF(C120,"&lt;&gt;ตำแหน่งว่าง*"),"คนครอง")</f>
        <v>ว่าง</v>
      </c>
      <c r="W120" s="49" cm="1">
        <f t="array" ref="W120">_xlfn.IFS(COUNTIF(F120,"ผบ.หมู่*"),51,COUNTIF(F120,"รอง สว.*"),43)</f>
        <v>51</v>
      </c>
      <c r="X120" s="5" t="s">
        <v>322</v>
      </c>
      <c r="Y120" s="5" t="s">
        <v>27</v>
      </c>
    </row>
    <row r="121" spans="1:25" s="10" customFormat="1" ht="21.3" customHeight="1">
      <c r="A121" s="27" t="s">
        <v>208</v>
      </c>
      <c r="B121" s="28" t="s">
        <v>21</v>
      </c>
      <c r="C121" s="27" t="s">
        <v>7771</v>
      </c>
      <c r="D121" s="27" t="s">
        <v>8407</v>
      </c>
      <c r="E121" s="27" t="s">
        <v>8408</v>
      </c>
      <c r="F121" s="27" t="s">
        <v>313</v>
      </c>
      <c r="G121" s="101" t="s">
        <v>328</v>
      </c>
      <c r="H121" s="87">
        <v>45322</v>
      </c>
      <c r="I121" s="73">
        <v>43693</v>
      </c>
      <c r="J121" s="72">
        <v>43693</v>
      </c>
      <c r="K121" s="73">
        <v>31909</v>
      </c>
      <c r="L121" s="11" t="s">
        <v>112</v>
      </c>
      <c r="M121" s="1" t="s">
        <v>47</v>
      </c>
      <c r="N121" s="112" t="s">
        <v>14</v>
      </c>
      <c r="O121" s="104" t="s">
        <v>27</v>
      </c>
      <c r="P121" s="104"/>
      <c r="Q121" s="105"/>
      <c r="R121" s="149" t="s">
        <v>7708</v>
      </c>
      <c r="S121" s="225">
        <f t="shared" si="1"/>
        <v>53966</v>
      </c>
      <c r="T121" s="7" t="s">
        <v>7686</v>
      </c>
      <c r="U121" s="162" t="s">
        <v>20</v>
      </c>
      <c r="V121" s="161" t="str" cm="1">
        <f t="array" ref="V121">_xlfn.IFS(C121="","",COUNTIF(C121,"ตำแหน่งว่าง*"),"ว่าง",COUNTIF(C121,"&lt;&gt;ตำแหน่งว่าง*"),"คนครอง")</f>
        <v>คนครอง</v>
      </c>
      <c r="W121" s="49" cm="1">
        <f t="array" ref="W121">_xlfn.IFS(COUNTIF(F121,"ผบ.หมู่*"),51,COUNTIF(F121,"รอง สว.*"),43)</f>
        <v>51</v>
      </c>
      <c r="X121" s="1" t="s">
        <v>327</v>
      </c>
      <c r="Y121" s="1" t="s">
        <v>27</v>
      </c>
    </row>
    <row r="122" spans="1:25" s="10" customFormat="1" ht="21.3" customHeight="1">
      <c r="A122" s="68"/>
      <c r="B122" s="30"/>
      <c r="C122" s="30" t="s">
        <v>18</v>
      </c>
      <c r="D122" s="27"/>
      <c r="E122" s="27"/>
      <c r="F122" s="68" t="s">
        <v>313</v>
      </c>
      <c r="G122" s="121" t="s">
        <v>330</v>
      </c>
      <c r="H122" s="143" t="s">
        <v>19</v>
      </c>
      <c r="I122" s="74" t="s">
        <v>19</v>
      </c>
      <c r="J122" s="200" t="s">
        <v>19</v>
      </c>
      <c r="K122" s="74" t="s">
        <v>19</v>
      </c>
      <c r="L122" s="16"/>
      <c r="M122" s="6"/>
      <c r="N122" s="113" t="s">
        <v>14</v>
      </c>
      <c r="O122" s="122" t="s">
        <v>27</v>
      </c>
      <c r="P122" s="122"/>
      <c r="Q122" s="106"/>
      <c r="R122" s="149"/>
      <c r="S122" s="225" t="str">
        <f t="shared" si="1"/>
        <v/>
      </c>
      <c r="T122" s="7" t="s">
        <v>7686</v>
      </c>
      <c r="U122" s="162" t="s">
        <v>20</v>
      </c>
      <c r="V122" s="161" t="str" cm="1">
        <f t="array" ref="V122">_xlfn.IFS(C122="","",COUNTIF(C122,"ตำแหน่งว่าง*"),"ว่าง",COUNTIF(C122,"&lt;&gt;ตำแหน่งว่าง*"),"คนครอง")</f>
        <v>ว่าง</v>
      </c>
      <c r="W122" s="49" cm="1">
        <f t="array" ref="W122">_xlfn.IFS(COUNTIF(F122,"ผบ.หมู่*"),51,COUNTIF(F122,"รอง สว.*"),43)</f>
        <v>51</v>
      </c>
      <c r="X122" s="6" t="s">
        <v>329</v>
      </c>
      <c r="Y122" s="6" t="s">
        <v>27</v>
      </c>
    </row>
    <row r="123" spans="1:25" s="10" customFormat="1" ht="21.3" customHeight="1">
      <c r="A123" s="27"/>
      <c r="B123" s="30"/>
      <c r="C123" s="30" t="s">
        <v>18</v>
      </c>
      <c r="D123" s="27"/>
      <c r="E123" s="27"/>
      <c r="F123" s="68" t="s">
        <v>313</v>
      </c>
      <c r="G123" s="121" t="s">
        <v>332</v>
      </c>
      <c r="H123" s="87" t="s">
        <v>19</v>
      </c>
      <c r="I123" s="73" t="s">
        <v>19</v>
      </c>
      <c r="J123" s="72" t="s">
        <v>19</v>
      </c>
      <c r="K123" s="73" t="s">
        <v>19</v>
      </c>
      <c r="L123" s="11"/>
      <c r="M123" s="1"/>
      <c r="N123" s="113" t="s">
        <v>14</v>
      </c>
      <c r="O123" s="122" t="s">
        <v>27</v>
      </c>
      <c r="P123" s="122"/>
      <c r="Q123" s="106"/>
      <c r="R123" s="149"/>
      <c r="S123" s="225" t="str">
        <f t="shared" si="1"/>
        <v/>
      </c>
      <c r="T123" s="7" t="s">
        <v>7686</v>
      </c>
      <c r="U123" s="162" t="s">
        <v>20</v>
      </c>
      <c r="V123" s="161" t="str" cm="1">
        <f t="array" ref="V123">_xlfn.IFS(C123="","",COUNTIF(C123,"ตำแหน่งว่าง*"),"ว่าง",COUNTIF(C123,"&lt;&gt;ตำแหน่งว่าง*"),"คนครอง")</f>
        <v>ว่าง</v>
      </c>
      <c r="W123" s="49" cm="1">
        <f t="array" ref="W123">_xlfn.IFS(COUNTIF(F123,"ผบ.หมู่*"),51,COUNTIF(F123,"รอง สว.*"),43)</f>
        <v>51</v>
      </c>
      <c r="X123" s="6" t="s">
        <v>331</v>
      </c>
      <c r="Y123" s="6" t="s">
        <v>27</v>
      </c>
    </row>
    <row r="124" spans="1:25" s="12" customFormat="1" ht="21.3" customHeight="1">
      <c r="A124" s="68"/>
      <c r="B124" s="30"/>
      <c r="C124" s="68" t="s">
        <v>18</v>
      </c>
      <c r="D124" s="27"/>
      <c r="E124" s="27"/>
      <c r="F124" s="68" t="s">
        <v>313</v>
      </c>
      <c r="G124" s="121" t="s">
        <v>334</v>
      </c>
      <c r="H124" s="143"/>
      <c r="I124" s="74"/>
      <c r="J124" s="200"/>
      <c r="K124" s="74"/>
      <c r="L124" s="16"/>
      <c r="M124" s="6"/>
      <c r="N124" s="113" t="s">
        <v>14</v>
      </c>
      <c r="O124" s="122" t="s">
        <v>27</v>
      </c>
      <c r="P124" s="122"/>
      <c r="Q124" s="106"/>
      <c r="R124" s="149"/>
      <c r="S124" s="225" t="str">
        <f t="shared" si="1"/>
        <v/>
      </c>
      <c r="T124" s="162" t="s">
        <v>7686</v>
      </c>
      <c r="U124" s="162" t="s">
        <v>20</v>
      </c>
      <c r="V124" s="161" t="str" cm="1">
        <f t="array" ref="V124">_xlfn.IFS(C124="","",COUNTIF(C124,"ตำแหน่งว่าง*"),"ว่าง",COUNTIF(C124,"&lt;&gt;ตำแหน่งว่าง*"),"คนครอง")</f>
        <v>ว่าง</v>
      </c>
      <c r="W124" s="49" cm="1">
        <f t="array" ref="W124">_xlfn.IFS(COUNTIF(F124,"ผบ.หมู่*"),51,COUNTIF(F124,"รอง สว.*"),43)</f>
        <v>51</v>
      </c>
      <c r="X124" s="5" t="s">
        <v>333</v>
      </c>
      <c r="Y124" s="5" t="s">
        <v>27</v>
      </c>
    </row>
    <row r="125" spans="1:25" s="9" customFormat="1" ht="21.3" customHeight="1">
      <c r="A125" s="27" t="s">
        <v>182</v>
      </c>
      <c r="B125" s="28" t="s">
        <v>21</v>
      </c>
      <c r="C125" s="27" t="s">
        <v>335</v>
      </c>
      <c r="D125" s="27" t="s">
        <v>8409</v>
      </c>
      <c r="E125" s="27" t="s">
        <v>8410</v>
      </c>
      <c r="F125" s="27" t="s">
        <v>313</v>
      </c>
      <c r="G125" s="101" t="s">
        <v>337</v>
      </c>
      <c r="H125" s="87">
        <v>43868</v>
      </c>
      <c r="I125" s="73">
        <v>43868</v>
      </c>
      <c r="J125" s="72">
        <v>43868</v>
      </c>
      <c r="K125" s="73">
        <v>34092</v>
      </c>
      <c r="L125" s="11" t="s">
        <v>82</v>
      </c>
      <c r="M125" s="1" t="s">
        <v>16</v>
      </c>
      <c r="N125" s="112" t="s">
        <v>14</v>
      </c>
      <c r="O125" s="104" t="s">
        <v>27</v>
      </c>
      <c r="P125" s="104"/>
      <c r="Q125" s="105"/>
      <c r="R125" s="33" t="s">
        <v>338</v>
      </c>
      <c r="S125" s="225">
        <f t="shared" si="1"/>
        <v>56158</v>
      </c>
      <c r="T125" s="2" t="s">
        <v>7686</v>
      </c>
      <c r="U125" s="162" t="s">
        <v>20</v>
      </c>
      <c r="V125" s="161" t="str" cm="1">
        <f t="array" ref="V125">_xlfn.IFS(C125="","",COUNTIF(C125,"ตำแหน่งว่าง*"),"ว่าง",COUNTIF(C125,"&lt;&gt;ตำแหน่งว่าง*"),"คนครอง")</f>
        <v>คนครอง</v>
      </c>
      <c r="W125" s="49" cm="1">
        <f t="array" ref="W125">_xlfn.IFS(COUNTIF(F125,"ผบ.หมู่*"),51,COUNTIF(F125,"รอง สว.*"),43)</f>
        <v>51</v>
      </c>
      <c r="X125" s="1" t="s">
        <v>336</v>
      </c>
      <c r="Y125" s="1" t="s">
        <v>27</v>
      </c>
    </row>
    <row r="126" spans="1:25" s="12" customFormat="1" ht="21.3" customHeight="1">
      <c r="A126" s="68"/>
      <c r="B126" s="30"/>
      <c r="C126" s="68" t="s">
        <v>18</v>
      </c>
      <c r="D126" s="27"/>
      <c r="E126" s="27"/>
      <c r="F126" s="68" t="s">
        <v>313</v>
      </c>
      <c r="G126" s="121" t="s">
        <v>340</v>
      </c>
      <c r="H126" s="143"/>
      <c r="I126" s="74"/>
      <c r="J126" s="200"/>
      <c r="K126" s="74"/>
      <c r="L126" s="16"/>
      <c r="M126" s="6"/>
      <c r="N126" s="113" t="s">
        <v>14</v>
      </c>
      <c r="O126" s="122" t="s">
        <v>27</v>
      </c>
      <c r="P126" s="122"/>
      <c r="Q126" s="106"/>
      <c r="R126" s="149"/>
      <c r="S126" s="225" t="str">
        <f t="shared" si="1"/>
        <v/>
      </c>
      <c r="T126" s="162" t="s">
        <v>7686</v>
      </c>
      <c r="U126" s="162" t="s">
        <v>20</v>
      </c>
      <c r="V126" s="161" t="str" cm="1">
        <f t="array" ref="V126">_xlfn.IFS(C126="","",COUNTIF(C126,"ตำแหน่งว่าง*"),"ว่าง",COUNTIF(C126,"&lt;&gt;ตำแหน่งว่าง*"),"คนครอง")</f>
        <v>ว่าง</v>
      </c>
      <c r="W126" s="49" cm="1">
        <f t="array" ref="W126">_xlfn.IFS(COUNTIF(F126,"ผบ.หมู่*"),51,COUNTIF(F126,"รอง สว.*"),43)</f>
        <v>51</v>
      </c>
      <c r="X126" s="5" t="s">
        <v>339</v>
      </c>
      <c r="Y126" s="5" t="s">
        <v>27</v>
      </c>
    </row>
    <row r="127" spans="1:25" s="10" customFormat="1" ht="21.3" customHeight="1">
      <c r="A127" s="27"/>
      <c r="B127" s="28"/>
      <c r="C127" s="30" t="s">
        <v>18</v>
      </c>
      <c r="D127" s="27"/>
      <c r="E127" s="27"/>
      <c r="F127" s="68" t="s">
        <v>313</v>
      </c>
      <c r="G127" s="121" t="s">
        <v>342</v>
      </c>
      <c r="H127" s="87" t="s">
        <v>19</v>
      </c>
      <c r="I127" s="73" t="s">
        <v>19</v>
      </c>
      <c r="J127" s="72" t="s">
        <v>19</v>
      </c>
      <c r="K127" s="73" t="s">
        <v>19</v>
      </c>
      <c r="L127" s="11"/>
      <c r="M127" s="1"/>
      <c r="N127" s="113" t="s">
        <v>14</v>
      </c>
      <c r="O127" s="122" t="s">
        <v>27</v>
      </c>
      <c r="P127" s="122"/>
      <c r="Q127" s="105"/>
      <c r="R127" s="33"/>
      <c r="S127" s="225" t="str">
        <f t="shared" si="1"/>
        <v/>
      </c>
      <c r="T127" s="7" t="s">
        <v>7686</v>
      </c>
      <c r="U127" s="162" t="s">
        <v>20</v>
      </c>
      <c r="V127" s="161" t="str" cm="1">
        <f t="array" ref="V127">_xlfn.IFS(C127="","",COUNTIF(C127,"ตำแหน่งว่าง*"),"ว่าง",COUNTIF(C127,"&lt;&gt;ตำแหน่งว่าง*"),"คนครอง")</f>
        <v>ว่าง</v>
      </c>
      <c r="W127" s="49" cm="1">
        <f t="array" ref="W127">_xlfn.IFS(COUNTIF(F127,"ผบ.หมู่*"),51,COUNTIF(F127,"รอง สว.*"),43)</f>
        <v>51</v>
      </c>
      <c r="X127" s="6" t="s">
        <v>341</v>
      </c>
      <c r="Y127" s="6" t="s">
        <v>27</v>
      </c>
    </row>
    <row r="128" spans="1:25" s="10" customFormat="1" ht="21.3" customHeight="1">
      <c r="A128" s="27"/>
      <c r="B128" s="28"/>
      <c r="C128" s="30" t="s">
        <v>18</v>
      </c>
      <c r="D128" s="27"/>
      <c r="E128" s="27"/>
      <c r="F128" s="68" t="s">
        <v>313</v>
      </c>
      <c r="G128" s="121" t="s">
        <v>344</v>
      </c>
      <c r="H128" s="87" t="s">
        <v>19</v>
      </c>
      <c r="I128" s="73" t="s">
        <v>19</v>
      </c>
      <c r="J128" s="72" t="s">
        <v>19</v>
      </c>
      <c r="K128" s="73" t="s">
        <v>19</v>
      </c>
      <c r="L128" s="11"/>
      <c r="M128" s="1"/>
      <c r="N128" s="113" t="s">
        <v>14</v>
      </c>
      <c r="O128" s="122" t="s">
        <v>27</v>
      </c>
      <c r="P128" s="122"/>
      <c r="Q128" s="105"/>
      <c r="R128" s="33"/>
      <c r="S128" s="225" t="str">
        <f t="shared" si="1"/>
        <v/>
      </c>
      <c r="T128" s="7" t="s">
        <v>7686</v>
      </c>
      <c r="U128" s="162" t="s">
        <v>20</v>
      </c>
      <c r="V128" s="161" t="str" cm="1">
        <f t="array" ref="V128">_xlfn.IFS(C128="","",COUNTIF(C128,"ตำแหน่งว่าง*"),"ว่าง",COUNTIF(C128,"&lt;&gt;ตำแหน่งว่าง*"),"คนครอง")</f>
        <v>ว่าง</v>
      </c>
      <c r="W128" s="49" cm="1">
        <f t="array" ref="W128">_xlfn.IFS(COUNTIF(F128,"ผบ.หมู่*"),51,COUNTIF(F128,"รอง สว.*"),43)</f>
        <v>51</v>
      </c>
      <c r="X128" s="6" t="s">
        <v>343</v>
      </c>
      <c r="Y128" s="6" t="s">
        <v>27</v>
      </c>
    </row>
    <row r="129" spans="1:25" s="12" customFormat="1" ht="21.3" customHeight="1">
      <c r="A129" s="27" t="s">
        <v>612</v>
      </c>
      <c r="B129" s="28" t="s">
        <v>21</v>
      </c>
      <c r="C129" s="95" t="s">
        <v>345</v>
      </c>
      <c r="D129" s="27" t="s">
        <v>8411</v>
      </c>
      <c r="E129" s="27" t="s">
        <v>8412</v>
      </c>
      <c r="F129" s="95" t="s">
        <v>313</v>
      </c>
      <c r="G129" s="104" t="s">
        <v>347</v>
      </c>
      <c r="H129" s="75">
        <v>42668</v>
      </c>
      <c r="I129" s="73">
        <v>42668</v>
      </c>
      <c r="J129" s="73">
        <v>42668</v>
      </c>
      <c r="K129" s="73">
        <v>26035</v>
      </c>
      <c r="L129" s="11" t="s">
        <v>82</v>
      </c>
      <c r="M129" s="1" t="s">
        <v>163</v>
      </c>
      <c r="N129" s="131" t="s">
        <v>14</v>
      </c>
      <c r="O129" s="104" t="s">
        <v>27</v>
      </c>
      <c r="P129" s="104"/>
      <c r="Q129" s="26"/>
      <c r="R129" s="28" t="s">
        <v>348</v>
      </c>
      <c r="S129" s="225">
        <f t="shared" si="1"/>
        <v>48122</v>
      </c>
      <c r="T129" s="162" t="s">
        <v>7686</v>
      </c>
      <c r="U129" s="162" t="s">
        <v>20</v>
      </c>
      <c r="V129" s="161" t="str" cm="1">
        <f t="array" ref="V129">_xlfn.IFS(C129="","",COUNTIF(C129,"ตำแหน่งว่าง*"),"ว่าง",COUNTIF(C129,"&lt;&gt;ตำแหน่งว่าง*"),"คนครอง")</f>
        <v>คนครอง</v>
      </c>
      <c r="W129" s="49" cm="1">
        <f t="array" ref="W129">_xlfn.IFS(COUNTIF(F129,"ผบ.หมู่*"),51,COUNTIF(F129,"รอง สว.*"),43)</f>
        <v>51</v>
      </c>
      <c r="X129" s="5" t="s">
        <v>346</v>
      </c>
      <c r="Y129" s="5" t="s">
        <v>27</v>
      </c>
    </row>
    <row r="130" spans="1:25" s="10" customFormat="1" ht="21.3" customHeight="1">
      <c r="A130" s="27"/>
      <c r="B130" s="28"/>
      <c r="C130" s="30" t="s">
        <v>18</v>
      </c>
      <c r="D130" s="27"/>
      <c r="E130" s="27"/>
      <c r="F130" s="68" t="s">
        <v>313</v>
      </c>
      <c r="G130" s="121" t="s">
        <v>350</v>
      </c>
      <c r="H130" s="87" t="s">
        <v>19</v>
      </c>
      <c r="I130" s="73" t="s">
        <v>19</v>
      </c>
      <c r="J130" s="72" t="s">
        <v>19</v>
      </c>
      <c r="K130" s="73" t="s">
        <v>19</v>
      </c>
      <c r="L130" s="11"/>
      <c r="M130" s="1"/>
      <c r="N130" s="113" t="s">
        <v>14</v>
      </c>
      <c r="O130" s="122" t="s">
        <v>27</v>
      </c>
      <c r="P130" s="122"/>
      <c r="Q130" s="105"/>
      <c r="R130" s="33"/>
      <c r="S130" s="225" t="str">
        <f t="shared" ref="S130:S193" si="2">IF(K130&lt;&gt;"",DATE(YEAR(K130)+60+(K130&gt;=DATE(YEAR(K130),10,2)),10,1),"")</f>
        <v/>
      </c>
      <c r="T130" s="7" t="s">
        <v>7686</v>
      </c>
      <c r="U130" s="162" t="s">
        <v>20</v>
      </c>
      <c r="V130" s="161" t="str" cm="1">
        <f t="array" ref="V130">_xlfn.IFS(C130="","",COUNTIF(C130,"ตำแหน่งว่าง*"),"ว่าง",COUNTIF(C130,"&lt;&gt;ตำแหน่งว่าง*"),"คนครอง")</f>
        <v>ว่าง</v>
      </c>
      <c r="W130" s="49" cm="1">
        <f t="array" ref="W130">_xlfn.IFS(COUNTIF(F130,"ผบ.หมู่*"),51,COUNTIF(F130,"รอง สว.*"),43)</f>
        <v>51</v>
      </c>
      <c r="X130" s="6" t="s">
        <v>349</v>
      </c>
      <c r="Y130" s="6" t="s">
        <v>27</v>
      </c>
    </row>
    <row r="131" spans="1:25" s="10" customFormat="1" ht="21.3" customHeight="1">
      <c r="A131" s="27"/>
      <c r="B131" s="28"/>
      <c r="C131" s="30" t="s">
        <v>18</v>
      </c>
      <c r="D131" s="27"/>
      <c r="E131" s="27"/>
      <c r="F131" s="68" t="s">
        <v>313</v>
      </c>
      <c r="G131" s="121" t="s">
        <v>352</v>
      </c>
      <c r="H131" s="87" t="s">
        <v>19</v>
      </c>
      <c r="I131" s="73" t="s">
        <v>19</v>
      </c>
      <c r="J131" s="72" t="s">
        <v>19</v>
      </c>
      <c r="K131" s="73" t="s">
        <v>19</v>
      </c>
      <c r="L131" s="11"/>
      <c r="M131" s="1"/>
      <c r="N131" s="113" t="s">
        <v>14</v>
      </c>
      <c r="O131" s="122" t="s">
        <v>27</v>
      </c>
      <c r="P131" s="122"/>
      <c r="Q131" s="105"/>
      <c r="R131" s="33"/>
      <c r="S131" s="225" t="str">
        <f t="shared" si="2"/>
        <v/>
      </c>
      <c r="T131" s="7" t="s">
        <v>7686</v>
      </c>
      <c r="U131" s="162" t="s">
        <v>20</v>
      </c>
      <c r="V131" s="161" t="str" cm="1">
        <f t="array" ref="V131">_xlfn.IFS(C131="","",COUNTIF(C131,"ตำแหน่งว่าง*"),"ว่าง",COUNTIF(C131,"&lt;&gt;ตำแหน่งว่าง*"),"คนครอง")</f>
        <v>ว่าง</v>
      </c>
      <c r="W131" s="49" cm="1">
        <f t="array" ref="W131">_xlfn.IFS(COUNTIF(F131,"ผบ.หมู่*"),51,COUNTIF(F131,"รอง สว.*"),43)</f>
        <v>51</v>
      </c>
      <c r="X131" s="6" t="s">
        <v>351</v>
      </c>
      <c r="Y131" s="6" t="s">
        <v>27</v>
      </c>
    </row>
    <row r="132" spans="1:25" s="9" customFormat="1" ht="21.3" customHeight="1">
      <c r="A132" s="95"/>
      <c r="B132" s="28"/>
      <c r="C132" s="30" t="s">
        <v>18</v>
      </c>
      <c r="D132" s="27"/>
      <c r="E132" s="27"/>
      <c r="F132" s="68" t="s">
        <v>313</v>
      </c>
      <c r="G132" s="121" t="s">
        <v>325</v>
      </c>
      <c r="H132" s="143"/>
      <c r="I132" s="74"/>
      <c r="J132" s="200"/>
      <c r="K132" s="74"/>
      <c r="L132" s="16"/>
      <c r="M132" s="6"/>
      <c r="N132" s="113" t="s">
        <v>14</v>
      </c>
      <c r="O132" s="122" t="s">
        <v>43</v>
      </c>
      <c r="P132" s="122"/>
      <c r="Q132" s="106"/>
      <c r="R132" s="149"/>
      <c r="S132" s="225" t="str">
        <f t="shared" si="2"/>
        <v/>
      </c>
      <c r="T132" s="2" t="s">
        <v>7686</v>
      </c>
      <c r="U132" s="162" t="s">
        <v>20</v>
      </c>
      <c r="V132" s="161" t="str" cm="1">
        <f t="array" ref="V132">_xlfn.IFS(C132="","",COUNTIF(C132,"ตำแหน่งว่าง*"),"ว่าง",COUNTIF(C132,"&lt;&gt;ตำแหน่งว่าง*"),"คนครอง")</f>
        <v>ว่าง</v>
      </c>
      <c r="W132" s="49" cm="1">
        <f t="array" ref="W132">_xlfn.IFS(COUNTIF(F132,"ผบ.หมู่*"),51,COUNTIF(F132,"รอง สว.*"),43)</f>
        <v>51</v>
      </c>
      <c r="X132" s="6" t="s">
        <v>324</v>
      </c>
      <c r="Y132" s="6" t="s">
        <v>48</v>
      </c>
    </row>
    <row r="133" spans="1:25" s="10" customFormat="1" ht="21.3" customHeight="1">
      <c r="A133" s="27" t="s">
        <v>169</v>
      </c>
      <c r="B133" s="28" t="s">
        <v>21</v>
      </c>
      <c r="C133" s="27" t="s">
        <v>353</v>
      </c>
      <c r="D133" s="27" t="s">
        <v>8413</v>
      </c>
      <c r="E133" s="27" t="s">
        <v>8414</v>
      </c>
      <c r="F133" s="27" t="s">
        <v>354</v>
      </c>
      <c r="G133" s="101" t="s">
        <v>356</v>
      </c>
      <c r="H133" s="87">
        <v>45092</v>
      </c>
      <c r="I133" s="73">
        <v>45092</v>
      </c>
      <c r="J133" s="72">
        <v>45092</v>
      </c>
      <c r="K133" s="73">
        <v>36016</v>
      </c>
      <c r="L133" s="11" t="s">
        <v>82</v>
      </c>
      <c r="M133" s="1" t="s">
        <v>77</v>
      </c>
      <c r="N133" s="219" t="s">
        <v>14</v>
      </c>
      <c r="O133" s="104" t="s">
        <v>27</v>
      </c>
      <c r="P133" s="104"/>
      <c r="Q133" s="227"/>
      <c r="R133" s="33" t="s">
        <v>174</v>
      </c>
      <c r="S133" s="225">
        <f t="shared" si="2"/>
        <v>57984</v>
      </c>
      <c r="T133" s="7" t="s">
        <v>7687</v>
      </c>
      <c r="U133" s="162" t="s">
        <v>20</v>
      </c>
      <c r="V133" s="161" t="str" cm="1">
        <f t="array" ref="V133">_xlfn.IFS(C133="","",COUNTIF(C133,"ตำแหน่งว่าง*"),"ว่าง",COUNTIF(C133,"&lt;&gt;ตำแหน่งว่าง*"),"คนครอง")</f>
        <v>คนครอง</v>
      </c>
      <c r="W133" s="49" cm="1">
        <f t="array" ref="W133">_xlfn.IFS(COUNTIF(F133,"ผบ.หมู่*"),51,COUNTIF(F133,"รอง สว.*"),43)</f>
        <v>51</v>
      </c>
      <c r="X133" s="1" t="s">
        <v>355</v>
      </c>
      <c r="Y133" s="1" t="s">
        <v>27</v>
      </c>
    </row>
    <row r="134" spans="1:25" s="10" customFormat="1" ht="21.3" customHeight="1">
      <c r="A134" s="27" t="s">
        <v>169</v>
      </c>
      <c r="B134" s="28" t="s">
        <v>21</v>
      </c>
      <c r="C134" s="27" t="s">
        <v>357</v>
      </c>
      <c r="D134" s="27" t="s">
        <v>8192</v>
      </c>
      <c r="E134" s="27" t="s">
        <v>8415</v>
      </c>
      <c r="F134" s="27" t="s">
        <v>354</v>
      </c>
      <c r="G134" s="101" t="s">
        <v>359</v>
      </c>
      <c r="H134" s="87">
        <v>45092</v>
      </c>
      <c r="I134" s="73">
        <v>45092</v>
      </c>
      <c r="J134" s="72">
        <v>45092</v>
      </c>
      <c r="K134" s="73">
        <v>37472</v>
      </c>
      <c r="L134" s="11" t="s">
        <v>82</v>
      </c>
      <c r="M134" s="1" t="s">
        <v>39</v>
      </c>
      <c r="N134" s="112" t="s">
        <v>14</v>
      </c>
      <c r="O134" s="104" t="s">
        <v>27</v>
      </c>
      <c r="P134" s="104"/>
      <c r="Q134" s="105"/>
      <c r="R134" s="33" t="s">
        <v>174</v>
      </c>
      <c r="S134" s="225">
        <f t="shared" si="2"/>
        <v>59445</v>
      </c>
      <c r="T134" s="7" t="s">
        <v>7687</v>
      </c>
      <c r="U134" s="162" t="s">
        <v>20</v>
      </c>
      <c r="V134" s="161" t="str" cm="1">
        <f t="array" ref="V134">_xlfn.IFS(C134="","",COUNTIF(C134,"ตำแหน่งว่าง*"),"ว่าง",COUNTIF(C134,"&lt;&gt;ตำแหน่งว่าง*"),"คนครอง")</f>
        <v>คนครอง</v>
      </c>
      <c r="W134" s="49" cm="1">
        <f t="array" ref="W134">_xlfn.IFS(COUNTIF(F134,"ผบ.หมู่*"),51,COUNTIF(F134,"รอง สว.*"),43)</f>
        <v>51</v>
      </c>
      <c r="X134" s="1" t="s">
        <v>358</v>
      </c>
      <c r="Y134" s="1" t="s">
        <v>27</v>
      </c>
    </row>
    <row r="135" spans="1:25" s="9" customFormat="1" ht="21.3" customHeight="1">
      <c r="A135" s="27" t="s">
        <v>182</v>
      </c>
      <c r="B135" s="28" t="s">
        <v>21</v>
      </c>
      <c r="C135" s="27" t="s">
        <v>360</v>
      </c>
      <c r="D135" s="27" t="s">
        <v>8416</v>
      </c>
      <c r="E135" s="27" t="s">
        <v>8417</v>
      </c>
      <c r="F135" s="27" t="s">
        <v>354</v>
      </c>
      <c r="G135" s="101" t="s">
        <v>362</v>
      </c>
      <c r="H135" s="87">
        <v>43868</v>
      </c>
      <c r="I135" s="73">
        <v>43868</v>
      </c>
      <c r="J135" s="72">
        <v>43868</v>
      </c>
      <c r="K135" s="73">
        <v>33660</v>
      </c>
      <c r="L135" s="11" t="s">
        <v>82</v>
      </c>
      <c r="M135" s="1" t="s">
        <v>56</v>
      </c>
      <c r="N135" s="112" t="s">
        <v>14</v>
      </c>
      <c r="O135" s="104" t="s">
        <v>27</v>
      </c>
      <c r="P135" s="104"/>
      <c r="Q135" s="105"/>
      <c r="R135" s="33" t="s">
        <v>338</v>
      </c>
      <c r="S135" s="225">
        <f t="shared" si="2"/>
        <v>55793</v>
      </c>
      <c r="T135" s="2" t="s">
        <v>7687</v>
      </c>
      <c r="U135" s="162" t="s">
        <v>20</v>
      </c>
      <c r="V135" s="161" t="str" cm="1">
        <f t="array" ref="V135">_xlfn.IFS(C135="","",COUNTIF(C135,"ตำแหน่งว่าง*"),"ว่าง",COUNTIF(C135,"&lt;&gt;ตำแหน่งว่าง*"),"คนครอง")</f>
        <v>คนครอง</v>
      </c>
      <c r="W135" s="49" cm="1">
        <f t="array" ref="W135">_xlfn.IFS(COUNTIF(F135,"ผบ.หมู่*"),51,COUNTIF(F135,"รอง สว.*"),43)</f>
        <v>51</v>
      </c>
      <c r="X135" s="1" t="s">
        <v>361</v>
      </c>
      <c r="Y135" s="1" t="s">
        <v>27</v>
      </c>
    </row>
    <row r="136" spans="1:25" s="10" customFormat="1" ht="21.3" customHeight="1">
      <c r="A136" s="27"/>
      <c r="B136" s="28"/>
      <c r="C136" s="30" t="s">
        <v>18</v>
      </c>
      <c r="D136" s="27"/>
      <c r="E136" s="27"/>
      <c r="F136" s="68" t="s">
        <v>354</v>
      </c>
      <c r="G136" s="121" t="s">
        <v>364</v>
      </c>
      <c r="H136" s="87" t="s">
        <v>19</v>
      </c>
      <c r="I136" s="73" t="s">
        <v>19</v>
      </c>
      <c r="J136" s="72" t="s">
        <v>19</v>
      </c>
      <c r="K136" s="73" t="s">
        <v>19</v>
      </c>
      <c r="L136" s="11"/>
      <c r="M136" s="1"/>
      <c r="N136" s="113" t="s">
        <v>14</v>
      </c>
      <c r="O136" s="122" t="s">
        <v>27</v>
      </c>
      <c r="P136" s="122"/>
      <c r="Q136" s="105"/>
      <c r="R136" s="33"/>
      <c r="S136" s="225" t="str">
        <f t="shared" si="2"/>
        <v/>
      </c>
      <c r="T136" s="7" t="s">
        <v>7687</v>
      </c>
      <c r="U136" s="162" t="s">
        <v>20</v>
      </c>
      <c r="V136" s="161" t="str" cm="1">
        <f t="array" ref="V136">_xlfn.IFS(C136="","",COUNTIF(C136,"ตำแหน่งว่าง*"),"ว่าง",COUNTIF(C136,"&lt;&gt;ตำแหน่งว่าง*"),"คนครอง")</f>
        <v>ว่าง</v>
      </c>
      <c r="W136" s="49" cm="1">
        <f t="array" ref="W136">_xlfn.IFS(COUNTIF(F136,"ผบ.หมู่*"),51,COUNTIF(F136,"รอง สว.*"),43)</f>
        <v>51</v>
      </c>
      <c r="X136" s="6" t="s">
        <v>363</v>
      </c>
      <c r="Y136" s="6" t="s">
        <v>27</v>
      </c>
    </row>
    <row r="137" spans="1:25" s="10" customFormat="1" ht="21.3" customHeight="1">
      <c r="A137" s="27"/>
      <c r="B137" s="30"/>
      <c r="C137" s="30" t="s">
        <v>18</v>
      </c>
      <c r="D137" s="27"/>
      <c r="E137" s="27"/>
      <c r="F137" s="68" t="s">
        <v>354</v>
      </c>
      <c r="G137" s="121" t="s">
        <v>366</v>
      </c>
      <c r="H137" s="87" t="s">
        <v>19</v>
      </c>
      <c r="I137" s="73" t="s">
        <v>19</v>
      </c>
      <c r="J137" s="72" t="s">
        <v>19</v>
      </c>
      <c r="K137" s="73" t="s">
        <v>19</v>
      </c>
      <c r="L137" s="11"/>
      <c r="M137" s="1"/>
      <c r="N137" s="113" t="s">
        <v>14</v>
      </c>
      <c r="O137" s="122" t="s">
        <v>27</v>
      </c>
      <c r="P137" s="122"/>
      <c r="Q137" s="106"/>
      <c r="R137" s="149"/>
      <c r="S137" s="225" t="str">
        <f t="shared" si="2"/>
        <v/>
      </c>
      <c r="T137" s="7" t="s">
        <v>7687</v>
      </c>
      <c r="U137" s="162" t="s">
        <v>20</v>
      </c>
      <c r="V137" s="161" t="str" cm="1">
        <f t="array" ref="V137">_xlfn.IFS(C137="","",COUNTIF(C137,"ตำแหน่งว่าง*"),"ว่าง",COUNTIF(C137,"&lt;&gt;ตำแหน่งว่าง*"),"คนครอง")</f>
        <v>ว่าง</v>
      </c>
      <c r="W137" s="49" cm="1">
        <f t="array" ref="W137">_xlfn.IFS(COUNTIF(F137,"ผบ.หมู่*"),51,COUNTIF(F137,"รอง สว.*"),43)</f>
        <v>51</v>
      </c>
      <c r="X137" s="6" t="s">
        <v>365</v>
      </c>
      <c r="Y137" s="6" t="s">
        <v>27</v>
      </c>
    </row>
    <row r="138" spans="1:25" s="10" customFormat="1" ht="21.3" customHeight="1">
      <c r="A138" s="27"/>
      <c r="B138" s="28"/>
      <c r="C138" s="30" t="s">
        <v>18</v>
      </c>
      <c r="D138" s="27"/>
      <c r="E138" s="27"/>
      <c r="F138" s="68" t="s">
        <v>354</v>
      </c>
      <c r="G138" s="121" t="s">
        <v>368</v>
      </c>
      <c r="H138" s="87" t="s">
        <v>19</v>
      </c>
      <c r="I138" s="73" t="s">
        <v>19</v>
      </c>
      <c r="J138" s="72" t="s">
        <v>19</v>
      </c>
      <c r="K138" s="73" t="s">
        <v>19</v>
      </c>
      <c r="L138" s="11"/>
      <c r="M138" s="1"/>
      <c r="N138" s="113" t="s">
        <v>14</v>
      </c>
      <c r="O138" s="122" t="s">
        <v>27</v>
      </c>
      <c r="P138" s="122"/>
      <c r="Q138" s="105"/>
      <c r="R138" s="33"/>
      <c r="S138" s="225" t="str">
        <f t="shared" si="2"/>
        <v/>
      </c>
      <c r="T138" s="7" t="s">
        <v>7687</v>
      </c>
      <c r="U138" s="162" t="s">
        <v>20</v>
      </c>
      <c r="V138" s="161" t="str" cm="1">
        <f t="array" ref="V138">_xlfn.IFS(C138="","",COUNTIF(C138,"ตำแหน่งว่าง*"),"ว่าง",COUNTIF(C138,"&lt;&gt;ตำแหน่งว่าง*"),"คนครอง")</f>
        <v>ว่าง</v>
      </c>
      <c r="W138" s="49" cm="1">
        <f t="array" ref="W138">_xlfn.IFS(COUNTIF(F138,"ผบ.หมู่*"),51,COUNTIF(F138,"รอง สว.*"),43)</f>
        <v>51</v>
      </c>
      <c r="X138" s="6" t="s">
        <v>367</v>
      </c>
      <c r="Y138" s="6" t="s">
        <v>27</v>
      </c>
    </row>
    <row r="139" spans="1:25" s="10" customFormat="1" ht="21.3" customHeight="1">
      <c r="A139" s="27"/>
      <c r="B139" s="28"/>
      <c r="C139" s="30" t="s">
        <v>18</v>
      </c>
      <c r="D139" s="27"/>
      <c r="E139" s="27"/>
      <c r="F139" s="68" t="s">
        <v>354</v>
      </c>
      <c r="G139" s="121" t="s">
        <v>370</v>
      </c>
      <c r="H139" s="87" t="s">
        <v>19</v>
      </c>
      <c r="I139" s="73" t="s">
        <v>19</v>
      </c>
      <c r="J139" s="72" t="s">
        <v>19</v>
      </c>
      <c r="K139" s="73" t="s">
        <v>19</v>
      </c>
      <c r="L139" s="11"/>
      <c r="M139" s="1"/>
      <c r="N139" s="113" t="s">
        <v>14</v>
      </c>
      <c r="O139" s="122" t="s">
        <v>27</v>
      </c>
      <c r="P139" s="122"/>
      <c r="Q139" s="105"/>
      <c r="R139" s="33"/>
      <c r="S139" s="225" t="str">
        <f t="shared" si="2"/>
        <v/>
      </c>
      <c r="T139" s="7" t="s">
        <v>7687</v>
      </c>
      <c r="U139" s="162" t="s">
        <v>20</v>
      </c>
      <c r="V139" s="161" t="str" cm="1">
        <f t="array" ref="V139">_xlfn.IFS(C139="","",COUNTIF(C139,"ตำแหน่งว่าง*"),"ว่าง",COUNTIF(C139,"&lt;&gt;ตำแหน่งว่าง*"),"คนครอง")</f>
        <v>ว่าง</v>
      </c>
      <c r="W139" s="49" cm="1">
        <f t="array" ref="W139">_xlfn.IFS(COUNTIF(F139,"ผบ.หมู่*"),51,COUNTIF(F139,"รอง สว.*"),43)</f>
        <v>51</v>
      </c>
      <c r="X139" s="6" t="s">
        <v>369</v>
      </c>
      <c r="Y139" s="6" t="s">
        <v>27</v>
      </c>
    </row>
    <row r="140" spans="1:25" s="10" customFormat="1" ht="21.3" customHeight="1">
      <c r="A140" s="27"/>
      <c r="B140" s="28"/>
      <c r="C140" s="30" t="s">
        <v>18</v>
      </c>
      <c r="D140" s="27"/>
      <c r="E140" s="27"/>
      <c r="F140" s="68" t="s">
        <v>354</v>
      </c>
      <c r="G140" s="121" t="s">
        <v>372</v>
      </c>
      <c r="H140" s="87" t="s">
        <v>19</v>
      </c>
      <c r="I140" s="73" t="s">
        <v>19</v>
      </c>
      <c r="J140" s="72" t="s">
        <v>19</v>
      </c>
      <c r="K140" s="73" t="s">
        <v>19</v>
      </c>
      <c r="L140" s="11"/>
      <c r="M140" s="1"/>
      <c r="N140" s="113" t="s">
        <v>14</v>
      </c>
      <c r="O140" s="122" t="s">
        <v>27</v>
      </c>
      <c r="P140" s="122"/>
      <c r="Q140" s="105"/>
      <c r="R140" s="33"/>
      <c r="S140" s="225" t="str">
        <f t="shared" si="2"/>
        <v/>
      </c>
      <c r="T140" s="7" t="s">
        <v>7687</v>
      </c>
      <c r="U140" s="162" t="s">
        <v>20</v>
      </c>
      <c r="V140" s="161" t="str" cm="1">
        <f t="array" ref="V140">_xlfn.IFS(C140="","",COUNTIF(C140,"ตำแหน่งว่าง*"),"ว่าง",COUNTIF(C140,"&lt;&gt;ตำแหน่งว่าง*"),"คนครอง")</f>
        <v>ว่าง</v>
      </c>
      <c r="W140" s="49" cm="1">
        <f t="array" ref="W140">_xlfn.IFS(COUNTIF(F140,"ผบ.หมู่*"),51,COUNTIF(F140,"รอง สว.*"),43)</f>
        <v>51</v>
      </c>
      <c r="X140" s="6" t="s">
        <v>371</v>
      </c>
      <c r="Y140" s="6" t="s">
        <v>27</v>
      </c>
    </row>
    <row r="141" spans="1:25" s="10" customFormat="1" ht="21.3" customHeight="1">
      <c r="A141" s="27"/>
      <c r="B141" s="28"/>
      <c r="C141" s="30" t="s">
        <v>18</v>
      </c>
      <c r="D141" s="27"/>
      <c r="E141" s="27"/>
      <c r="F141" s="68" t="s">
        <v>354</v>
      </c>
      <c r="G141" s="121" t="s">
        <v>374</v>
      </c>
      <c r="H141" s="87" t="s">
        <v>19</v>
      </c>
      <c r="I141" s="73" t="s">
        <v>19</v>
      </c>
      <c r="J141" s="72" t="s">
        <v>19</v>
      </c>
      <c r="K141" s="73" t="s">
        <v>19</v>
      </c>
      <c r="L141" s="11"/>
      <c r="M141" s="1"/>
      <c r="N141" s="113" t="s">
        <v>14</v>
      </c>
      <c r="O141" s="122" t="s">
        <v>27</v>
      </c>
      <c r="P141" s="122"/>
      <c r="Q141" s="105"/>
      <c r="R141" s="33"/>
      <c r="S141" s="225" t="str">
        <f t="shared" si="2"/>
        <v/>
      </c>
      <c r="T141" s="7" t="s">
        <v>7687</v>
      </c>
      <c r="U141" s="162" t="s">
        <v>20</v>
      </c>
      <c r="V141" s="161" t="str" cm="1">
        <f t="array" ref="V141">_xlfn.IFS(C141="","",COUNTIF(C141,"ตำแหน่งว่าง*"),"ว่าง",COUNTIF(C141,"&lt;&gt;ตำแหน่งว่าง*"),"คนครอง")</f>
        <v>ว่าง</v>
      </c>
      <c r="W141" s="49" cm="1">
        <f t="array" ref="W141">_xlfn.IFS(COUNTIF(F141,"ผบ.หมู่*"),51,COUNTIF(F141,"รอง สว.*"),43)</f>
        <v>51</v>
      </c>
      <c r="X141" s="6" t="s">
        <v>373</v>
      </c>
      <c r="Y141" s="6" t="s">
        <v>27</v>
      </c>
    </row>
    <row r="142" spans="1:25" s="10" customFormat="1" ht="21.3" customHeight="1">
      <c r="A142" s="27"/>
      <c r="B142" s="28"/>
      <c r="C142" s="30" t="s">
        <v>18</v>
      </c>
      <c r="D142" s="27"/>
      <c r="E142" s="27"/>
      <c r="F142" s="68" t="s">
        <v>354</v>
      </c>
      <c r="G142" s="121" t="s">
        <v>376</v>
      </c>
      <c r="H142" s="87" t="s">
        <v>19</v>
      </c>
      <c r="I142" s="73" t="s">
        <v>19</v>
      </c>
      <c r="J142" s="72" t="s">
        <v>19</v>
      </c>
      <c r="K142" s="73" t="s">
        <v>19</v>
      </c>
      <c r="L142" s="11"/>
      <c r="M142" s="1"/>
      <c r="N142" s="113" t="s">
        <v>14</v>
      </c>
      <c r="O142" s="122" t="s">
        <v>27</v>
      </c>
      <c r="P142" s="122"/>
      <c r="Q142" s="105"/>
      <c r="R142" s="33"/>
      <c r="S142" s="225" t="str">
        <f t="shared" si="2"/>
        <v/>
      </c>
      <c r="T142" s="7" t="s">
        <v>7687</v>
      </c>
      <c r="U142" s="162" t="s">
        <v>20</v>
      </c>
      <c r="V142" s="161" t="str" cm="1">
        <f t="array" ref="V142">_xlfn.IFS(C142="","",COUNTIF(C142,"ตำแหน่งว่าง*"),"ว่าง",COUNTIF(C142,"&lt;&gt;ตำแหน่งว่าง*"),"คนครอง")</f>
        <v>ว่าง</v>
      </c>
      <c r="W142" s="49" cm="1">
        <f t="array" ref="W142">_xlfn.IFS(COUNTIF(F142,"ผบ.หมู่*"),51,COUNTIF(F142,"รอง สว.*"),43)</f>
        <v>51</v>
      </c>
      <c r="X142" s="6" t="s">
        <v>375</v>
      </c>
      <c r="Y142" s="6" t="s">
        <v>27</v>
      </c>
    </row>
    <row r="143" spans="1:25" s="10" customFormat="1" ht="21.3" customHeight="1">
      <c r="A143" s="27"/>
      <c r="B143" s="28"/>
      <c r="C143" s="30" t="s">
        <v>18</v>
      </c>
      <c r="D143" s="27"/>
      <c r="E143" s="27"/>
      <c r="F143" s="68" t="s">
        <v>354</v>
      </c>
      <c r="G143" s="121" t="s">
        <v>378</v>
      </c>
      <c r="H143" s="87" t="s">
        <v>19</v>
      </c>
      <c r="I143" s="73" t="s">
        <v>19</v>
      </c>
      <c r="J143" s="72" t="s">
        <v>19</v>
      </c>
      <c r="K143" s="73" t="s">
        <v>19</v>
      </c>
      <c r="L143" s="11"/>
      <c r="M143" s="1"/>
      <c r="N143" s="113" t="s">
        <v>14</v>
      </c>
      <c r="O143" s="122" t="s">
        <v>27</v>
      </c>
      <c r="P143" s="122"/>
      <c r="Q143" s="105"/>
      <c r="R143" s="33"/>
      <c r="S143" s="225" t="str">
        <f t="shared" si="2"/>
        <v/>
      </c>
      <c r="T143" s="7" t="s">
        <v>7687</v>
      </c>
      <c r="U143" s="162" t="s">
        <v>20</v>
      </c>
      <c r="V143" s="161" t="str" cm="1">
        <f t="array" ref="V143">_xlfn.IFS(C143="","",COUNTIF(C143,"ตำแหน่งว่าง*"),"ว่าง",COUNTIF(C143,"&lt;&gt;ตำแหน่งว่าง*"),"คนครอง")</f>
        <v>ว่าง</v>
      </c>
      <c r="W143" s="49" cm="1">
        <f t="array" ref="W143">_xlfn.IFS(COUNTIF(F143,"ผบ.หมู่*"),51,COUNTIF(F143,"รอง สว.*"),43)</f>
        <v>51</v>
      </c>
      <c r="X143" s="6" t="s">
        <v>377</v>
      </c>
      <c r="Y143" s="6" t="s">
        <v>27</v>
      </c>
    </row>
    <row r="144" spans="1:25" s="10" customFormat="1" ht="21.3" customHeight="1">
      <c r="A144" s="27"/>
      <c r="B144" s="28"/>
      <c r="C144" s="30" t="s">
        <v>18</v>
      </c>
      <c r="D144" s="27"/>
      <c r="E144" s="27"/>
      <c r="F144" s="68" t="s">
        <v>354</v>
      </c>
      <c r="G144" s="121" t="s">
        <v>380</v>
      </c>
      <c r="H144" s="87" t="s">
        <v>19</v>
      </c>
      <c r="I144" s="73" t="s">
        <v>19</v>
      </c>
      <c r="J144" s="72" t="s">
        <v>19</v>
      </c>
      <c r="K144" s="73" t="s">
        <v>19</v>
      </c>
      <c r="L144" s="11"/>
      <c r="M144" s="1"/>
      <c r="N144" s="113" t="s">
        <v>14</v>
      </c>
      <c r="O144" s="122" t="s">
        <v>27</v>
      </c>
      <c r="P144" s="122"/>
      <c r="Q144" s="105"/>
      <c r="R144" s="33"/>
      <c r="S144" s="225" t="str">
        <f t="shared" si="2"/>
        <v/>
      </c>
      <c r="T144" s="7" t="s">
        <v>7687</v>
      </c>
      <c r="U144" s="162" t="s">
        <v>20</v>
      </c>
      <c r="V144" s="161" t="str" cm="1">
        <f t="array" ref="V144">_xlfn.IFS(C144="","",COUNTIF(C144,"ตำแหน่งว่าง*"),"ว่าง",COUNTIF(C144,"&lt;&gt;ตำแหน่งว่าง*"),"คนครอง")</f>
        <v>ว่าง</v>
      </c>
      <c r="W144" s="49" cm="1">
        <f t="array" ref="W144">_xlfn.IFS(COUNTIF(F144,"ผบ.หมู่*"),51,COUNTIF(F144,"รอง สว.*"),43)</f>
        <v>51</v>
      </c>
      <c r="X144" s="6" t="s">
        <v>379</v>
      </c>
      <c r="Y144" s="6" t="s">
        <v>27</v>
      </c>
    </row>
    <row r="145" spans="1:25" s="10" customFormat="1" ht="21.3" customHeight="1">
      <c r="A145" s="27" t="s">
        <v>169</v>
      </c>
      <c r="B145" s="28" t="s">
        <v>21</v>
      </c>
      <c r="C145" s="27" t="s">
        <v>381</v>
      </c>
      <c r="D145" s="27" t="s">
        <v>8418</v>
      </c>
      <c r="E145" s="27" t="s">
        <v>8419</v>
      </c>
      <c r="F145" s="27" t="s">
        <v>382</v>
      </c>
      <c r="G145" s="101" t="s">
        <v>384</v>
      </c>
      <c r="H145" s="87">
        <v>45092</v>
      </c>
      <c r="I145" s="73">
        <v>45092</v>
      </c>
      <c r="J145" s="72">
        <v>45092</v>
      </c>
      <c r="K145" s="73">
        <v>33658</v>
      </c>
      <c r="L145" s="11" t="s">
        <v>82</v>
      </c>
      <c r="M145" s="1" t="s">
        <v>103</v>
      </c>
      <c r="N145" s="112" t="s">
        <v>14</v>
      </c>
      <c r="O145" s="104" t="s">
        <v>27</v>
      </c>
      <c r="P145" s="104"/>
      <c r="Q145" s="105"/>
      <c r="R145" s="33" t="s">
        <v>174</v>
      </c>
      <c r="S145" s="225">
        <f t="shared" si="2"/>
        <v>55793</v>
      </c>
      <c r="T145" s="7" t="s">
        <v>7688</v>
      </c>
      <c r="U145" s="162" t="s">
        <v>20</v>
      </c>
      <c r="V145" s="161" t="str" cm="1">
        <f t="array" ref="V145">_xlfn.IFS(C145="","",COUNTIF(C145,"ตำแหน่งว่าง*"),"ว่าง",COUNTIF(C145,"&lt;&gt;ตำแหน่งว่าง*"),"คนครอง")</f>
        <v>คนครอง</v>
      </c>
      <c r="W145" s="49" cm="1">
        <f t="array" ref="W145">_xlfn.IFS(COUNTIF(F145,"ผบ.หมู่*"),51,COUNTIF(F145,"รอง สว.*"),43)</f>
        <v>51</v>
      </c>
      <c r="X145" s="1" t="s">
        <v>383</v>
      </c>
      <c r="Y145" s="1" t="s">
        <v>27</v>
      </c>
    </row>
    <row r="146" spans="1:25" s="10" customFormat="1" ht="21.3" customHeight="1">
      <c r="A146" s="27" t="s">
        <v>169</v>
      </c>
      <c r="B146" s="28" t="s">
        <v>12</v>
      </c>
      <c r="C146" s="27" t="s">
        <v>385</v>
      </c>
      <c r="D146" s="27" t="s">
        <v>8420</v>
      </c>
      <c r="E146" s="27" t="s">
        <v>8421</v>
      </c>
      <c r="F146" s="27" t="s">
        <v>382</v>
      </c>
      <c r="G146" s="101" t="s">
        <v>387</v>
      </c>
      <c r="H146" s="87">
        <v>45092</v>
      </c>
      <c r="I146" s="73">
        <v>45092</v>
      </c>
      <c r="J146" s="72">
        <v>45092</v>
      </c>
      <c r="K146" s="73">
        <v>33704</v>
      </c>
      <c r="L146" s="11" t="s">
        <v>82</v>
      </c>
      <c r="M146" s="1" t="s">
        <v>61</v>
      </c>
      <c r="N146" s="112" t="s">
        <v>14</v>
      </c>
      <c r="O146" s="104" t="s">
        <v>27</v>
      </c>
      <c r="P146" s="104"/>
      <c r="Q146" s="105"/>
      <c r="R146" s="33" t="s">
        <v>174</v>
      </c>
      <c r="S146" s="225">
        <f t="shared" si="2"/>
        <v>55793</v>
      </c>
      <c r="T146" s="7" t="s">
        <v>7688</v>
      </c>
      <c r="U146" s="162" t="s">
        <v>20</v>
      </c>
      <c r="V146" s="161" t="str" cm="1">
        <f t="array" ref="V146">_xlfn.IFS(C146="","",COUNTIF(C146,"ตำแหน่งว่าง*"),"ว่าง",COUNTIF(C146,"&lt;&gt;ตำแหน่งว่าง*"),"คนครอง")</f>
        <v>คนครอง</v>
      </c>
      <c r="W146" s="49" cm="1">
        <f t="array" ref="W146">_xlfn.IFS(COUNTIF(F146,"ผบ.หมู่*"),51,COUNTIF(F146,"รอง สว.*"),43)</f>
        <v>51</v>
      </c>
      <c r="X146" s="1" t="s">
        <v>386</v>
      </c>
      <c r="Y146" s="1" t="s">
        <v>27</v>
      </c>
    </row>
    <row r="147" spans="1:25" s="12" customFormat="1" ht="21.3" customHeight="1">
      <c r="A147" s="27"/>
      <c r="B147" s="28"/>
      <c r="C147" s="30" t="s">
        <v>18</v>
      </c>
      <c r="D147" s="27"/>
      <c r="E147" s="27"/>
      <c r="F147" s="68" t="s">
        <v>382</v>
      </c>
      <c r="G147" s="121" t="s">
        <v>389</v>
      </c>
      <c r="H147" s="87" t="s">
        <v>19</v>
      </c>
      <c r="I147" s="73" t="s">
        <v>19</v>
      </c>
      <c r="J147" s="72" t="s">
        <v>19</v>
      </c>
      <c r="K147" s="73" t="s">
        <v>19</v>
      </c>
      <c r="L147" s="11"/>
      <c r="M147" s="1"/>
      <c r="N147" s="113" t="s">
        <v>14</v>
      </c>
      <c r="O147" s="122" t="s">
        <v>27</v>
      </c>
      <c r="P147" s="122"/>
      <c r="Q147" s="105"/>
      <c r="R147" s="33"/>
      <c r="S147" s="225" t="str">
        <f t="shared" si="2"/>
        <v/>
      </c>
      <c r="T147" s="162" t="s">
        <v>7688</v>
      </c>
      <c r="U147" s="162" t="s">
        <v>20</v>
      </c>
      <c r="V147" s="161" t="str" cm="1">
        <f t="array" ref="V147">_xlfn.IFS(C147="","",COUNTIF(C147,"ตำแหน่งว่าง*"),"ว่าง",COUNTIF(C147,"&lt;&gt;ตำแหน่งว่าง*"),"คนครอง")</f>
        <v>ว่าง</v>
      </c>
      <c r="W147" s="49" cm="1">
        <f t="array" ref="W147">_xlfn.IFS(COUNTIF(F147,"ผบ.หมู่*"),51,COUNTIF(F147,"รอง สว.*"),43)</f>
        <v>51</v>
      </c>
      <c r="X147" s="6" t="s">
        <v>388</v>
      </c>
      <c r="Y147" s="6" t="s">
        <v>27</v>
      </c>
    </row>
    <row r="148" spans="1:25" s="10" customFormat="1" ht="21.3" customHeight="1">
      <c r="A148" s="27"/>
      <c r="B148" s="28"/>
      <c r="C148" s="30" t="s">
        <v>18</v>
      </c>
      <c r="D148" s="27"/>
      <c r="E148" s="27"/>
      <c r="F148" s="68" t="s">
        <v>382</v>
      </c>
      <c r="G148" s="121" t="s">
        <v>391</v>
      </c>
      <c r="H148" s="87" t="s">
        <v>19</v>
      </c>
      <c r="I148" s="73" t="s">
        <v>19</v>
      </c>
      <c r="J148" s="72" t="s">
        <v>19</v>
      </c>
      <c r="K148" s="73" t="s">
        <v>19</v>
      </c>
      <c r="L148" s="11"/>
      <c r="M148" s="1"/>
      <c r="N148" s="113" t="s">
        <v>14</v>
      </c>
      <c r="O148" s="122" t="s">
        <v>27</v>
      </c>
      <c r="P148" s="122"/>
      <c r="Q148" s="105"/>
      <c r="R148" s="33"/>
      <c r="S148" s="225" t="str">
        <f t="shared" si="2"/>
        <v/>
      </c>
      <c r="T148" s="7" t="s">
        <v>7688</v>
      </c>
      <c r="U148" s="162" t="s">
        <v>20</v>
      </c>
      <c r="V148" s="161" t="str" cm="1">
        <f t="array" ref="V148">_xlfn.IFS(C148="","",COUNTIF(C148,"ตำแหน่งว่าง*"),"ว่าง",COUNTIF(C148,"&lt;&gt;ตำแหน่งว่าง*"),"คนครอง")</f>
        <v>ว่าง</v>
      </c>
      <c r="W148" s="49" cm="1">
        <f t="array" ref="W148">_xlfn.IFS(COUNTIF(F148,"ผบ.หมู่*"),51,COUNTIF(F148,"รอง สว.*"),43)</f>
        <v>51</v>
      </c>
      <c r="X148" s="6" t="s">
        <v>390</v>
      </c>
      <c r="Y148" s="6" t="s">
        <v>27</v>
      </c>
    </row>
    <row r="149" spans="1:25" s="10" customFormat="1" ht="21.3" customHeight="1">
      <c r="A149" s="27"/>
      <c r="B149" s="30"/>
      <c r="C149" s="30" t="s">
        <v>18</v>
      </c>
      <c r="D149" s="27"/>
      <c r="E149" s="27"/>
      <c r="F149" s="68" t="s">
        <v>382</v>
      </c>
      <c r="G149" s="121" t="s">
        <v>393</v>
      </c>
      <c r="H149" s="87" t="s">
        <v>19</v>
      </c>
      <c r="I149" s="73" t="s">
        <v>19</v>
      </c>
      <c r="J149" s="72" t="s">
        <v>19</v>
      </c>
      <c r="K149" s="73" t="s">
        <v>19</v>
      </c>
      <c r="L149" s="11"/>
      <c r="M149" s="1"/>
      <c r="N149" s="113" t="s">
        <v>14</v>
      </c>
      <c r="O149" s="122" t="s">
        <v>27</v>
      </c>
      <c r="P149" s="122"/>
      <c r="Q149" s="106"/>
      <c r="R149" s="149"/>
      <c r="S149" s="225" t="str">
        <f t="shared" si="2"/>
        <v/>
      </c>
      <c r="T149" s="7" t="s">
        <v>7688</v>
      </c>
      <c r="U149" s="162" t="s">
        <v>20</v>
      </c>
      <c r="V149" s="161" t="str" cm="1">
        <f t="array" ref="V149">_xlfn.IFS(C149="","",COUNTIF(C149,"ตำแหน่งว่าง*"),"ว่าง",COUNTIF(C149,"&lt;&gt;ตำแหน่งว่าง*"),"คนครอง")</f>
        <v>ว่าง</v>
      </c>
      <c r="W149" s="49" cm="1">
        <f t="array" ref="W149">_xlfn.IFS(COUNTIF(F149,"ผบ.หมู่*"),51,COUNTIF(F149,"รอง สว.*"),43)</f>
        <v>51</v>
      </c>
      <c r="X149" s="6" t="s">
        <v>392</v>
      </c>
      <c r="Y149" s="6" t="s">
        <v>27</v>
      </c>
    </row>
    <row r="150" spans="1:25" s="12" customFormat="1" ht="21.3" customHeight="1">
      <c r="A150" s="27" t="s">
        <v>612</v>
      </c>
      <c r="B150" s="28" t="s">
        <v>12</v>
      </c>
      <c r="C150" s="95" t="s">
        <v>394</v>
      </c>
      <c r="D150" s="27" t="s">
        <v>8422</v>
      </c>
      <c r="E150" s="27" t="s">
        <v>8423</v>
      </c>
      <c r="F150" s="95" t="s">
        <v>382</v>
      </c>
      <c r="G150" s="101" t="s">
        <v>396</v>
      </c>
      <c r="H150" s="87">
        <v>42416</v>
      </c>
      <c r="I150" s="73">
        <v>42416</v>
      </c>
      <c r="J150" s="72">
        <v>42416</v>
      </c>
      <c r="K150" s="73">
        <v>31819</v>
      </c>
      <c r="L150" s="11" t="s">
        <v>397</v>
      </c>
      <c r="M150" s="1"/>
      <c r="N150" s="111" t="s">
        <v>14</v>
      </c>
      <c r="O150" s="104" t="s">
        <v>27</v>
      </c>
      <c r="P150" s="104"/>
      <c r="Q150" s="105"/>
      <c r="R150" s="33" t="s">
        <v>212</v>
      </c>
      <c r="S150" s="225">
        <f t="shared" si="2"/>
        <v>53966</v>
      </c>
      <c r="T150" s="162" t="s">
        <v>7688</v>
      </c>
      <c r="U150" s="162" t="s">
        <v>20</v>
      </c>
      <c r="V150" s="161" t="str" cm="1">
        <f t="array" ref="V150">_xlfn.IFS(C150="","",COUNTIF(C150,"ตำแหน่งว่าง*"),"ว่าง",COUNTIF(C150,"&lt;&gt;ตำแหน่งว่าง*"),"คนครอง")</f>
        <v>คนครอง</v>
      </c>
      <c r="W150" s="49" cm="1">
        <f t="array" ref="W150">_xlfn.IFS(COUNTIF(F150,"ผบ.หมู่*"),51,COUNTIF(F150,"รอง สว.*"),43)</f>
        <v>51</v>
      </c>
      <c r="X150" s="5" t="s">
        <v>395</v>
      </c>
      <c r="Y150" s="5" t="s">
        <v>27</v>
      </c>
    </row>
    <row r="151" spans="1:25" s="10" customFormat="1" ht="21.3" customHeight="1">
      <c r="A151" s="27"/>
      <c r="B151" s="28"/>
      <c r="C151" s="30" t="s">
        <v>18</v>
      </c>
      <c r="D151" s="27"/>
      <c r="E151" s="27"/>
      <c r="F151" s="68" t="s">
        <v>382</v>
      </c>
      <c r="G151" s="121" t="s">
        <v>399</v>
      </c>
      <c r="H151" s="87" t="s">
        <v>19</v>
      </c>
      <c r="I151" s="73" t="s">
        <v>19</v>
      </c>
      <c r="J151" s="72" t="s">
        <v>19</v>
      </c>
      <c r="K151" s="73" t="s">
        <v>19</v>
      </c>
      <c r="L151" s="11"/>
      <c r="M151" s="1"/>
      <c r="N151" s="113" t="s">
        <v>14</v>
      </c>
      <c r="O151" s="122" t="s">
        <v>27</v>
      </c>
      <c r="P151" s="122"/>
      <c r="Q151" s="105"/>
      <c r="R151" s="33"/>
      <c r="S151" s="225" t="str">
        <f t="shared" si="2"/>
        <v/>
      </c>
      <c r="T151" s="7" t="s">
        <v>7688</v>
      </c>
      <c r="U151" s="162" t="s">
        <v>20</v>
      </c>
      <c r="V151" s="161" t="str" cm="1">
        <f t="array" ref="V151">_xlfn.IFS(C151="","",COUNTIF(C151,"ตำแหน่งว่าง*"),"ว่าง",COUNTIF(C151,"&lt;&gt;ตำแหน่งว่าง*"),"คนครอง")</f>
        <v>ว่าง</v>
      </c>
      <c r="W151" s="49" cm="1">
        <f t="array" ref="W151">_xlfn.IFS(COUNTIF(F151,"ผบ.หมู่*"),51,COUNTIF(F151,"รอง สว.*"),43)</f>
        <v>51</v>
      </c>
      <c r="X151" s="6" t="s">
        <v>398</v>
      </c>
      <c r="Y151" s="6" t="s">
        <v>27</v>
      </c>
    </row>
    <row r="152" spans="1:25" s="10" customFormat="1" ht="21.3" customHeight="1">
      <c r="A152" s="27"/>
      <c r="B152" s="28"/>
      <c r="C152" s="30" t="s">
        <v>18</v>
      </c>
      <c r="D152" s="27"/>
      <c r="E152" s="27"/>
      <c r="F152" s="68" t="s">
        <v>382</v>
      </c>
      <c r="G152" s="121" t="s">
        <v>401</v>
      </c>
      <c r="H152" s="87" t="s">
        <v>19</v>
      </c>
      <c r="I152" s="73" t="s">
        <v>19</v>
      </c>
      <c r="J152" s="72" t="s">
        <v>19</v>
      </c>
      <c r="K152" s="73" t="s">
        <v>19</v>
      </c>
      <c r="L152" s="11"/>
      <c r="M152" s="1"/>
      <c r="N152" s="113" t="s">
        <v>14</v>
      </c>
      <c r="O152" s="122" t="s">
        <v>27</v>
      </c>
      <c r="P152" s="122"/>
      <c r="Q152" s="105"/>
      <c r="R152" s="33"/>
      <c r="S152" s="225" t="str">
        <f t="shared" si="2"/>
        <v/>
      </c>
      <c r="T152" s="7" t="s">
        <v>7688</v>
      </c>
      <c r="U152" s="162" t="s">
        <v>20</v>
      </c>
      <c r="V152" s="161" t="str" cm="1">
        <f t="array" ref="V152">_xlfn.IFS(C152="","",COUNTIF(C152,"ตำแหน่งว่าง*"),"ว่าง",COUNTIF(C152,"&lt;&gt;ตำแหน่งว่าง*"),"คนครอง")</f>
        <v>ว่าง</v>
      </c>
      <c r="W152" s="49" cm="1">
        <f t="array" ref="W152">_xlfn.IFS(COUNTIF(F152,"ผบ.หมู่*"),51,COUNTIF(F152,"รอง สว.*"),43)</f>
        <v>51</v>
      </c>
      <c r="X152" s="6" t="s">
        <v>400</v>
      </c>
      <c r="Y152" s="6" t="s">
        <v>27</v>
      </c>
    </row>
    <row r="153" spans="1:25" s="10" customFormat="1" ht="21.3" customHeight="1">
      <c r="A153" s="27"/>
      <c r="B153" s="28"/>
      <c r="C153" s="30" t="s">
        <v>18</v>
      </c>
      <c r="D153" s="27"/>
      <c r="E153" s="27"/>
      <c r="F153" s="68" t="s">
        <v>382</v>
      </c>
      <c r="G153" s="121" t="s">
        <v>403</v>
      </c>
      <c r="H153" s="87" t="s">
        <v>19</v>
      </c>
      <c r="I153" s="73" t="s">
        <v>19</v>
      </c>
      <c r="J153" s="72" t="s">
        <v>19</v>
      </c>
      <c r="K153" s="73" t="s">
        <v>19</v>
      </c>
      <c r="L153" s="11"/>
      <c r="M153" s="1"/>
      <c r="N153" s="113" t="s">
        <v>14</v>
      </c>
      <c r="O153" s="122" t="s">
        <v>27</v>
      </c>
      <c r="P153" s="122"/>
      <c r="Q153" s="105"/>
      <c r="R153" s="33"/>
      <c r="S153" s="225" t="str">
        <f t="shared" si="2"/>
        <v/>
      </c>
      <c r="T153" s="7" t="s">
        <v>7688</v>
      </c>
      <c r="U153" s="162" t="s">
        <v>20</v>
      </c>
      <c r="V153" s="161" t="str" cm="1">
        <f t="array" ref="V153">_xlfn.IFS(C153="","",COUNTIF(C153,"ตำแหน่งว่าง*"),"ว่าง",COUNTIF(C153,"&lt;&gt;ตำแหน่งว่าง*"),"คนครอง")</f>
        <v>ว่าง</v>
      </c>
      <c r="W153" s="49" cm="1">
        <f t="array" ref="W153">_xlfn.IFS(COUNTIF(F153,"ผบ.หมู่*"),51,COUNTIF(F153,"รอง สว.*"),43)</f>
        <v>51</v>
      </c>
      <c r="X153" s="6" t="s">
        <v>402</v>
      </c>
      <c r="Y153" s="6" t="s">
        <v>27</v>
      </c>
    </row>
    <row r="154" spans="1:25" s="10" customFormat="1" ht="21.3" customHeight="1">
      <c r="A154" s="27"/>
      <c r="B154" s="28"/>
      <c r="C154" s="30" t="s">
        <v>18</v>
      </c>
      <c r="D154" s="27"/>
      <c r="E154" s="27"/>
      <c r="F154" s="68" t="s">
        <v>382</v>
      </c>
      <c r="G154" s="121" t="s">
        <v>405</v>
      </c>
      <c r="H154" s="75" t="s">
        <v>19</v>
      </c>
      <c r="I154" s="73" t="s">
        <v>19</v>
      </c>
      <c r="J154" s="73" t="s">
        <v>19</v>
      </c>
      <c r="K154" s="73" t="s">
        <v>19</v>
      </c>
      <c r="L154" s="11"/>
      <c r="M154" s="1"/>
      <c r="N154" s="113" t="s">
        <v>14</v>
      </c>
      <c r="O154" s="122" t="s">
        <v>27</v>
      </c>
      <c r="P154" s="122"/>
      <c r="Q154" s="105"/>
      <c r="R154" s="28"/>
      <c r="S154" s="225" t="str">
        <f t="shared" si="2"/>
        <v/>
      </c>
      <c r="T154" s="7" t="s">
        <v>7688</v>
      </c>
      <c r="U154" s="162" t="s">
        <v>20</v>
      </c>
      <c r="V154" s="161" t="str" cm="1">
        <f t="array" ref="V154">_xlfn.IFS(C154="","",COUNTIF(C154,"ตำแหน่งว่าง*"),"ว่าง",COUNTIF(C154,"&lt;&gt;ตำแหน่งว่าง*"),"คนครอง")</f>
        <v>ว่าง</v>
      </c>
      <c r="W154" s="49" cm="1">
        <f t="array" ref="W154">_xlfn.IFS(COUNTIF(F154,"ผบ.หมู่*"),51,COUNTIF(F154,"รอง สว.*"),43)</f>
        <v>51</v>
      </c>
      <c r="X154" s="6" t="s">
        <v>404</v>
      </c>
      <c r="Y154" s="6" t="s">
        <v>27</v>
      </c>
    </row>
    <row r="155" spans="1:25" s="12" customFormat="1" ht="21.3" customHeight="1">
      <c r="A155" s="152" t="s">
        <v>92</v>
      </c>
      <c r="B155" s="153"/>
      <c r="C155" s="171"/>
      <c r="D155" s="27"/>
      <c r="E155" s="158"/>
      <c r="F155" s="171"/>
      <c r="G155" s="125"/>
      <c r="H155" s="154" t="s">
        <v>19</v>
      </c>
      <c r="I155" s="126" t="s">
        <v>19</v>
      </c>
      <c r="J155" s="126" t="s">
        <v>19</v>
      </c>
      <c r="K155" s="126" t="s">
        <v>19</v>
      </c>
      <c r="L155" s="127"/>
      <c r="M155" s="128"/>
      <c r="N155" s="129"/>
      <c r="O155" s="125"/>
      <c r="P155" s="125"/>
      <c r="Q155" s="160"/>
      <c r="R155" s="128"/>
      <c r="S155" s="226" t="str">
        <f t="shared" si="2"/>
        <v/>
      </c>
      <c r="T155" s="171"/>
      <c r="U155" s="171"/>
      <c r="V155" s="171" t="str" cm="1">
        <f t="array" ref="V155">_xlfn.IFS(C155="","",COUNTIF(C155,"ตำแหน่งว่าง*"),"ว่าง",COUNTIF(C155,"&lt;&gt;ตำแหน่งว่าง*"),"คนครอง")</f>
        <v/>
      </c>
      <c r="W155" s="129"/>
      <c r="X155" s="129"/>
      <c r="Y155" s="129"/>
    </row>
    <row r="156" spans="1:25" s="10" customFormat="1" ht="21.3" customHeight="1">
      <c r="A156" s="27"/>
      <c r="B156" s="28"/>
      <c r="C156" s="30" t="s">
        <v>18</v>
      </c>
      <c r="D156" s="27"/>
      <c r="E156" s="27"/>
      <c r="F156" s="68" t="s">
        <v>1640</v>
      </c>
      <c r="G156" s="121" t="s">
        <v>1642</v>
      </c>
      <c r="H156" s="91" t="s">
        <v>19</v>
      </c>
      <c r="I156" s="73" t="s">
        <v>19</v>
      </c>
      <c r="J156" s="73" t="s">
        <v>19</v>
      </c>
      <c r="K156" s="73" t="s">
        <v>19</v>
      </c>
      <c r="L156" s="2"/>
      <c r="M156" s="1"/>
      <c r="N156" s="113" t="s">
        <v>14</v>
      </c>
      <c r="O156" s="122" t="s">
        <v>27</v>
      </c>
      <c r="P156" s="122"/>
      <c r="Q156" s="105"/>
      <c r="R156" s="28"/>
      <c r="S156" s="225" t="str">
        <f t="shared" si="2"/>
        <v/>
      </c>
      <c r="T156" s="7" t="s">
        <v>92</v>
      </c>
      <c r="U156" s="7" t="s">
        <v>92</v>
      </c>
      <c r="V156" s="171" t="str" cm="1">
        <f t="array" ref="V156">_xlfn.IFS(C156="","",COUNTIF(C156,"ตำแหน่งว่าง*"),"ว่าง",COUNTIF(C156,"&lt;&gt;ตำแหน่งว่าง*"),"คนครอง")</f>
        <v>ว่าง</v>
      </c>
      <c r="W156" s="49" cm="1">
        <f t="array" ref="W156">_xlfn.IFS(COUNTIF(F156,"ผบ.หมู่*"),51,COUNTIF(F156,"รอง สว.*"),43)</f>
        <v>51</v>
      </c>
      <c r="X156" s="6" t="s">
        <v>1641</v>
      </c>
      <c r="Y156" s="6" t="s">
        <v>27</v>
      </c>
    </row>
    <row r="157" spans="1:25" s="10" customFormat="1" ht="21.3" customHeight="1">
      <c r="A157" s="27"/>
      <c r="B157" s="28"/>
      <c r="C157" s="30" t="s">
        <v>18</v>
      </c>
      <c r="D157" s="27"/>
      <c r="E157" s="27"/>
      <c r="F157" s="68" t="s">
        <v>1640</v>
      </c>
      <c r="G157" s="121" t="s">
        <v>1644</v>
      </c>
      <c r="H157" s="91" t="s">
        <v>19</v>
      </c>
      <c r="I157" s="73" t="s">
        <v>19</v>
      </c>
      <c r="J157" s="73" t="s">
        <v>19</v>
      </c>
      <c r="K157" s="73" t="s">
        <v>19</v>
      </c>
      <c r="L157" s="2"/>
      <c r="M157" s="1"/>
      <c r="N157" s="113" t="s">
        <v>14</v>
      </c>
      <c r="O157" s="122" t="s">
        <v>27</v>
      </c>
      <c r="P157" s="122"/>
      <c r="Q157" s="105"/>
      <c r="R157" s="28"/>
      <c r="S157" s="225" t="str">
        <f t="shared" si="2"/>
        <v/>
      </c>
      <c r="T157" s="7" t="s">
        <v>92</v>
      </c>
      <c r="U157" s="7" t="s">
        <v>92</v>
      </c>
      <c r="V157" s="171" t="str" cm="1">
        <f t="array" ref="V157">_xlfn.IFS(C157="","",COUNTIF(C157,"ตำแหน่งว่าง*"),"ว่าง",COUNTIF(C157,"&lt;&gt;ตำแหน่งว่าง*"),"คนครอง")</f>
        <v>ว่าง</v>
      </c>
      <c r="W157" s="49" cm="1">
        <f t="array" ref="W157">_xlfn.IFS(COUNTIF(F157,"ผบ.หมู่*"),51,COUNTIF(F157,"รอง สว.*"),43)</f>
        <v>51</v>
      </c>
      <c r="X157" s="6" t="s">
        <v>1643</v>
      </c>
      <c r="Y157" s="6" t="s">
        <v>27</v>
      </c>
    </row>
    <row r="158" spans="1:25" s="10" customFormat="1" ht="21.3" customHeight="1">
      <c r="A158" s="27"/>
      <c r="B158" s="28"/>
      <c r="C158" s="30" t="s">
        <v>18</v>
      </c>
      <c r="D158" s="27"/>
      <c r="E158" s="27"/>
      <c r="F158" s="68" t="s">
        <v>1640</v>
      </c>
      <c r="G158" s="121" t="s">
        <v>1646</v>
      </c>
      <c r="H158" s="91" t="s">
        <v>19</v>
      </c>
      <c r="I158" s="73" t="s">
        <v>19</v>
      </c>
      <c r="J158" s="73" t="s">
        <v>19</v>
      </c>
      <c r="K158" s="73" t="s">
        <v>19</v>
      </c>
      <c r="L158" s="2"/>
      <c r="M158" s="1"/>
      <c r="N158" s="113" t="s">
        <v>14</v>
      </c>
      <c r="O158" s="122" t="s">
        <v>27</v>
      </c>
      <c r="P158" s="122"/>
      <c r="Q158" s="105"/>
      <c r="R158" s="28"/>
      <c r="S158" s="225" t="str">
        <f t="shared" si="2"/>
        <v/>
      </c>
      <c r="T158" s="7" t="s">
        <v>92</v>
      </c>
      <c r="U158" s="7" t="s">
        <v>92</v>
      </c>
      <c r="V158" s="171" t="str" cm="1">
        <f t="array" ref="V158">_xlfn.IFS(C158="","",COUNTIF(C158,"ตำแหน่งว่าง*"),"ว่าง",COUNTIF(C158,"&lt;&gt;ตำแหน่งว่าง*"),"คนครอง")</f>
        <v>ว่าง</v>
      </c>
      <c r="W158" s="49" cm="1">
        <f t="array" ref="W158">_xlfn.IFS(COUNTIF(F158,"ผบ.หมู่*"),51,COUNTIF(F158,"รอง สว.*"),43)</f>
        <v>51</v>
      </c>
      <c r="X158" s="6" t="s">
        <v>1645</v>
      </c>
      <c r="Y158" s="6" t="s">
        <v>27</v>
      </c>
    </row>
    <row r="159" spans="1:25" s="12" customFormat="1" ht="21.3" customHeight="1">
      <c r="A159" s="27" t="s">
        <v>30</v>
      </c>
      <c r="B159" s="28" t="s">
        <v>12</v>
      </c>
      <c r="C159" s="95" t="s">
        <v>1647</v>
      </c>
      <c r="D159" s="27" t="s">
        <v>8424</v>
      </c>
      <c r="E159" s="27" t="s">
        <v>8425</v>
      </c>
      <c r="F159" s="95" t="s">
        <v>1648</v>
      </c>
      <c r="G159" s="101" t="s">
        <v>1650</v>
      </c>
      <c r="H159" s="91">
        <v>43555</v>
      </c>
      <c r="I159" s="73">
        <v>40063</v>
      </c>
      <c r="J159" s="73">
        <v>35279</v>
      </c>
      <c r="K159" s="73">
        <v>24167</v>
      </c>
      <c r="L159" s="27" t="s">
        <v>1651</v>
      </c>
      <c r="M159" s="28" t="s">
        <v>103</v>
      </c>
      <c r="N159" s="111" t="s">
        <v>14</v>
      </c>
      <c r="O159" s="104" t="s">
        <v>27</v>
      </c>
      <c r="P159" s="104"/>
      <c r="Q159" s="105"/>
      <c r="R159" s="28" t="s">
        <v>603</v>
      </c>
      <c r="S159" s="225">
        <f t="shared" si="2"/>
        <v>46296</v>
      </c>
      <c r="T159" s="162" t="s">
        <v>7698</v>
      </c>
      <c r="U159" s="7" t="s">
        <v>92</v>
      </c>
      <c r="V159" s="162" t="str" cm="1">
        <f t="array" ref="V159">_xlfn.IFS(C159="","",COUNTIF(C159,"ตำแหน่งว่าง*"),"ว่าง",COUNTIF(C159,"&lt;&gt;ตำแหน่งว่าง*"),"คนครอง")</f>
        <v>คนครอง</v>
      </c>
      <c r="W159" s="49" cm="1">
        <f t="array" ref="W159">_xlfn.IFS(COUNTIF(F159,"ผบ.หมู่*"),51,COUNTIF(F159,"รอง สว.*"),43)</f>
        <v>43</v>
      </c>
      <c r="X159" s="5" t="s">
        <v>1649</v>
      </c>
      <c r="Y159" s="5" t="s">
        <v>27</v>
      </c>
    </row>
    <row r="160" spans="1:25" s="10" customFormat="1" ht="21.3" customHeight="1">
      <c r="A160" s="27" t="s">
        <v>169</v>
      </c>
      <c r="B160" s="28" t="s">
        <v>21</v>
      </c>
      <c r="C160" s="27" t="s">
        <v>1652</v>
      </c>
      <c r="D160" s="27" t="s">
        <v>8426</v>
      </c>
      <c r="E160" s="27" t="s">
        <v>8427</v>
      </c>
      <c r="F160" s="27" t="s">
        <v>1653</v>
      </c>
      <c r="G160" s="101" t="s">
        <v>1655</v>
      </c>
      <c r="H160" s="87">
        <v>45092</v>
      </c>
      <c r="I160" s="73">
        <v>45092</v>
      </c>
      <c r="J160" s="72">
        <v>45092</v>
      </c>
      <c r="K160" s="73">
        <v>33695</v>
      </c>
      <c r="L160" s="45" t="s">
        <v>7813</v>
      </c>
      <c r="M160" s="30" t="s">
        <v>106</v>
      </c>
      <c r="N160" s="112" t="s">
        <v>14</v>
      </c>
      <c r="O160" s="104" t="s">
        <v>27</v>
      </c>
      <c r="P160" s="104"/>
      <c r="Q160" s="105"/>
      <c r="R160" s="28" t="s">
        <v>174</v>
      </c>
      <c r="S160" s="225">
        <f t="shared" si="2"/>
        <v>55793</v>
      </c>
      <c r="T160" s="7" t="s">
        <v>7698</v>
      </c>
      <c r="U160" s="7" t="s">
        <v>92</v>
      </c>
      <c r="V160" s="162" t="str" cm="1">
        <f t="array" ref="V160">_xlfn.IFS(C160="","",COUNTIF(C160,"ตำแหน่งว่าง*"),"ว่าง",COUNTIF(C160,"&lt;&gt;ตำแหน่งว่าง*"),"คนครอง")</f>
        <v>คนครอง</v>
      </c>
      <c r="W160" s="49" cm="1">
        <f t="array" ref="W160">_xlfn.IFS(COUNTIF(F160,"ผบ.หมู่*"),51,COUNTIF(F160,"รอง สว.*"),43)</f>
        <v>51</v>
      </c>
      <c r="X160" s="1" t="s">
        <v>1654</v>
      </c>
      <c r="Y160" s="1" t="s">
        <v>27</v>
      </c>
    </row>
    <row r="161" spans="1:25" s="9" customFormat="1" ht="21.3" customHeight="1">
      <c r="A161" s="27" t="s">
        <v>44</v>
      </c>
      <c r="B161" s="28" t="s">
        <v>12</v>
      </c>
      <c r="C161" s="27" t="s">
        <v>1656</v>
      </c>
      <c r="D161" s="27" t="s">
        <v>8084</v>
      </c>
      <c r="E161" s="27" t="s">
        <v>8428</v>
      </c>
      <c r="F161" s="27" t="s">
        <v>1657</v>
      </c>
      <c r="G161" s="101" t="s">
        <v>1659</v>
      </c>
      <c r="H161" s="91">
        <v>44431</v>
      </c>
      <c r="I161" s="73">
        <v>44651</v>
      </c>
      <c r="J161" s="73">
        <v>34001</v>
      </c>
      <c r="K161" s="73">
        <v>24283</v>
      </c>
      <c r="L161" s="68" t="s">
        <v>1660</v>
      </c>
      <c r="M161" s="30" t="s">
        <v>13</v>
      </c>
      <c r="N161" s="112" t="s">
        <v>14</v>
      </c>
      <c r="O161" s="104" t="s">
        <v>27</v>
      </c>
      <c r="P161" s="104"/>
      <c r="Q161" s="105"/>
      <c r="R161" s="28" t="s">
        <v>1661</v>
      </c>
      <c r="S161" s="225">
        <f t="shared" si="2"/>
        <v>46296</v>
      </c>
      <c r="T161" s="2" t="s">
        <v>7698</v>
      </c>
      <c r="U161" s="7" t="s">
        <v>92</v>
      </c>
      <c r="V161" s="162" t="str" cm="1">
        <f t="array" ref="V161">_xlfn.IFS(C161="","",COUNTIF(C161,"ตำแหน่งว่าง*"),"ว่าง",COUNTIF(C161,"&lt;&gt;ตำแหน่งว่าง*"),"คนครอง")</f>
        <v>คนครอง</v>
      </c>
      <c r="W161" s="49" cm="1">
        <f t="array" ref="W161">_xlfn.IFS(COUNTIF(F161,"ผบ.หมู่*"),51,COUNTIF(F161,"รอง สว.*"),43)</f>
        <v>43</v>
      </c>
      <c r="X161" s="1" t="s">
        <v>1658</v>
      </c>
      <c r="Y161" s="1" t="s">
        <v>27</v>
      </c>
    </row>
    <row r="162" spans="1:25" s="9" customFormat="1" ht="21.3" customHeight="1">
      <c r="A162" s="68"/>
      <c r="B162" s="30"/>
      <c r="C162" s="30" t="s">
        <v>18</v>
      </c>
      <c r="D162" s="27"/>
      <c r="E162" s="27"/>
      <c r="F162" s="68" t="s">
        <v>1662</v>
      </c>
      <c r="G162" s="121" t="s">
        <v>1664</v>
      </c>
      <c r="H162" s="93"/>
      <c r="I162" s="74"/>
      <c r="J162" s="90"/>
      <c r="K162" s="74"/>
      <c r="L162" s="68"/>
      <c r="M162" s="30"/>
      <c r="N162" s="113" t="s">
        <v>14</v>
      </c>
      <c r="O162" s="122" t="s">
        <v>27</v>
      </c>
      <c r="P162" s="122"/>
      <c r="Q162" s="106"/>
      <c r="R162" s="30"/>
      <c r="S162" s="225" t="str">
        <f t="shared" si="2"/>
        <v/>
      </c>
      <c r="T162" s="2" t="s">
        <v>7698</v>
      </c>
      <c r="U162" s="7" t="s">
        <v>92</v>
      </c>
      <c r="V162" s="171" t="str" cm="1">
        <f t="array" ref="V162">_xlfn.IFS(C162="","",COUNTIF(C162,"ตำแหน่งว่าง*"),"ว่าง",COUNTIF(C162,"&lt;&gt;ตำแหน่งว่าง*"),"คนครอง")</f>
        <v>ว่าง</v>
      </c>
      <c r="W162" s="49" cm="1">
        <f t="array" ref="W162">_xlfn.IFS(COUNTIF(F162,"ผบ.หมู่*"),51,COUNTIF(F162,"รอง สว.*"),43)</f>
        <v>51</v>
      </c>
      <c r="X162" s="1" t="s">
        <v>1663</v>
      </c>
      <c r="Y162" s="1" t="s">
        <v>27</v>
      </c>
    </row>
    <row r="163" spans="1:25" s="9" customFormat="1" ht="21.3" customHeight="1">
      <c r="A163" s="27"/>
      <c r="B163" s="28"/>
      <c r="C163" s="28" t="s">
        <v>18</v>
      </c>
      <c r="D163" s="27"/>
      <c r="E163" s="27"/>
      <c r="F163" s="27" t="s">
        <v>1662</v>
      </c>
      <c r="G163" s="101" t="s">
        <v>1666</v>
      </c>
      <c r="H163" s="91"/>
      <c r="I163" s="73"/>
      <c r="J163" s="85"/>
      <c r="K163" s="73"/>
      <c r="L163" s="68"/>
      <c r="M163" s="28"/>
      <c r="N163" s="112" t="s">
        <v>14</v>
      </c>
      <c r="O163" s="104" t="s">
        <v>27</v>
      </c>
      <c r="P163" s="104"/>
      <c r="Q163" s="105"/>
      <c r="R163" s="28"/>
      <c r="S163" s="225" t="str">
        <f t="shared" si="2"/>
        <v/>
      </c>
      <c r="T163" s="2" t="s">
        <v>7698</v>
      </c>
      <c r="U163" s="7" t="s">
        <v>92</v>
      </c>
      <c r="V163" s="162" t="str" cm="1">
        <f t="array" ref="V163">_xlfn.IFS(C163="","",COUNTIF(C163,"ตำแหน่งว่าง*"),"ว่าง",COUNTIF(C163,"&lt;&gt;ตำแหน่งว่าง*"),"คนครอง")</f>
        <v>ว่าง</v>
      </c>
      <c r="W163" s="49" cm="1">
        <f t="array" ref="W163">_xlfn.IFS(COUNTIF(F163,"ผบ.หมู่*"),51,COUNTIF(F163,"รอง สว.*"),43)</f>
        <v>51</v>
      </c>
      <c r="X163" s="1" t="s">
        <v>1665</v>
      </c>
      <c r="Y163" s="1" t="s">
        <v>27</v>
      </c>
    </row>
    <row r="164" spans="1:25" s="10" customFormat="1" ht="21.3" customHeight="1">
      <c r="A164" s="27" t="s">
        <v>169</v>
      </c>
      <c r="B164" s="28" t="s">
        <v>21</v>
      </c>
      <c r="C164" s="27" t="s">
        <v>1668</v>
      </c>
      <c r="D164" s="27" t="s">
        <v>8429</v>
      </c>
      <c r="E164" s="27" t="s">
        <v>8430</v>
      </c>
      <c r="F164" s="27" t="s">
        <v>1662</v>
      </c>
      <c r="G164" s="101" t="s">
        <v>1670</v>
      </c>
      <c r="H164" s="87">
        <v>45092</v>
      </c>
      <c r="I164" s="73">
        <v>45092</v>
      </c>
      <c r="J164" s="72">
        <v>45092</v>
      </c>
      <c r="K164" s="73">
        <v>34813</v>
      </c>
      <c r="L164" s="45" t="s">
        <v>7814</v>
      </c>
      <c r="M164" s="30" t="s">
        <v>90</v>
      </c>
      <c r="N164" s="112" t="s">
        <v>14</v>
      </c>
      <c r="O164" s="104" t="s">
        <v>27</v>
      </c>
      <c r="P164" s="104"/>
      <c r="Q164" s="105"/>
      <c r="R164" s="28" t="s">
        <v>174</v>
      </c>
      <c r="S164" s="225">
        <f t="shared" si="2"/>
        <v>56888</v>
      </c>
      <c r="T164" s="7" t="s">
        <v>7698</v>
      </c>
      <c r="U164" s="7" t="s">
        <v>92</v>
      </c>
      <c r="V164" s="162" t="str" cm="1">
        <f t="array" ref="V164">_xlfn.IFS(C164="","",COUNTIF(C164,"ตำแหน่งว่าง*"),"ว่าง",COUNTIF(C164,"&lt;&gt;ตำแหน่งว่าง*"),"คนครอง")</f>
        <v>คนครอง</v>
      </c>
      <c r="W164" s="49" cm="1">
        <f t="array" ref="W164">_xlfn.IFS(COUNTIF(F164,"ผบ.หมู่*"),51,COUNTIF(F164,"รอง สว.*"),43)</f>
        <v>51</v>
      </c>
      <c r="X164" s="1" t="s">
        <v>1669</v>
      </c>
      <c r="Y164" s="1" t="s">
        <v>27</v>
      </c>
    </row>
    <row r="165" spans="1:25" s="10" customFormat="1" ht="21.3" customHeight="1">
      <c r="A165" s="27" t="s">
        <v>169</v>
      </c>
      <c r="B165" s="28" t="s">
        <v>21</v>
      </c>
      <c r="C165" s="27" t="s">
        <v>1672</v>
      </c>
      <c r="D165" s="27" t="s">
        <v>8431</v>
      </c>
      <c r="E165" s="27" t="s">
        <v>8432</v>
      </c>
      <c r="F165" s="27" t="s">
        <v>1662</v>
      </c>
      <c r="G165" s="101" t="s">
        <v>1674</v>
      </c>
      <c r="H165" s="87">
        <v>45092</v>
      </c>
      <c r="I165" s="73">
        <v>45092</v>
      </c>
      <c r="J165" s="72">
        <v>45092</v>
      </c>
      <c r="K165" s="73">
        <v>35489</v>
      </c>
      <c r="L165" s="45" t="s">
        <v>7815</v>
      </c>
      <c r="M165" s="30" t="s">
        <v>98</v>
      </c>
      <c r="N165" s="112" t="s">
        <v>14</v>
      </c>
      <c r="O165" s="104" t="s">
        <v>27</v>
      </c>
      <c r="P165" s="104"/>
      <c r="Q165" s="105"/>
      <c r="R165" s="28" t="s">
        <v>174</v>
      </c>
      <c r="S165" s="225">
        <f t="shared" si="2"/>
        <v>57619</v>
      </c>
      <c r="T165" s="7" t="s">
        <v>7698</v>
      </c>
      <c r="U165" s="7" t="s">
        <v>92</v>
      </c>
      <c r="V165" s="162" t="str" cm="1">
        <f t="array" ref="V165">_xlfn.IFS(C165="","",COUNTIF(C165,"ตำแหน่งว่าง*"),"ว่าง",COUNTIF(C165,"&lt;&gt;ตำแหน่งว่าง*"),"คนครอง")</f>
        <v>คนครอง</v>
      </c>
      <c r="W165" s="49" cm="1">
        <f t="array" ref="W165">_xlfn.IFS(COUNTIF(F165,"ผบ.หมู่*"),51,COUNTIF(F165,"รอง สว.*"),43)</f>
        <v>51</v>
      </c>
      <c r="X165" s="1" t="s">
        <v>1673</v>
      </c>
      <c r="Y165" s="1" t="s">
        <v>27</v>
      </c>
    </row>
    <row r="166" spans="1:25" s="10" customFormat="1" ht="21.3" customHeight="1">
      <c r="A166" s="27" t="s">
        <v>169</v>
      </c>
      <c r="B166" s="28" t="s">
        <v>21</v>
      </c>
      <c r="C166" s="27" t="s">
        <v>7800</v>
      </c>
      <c r="D166" s="27" t="s">
        <v>8433</v>
      </c>
      <c r="E166" s="27" t="s">
        <v>8434</v>
      </c>
      <c r="F166" s="27" t="s">
        <v>1662</v>
      </c>
      <c r="G166" s="101" t="s">
        <v>1676</v>
      </c>
      <c r="H166" s="87">
        <v>45092</v>
      </c>
      <c r="I166" s="73">
        <v>45092</v>
      </c>
      <c r="J166" s="72">
        <v>45092</v>
      </c>
      <c r="K166" s="73">
        <v>34341</v>
      </c>
      <c r="L166" s="45" t="s">
        <v>7815</v>
      </c>
      <c r="M166" s="30" t="s">
        <v>77</v>
      </c>
      <c r="N166" s="112" t="s">
        <v>14</v>
      </c>
      <c r="O166" s="104" t="s">
        <v>27</v>
      </c>
      <c r="P166" s="104"/>
      <c r="Q166" s="105"/>
      <c r="R166" s="28" t="s">
        <v>174</v>
      </c>
      <c r="S166" s="225">
        <f t="shared" si="2"/>
        <v>56523</v>
      </c>
      <c r="T166" s="7" t="s">
        <v>7698</v>
      </c>
      <c r="U166" s="7" t="s">
        <v>92</v>
      </c>
      <c r="V166" s="162" t="str" cm="1">
        <f t="array" ref="V166">_xlfn.IFS(C166="","",COUNTIF(C166,"ตำแหน่งว่าง*"),"ว่าง",COUNTIF(C166,"&lt;&gt;ตำแหน่งว่าง*"),"คนครอง")</f>
        <v>คนครอง</v>
      </c>
      <c r="W166" s="49" cm="1">
        <f t="array" ref="W166">_xlfn.IFS(COUNTIF(F166,"ผบ.หมู่*"),51,COUNTIF(F166,"รอง สว.*"),43)</f>
        <v>51</v>
      </c>
      <c r="X166" s="1" t="s">
        <v>1675</v>
      </c>
      <c r="Y166" s="1" t="s">
        <v>27</v>
      </c>
    </row>
    <row r="167" spans="1:25" s="10" customFormat="1" ht="21.3" customHeight="1">
      <c r="A167" s="27" t="s">
        <v>169</v>
      </c>
      <c r="B167" s="28" t="s">
        <v>21</v>
      </c>
      <c r="C167" s="27" t="s">
        <v>1677</v>
      </c>
      <c r="D167" s="27" t="s">
        <v>8435</v>
      </c>
      <c r="E167" s="27" t="s">
        <v>8436</v>
      </c>
      <c r="F167" s="27" t="s">
        <v>1662</v>
      </c>
      <c r="G167" s="101" t="s">
        <v>1679</v>
      </c>
      <c r="H167" s="87">
        <v>45092</v>
      </c>
      <c r="I167" s="73">
        <v>45092</v>
      </c>
      <c r="J167" s="72">
        <v>45092</v>
      </c>
      <c r="K167" s="73">
        <v>34764</v>
      </c>
      <c r="L167" s="45" t="s">
        <v>5550</v>
      </c>
      <c r="M167" s="30" t="s">
        <v>13</v>
      </c>
      <c r="N167" s="112" t="s">
        <v>14</v>
      </c>
      <c r="O167" s="104" t="s">
        <v>27</v>
      </c>
      <c r="P167" s="104"/>
      <c r="Q167" s="105"/>
      <c r="R167" s="28" t="s">
        <v>174</v>
      </c>
      <c r="S167" s="225">
        <f t="shared" si="2"/>
        <v>56888</v>
      </c>
      <c r="T167" s="7" t="s">
        <v>7698</v>
      </c>
      <c r="U167" s="7" t="s">
        <v>92</v>
      </c>
      <c r="V167" s="162" t="str" cm="1">
        <f t="array" ref="V167">_xlfn.IFS(C167="","",COUNTIF(C167,"ตำแหน่งว่าง*"),"ว่าง",COUNTIF(C167,"&lt;&gt;ตำแหน่งว่าง*"),"คนครอง")</f>
        <v>คนครอง</v>
      </c>
      <c r="W167" s="49" cm="1">
        <f t="array" ref="W167">_xlfn.IFS(COUNTIF(F167,"ผบ.หมู่*"),51,COUNTIF(F167,"รอง สว.*"),43)</f>
        <v>51</v>
      </c>
      <c r="X167" s="1" t="s">
        <v>1678</v>
      </c>
      <c r="Y167" s="1" t="s">
        <v>27</v>
      </c>
    </row>
    <row r="168" spans="1:25" s="10" customFormat="1" ht="21.3" customHeight="1">
      <c r="A168" s="27" t="s">
        <v>169</v>
      </c>
      <c r="B168" s="28" t="s">
        <v>21</v>
      </c>
      <c r="C168" s="27" t="s">
        <v>1681</v>
      </c>
      <c r="D168" s="27" t="s">
        <v>8437</v>
      </c>
      <c r="E168" s="27" t="s">
        <v>8438</v>
      </c>
      <c r="F168" s="27" t="s">
        <v>1662</v>
      </c>
      <c r="G168" s="101" t="s">
        <v>1683</v>
      </c>
      <c r="H168" s="87">
        <v>45092</v>
      </c>
      <c r="I168" s="73">
        <v>45092</v>
      </c>
      <c r="J168" s="72">
        <v>45092</v>
      </c>
      <c r="K168" s="73">
        <v>35508</v>
      </c>
      <c r="L168" s="45" t="s">
        <v>7816</v>
      </c>
      <c r="M168" s="30" t="s">
        <v>57</v>
      </c>
      <c r="N168" s="112" t="s">
        <v>14</v>
      </c>
      <c r="O168" s="104" t="s">
        <v>27</v>
      </c>
      <c r="P168" s="104"/>
      <c r="Q168" s="105"/>
      <c r="R168" s="28" t="s">
        <v>174</v>
      </c>
      <c r="S168" s="225">
        <f t="shared" si="2"/>
        <v>57619</v>
      </c>
      <c r="T168" s="7" t="s">
        <v>7698</v>
      </c>
      <c r="U168" s="7" t="s">
        <v>92</v>
      </c>
      <c r="V168" s="162" t="str" cm="1">
        <f t="array" ref="V168">_xlfn.IFS(C168="","",COUNTIF(C168,"ตำแหน่งว่าง*"),"ว่าง",COUNTIF(C168,"&lt;&gt;ตำแหน่งว่าง*"),"คนครอง")</f>
        <v>คนครอง</v>
      </c>
      <c r="W168" s="49" cm="1">
        <f t="array" ref="W168">_xlfn.IFS(COUNTIF(F168,"ผบ.หมู่*"),51,COUNTIF(F168,"รอง สว.*"),43)</f>
        <v>51</v>
      </c>
      <c r="X168" s="1" t="s">
        <v>1682</v>
      </c>
      <c r="Y168" s="1" t="s">
        <v>27</v>
      </c>
    </row>
    <row r="169" spans="1:25" s="10" customFormat="1" ht="21.3" customHeight="1">
      <c r="A169" s="27"/>
      <c r="B169" s="28"/>
      <c r="C169" s="30" t="s">
        <v>18</v>
      </c>
      <c r="D169" s="27"/>
      <c r="E169" s="27"/>
      <c r="F169" s="68" t="s">
        <v>1662</v>
      </c>
      <c r="G169" s="121" t="s">
        <v>1685</v>
      </c>
      <c r="H169" s="91" t="s">
        <v>19</v>
      </c>
      <c r="I169" s="73" t="s">
        <v>19</v>
      </c>
      <c r="J169" s="73" t="s">
        <v>19</v>
      </c>
      <c r="K169" s="73" t="s">
        <v>19</v>
      </c>
      <c r="L169" s="2"/>
      <c r="M169" s="1"/>
      <c r="N169" s="113" t="s">
        <v>14</v>
      </c>
      <c r="O169" s="122" t="s">
        <v>27</v>
      </c>
      <c r="P169" s="122"/>
      <c r="Q169" s="105"/>
      <c r="R169" s="28"/>
      <c r="S169" s="225" t="str">
        <f t="shared" si="2"/>
        <v/>
      </c>
      <c r="T169" s="7" t="s">
        <v>7698</v>
      </c>
      <c r="U169" s="7" t="s">
        <v>92</v>
      </c>
      <c r="V169" s="171" t="str" cm="1">
        <f t="array" ref="V169">_xlfn.IFS(C169="","",COUNTIF(C169,"ตำแหน่งว่าง*"),"ว่าง",COUNTIF(C169,"&lt;&gt;ตำแหน่งว่าง*"),"คนครอง")</f>
        <v>ว่าง</v>
      </c>
      <c r="W169" s="49" cm="1">
        <f t="array" ref="W169">_xlfn.IFS(COUNTIF(F169,"ผบ.หมู่*"),51,COUNTIF(F169,"รอง สว.*"),43)</f>
        <v>51</v>
      </c>
      <c r="X169" s="6" t="s">
        <v>1684</v>
      </c>
      <c r="Y169" s="6" t="s">
        <v>27</v>
      </c>
    </row>
    <row r="170" spans="1:25" s="10" customFormat="1" ht="21.3" customHeight="1">
      <c r="A170" s="27"/>
      <c r="B170" s="28"/>
      <c r="C170" s="30" t="s">
        <v>18</v>
      </c>
      <c r="D170" s="27"/>
      <c r="E170" s="27"/>
      <c r="F170" s="68" t="s">
        <v>1662</v>
      </c>
      <c r="G170" s="121" t="s">
        <v>1687</v>
      </c>
      <c r="H170" s="91" t="s">
        <v>19</v>
      </c>
      <c r="I170" s="73" t="s">
        <v>19</v>
      </c>
      <c r="J170" s="73" t="s">
        <v>19</v>
      </c>
      <c r="K170" s="73" t="s">
        <v>19</v>
      </c>
      <c r="L170" s="2"/>
      <c r="M170" s="1"/>
      <c r="N170" s="113" t="s">
        <v>14</v>
      </c>
      <c r="O170" s="122" t="s">
        <v>27</v>
      </c>
      <c r="P170" s="122"/>
      <c r="Q170" s="105"/>
      <c r="R170" s="28"/>
      <c r="S170" s="225" t="str">
        <f t="shared" si="2"/>
        <v/>
      </c>
      <c r="T170" s="7" t="s">
        <v>7698</v>
      </c>
      <c r="U170" s="7" t="s">
        <v>92</v>
      </c>
      <c r="V170" s="171" t="str" cm="1">
        <f t="array" ref="V170">_xlfn.IFS(C170="","",COUNTIF(C170,"ตำแหน่งว่าง*"),"ว่าง",COUNTIF(C170,"&lt;&gt;ตำแหน่งว่าง*"),"คนครอง")</f>
        <v>ว่าง</v>
      </c>
      <c r="W170" s="49" cm="1">
        <f t="array" ref="W170">_xlfn.IFS(COUNTIF(F170,"ผบ.หมู่*"),51,COUNTIF(F170,"รอง สว.*"),43)</f>
        <v>51</v>
      </c>
      <c r="X170" s="6" t="s">
        <v>1686</v>
      </c>
      <c r="Y170" s="6" t="s">
        <v>27</v>
      </c>
    </row>
    <row r="171" spans="1:25" s="10" customFormat="1" ht="21.3" customHeight="1">
      <c r="A171" s="27"/>
      <c r="B171" s="28"/>
      <c r="C171" s="30" t="s">
        <v>18</v>
      </c>
      <c r="D171" s="27"/>
      <c r="E171" s="27"/>
      <c r="F171" s="68" t="s">
        <v>1662</v>
      </c>
      <c r="G171" s="121" t="s">
        <v>1689</v>
      </c>
      <c r="H171" s="91" t="s">
        <v>19</v>
      </c>
      <c r="I171" s="73" t="s">
        <v>19</v>
      </c>
      <c r="J171" s="73" t="s">
        <v>19</v>
      </c>
      <c r="K171" s="73" t="s">
        <v>19</v>
      </c>
      <c r="L171" s="2"/>
      <c r="M171" s="1"/>
      <c r="N171" s="113" t="s">
        <v>14</v>
      </c>
      <c r="O171" s="122" t="s">
        <v>27</v>
      </c>
      <c r="P171" s="122"/>
      <c r="Q171" s="105"/>
      <c r="R171" s="28"/>
      <c r="S171" s="225" t="str">
        <f t="shared" si="2"/>
        <v/>
      </c>
      <c r="T171" s="7" t="s">
        <v>7698</v>
      </c>
      <c r="U171" s="7" t="s">
        <v>92</v>
      </c>
      <c r="V171" s="171" t="str" cm="1">
        <f t="array" ref="V171">_xlfn.IFS(C171="","",COUNTIF(C171,"ตำแหน่งว่าง*"),"ว่าง",COUNTIF(C171,"&lt;&gt;ตำแหน่งว่าง*"),"คนครอง")</f>
        <v>ว่าง</v>
      </c>
      <c r="W171" s="49" cm="1">
        <f t="array" ref="W171">_xlfn.IFS(COUNTIF(F171,"ผบ.หมู่*"),51,COUNTIF(F171,"รอง สว.*"),43)</f>
        <v>51</v>
      </c>
      <c r="X171" s="6" t="s">
        <v>1688</v>
      </c>
      <c r="Y171" s="6" t="s">
        <v>27</v>
      </c>
    </row>
    <row r="172" spans="1:25" s="10" customFormat="1" ht="21.3" customHeight="1">
      <c r="A172" s="27"/>
      <c r="B172" s="28"/>
      <c r="C172" s="30" t="s">
        <v>18</v>
      </c>
      <c r="D172" s="27"/>
      <c r="E172" s="27"/>
      <c r="F172" s="68" t="s">
        <v>1662</v>
      </c>
      <c r="G172" s="121" t="s">
        <v>1691</v>
      </c>
      <c r="H172" s="91" t="s">
        <v>19</v>
      </c>
      <c r="I172" s="73" t="s">
        <v>19</v>
      </c>
      <c r="J172" s="73" t="s">
        <v>19</v>
      </c>
      <c r="K172" s="73" t="s">
        <v>19</v>
      </c>
      <c r="L172" s="2"/>
      <c r="M172" s="1"/>
      <c r="N172" s="113" t="s">
        <v>14</v>
      </c>
      <c r="O172" s="122" t="s">
        <v>27</v>
      </c>
      <c r="P172" s="122"/>
      <c r="Q172" s="105"/>
      <c r="R172" s="28"/>
      <c r="S172" s="225" t="str">
        <f t="shared" si="2"/>
        <v/>
      </c>
      <c r="T172" s="7" t="s">
        <v>7698</v>
      </c>
      <c r="U172" s="7" t="s">
        <v>92</v>
      </c>
      <c r="V172" s="171" t="str" cm="1">
        <f t="array" ref="V172">_xlfn.IFS(C172="","",COUNTIF(C172,"ตำแหน่งว่าง*"),"ว่าง",COUNTIF(C172,"&lt;&gt;ตำแหน่งว่าง*"),"คนครอง")</f>
        <v>ว่าง</v>
      </c>
      <c r="W172" s="49" cm="1">
        <f t="array" ref="W172">_xlfn.IFS(COUNTIF(F172,"ผบ.หมู่*"),51,COUNTIF(F172,"รอง สว.*"),43)</f>
        <v>51</v>
      </c>
      <c r="X172" s="6" t="s">
        <v>1690</v>
      </c>
      <c r="Y172" s="6" t="s">
        <v>27</v>
      </c>
    </row>
    <row r="173" spans="1:25" s="10" customFormat="1" ht="21.3" customHeight="1">
      <c r="A173" s="27"/>
      <c r="B173" s="28"/>
      <c r="C173" s="30" t="s">
        <v>18</v>
      </c>
      <c r="D173" s="27"/>
      <c r="E173" s="27"/>
      <c r="F173" s="68" t="s">
        <v>1662</v>
      </c>
      <c r="G173" s="121" t="s">
        <v>1693</v>
      </c>
      <c r="H173" s="91" t="s">
        <v>19</v>
      </c>
      <c r="I173" s="73" t="s">
        <v>19</v>
      </c>
      <c r="J173" s="73" t="s">
        <v>19</v>
      </c>
      <c r="K173" s="73" t="s">
        <v>19</v>
      </c>
      <c r="L173" s="2"/>
      <c r="M173" s="1"/>
      <c r="N173" s="113" t="s">
        <v>14</v>
      </c>
      <c r="O173" s="122" t="s">
        <v>27</v>
      </c>
      <c r="P173" s="122"/>
      <c r="Q173" s="105"/>
      <c r="R173" s="28"/>
      <c r="S173" s="225" t="str">
        <f t="shared" si="2"/>
        <v/>
      </c>
      <c r="T173" s="7" t="s">
        <v>7698</v>
      </c>
      <c r="U173" s="7" t="s">
        <v>92</v>
      </c>
      <c r="V173" s="171" t="str" cm="1">
        <f t="array" ref="V173">_xlfn.IFS(C173="","",COUNTIF(C173,"ตำแหน่งว่าง*"),"ว่าง",COUNTIF(C173,"&lt;&gt;ตำแหน่งว่าง*"),"คนครอง")</f>
        <v>ว่าง</v>
      </c>
      <c r="W173" s="49" cm="1">
        <f t="array" ref="W173">_xlfn.IFS(COUNTIF(F173,"ผบ.หมู่*"),51,COUNTIF(F173,"รอง สว.*"),43)</f>
        <v>51</v>
      </c>
      <c r="X173" s="6" t="s">
        <v>1692</v>
      </c>
      <c r="Y173" s="6" t="s">
        <v>27</v>
      </c>
    </row>
    <row r="174" spans="1:25" s="10" customFormat="1" ht="21.3" customHeight="1">
      <c r="A174" s="27"/>
      <c r="B174" s="28"/>
      <c r="C174" s="30" t="s">
        <v>18</v>
      </c>
      <c r="D174" s="27"/>
      <c r="E174" s="27"/>
      <c r="F174" s="68" t="s">
        <v>1662</v>
      </c>
      <c r="G174" s="121" t="s">
        <v>1695</v>
      </c>
      <c r="H174" s="91" t="s">
        <v>19</v>
      </c>
      <c r="I174" s="73" t="s">
        <v>19</v>
      </c>
      <c r="J174" s="73" t="s">
        <v>19</v>
      </c>
      <c r="K174" s="73" t="s">
        <v>19</v>
      </c>
      <c r="L174" s="2"/>
      <c r="M174" s="1"/>
      <c r="N174" s="113" t="s">
        <v>14</v>
      </c>
      <c r="O174" s="122" t="s">
        <v>27</v>
      </c>
      <c r="P174" s="122"/>
      <c r="Q174" s="105"/>
      <c r="R174" s="28"/>
      <c r="S174" s="225" t="str">
        <f t="shared" si="2"/>
        <v/>
      </c>
      <c r="T174" s="7" t="s">
        <v>7698</v>
      </c>
      <c r="U174" s="7" t="s">
        <v>92</v>
      </c>
      <c r="V174" s="171" t="str" cm="1">
        <f t="array" ref="V174">_xlfn.IFS(C174="","",COUNTIF(C174,"ตำแหน่งว่าง*"),"ว่าง",COUNTIF(C174,"&lt;&gt;ตำแหน่งว่าง*"),"คนครอง")</f>
        <v>ว่าง</v>
      </c>
      <c r="W174" s="49" cm="1">
        <f t="array" ref="W174">_xlfn.IFS(COUNTIF(F174,"ผบ.หมู่*"),51,COUNTIF(F174,"รอง สว.*"),43)</f>
        <v>51</v>
      </c>
      <c r="X174" s="6" t="s">
        <v>1694</v>
      </c>
      <c r="Y174" s="6" t="s">
        <v>27</v>
      </c>
    </row>
    <row r="175" spans="1:25" s="10" customFormat="1" ht="21.3" customHeight="1">
      <c r="A175" s="27"/>
      <c r="B175" s="28"/>
      <c r="C175" s="30" t="s">
        <v>18</v>
      </c>
      <c r="D175" s="27"/>
      <c r="E175" s="27"/>
      <c r="F175" s="68" t="s">
        <v>1662</v>
      </c>
      <c r="G175" s="121" t="s">
        <v>1697</v>
      </c>
      <c r="H175" s="91" t="s">
        <v>19</v>
      </c>
      <c r="I175" s="73" t="s">
        <v>19</v>
      </c>
      <c r="J175" s="73" t="s">
        <v>19</v>
      </c>
      <c r="K175" s="73" t="s">
        <v>19</v>
      </c>
      <c r="L175" s="2"/>
      <c r="M175" s="1"/>
      <c r="N175" s="113" t="s">
        <v>14</v>
      </c>
      <c r="O175" s="122" t="s">
        <v>27</v>
      </c>
      <c r="P175" s="122"/>
      <c r="Q175" s="105"/>
      <c r="R175" s="28"/>
      <c r="S175" s="225" t="str">
        <f t="shared" si="2"/>
        <v/>
      </c>
      <c r="T175" s="7" t="s">
        <v>7698</v>
      </c>
      <c r="U175" s="7" t="s">
        <v>92</v>
      </c>
      <c r="V175" s="171" t="str" cm="1">
        <f t="array" ref="V175">_xlfn.IFS(C175="","",COUNTIF(C175,"ตำแหน่งว่าง*"),"ว่าง",COUNTIF(C175,"&lt;&gt;ตำแหน่งว่าง*"),"คนครอง")</f>
        <v>ว่าง</v>
      </c>
      <c r="W175" s="49" cm="1">
        <f t="array" ref="W175">_xlfn.IFS(COUNTIF(F175,"ผบ.หมู่*"),51,COUNTIF(F175,"รอง สว.*"),43)</f>
        <v>51</v>
      </c>
      <c r="X175" s="6" t="s">
        <v>1696</v>
      </c>
      <c r="Y175" s="6" t="s">
        <v>27</v>
      </c>
    </row>
    <row r="176" spans="1:25" s="10" customFormat="1" ht="21.3" customHeight="1">
      <c r="A176" s="27"/>
      <c r="B176" s="28"/>
      <c r="C176" s="30" t="s">
        <v>18</v>
      </c>
      <c r="D176" s="27"/>
      <c r="E176" s="27"/>
      <c r="F176" s="68" t="s">
        <v>1662</v>
      </c>
      <c r="G176" s="121" t="s">
        <v>1699</v>
      </c>
      <c r="H176" s="91" t="s">
        <v>19</v>
      </c>
      <c r="I176" s="73" t="s">
        <v>19</v>
      </c>
      <c r="J176" s="73" t="s">
        <v>19</v>
      </c>
      <c r="K176" s="73" t="s">
        <v>19</v>
      </c>
      <c r="L176" s="2"/>
      <c r="M176" s="1"/>
      <c r="N176" s="113" t="s">
        <v>14</v>
      </c>
      <c r="O176" s="122" t="s">
        <v>27</v>
      </c>
      <c r="P176" s="122"/>
      <c r="Q176" s="105"/>
      <c r="R176" s="28"/>
      <c r="S176" s="225" t="str">
        <f t="shared" si="2"/>
        <v/>
      </c>
      <c r="T176" s="7" t="s">
        <v>7698</v>
      </c>
      <c r="U176" s="7" t="s">
        <v>92</v>
      </c>
      <c r="V176" s="171" t="str" cm="1">
        <f t="array" ref="V176">_xlfn.IFS(C176="","",COUNTIF(C176,"ตำแหน่งว่าง*"),"ว่าง",COUNTIF(C176,"&lt;&gt;ตำแหน่งว่าง*"),"คนครอง")</f>
        <v>ว่าง</v>
      </c>
      <c r="W176" s="49" cm="1">
        <f t="array" ref="W176">_xlfn.IFS(COUNTIF(F176,"ผบ.หมู่*"),51,COUNTIF(F176,"รอง สว.*"),43)</f>
        <v>51</v>
      </c>
      <c r="X176" s="6" t="s">
        <v>1698</v>
      </c>
      <c r="Y176" s="6" t="s">
        <v>27</v>
      </c>
    </row>
    <row r="177" spans="1:25" s="10" customFormat="1" ht="21.3" customHeight="1">
      <c r="A177" s="68"/>
      <c r="B177" s="30"/>
      <c r="C177" s="30" t="s">
        <v>18</v>
      </c>
      <c r="D177" s="27"/>
      <c r="E177" s="27"/>
      <c r="F177" s="68" t="s">
        <v>1662</v>
      </c>
      <c r="G177" s="121" t="s">
        <v>1701</v>
      </c>
      <c r="H177" s="91" t="s">
        <v>19</v>
      </c>
      <c r="I177" s="73" t="s">
        <v>19</v>
      </c>
      <c r="J177" s="73" t="s">
        <v>19</v>
      </c>
      <c r="K177" s="73" t="s">
        <v>19</v>
      </c>
      <c r="L177" s="2"/>
      <c r="M177" s="1"/>
      <c r="N177" s="113" t="s">
        <v>14</v>
      </c>
      <c r="O177" s="122" t="s">
        <v>27</v>
      </c>
      <c r="P177" s="122"/>
      <c r="Q177" s="106"/>
      <c r="R177" s="30"/>
      <c r="S177" s="225" t="str">
        <f t="shared" si="2"/>
        <v/>
      </c>
      <c r="T177" s="7" t="s">
        <v>7698</v>
      </c>
      <c r="U177" s="7" t="s">
        <v>92</v>
      </c>
      <c r="V177" s="171" t="str" cm="1">
        <f t="array" ref="V177">_xlfn.IFS(C177="","",COUNTIF(C177,"ตำแหน่งว่าง*"),"ว่าง",COUNTIF(C177,"&lt;&gt;ตำแหน่งว่าง*"),"คนครอง")</f>
        <v>ว่าง</v>
      </c>
      <c r="W177" s="49" cm="1">
        <f t="array" ref="W177">_xlfn.IFS(COUNTIF(F177,"ผบ.หมู่*"),51,COUNTIF(F177,"รอง สว.*"),43)</f>
        <v>51</v>
      </c>
      <c r="X177" s="6" t="s">
        <v>1700</v>
      </c>
      <c r="Y177" s="6" t="s">
        <v>27</v>
      </c>
    </row>
    <row r="178" spans="1:25" s="10" customFormat="1" ht="21.3" customHeight="1">
      <c r="A178" s="27"/>
      <c r="B178" s="28"/>
      <c r="C178" s="30" t="s">
        <v>18</v>
      </c>
      <c r="D178" s="27"/>
      <c r="E178" s="27"/>
      <c r="F178" s="68" t="s">
        <v>1662</v>
      </c>
      <c r="G178" s="121" t="s">
        <v>1703</v>
      </c>
      <c r="H178" s="91" t="s">
        <v>19</v>
      </c>
      <c r="I178" s="73" t="s">
        <v>19</v>
      </c>
      <c r="J178" s="73" t="s">
        <v>19</v>
      </c>
      <c r="K178" s="73" t="s">
        <v>19</v>
      </c>
      <c r="L178" s="2"/>
      <c r="M178" s="1"/>
      <c r="N178" s="113" t="s">
        <v>14</v>
      </c>
      <c r="O178" s="122" t="s">
        <v>27</v>
      </c>
      <c r="P178" s="122"/>
      <c r="Q178" s="105"/>
      <c r="R178" s="28"/>
      <c r="S178" s="225" t="str">
        <f t="shared" si="2"/>
        <v/>
      </c>
      <c r="T178" s="7" t="s">
        <v>7698</v>
      </c>
      <c r="U178" s="7" t="s">
        <v>92</v>
      </c>
      <c r="V178" s="171" t="str" cm="1">
        <f t="array" ref="V178">_xlfn.IFS(C178="","",COUNTIF(C178,"ตำแหน่งว่าง*"),"ว่าง",COUNTIF(C178,"&lt;&gt;ตำแหน่งว่าง*"),"คนครอง")</f>
        <v>ว่าง</v>
      </c>
      <c r="W178" s="49" cm="1">
        <f t="array" ref="W178">_xlfn.IFS(COUNTIF(F178,"ผบ.หมู่*"),51,COUNTIF(F178,"รอง สว.*"),43)</f>
        <v>51</v>
      </c>
      <c r="X178" s="6" t="s">
        <v>1702</v>
      </c>
      <c r="Y178" s="6" t="s">
        <v>27</v>
      </c>
    </row>
    <row r="179" spans="1:25" s="10" customFormat="1" ht="21.3" customHeight="1">
      <c r="A179" s="27"/>
      <c r="B179" s="28"/>
      <c r="C179" s="30" t="s">
        <v>18</v>
      </c>
      <c r="D179" s="27"/>
      <c r="E179" s="27"/>
      <c r="F179" s="68" t="s">
        <v>1662</v>
      </c>
      <c r="G179" s="121" t="s">
        <v>1705</v>
      </c>
      <c r="H179" s="91" t="s">
        <v>19</v>
      </c>
      <c r="I179" s="73" t="s">
        <v>19</v>
      </c>
      <c r="J179" s="73" t="s">
        <v>19</v>
      </c>
      <c r="K179" s="73" t="s">
        <v>19</v>
      </c>
      <c r="L179" s="2"/>
      <c r="M179" s="1"/>
      <c r="N179" s="113" t="s">
        <v>14</v>
      </c>
      <c r="O179" s="122" t="s">
        <v>27</v>
      </c>
      <c r="P179" s="122"/>
      <c r="Q179" s="105"/>
      <c r="R179" s="28"/>
      <c r="S179" s="225" t="str">
        <f t="shared" si="2"/>
        <v/>
      </c>
      <c r="T179" s="7" t="s">
        <v>7698</v>
      </c>
      <c r="U179" s="7" t="s">
        <v>92</v>
      </c>
      <c r="V179" s="171" t="str" cm="1">
        <f t="array" ref="V179">_xlfn.IFS(C179="","",COUNTIF(C179,"ตำแหน่งว่าง*"),"ว่าง",COUNTIF(C179,"&lt;&gt;ตำแหน่งว่าง*"),"คนครอง")</f>
        <v>ว่าง</v>
      </c>
      <c r="W179" s="49" cm="1">
        <f t="array" ref="W179">_xlfn.IFS(COUNTIF(F179,"ผบ.หมู่*"),51,COUNTIF(F179,"รอง สว.*"),43)</f>
        <v>51</v>
      </c>
      <c r="X179" s="6" t="s">
        <v>1704</v>
      </c>
      <c r="Y179" s="6" t="s">
        <v>27</v>
      </c>
    </row>
    <row r="180" spans="1:25" s="10" customFormat="1" ht="21.3" customHeight="1">
      <c r="A180" s="27"/>
      <c r="B180" s="28"/>
      <c r="C180" s="30" t="s">
        <v>18</v>
      </c>
      <c r="D180" s="27"/>
      <c r="E180" s="27"/>
      <c r="F180" s="68" t="s">
        <v>1662</v>
      </c>
      <c r="G180" s="121" t="s">
        <v>1707</v>
      </c>
      <c r="H180" s="91" t="s">
        <v>19</v>
      </c>
      <c r="I180" s="73" t="s">
        <v>19</v>
      </c>
      <c r="J180" s="73" t="s">
        <v>19</v>
      </c>
      <c r="K180" s="73" t="s">
        <v>19</v>
      </c>
      <c r="L180" s="2"/>
      <c r="M180" s="1"/>
      <c r="N180" s="113" t="s">
        <v>14</v>
      </c>
      <c r="O180" s="122" t="s">
        <v>27</v>
      </c>
      <c r="P180" s="122"/>
      <c r="Q180" s="105"/>
      <c r="R180" s="28"/>
      <c r="S180" s="225" t="str">
        <f t="shared" si="2"/>
        <v/>
      </c>
      <c r="T180" s="7" t="s">
        <v>7698</v>
      </c>
      <c r="U180" s="7" t="s">
        <v>92</v>
      </c>
      <c r="V180" s="171" t="str" cm="1">
        <f t="array" ref="V180">_xlfn.IFS(C180="","",COUNTIF(C180,"ตำแหน่งว่าง*"),"ว่าง",COUNTIF(C180,"&lt;&gt;ตำแหน่งว่าง*"),"คนครอง")</f>
        <v>ว่าง</v>
      </c>
      <c r="W180" s="49" cm="1">
        <f t="array" ref="W180">_xlfn.IFS(COUNTIF(F180,"ผบ.หมู่*"),51,COUNTIF(F180,"รอง สว.*"),43)</f>
        <v>51</v>
      </c>
      <c r="X180" s="6" t="s">
        <v>1706</v>
      </c>
      <c r="Y180" s="6" t="s">
        <v>27</v>
      </c>
    </row>
    <row r="181" spans="1:25" s="10" customFormat="1" ht="21.3" customHeight="1">
      <c r="A181" s="27"/>
      <c r="B181" s="28"/>
      <c r="C181" s="30" t="s">
        <v>18</v>
      </c>
      <c r="D181" s="27"/>
      <c r="E181" s="27"/>
      <c r="F181" s="68" t="s">
        <v>1662</v>
      </c>
      <c r="G181" s="121" t="s">
        <v>1709</v>
      </c>
      <c r="H181" s="91" t="s">
        <v>19</v>
      </c>
      <c r="I181" s="73" t="s">
        <v>19</v>
      </c>
      <c r="J181" s="73" t="s">
        <v>19</v>
      </c>
      <c r="K181" s="73" t="s">
        <v>19</v>
      </c>
      <c r="L181" s="2"/>
      <c r="M181" s="1"/>
      <c r="N181" s="113" t="s">
        <v>14</v>
      </c>
      <c r="O181" s="122" t="s">
        <v>27</v>
      </c>
      <c r="P181" s="122"/>
      <c r="Q181" s="105"/>
      <c r="R181" s="28"/>
      <c r="S181" s="225" t="str">
        <f t="shared" si="2"/>
        <v/>
      </c>
      <c r="T181" s="7" t="s">
        <v>7698</v>
      </c>
      <c r="U181" s="7" t="s">
        <v>92</v>
      </c>
      <c r="V181" s="171" t="str" cm="1">
        <f t="array" ref="V181">_xlfn.IFS(C181="","",COUNTIF(C181,"ตำแหน่งว่าง*"),"ว่าง",COUNTIF(C181,"&lt;&gt;ตำแหน่งว่าง*"),"คนครอง")</f>
        <v>ว่าง</v>
      </c>
      <c r="W181" s="49" cm="1">
        <f t="array" ref="W181">_xlfn.IFS(COUNTIF(F181,"ผบ.หมู่*"),51,COUNTIF(F181,"รอง สว.*"),43)</f>
        <v>51</v>
      </c>
      <c r="X181" s="6" t="s">
        <v>1708</v>
      </c>
      <c r="Y181" s="6" t="s">
        <v>27</v>
      </c>
    </row>
    <row r="182" spans="1:25" s="10" customFormat="1" ht="21.3" customHeight="1">
      <c r="A182" s="27"/>
      <c r="B182" s="28"/>
      <c r="C182" s="30" t="s">
        <v>18</v>
      </c>
      <c r="D182" s="27"/>
      <c r="E182" s="27"/>
      <c r="F182" s="68" t="s">
        <v>1662</v>
      </c>
      <c r="G182" s="121" t="s">
        <v>1711</v>
      </c>
      <c r="H182" s="91" t="s">
        <v>19</v>
      </c>
      <c r="I182" s="73" t="s">
        <v>19</v>
      </c>
      <c r="J182" s="73" t="s">
        <v>19</v>
      </c>
      <c r="K182" s="73" t="s">
        <v>19</v>
      </c>
      <c r="L182" s="2"/>
      <c r="M182" s="1"/>
      <c r="N182" s="113" t="s">
        <v>14</v>
      </c>
      <c r="O182" s="122" t="s">
        <v>27</v>
      </c>
      <c r="P182" s="122"/>
      <c r="Q182" s="105"/>
      <c r="R182" s="28"/>
      <c r="S182" s="225" t="str">
        <f t="shared" si="2"/>
        <v/>
      </c>
      <c r="T182" s="7" t="s">
        <v>7698</v>
      </c>
      <c r="U182" s="7" t="s">
        <v>92</v>
      </c>
      <c r="V182" s="171" t="str" cm="1">
        <f t="array" ref="V182">_xlfn.IFS(C182="","",COUNTIF(C182,"ตำแหน่งว่าง*"),"ว่าง",COUNTIF(C182,"&lt;&gt;ตำแหน่งว่าง*"),"คนครอง")</f>
        <v>ว่าง</v>
      </c>
      <c r="W182" s="49" cm="1">
        <f t="array" ref="W182">_xlfn.IFS(COUNTIF(F182,"ผบ.หมู่*"),51,COUNTIF(F182,"รอง สว.*"),43)</f>
        <v>51</v>
      </c>
      <c r="X182" s="6" t="s">
        <v>1710</v>
      </c>
      <c r="Y182" s="6" t="s">
        <v>27</v>
      </c>
    </row>
    <row r="183" spans="1:25" s="10" customFormat="1" ht="21.3" customHeight="1">
      <c r="A183" s="27"/>
      <c r="B183" s="28"/>
      <c r="C183" s="30" t="s">
        <v>18</v>
      </c>
      <c r="D183" s="27"/>
      <c r="E183" s="27"/>
      <c r="F183" s="68" t="s">
        <v>1662</v>
      </c>
      <c r="G183" s="121" t="s">
        <v>1713</v>
      </c>
      <c r="H183" s="91" t="s">
        <v>19</v>
      </c>
      <c r="I183" s="73" t="s">
        <v>19</v>
      </c>
      <c r="J183" s="73" t="s">
        <v>19</v>
      </c>
      <c r="K183" s="73" t="s">
        <v>19</v>
      </c>
      <c r="L183" s="2"/>
      <c r="M183" s="1"/>
      <c r="N183" s="113" t="s">
        <v>14</v>
      </c>
      <c r="O183" s="122" t="s">
        <v>27</v>
      </c>
      <c r="P183" s="122"/>
      <c r="Q183" s="105"/>
      <c r="R183" s="28"/>
      <c r="S183" s="225" t="str">
        <f t="shared" si="2"/>
        <v/>
      </c>
      <c r="T183" s="7" t="s">
        <v>7698</v>
      </c>
      <c r="U183" s="7" t="s">
        <v>92</v>
      </c>
      <c r="V183" s="171" t="str" cm="1">
        <f t="array" ref="V183">_xlfn.IFS(C183="","",COUNTIF(C183,"ตำแหน่งว่าง*"),"ว่าง",COUNTIF(C183,"&lt;&gt;ตำแหน่งว่าง*"),"คนครอง")</f>
        <v>ว่าง</v>
      </c>
      <c r="W183" s="49" cm="1">
        <f t="array" ref="W183">_xlfn.IFS(COUNTIF(F183,"ผบ.หมู่*"),51,COUNTIF(F183,"รอง สว.*"),43)</f>
        <v>51</v>
      </c>
      <c r="X183" s="6" t="s">
        <v>1712</v>
      </c>
      <c r="Y183" s="6" t="s">
        <v>27</v>
      </c>
    </row>
    <row r="184" spans="1:25" s="10" customFormat="1" ht="21.3" customHeight="1">
      <c r="A184" s="27"/>
      <c r="B184" s="28"/>
      <c r="C184" s="30" t="s">
        <v>18</v>
      </c>
      <c r="D184" s="27"/>
      <c r="E184" s="27"/>
      <c r="F184" s="68" t="s">
        <v>1662</v>
      </c>
      <c r="G184" s="121" t="s">
        <v>1715</v>
      </c>
      <c r="H184" s="91" t="s">
        <v>19</v>
      </c>
      <c r="I184" s="73" t="s">
        <v>19</v>
      </c>
      <c r="J184" s="73" t="s">
        <v>19</v>
      </c>
      <c r="K184" s="73" t="s">
        <v>19</v>
      </c>
      <c r="L184" s="2"/>
      <c r="M184" s="1"/>
      <c r="N184" s="113" t="s">
        <v>14</v>
      </c>
      <c r="O184" s="122" t="s">
        <v>27</v>
      </c>
      <c r="P184" s="122"/>
      <c r="Q184" s="105"/>
      <c r="R184" s="28"/>
      <c r="S184" s="225" t="str">
        <f t="shared" si="2"/>
        <v/>
      </c>
      <c r="T184" s="7" t="s">
        <v>7698</v>
      </c>
      <c r="U184" s="7" t="s">
        <v>92</v>
      </c>
      <c r="V184" s="171" t="str" cm="1">
        <f t="array" ref="V184">_xlfn.IFS(C184="","",COUNTIF(C184,"ตำแหน่งว่าง*"),"ว่าง",COUNTIF(C184,"&lt;&gt;ตำแหน่งว่าง*"),"คนครอง")</f>
        <v>ว่าง</v>
      </c>
      <c r="W184" s="49" cm="1">
        <f t="array" ref="W184">_xlfn.IFS(COUNTIF(F184,"ผบ.หมู่*"),51,COUNTIF(F184,"รอง สว.*"),43)</f>
        <v>51</v>
      </c>
      <c r="X184" s="6" t="s">
        <v>1714</v>
      </c>
      <c r="Y184" s="6" t="s">
        <v>27</v>
      </c>
    </row>
    <row r="185" spans="1:25" s="10" customFormat="1" ht="21.3" customHeight="1">
      <c r="A185" s="27"/>
      <c r="B185" s="28"/>
      <c r="C185" s="30" t="s">
        <v>18</v>
      </c>
      <c r="D185" s="27"/>
      <c r="E185" s="27"/>
      <c r="F185" s="68" t="s">
        <v>1662</v>
      </c>
      <c r="G185" s="121" t="s">
        <v>1717</v>
      </c>
      <c r="H185" s="91" t="s">
        <v>19</v>
      </c>
      <c r="I185" s="73" t="s">
        <v>19</v>
      </c>
      <c r="J185" s="73" t="s">
        <v>19</v>
      </c>
      <c r="K185" s="73" t="s">
        <v>19</v>
      </c>
      <c r="L185" s="2"/>
      <c r="M185" s="1"/>
      <c r="N185" s="113" t="s">
        <v>14</v>
      </c>
      <c r="O185" s="122" t="s">
        <v>27</v>
      </c>
      <c r="P185" s="122"/>
      <c r="Q185" s="105"/>
      <c r="R185" s="28"/>
      <c r="S185" s="225" t="str">
        <f t="shared" si="2"/>
        <v/>
      </c>
      <c r="T185" s="7" t="s">
        <v>7698</v>
      </c>
      <c r="U185" s="7" t="s">
        <v>92</v>
      </c>
      <c r="V185" s="171" t="str" cm="1">
        <f t="array" ref="V185">_xlfn.IFS(C185="","",COUNTIF(C185,"ตำแหน่งว่าง*"),"ว่าง",COUNTIF(C185,"&lt;&gt;ตำแหน่งว่าง*"),"คนครอง")</f>
        <v>ว่าง</v>
      </c>
      <c r="W185" s="49" cm="1">
        <f t="array" ref="W185">_xlfn.IFS(COUNTIF(F185,"ผบ.หมู่*"),51,COUNTIF(F185,"รอง สว.*"),43)</f>
        <v>51</v>
      </c>
      <c r="X185" s="6" t="s">
        <v>1716</v>
      </c>
      <c r="Y185" s="6" t="s">
        <v>27</v>
      </c>
    </row>
    <row r="186" spans="1:25" s="10" customFormat="1" ht="21.3" customHeight="1">
      <c r="A186" s="27"/>
      <c r="B186" s="28"/>
      <c r="C186" s="30" t="s">
        <v>18</v>
      </c>
      <c r="D186" s="27"/>
      <c r="E186" s="27"/>
      <c r="F186" s="68" t="s">
        <v>1662</v>
      </c>
      <c r="G186" s="121" t="s">
        <v>1719</v>
      </c>
      <c r="H186" s="91" t="s">
        <v>19</v>
      </c>
      <c r="I186" s="73" t="s">
        <v>19</v>
      </c>
      <c r="J186" s="73" t="s">
        <v>19</v>
      </c>
      <c r="K186" s="73" t="s">
        <v>19</v>
      </c>
      <c r="L186" s="2"/>
      <c r="M186" s="1"/>
      <c r="N186" s="113" t="s">
        <v>14</v>
      </c>
      <c r="O186" s="122" t="s">
        <v>27</v>
      </c>
      <c r="P186" s="122"/>
      <c r="Q186" s="105"/>
      <c r="R186" s="28"/>
      <c r="S186" s="225" t="str">
        <f t="shared" si="2"/>
        <v/>
      </c>
      <c r="T186" s="7" t="s">
        <v>7698</v>
      </c>
      <c r="U186" s="7" t="s">
        <v>92</v>
      </c>
      <c r="V186" s="171" t="str" cm="1">
        <f t="array" ref="V186">_xlfn.IFS(C186="","",COUNTIF(C186,"ตำแหน่งว่าง*"),"ว่าง",COUNTIF(C186,"&lt;&gt;ตำแหน่งว่าง*"),"คนครอง")</f>
        <v>ว่าง</v>
      </c>
      <c r="W186" s="49" cm="1">
        <f t="array" ref="W186">_xlfn.IFS(COUNTIF(F186,"ผบ.หมู่*"),51,COUNTIF(F186,"รอง สว.*"),43)</f>
        <v>51</v>
      </c>
      <c r="X186" s="6" t="s">
        <v>1718</v>
      </c>
      <c r="Y186" s="6" t="s">
        <v>27</v>
      </c>
    </row>
    <row r="187" spans="1:25" s="10" customFormat="1" ht="21.3" customHeight="1">
      <c r="A187" s="27"/>
      <c r="B187" s="28"/>
      <c r="C187" s="30" t="s">
        <v>18</v>
      </c>
      <c r="D187" s="27"/>
      <c r="E187" s="27"/>
      <c r="F187" s="68" t="s">
        <v>1662</v>
      </c>
      <c r="G187" s="121" t="s">
        <v>1721</v>
      </c>
      <c r="H187" s="91" t="s">
        <v>19</v>
      </c>
      <c r="I187" s="73" t="s">
        <v>19</v>
      </c>
      <c r="J187" s="73" t="s">
        <v>19</v>
      </c>
      <c r="K187" s="73" t="s">
        <v>19</v>
      </c>
      <c r="L187" s="2"/>
      <c r="M187" s="1"/>
      <c r="N187" s="113" t="s">
        <v>14</v>
      </c>
      <c r="O187" s="122" t="s">
        <v>27</v>
      </c>
      <c r="P187" s="122"/>
      <c r="Q187" s="105"/>
      <c r="R187" s="28"/>
      <c r="S187" s="225" t="str">
        <f t="shared" si="2"/>
        <v/>
      </c>
      <c r="T187" s="7" t="s">
        <v>7698</v>
      </c>
      <c r="U187" s="7" t="s">
        <v>92</v>
      </c>
      <c r="V187" s="171" t="str" cm="1">
        <f t="array" ref="V187">_xlfn.IFS(C187="","",COUNTIF(C187,"ตำแหน่งว่าง*"),"ว่าง",COUNTIF(C187,"&lt;&gt;ตำแหน่งว่าง*"),"คนครอง")</f>
        <v>ว่าง</v>
      </c>
      <c r="W187" s="49" cm="1">
        <f t="array" ref="W187">_xlfn.IFS(COUNTIF(F187,"ผบ.หมู่*"),51,COUNTIF(F187,"รอง สว.*"),43)</f>
        <v>51</v>
      </c>
      <c r="X187" s="6" t="s">
        <v>1720</v>
      </c>
      <c r="Y187" s="6" t="s">
        <v>27</v>
      </c>
    </row>
    <row r="188" spans="1:25" s="10" customFormat="1" ht="21.3" customHeight="1">
      <c r="A188" s="27"/>
      <c r="B188" s="28"/>
      <c r="C188" s="30" t="s">
        <v>18</v>
      </c>
      <c r="D188" s="27"/>
      <c r="E188" s="27"/>
      <c r="F188" s="68" t="s">
        <v>1662</v>
      </c>
      <c r="G188" s="121" t="s">
        <v>1723</v>
      </c>
      <c r="H188" s="91" t="s">
        <v>19</v>
      </c>
      <c r="I188" s="73" t="s">
        <v>19</v>
      </c>
      <c r="J188" s="73" t="s">
        <v>19</v>
      </c>
      <c r="K188" s="73" t="s">
        <v>19</v>
      </c>
      <c r="L188" s="2"/>
      <c r="M188" s="1"/>
      <c r="N188" s="113" t="s">
        <v>14</v>
      </c>
      <c r="O188" s="122" t="s">
        <v>27</v>
      </c>
      <c r="P188" s="122"/>
      <c r="Q188" s="105"/>
      <c r="R188" s="28"/>
      <c r="S188" s="225" t="str">
        <f t="shared" si="2"/>
        <v/>
      </c>
      <c r="T188" s="7" t="s">
        <v>7698</v>
      </c>
      <c r="U188" s="7" t="s">
        <v>92</v>
      </c>
      <c r="V188" s="171" t="str" cm="1">
        <f t="array" ref="V188">_xlfn.IFS(C188="","",COUNTIF(C188,"ตำแหน่งว่าง*"),"ว่าง",COUNTIF(C188,"&lt;&gt;ตำแหน่งว่าง*"),"คนครอง")</f>
        <v>ว่าง</v>
      </c>
      <c r="W188" s="49" cm="1">
        <f t="array" ref="W188">_xlfn.IFS(COUNTIF(F188,"ผบ.หมู่*"),51,COUNTIF(F188,"รอง สว.*"),43)</f>
        <v>51</v>
      </c>
      <c r="X188" s="6" t="s">
        <v>1722</v>
      </c>
      <c r="Y188" s="6" t="s">
        <v>27</v>
      </c>
    </row>
    <row r="189" spans="1:25" s="10" customFormat="1" ht="21.3" customHeight="1">
      <c r="A189" s="27"/>
      <c r="B189" s="28"/>
      <c r="C189" s="30" t="s">
        <v>18</v>
      </c>
      <c r="D189" s="27"/>
      <c r="E189" s="27"/>
      <c r="F189" s="68" t="s">
        <v>1662</v>
      </c>
      <c r="G189" s="121" t="s">
        <v>1725</v>
      </c>
      <c r="H189" s="91" t="s">
        <v>19</v>
      </c>
      <c r="I189" s="73" t="s">
        <v>19</v>
      </c>
      <c r="J189" s="73" t="s">
        <v>19</v>
      </c>
      <c r="K189" s="73" t="s">
        <v>19</v>
      </c>
      <c r="L189" s="2"/>
      <c r="M189" s="1"/>
      <c r="N189" s="113" t="s">
        <v>14</v>
      </c>
      <c r="O189" s="122" t="s">
        <v>27</v>
      </c>
      <c r="P189" s="122"/>
      <c r="Q189" s="105"/>
      <c r="R189" s="28"/>
      <c r="S189" s="225" t="str">
        <f t="shared" si="2"/>
        <v/>
      </c>
      <c r="T189" s="7" t="s">
        <v>7698</v>
      </c>
      <c r="U189" s="7" t="s">
        <v>92</v>
      </c>
      <c r="V189" s="171" t="str" cm="1">
        <f t="array" ref="V189">_xlfn.IFS(C189="","",COUNTIF(C189,"ตำแหน่งว่าง*"),"ว่าง",COUNTIF(C189,"&lt;&gt;ตำแหน่งว่าง*"),"คนครอง")</f>
        <v>ว่าง</v>
      </c>
      <c r="W189" s="49" cm="1">
        <f t="array" ref="W189">_xlfn.IFS(COUNTIF(F189,"ผบ.หมู่*"),51,COUNTIF(F189,"รอง สว.*"),43)</f>
        <v>51</v>
      </c>
      <c r="X189" s="6" t="s">
        <v>1724</v>
      </c>
      <c r="Y189" s="6" t="s">
        <v>27</v>
      </c>
    </row>
    <row r="190" spans="1:25" s="10" customFormat="1" ht="21.3" customHeight="1">
      <c r="A190" s="27"/>
      <c r="B190" s="28"/>
      <c r="C190" s="30" t="s">
        <v>18</v>
      </c>
      <c r="D190" s="27"/>
      <c r="E190" s="27"/>
      <c r="F190" s="68" t="s">
        <v>1662</v>
      </c>
      <c r="G190" s="121" t="s">
        <v>1727</v>
      </c>
      <c r="H190" s="91" t="s">
        <v>19</v>
      </c>
      <c r="I190" s="73" t="s">
        <v>19</v>
      </c>
      <c r="J190" s="73" t="s">
        <v>19</v>
      </c>
      <c r="K190" s="73" t="s">
        <v>19</v>
      </c>
      <c r="L190" s="2"/>
      <c r="M190" s="1"/>
      <c r="N190" s="113" t="s">
        <v>14</v>
      </c>
      <c r="O190" s="122" t="s">
        <v>27</v>
      </c>
      <c r="P190" s="122"/>
      <c r="Q190" s="105"/>
      <c r="R190" s="28"/>
      <c r="S190" s="225" t="str">
        <f t="shared" si="2"/>
        <v/>
      </c>
      <c r="T190" s="7" t="s">
        <v>7698</v>
      </c>
      <c r="U190" s="7" t="s">
        <v>92</v>
      </c>
      <c r="V190" s="171" t="str" cm="1">
        <f t="array" ref="V190">_xlfn.IFS(C190="","",COUNTIF(C190,"ตำแหน่งว่าง*"),"ว่าง",COUNTIF(C190,"&lt;&gt;ตำแหน่งว่าง*"),"คนครอง")</f>
        <v>ว่าง</v>
      </c>
      <c r="W190" s="49" cm="1">
        <f t="array" ref="W190">_xlfn.IFS(COUNTIF(F190,"ผบ.หมู่*"),51,COUNTIF(F190,"รอง สว.*"),43)</f>
        <v>51</v>
      </c>
      <c r="X190" s="6" t="s">
        <v>1726</v>
      </c>
      <c r="Y190" s="6" t="s">
        <v>27</v>
      </c>
    </row>
    <row r="191" spans="1:25" s="10" customFormat="1" ht="21.3" customHeight="1">
      <c r="A191" s="27"/>
      <c r="B191" s="28"/>
      <c r="C191" s="30" t="s">
        <v>18</v>
      </c>
      <c r="D191" s="27"/>
      <c r="E191" s="27"/>
      <c r="F191" s="68" t="s">
        <v>1662</v>
      </c>
      <c r="G191" s="121" t="s">
        <v>1729</v>
      </c>
      <c r="H191" s="91" t="s">
        <v>19</v>
      </c>
      <c r="I191" s="73" t="s">
        <v>19</v>
      </c>
      <c r="J191" s="73" t="s">
        <v>19</v>
      </c>
      <c r="K191" s="73" t="s">
        <v>19</v>
      </c>
      <c r="L191" s="2"/>
      <c r="M191" s="1"/>
      <c r="N191" s="113" t="s">
        <v>14</v>
      </c>
      <c r="O191" s="122" t="s">
        <v>27</v>
      </c>
      <c r="P191" s="122"/>
      <c r="Q191" s="105"/>
      <c r="R191" s="28"/>
      <c r="S191" s="225" t="str">
        <f t="shared" si="2"/>
        <v/>
      </c>
      <c r="T191" s="7" t="s">
        <v>7698</v>
      </c>
      <c r="U191" s="7" t="s">
        <v>92</v>
      </c>
      <c r="V191" s="171" t="str" cm="1">
        <f t="array" ref="V191">_xlfn.IFS(C191="","",COUNTIF(C191,"ตำแหน่งว่าง*"),"ว่าง",COUNTIF(C191,"&lt;&gt;ตำแหน่งว่าง*"),"คนครอง")</f>
        <v>ว่าง</v>
      </c>
      <c r="W191" s="49" cm="1">
        <f t="array" ref="W191">_xlfn.IFS(COUNTIF(F191,"ผบ.หมู่*"),51,COUNTIF(F191,"รอง สว.*"),43)</f>
        <v>51</v>
      </c>
      <c r="X191" s="6" t="s">
        <v>1728</v>
      </c>
      <c r="Y191" s="6" t="s">
        <v>27</v>
      </c>
    </row>
    <row r="192" spans="1:25" s="10" customFormat="1" ht="21.3" customHeight="1">
      <c r="A192" s="27"/>
      <c r="B192" s="28"/>
      <c r="C192" s="30" t="s">
        <v>18</v>
      </c>
      <c r="D192" s="27"/>
      <c r="E192" s="27"/>
      <c r="F192" s="68" t="s">
        <v>1662</v>
      </c>
      <c r="G192" s="121" t="s">
        <v>1731</v>
      </c>
      <c r="H192" s="91" t="s">
        <v>19</v>
      </c>
      <c r="I192" s="73" t="s">
        <v>19</v>
      </c>
      <c r="J192" s="73" t="s">
        <v>19</v>
      </c>
      <c r="K192" s="73" t="s">
        <v>19</v>
      </c>
      <c r="L192" s="2"/>
      <c r="M192" s="1"/>
      <c r="N192" s="113" t="s">
        <v>14</v>
      </c>
      <c r="O192" s="122" t="s">
        <v>27</v>
      </c>
      <c r="P192" s="122"/>
      <c r="Q192" s="105"/>
      <c r="R192" s="28"/>
      <c r="S192" s="225" t="str">
        <f t="shared" si="2"/>
        <v/>
      </c>
      <c r="T192" s="7" t="s">
        <v>7698</v>
      </c>
      <c r="U192" s="7" t="s">
        <v>92</v>
      </c>
      <c r="V192" s="171" t="str" cm="1">
        <f t="array" ref="V192">_xlfn.IFS(C192="","",COUNTIF(C192,"ตำแหน่งว่าง*"),"ว่าง",COUNTIF(C192,"&lt;&gt;ตำแหน่งว่าง*"),"คนครอง")</f>
        <v>ว่าง</v>
      </c>
      <c r="W192" s="49" cm="1">
        <f t="array" ref="W192">_xlfn.IFS(COUNTIF(F192,"ผบ.หมู่*"),51,COUNTIF(F192,"รอง สว.*"),43)</f>
        <v>51</v>
      </c>
      <c r="X192" s="6" t="s">
        <v>1730</v>
      </c>
      <c r="Y192" s="6" t="s">
        <v>27</v>
      </c>
    </row>
    <row r="193" spans="1:25" s="10" customFormat="1" ht="21.3" customHeight="1">
      <c r="A193" s="27"/>
      <c r="B193" s="28"/>
      <c r="C193" s="30" t="s">
        <v>18</v>
      </c>
      <c r="D193" s="27"/>
      <c r="E193" s="27"/>
      <c r="F193" s="68" t="s">
        <v>1732</v>
      </c>
      <c r="G193" s="121" t="s">
        <v>1734</v>
      </c>
      <c r="H193" s="91" t="s">
        <v>19</v>
      </c>
      <c r="I193" s="73" t="s">
        <v>19</v>
      </c>
      <c r="J193" s="73" t="s">
        <v>19</v>
      </c>
      <c r="K193" s="73" t="s">
        <v>19</v>
      </c>
      <c r="L193" s="2"/>
      <c r="M193" s="1"/>
      <c r="N193" s="113" t="s">
        <v>14</v>
      </c>
      <c r="O193" s="122" t="s">
        <v>27</v>
      </c>
      <c r="P193" s="122"/>
      <c r="Q193" s="105"/>
      <c r="R193" s="28"/>
      <c r="S193" s="225" t="str">
        <f t="shared" si="2"/>
        <v/>
      </c>
      <c r="T193" s="7" t="s">
        <v>7690</v>
      </c>
      <c r="U193" s="7" t="s">
        <v>92</v>
      </c>
      <c r="V193" s="171" t="str" cm="1">
        <f t="array" ref="V193">_xlfn.IFS(C193="","",COUNTIF(C193,"ตำแหน่งว่าง*"),"ว่าง",COUNTIF(C193,"&lt;&gt;ตำแหน่งว่าง*"),"คนครอง")</f>
        <v>ว่าง</v>
      </c>
      <c r="W193" s="49" cm="1">
        <f t="array" ref="W193">_xlfn.IFS(COUNTIF(F193,"ผบ.หมู่*"),51,COUNTIF(F193,"รอง สว.*"),43)</f>
        <v>51</v>
      </c>
      <c r="X193" s="6" t="s">
        <v>1733</v>
      </c>
      <c r="Y193" s="6" t="s">
        <v>27</v>
      </c>
    </row>
    <row r="194" spans="1:25" s="10" customFormat="1" ht="21.3" customHeight="1">
      <c r="A194" s="27"/>
      <c r="B194" s="28"/>
      <c r="C194" s="30" t="s">
        <v>18</v>
      </c>
      <c r="D194" s="27"/>
      <c r="E194" s="27"/>
      <c r="F194" s="68" t="s">
        <v>1732</v>
      </c>
      <c r="G194" s="121" t="s">
        <v>1736</v>
      </c>
      <c r="H194" s="91" t="s">
        <v>19</v>
      </c>
      <c r="I194" s="73" t="s">
        <v>19</v>
      </c>
      <c r="J194" s="73" t="s">
        <v>19</v>
      </c>
      <c r="K194" s="73" t="s">
        <v>19</v>
      </c>
      <c r="L194" s="2"/>
      <c r="M194" s="1"/>
      <c r="N194" s="113" t="s">
        <v>14</v>
      </c>
      <c r="O194" s="122" t="s">
        <v>27</v>
      </c>
      <c r="P194" s="122"/>
      <c r="Q194" s="105"/>
      <c r="R194" s="28"/>
      <c r="S194" s="225" t="str">
        <f t="shared" ref="S194:S257" si="3">IF(K194&lt;&gt;"",DATE(YEAR(K194)+60+(K194&gt;=DATE(YEAR(K194),10,2)),10,1),"")</f>
        <v/>
      </c>
      <c r="T194" s="7" t="s">
        <v>7690</v>
      </c>
      <c r="U194" s="7" t="s">
        <v>92</v>
      </c>
      <c r="V194" s="171" t="str" cm="1">
        <f t="array" ref="V194">_xlfn.IFS(C194="","",COUNTIF(C194,"ตำแหน่งว่าง*"),"ว่าง",COUNTIF(C194,"&lt;&gt;ตำแหน่งว่าง*"),"คนครอง")</f>
        <v>ว่าง</v>
      </c>
      <c r="W194" s="49" cm="1">
        <f t="array" ref="W194">_xlfn.IFS(COUNTIF(F194,"ผบ.หมู่*"),51,COUNTIF(F194,"รอง สว.*"),43)</f>
        <v>51</v>
      </c>
      <c r="X194" s="6" t="s">
        <v>1735</v>
      </c>
      <c r="Y194" s="6" t="s">
        <v>27</v>
      </c>
    </row>
    <row r="195" spans="1:25" s="10" customFormat="1" ht="21.3" customHeight="1">
      <c r="A195" s="192" t="s">
        <v>169</v>
      </c>
      <c r="B195" s="193" t="s">
        <v>12</v>
      </c>
      <c r="C195" s="192" t="s">
        <v>7863</v>
      </c>
      <c r="D195" s="27" t="s">
        <v>8439</v>
      </c>
      <c r="E195" s="27" t="s">
        <v>8440</v>
      </c>
      <c r="F195" s="192" t="s">
        <v>1732</v>
      </c>
      <c r="G195" s="101" t="s">
        <v>1738</v>
      </c>
      <c r="H195" s="73">
        <v>45463</v>
      </c>
      <c r="I195" s="73">
        <v>45463</v>
      </c>
      <c r="J195" s="73">
        <v>45463</v>
      </c>
      <c r="K195" s="73">
        <v>33725</v>
      </c>
      <c r="L195" s="2" t="s">
        <v>82</v>
      </c>
      <c r="M195" s="1"/>
      <c r="N195" s="112" t="s">
        <v>14</v>
      </c>
      <c r="O195" s="104" t="s">
        <v>52</v>
      </c>
      <c r="P195" s="104" t="s">
        <v>52</v>
      </c>
      <c r="Q195" s="105"/>
      <c r="R195" s="28" t="s">
        <v>7961</v>
      </c>
      <c r="S195" s="174">
        <f t="shared" si="3"/>
        <v>55793</v>
      </c>
      <c r="T195" s="2" t="s">
        <v>7690</v>
      </c>
      <c r="U195" s="2" t="s">
        <v>92</v>
      </c>
      <c r="V195" s="162" t="str" cm="1">
        <f t="array" ref="V195">_xlfn.IFS(C195="","",COUNTIF(C195,"ตำแหน่งว่าง*"),"ว่าง",COUNTIF(C195,"&lt;&gt;ตำแหน่งว่าง*"),"คนครอง")</f>
        <v>คนครอง</v>
      </c>
      <c r="W195" s="49" cm="1">
        <f t="array" ref="W195">_xlfn.IFS(COUNTIF(F195,"ผบ.หมู่*"),51,COUNTIF(F195,"รอง สว.*"),43)</f>
        <v>51</v>
      </c>
      <c r="X195" s="1" t="s">
        <v>1737</v>
      </c>
      <c r="Y195" s="1" t="s">
        <v>52</v>
      </c>
    </row>
    <row r="196" spans="1:25" s="10" customFormat="1" ht="21.3" customHeight="1">
      <c r="A196" s="192" t="s">
        <v>169</v>
      </c>
      <c r="B196" s="193" t="s">
        <v>12</v>
      </c>
      <c r="C196" s="192" t="s">
        <v>7864</v>
      </c>
      <c r="D196" s="27" t="s">
        <v>8441</v>
      </c>
      <c r="E196" s="27" t="s">
        <v>8442</v>
      </c>
      <c r="F196" s="192" t="s">
        <v>1732</v>
      </c>
      <c r="G196" s="101" t="s">
        <v>1740</v>
      </c>
      <c r="H196" s="73">
        <v>45463</v>
      </c>
      <c r="I196" s="73">
        <v>45463</v>
      </c>
      <c r="J196" s="73">
        <v>45463</v>
      </c>
      <c r="K196" s="73">
        <v>36602</v>
      </c>
      <c r="L196" s="2" t="s">
        <v>82</v>
      </c>
      <c r="M196" s="1"/>
      <c r="N196" s="112" t="s">
        <v>14</v>
      </c>
      <c r="O196" s="104" t="s">
        <v>52</v>
      </c>
      <c r="P196" s="104" t="s">
        <v>52</v>
      </c>
      <c r="Q196" s="105"/>
      <c r="R196" s="28" t="s">
        <v>7961</v>
      </c>
      <c r="S196" s="174">
        <f t="shared" si="3"/>
        <v>58715</v>
      </c>
      <c r="T196" s="2" t="s">
        <v>7690</v>
      </c>
      <c r="U196" s="2" t="s">
        <v>92</v>
      </c>
      <c r="V196" s="162" t="str" cm="1">
        <f t="array" ref="V196">_xlfn.IFS(C196="","",COUNTIF(C196,"ตำแหน่งว่าง*"),"ว่าง",COUNTIF(C196,"&lt;&gt;ตำแหน่งว่าง*"),"คนครอง")</f>
        <v>คนครอง</v>
      </c>
      <c r="W196" s="49" cm="1">
        <f t="array" ref="W196">_xlfn.IFS(COUNTIF(F196,"ผบ.หมู่*"),51,COUNTIF(F196,"รอง สว.*"),43)</f>
        <v>51</v>
      </c>
      <c r="X196" s="1" t="s">
        <v>1739</v>
      </c>
      <c r="Y196" s="1" t="s">
        <v>52</v>
      </c>
    </row>
    <row r="197" spans="1:25" s="10" customFormat="1" ht="21.3" customHeight="1">
      <c r="A197" s="192" t="s">
        <v>169</v>
      </c>
      <c r="B197" s="193" t="s">
        <v>21</v>
      </c>
      <c r="C197" s="192" t="s">
        <v>7865</v>
      </c>
      <c r="D197" s="27" t="s">
        <v>8055</v>
      </c>
      <c r="E197" s="27" t="s">
        <v>8443</v>
      </c>
      <c r="F197" s="192" t="s">
        <v>1732</v>
      </c>
      <c r="G197" s="101" t="s">
        <v>1742</v>
      </c>
      <c r="H197" s="73">
        <v>45463</v>
      </c>
      <c r="I197" s="73">
        <v>45463</v>
      </c>
      <c r="J197" s="73">
        <v>45463</v>
      </c>
      <c r="K197" s="73">
        <v>35461</v>
      </c>
      <c r="L197" s="2" t="s">
        <v>82</v>
      </c>
      <c r="M197" s="1"/>
      <c r="N197" s="112" t="s">
        <v>14</v>
      </c>
      <c r="O197" s="104" t="s">
        <v>52</v>
      </c>
      <c r="P197" s="104" t="s">
        <v>52</v>
      </c>
      <c r="Q197" s="105"/>
      <c r="R197" s="28" t="s">
        <v>7961</v>
      </c>
      <c r="S197" s="174">
        <f t="shared" si="3"/>
        <v>57619</v>
      </c>
      <c r="T197" s="2" t="s">
        <v>7690</v>
      </c>
      <c r="U197" s="2" t="s">
        <v>92</v>
      </c>
      <c r="V197" s="162" t="str" cm="1">
        <f t="array" ref="V197">_xlfn.IFS(C197="","",COUNTIF(C197,"ตำแหน่งว่าง*"),"ว่าง",COUNTIF(C197,"&lt;&gt;ตำแหน่งว่าง*"),"คนครอง")</f>
        <v>คนครอง</v>
      </c>
      <c r="W197" s="49" cm="1">
        <f t="array" ref="W197">_xlfn.IFS(COUNTIF(F197,"ผบ.หมู่*"),51,COUNTIF(F197,"รอง สว.*"),43)</f>
        <v>51</v>
      </c>
      <c r="X197" s="1" t="s">
        <v>1741</v>
      </c>
      <c r="Y197" s="1" t="s">
        <v>52</v>
      </c>
    </row>
    <row r="198" spans="1:25" s="10" customFormat="1" ht="21.3" customHeight="1">
      <c r="A198" s="192" t="s">
        <v>169</v>
      </c>
      <c r="B198" s="193" t="s">
        <v>21</v>
      </c>
      <c r="C198" s="192" t="s">
        <v>7866</v>
      </c>
      <c r="D198" s="27" t="s">
        <v>8180</v>
      </c>
      <c r="E198" s="27" t="s">
        <v>8444</v>
      </c>
      <c r="F198" s="192" t="s">
        <v>1732</v>
      </c>
      <c r="G198" s="101" t="s">
        <v>1744</v>
      </c>
      <c r="H198" s="73">
        <v>45463</v>
      </c>
      <c r="I198" s="73">
        <v>45463</v>
      </c>
      <c r="J198" s="73">
        <v>45463</v>
      </c>
      <c r="K198" s="73">
        <v>34985</v>
      </c>
      <c r="L198" s="2" t="s">
        <v>82</v>
      </c>
      <c r="M198" s="1"/>
      <c r="N198" s="112" t="s">
        <v>14</v>
      </c>
      <c r="O198" s="104" t="s">
        <v>52</v>
      </c>
      <c r="P198" s="104" t="s">
        <v>52</v>
      </c>
      <c r="Q198" s="105"/>
      <c r="R198" s="28" t="s">
        <v>7961</v>
      </c>
      <c r="S198" s="174">
        <f t="shared" si="3"/>
        <v>57254</v>
      </c>
      <c r="T198" s="2" t="s">
        <v>7690</v>
      </c>
      <c r="U198" s="2" t="s">
        <v>92</v>
      </c>
      <c r="V198" s="162" t="str" cm="1">
        <f t="array" ref="V198">_xlfn.IFS(C198="","",COUNTIF(C198,"ตำแหน่งว่าง*"),"ว่าง",COUNTIF(C198,"&lt;&gt;ตำแหน่งว่าง*"),"คนครอง")</f>
        <v>คนครอง</v>
      </c>
      <c r="W198" s="49" cm="1">
        <f t="array" ref="W198">_xlfn.IFS(COUNTIF(F198,"ผบ.หมู่*"),51,COUNTIF(F198,"รอง สว.*"),43)</f>
        <v>51</v>
      </c>
      <c r="X198" s="1" t="s">
        <v>1743</v>
      </c>
      <c r="Y198" s="1" t="s">
        <v>52</v>
      </c>
    </row>
    <row r="199" spans="1:25" s="10" customFormat="1" ht="21.3" customHeight="1">
      <c r="A199" s="192" t="s">
        <v>169</v>
      </c>
      <c r="B199" s="193" t="s">
        <v>21</v>
      </c>
      <c r="C199" s="192" t="s">
        <v>7867</v>
      </c>
      <c r="D199" s="27" t="s">
        <v>8445</v>
      </c>
      <c r="E199" s="27" t="s">
        <v>8446</v>
      </c>
      <c r="F199" s="192" t="s">
        <v>1732</v>
      </c>
      <c r="G199" s="101" t="s">
        <v>1746</v>
      </c>
      <c r="H199" s="73">
        <v>45463</v>
      </c>
      <c r="I199" s="73">
        <v>45463</v>
      </c>
      <c r="J199" s="73">
        <v>45463</v>
      </c>
      <c r="K199" s="73">
        <v>33932</v>
      </c>
      <c r="L199" s="2" t="s">
        <v>82</v>
      </c>
      <c r="M199" s="1"/>
      <c r="N199" s="112" t="s">
        <v>14</v>
      </c>
      <c r="O199" s="104" t="s">
        <v>52</v>
      </c>
      <c r="P199" s="104" t="s">
        <v>52</v>
      </c>
      <c r="Q199" s="105"/>
      <c r="R199" s="28" t="s">
        <v>7961</v>
      </c>
      <c r="S199" s="174">
        <f t="shared" si="3"/>
        <v>56158</v>
      </c>
      <c r="T199" s="2" t="s">
        <v>7690</v>
      </c>
      <c r="U199" s="2" t="s">
        <v>92</v>
      </c>
      <c r="V199" s="162" t="str" cm="1">
        <f t="array" ref="V199">_xlfn.IFS(C199="","",COUNTIF(C199,"ตำแหน่งว่าง*"),"ว่าง",COUNTIF(C199,"&lt;&gt;ตำแหน่งว่าง*"),"คนครอง")</f>
        <v>คนครอง</v>
      </c>
      <c r="W199" s="49" cm="1">
        <f t="array" ref="W199">_xlfn.IFS(COUNTIF(F199,"ผบ.หมู่*"),51,COUNTIF(F199,"รอง สว.*"),43)</f>
        <v>51</v>
      </c>
      <c r="X199" s="1" t="s">
        <v>1745</v>
      </c>
      <c r="Y199" s="1" t="s">
        <v>52</v>
      </c>
    </row>
    <row r="200" spans="1:25" s="12" customFormat="1" ht="21.3" customHeight="1">
      <c r="A200" s="27" t="s">
        <v>182</v>
      </c>
      <c r="B200" s="28" t="s">
        <v>12</v>
      </c>
      <c r="C200" s="27" t="s">
        <v>3370</v>
      </c>
      <c r="D200" s="27" t="s">
        <v>9247</v>
      </c>
      <c r="E200" s="27" t="s">
        <v>9248</v>
      </c>
      <c r="F200" s="27" t="s">
        <v>1732</v>
      </c>
      <c r="G200" s="101" t="s">
        <v>1749</v>
      </c>
      <c r="H200" s="91">
        <v>45768</v>
      </c>
      <c r="I200" s="73">
        <v>44043</v>
      </c>
      <c r="J200" s="73">
        <v>44043</v>
      </c>
      <c r="K200" s="73">
        <v>33368</v>
      </c>
      <c r="L200" s="2" t="s">
        <v>3373</v>
      </c>
      <c r="M200" s="1" t="s">
        <v>13</v>
      </c>
      <c r="N200" s="112" t="s">
        <v>14</v>
      </c>
      <c r="O200" s="104" t="s">
        <v>52</v>
      </c>
      <c r="P200" s="104" t="s">
        <v>52</v>
      </c>
      <c r="Q200" s="105"/>
      <c r="R200" s="28" t="s">
        <v>10804</v>
      </c>
      <c r="S200" s="174">
        <f t="shared" si="3"/>
        <v>55427</v>
      </c>
      <c r="T200" s="2" t="s">
        <v>7690</v>
      </c>
      <c r="U200" s="2" t="s">
        <v>92</v>
      </c>
      <c r="V200" s="2" t="str" cm="1">
        <f t="array" ref="V200">_xlfn.IFS(C200="","",COUNTIF(C200,"ตำแหน่งว่าง*"),"ว่าง",COUNTIF(C200,"&lt;&gt;ตำแหน่งว่าง*"),"คนครอง")</f>
        <v>คนครอง</v>
      </c>
      <c r="W200" s="170" cm="1">
        <f t="array" ref="W200">_xlfn.IFS(COUNTIF(F200,"ผบ.หมู่*"),51,COUNTIF(F200,"รอง สว.*"),43)</f>
        <v>51</v>
      </c>
      <c r="X200" s="1" t="s">
        <v>1748</v>
      </c>
      <c r="Y200" s="1" t="s">
        <v>52</v>
      </c>
    </row>
    <row r="201" spans="1:25" s="12" customFormat="1" ht="21.3" customHeight="1">
      <c r="A201" s="27" t="s">
        <v>157</v>
      </c>
      <c r="B201" s="28" t="s">
        <v>12</v>
      </c>
      <c r="C201" s="95" t="s">
        <v>1750</v>
      </c>
      <c r="D201" s="27" t="s">
        <v>8233</v>
      </c>
      <c r="E201" s="27" t="s">
        <v>8447</v>
      </c>
      <c r="F201" s="95" t="s">
        <v>1732</v>
      </c>
      <c r="G201" s="101" t="s">
        <v>1752</v>
      </c>
      <c r="H201" s="91">
        <v>40063</v>
      </c>
      <c r="I201" s="73">
        <v>40063</v>
      </c>
      <c r="J201" s="73">
        <v>33415</v>
      </c>
      <c r="K201" s="73">
        <v>25775</v>
      </c>
      <c r="L201" s="2" t="s">
        <v>1753</v>
      </c>
      <c r="M201" s="1" t="s">
        <v>35</v>
      </c>
      <c r="N201" s="111" t="s">
        <v>14</v>
      </c>
      <c r="O201" s="104" t="s">
        <v>52</v>
      </c>
      <c r="P201" s="104" t="s">
        <v>52</v>
      </c>
      <c r="Q201" s="105"/>
      <c r="R201" s="28" t="s">
        <v>603</v>
      </c>
      <c r="S201" s="225">
        <f t="shared" si="3"/>
        <v>47757</v>
      </c>
      <c r="T201" s="162" t="s">
        <v>7690</v>
      </c>
      <c r="U201" s="7" t="s">
        <v>92</v>
      </c>
      <c r="V201" s="162" t="str" cm="1">
        <f t="array" ref="V201">_xlfn.IFS(C201="","",COUNTIF(C201,"ตำแหน่งว่าง*"),"ว่าง",COUNTIF(C201,"&lt;&gt;ตำแหน่งว่าง*"),"คนครอง")</f>
        <v>คนครอง</v>
      </c>
      <c r="W201" s="49" cm="1">
        <f t="array" ref="W201">_xlfn.IFS(COUNTIF(F201,"ผบ.หมู่*"),51,COUNTIF(F201,"รอง สว.*"),43)</f>
        <v>51</v>
      </c>
      <c r="X201" s="5" t="s">
        <v>1751</v>
      </c>
      <c r="Y201" s="5" t="s">
        <v>52</v>
      </c>
    </row>
    <row r="202" spans="1:25" s="12" customFormat="1" ht="21.3" customHeight="1">
      <c r="A202" s="192" t="s">
        <v>169</v>
      </c>
      <c r="B202" s="193" t="s">
        <v>21</v>
      </c>
      <c r="C202" s="192" t="s">
        <v>7868</v>
      </c>
      <c r="D202" s="27" t="s">
        <v>8448</v>
      </c>
      <c r="E202" s="27" t="s">
        <v>8449</v>
      </c>
      <c r="F202" s="192" t="s">
        <v>1732</v>
      </c>
      <c r="G202" s="101" t="s">
        <v>1755</v>
      </c>
      <c r="H202" s="73">
        <v>45463</v>
      </c>
      <c r="I202" s="73">
        <v>45463</v>
      </c>
      <c r="J202" s="73">
        <v>45463</v>
      </c>
      <c r="K202" s="73">
        <v>37197</v>
      </c>
      <c r="L202" s="2" t="s">
        <v>82</v>
      </c>
      <c r="M202" s="1"/>
      <c r="N202" s="112" t="s">
        <v>14</v>
      </c>
      <c r="O202" s="104" t="s">
        <v>52</v>
      </c>
      <c r="P202" s="104" t="s">
        <v>52</v>
      </c>
      <c r="Q202" s="105"/>
      <c r="R202" s="28" t="s">
        <v>7961</v>
      </c>
      <c r="S202" s="174">
        <f t="shared" si="3"/>
        <v>59445</v>
      </c>
      <c r="T202" s="2" t="s">
        <v>7690</v>
      </c>
      <c r="U202" s="2" t="s">
        <v>92</v>
      </c>
      <c r="V202" s="162" t="str" cm="1">
        <f t="array" ref="V202">_xlfn.IFS(C202="","",COUNTIF(C202,"ตำแหน่งว่าง*"),"ว่าง",COUNTIF(C202,"&lt;&gt;ตำแหน่งว่าง*"),"คนครอง")</f>
        <v>คนครอง</v>
      </c>
      <c r="W202" s="49" cm="1">
        <f t="array" ref="W202">_xlfn.IFS(COUNTIF(F202,"ผบ.หมู่*"),51,COUNTIF(F202,"รอง สว.*"),43)</f>
        <v>51</v>
      </c>
      <c r="X202" s="1" t="s">
        <v>1754</v>
      </c>
      <c r="Y202" s="1" t="s">
        <v>52</v>
      </c>
    </row>
    <row r="203" spans="1:25" s="10" customFormat="1" ht="21.3" customHeight="1">
      <c r="A203" s="192" t="s">
        <v>169</v>
      </c>
      <c r="B203" s="193" t="s">
        <v>21</v>
      </c>
      <c r="C203" s="192" t="s">
        <v>7869</v>
      </c>
      <c r="D203" s="27" t="s">
        <v>8450</v>
      </c>
      <c r="E203" s="27" t="s">
        <v>8451</v>
      </c>
      <c r="F203" s="192" t="s">
        <v>1732</v>
      </c>
      <c r="G203" s="101" t="s">
        <v>1757</v>
      </c>
      <c r="H203" s="73">
        <v>45463</v>
      </c>
      <c r="I203" s="73">
        <v>45463</v>
      </c>
      <c r="J203" s="73">
        <v>45463</v>
      </c>
      <c r="K203" s="73">
        <v>35021</v>
      </c>
      <c r="L203" s="2" t="s">
        <v>82</v>
      </c>
      <c r="M203" s="1"/>
      <c r="N203" s="112" t="s">
        <v>14</v>
      </c>
      <c r="O203" s="104" t="s">
        <v>52</v>
      </c>
      <c r="P203" s="104" t="s">
        <v>52</v>
      </c>
      <c r="Q203" s="105"/>
      <c r="R203" s="28" t="s">
        <v>7961</v>
      </c>
      <c r="S203" s="174">
        <f t="shared" si="3"/>
        <v>57254</v>
      </c>
      <c r="T203" s="2" t="s">
        <v>7690</v>
      </c>
      <c r="U203" s="2" t="s">
        <v>92</v>
      </c>
      <c r="V203" s="162" t="str" cm="1">
        <f t="array" ref="V203">_xlfn.IFS(C203="","",COUNTIF(C203,"ตำแหน่งว่าง*"),"ว่าง",COUNTIF(C203,"&lt;&gt;ตำแหน่งว่าง*"),"คนครอง")</f>
        <v>คนครอง</v>
      </c>
      <c r="W203" s="49" cm="1">
        <f t="array" ref="W203">_xlfn.IFS(COUNTIF(F203,"ผบ.หมู่*"),51,COUNTIF(F203,"รอง สว.*"),43)</f>
        <v>51</v>
      </c>
      <c r="X203" s="1" t="s">
        <v>1756</v>
      </c>
      <c r="Y203" s="1" t="s">
        <v>52</v>
      </c>
    </row>
    <row r="204" spans="1:25" s="10" customFormat="1" ht="21.3" customHeight="1">
      <c r="A204" s="192" t="s">
        <v>169</v>
      </c>
      <c r="B204" s="193" t="s">
        <v>21</v>
      </c>
      <c r="C204" s="192" t="s">
        <v>7870</v>
      </c>
      <c r="D204" s="27" t="s">
        <v>8452</v>
      </c>
      <c r="E204" s="27" t="s">
        <v>8453</v>
      </c>
      <c r="F204" s="192" t="s">
        <v>1732</v>
      </c>
      <c r="G204" s="101" t="s">
        <v>1759</v>
      </c>
      <c r="H204" s="73">
        <v>45463</v>
      </c>
      <c r="I204" s="73">
        <v>45463</v>
      </c>
      <c r="J204" s="73">
        <v>45463</v>
      </c>
      <c r="K204" s="73">
        <v>35419</v>
      </c>
      <c r="L204" s="2" t="s">
        <v>82</v>
      </c>
      <c r="M204" s="1"/>
      <c r="N204" s="112" t="s">
        <v>14</v>
      </c>
      <c r="O204" s="104" t="s">
        <v>52</v>
      </c>
      <c r="P204" s="104" t="s">
        <v>52</v>
      </c>
      <c r="Q204" s="105"/>
      <c r="R204" s="28" t="s">
        <v>7961</v>
      </c>
      <c r="S204" s="174">
        <f t="shared" si="3"/>
        <v>57619</v>
      </c>
      <c r="T204" s="2" t="s">
        <v>7690</v>
      </c>
      <c r="U204" s="2" t="s">
        <v>92</v>
      </c>
      <c r="V204" s="162" t="str" cm="1">
        <f t="array" ref="V204">_xlfn.IFS(C204="","",COUNTIF(C204,"ตำแหน่งว่าง*"),"ว่าง",COUNTIF(C204,"&lt;&gt;ตำแหน่งว่าง*"),"คนครอง")</f>
        <v>คนครอง</v>
      </c>
      <c r="W204" s="49" cm="1">
        <f t="array" ref="W204">_xlfn.IFS(COUNTIF(F204,"ผบ.หมู่*"),51,COUNTIF(F204,"รอง สว.*"),43)</f>
        <v>51</v>
      </c>
      <c r="X204" s="1" t="s">
        <v>1758</v>
      </c>
      <c r="Y204" s="1" t="s">
        <v>52</v>
      </c>
    </row>
    <row r="205" spans="1:25" s="10" customFormat="1" ht="21.3" customHeight="1">
      <c r="A205" s="27" t="s">
        <v>182</v>
      </c>
      <c r="B205" s="28" t="s">
        <v>12</v>
      </c>
      <c r="C205" s="27" t="s">
        <v>6166</v>
      </c>
      <c r="D205" s="27" t="s">
        <v>10213</v>
      </c>
      <c r="E205" s="27" t="s">
        <v>10214</v>
      </c>
      <c r="F205" s="27" t="s">
        <v>1732</v>
      </c>
      <c r="G205" s="101" t="s">
        <v>1761</v>
      </c>
      <c r="H205" s="91">
        <v>45768</v>
      </c>
      <c r="I205" s="73">
        <v>44043</v>
      </c>
      <c r="J205" s="73">
        <v>44043</v>
      </c>
      <c r="K205" s="73">
        <v>33406</v>
      </c>
      <c r="L205" s="2" t="s">
        <v>82</v>
      </c>
      <c r="M205" s="1" t="s">
        <v>24</v>
      </c>
      <c r="N205" s="112" t="s">
        <v>14</v>
      </c>
      <c r="O205" s="104" t="s">
        <v>52</v>
      </c>
      <c r="P205" s="104" t="s">
        <v>52</v>
      </c>
      <c r="Q205" s="105"/>
      <c r="R205" s="28" t="s">
        <v>10804</v>
      </c>
      <c r="S205" s="174">
        <f t="shared" si="3"/>
        <v>55427</v>
      </c>
      <c r="T205" s="2" t="s">
        <v>7690</v>
      </c>
      <c r="U205" s="2" t="s">
        <v>92</v>
      </c>
      <c r="V205" s="203" t="str" cm="1">
        <f t="array" ref="V205">_xlfn.IFS(C205="","",COUNTIF(C205,"ตำแหน่งว่าง*"),"ว่าง",COUNTIF(C205,"&lt;&gt;ตำแหน่งว่าง*"),"คนครอง")</f>
        <v>คนครอง</v>
      </c>
      <c r="W205" s="170" cm="1">
        <f t="array" ref="W205">_xlfn.IFS(COUNTIF(F205,"ผบ.หมู่*"),51,COUNTIF(F205,"รอง สว.*"),43)</f>
        <v>51</v>
      </c>
      <c r="X205" s="1" t="s">
        <v>1760</v>
      </c>
      <c r="Y205" s="1" t="s">
        <v>52</v>
      </c>
    </row>
    <row r="206" spans="1:25" s="12" customFormat="1" ht="21.3" customHeight="1">
      <c r="A206" s="27" t="s">
        <v>612</v>
      </c>
      <c r="B206" s="28" t="s">
        <v>12</v>
      </c>
      <c r="C206" s="95" t="s">
        <v>1762</v>
      </c>
      <c r="D206" s="27" t="s">
        <v>8215</v>
      </c>
      <c r="E206" s="27" t="s">
        <v>8454</v>
      </c>
      <c r="F206" s="95" t="s">
        <v>1732</v>
      </c>
      <c r="G206" s="101" t="s">
        <v>1764</v>
      </c>
      <c r="H206" s="91">
        <v>42416</v>
      </c>
      <c r="I206" s="73">
        <v>42416</v>
      </c>
      <c r="J206" s="73">
        <v>42416</v>
      </c>
      <c r="K206" s="73">
        <v>32050</v>
      </c>
      <c r="L206" s="2" t="s">
        <v>1765</v>
      </c>
      <c r="M206" s="1" t="s">
        <v>88</v>
      </c>
      <c r="N206" s="111" t="s">
        <v>14</v>
      </c>
      <c r="O206" s="104" t="s">
        <v>52</v>
      </c>
      <c r="P206" s="104" t="s">
        <v>52</v>
      </c>
      <c r="Q206" s="105"/>
      <c r="R206" s="28" t="s">
        <v>1766</v>
      </c>
      <c r="S206" s="225">
        <f t="shared" si="3"/>
        <v>53966</v>
      </c>
      <c r="T206" s="162" t="s">
        <v>7690</v>
      </c>
      <c r="U206" s="7" t="s">
        <v>92</v>
      </c>
      <c r="V206" s="162" t="str" cm="1">
        <f t="array" ref="V206">_xlfn.IFS(C206="","",COUNTIF(C206,"ตำแหน่งว่าง*"),"ว่าง",COUNTIF(C206,"&lt;&gt;ตำแหน่งว่าง*"),"คนครอง")</f>
        <v>คนครอง</v>
      </c>
      <c r="W206" s="49" cm="1">
        <f t="array" ref="W206">_xlfn.IFS(COUNTIF(F206,"ผบ.หมู่*"),51,COUNTIF(F206,"รอง สว.*"),43)</f>
        <v>51</v>
      </c>
      <c r="X206" s="5" t="s">
        <v>1763</v>
      </c>
      <c r="Y206" s="5" t="s">
        <v>52</v>
      </c>
    </row>
    <row r="207" spans="1:25" s="10" customFormat="1" ht="21.3" customHeight="1">
      <c r="A207" s="68"/>
      <c r="B207" s="30"/>
      <c r="C207" s="30" t="s">
        <v>18</v>
      </c>
      <c r="D207" s="27"/>
      <c r="E207" s="27"/>
      <c r="F207" s="68" t="s">
        <v>1732</v>
      </c>
      <c r="G207" s="121" t="s">
        <v>1768</v>
      </c>
      <c r="H207" s="93" t="s">
        <v>19</v>
      </c>
      <c r="I207" s="74" t="s">
        <v>19</v>
      </c>
      <c r="J207" s="74" t="s">
        <v>19</v>
      </c>
      <c r="K207" s="74" t="s">
        <v>19</v>
      </c>
      <c r="L207" s="7"/>
      <c r="M207" s="6"/>
      <c r="N207" s="113" t="s">
        <v>14</v>
      </c>
      <c r="O207" s="122" t="s">
        <v>52</v>
      </c>
      <c r="P207" s="122" t="s">
        <v>52</v>
      </c>
      <c r="Q207" s="106"/>
      <c r="R207" s="30"/>
      <c r="S207" s="225" t="str">
        <f t="shared" si="3"/>
        <v/>
      </c>
      <c r="T207" s="7" t="s">
        <v>7690</v>
      </c>
      <c r="U207" s="7" t="s">
        <v>92</v>
      </c>
      <c r="V207" s="171" t="str" cm="1">
        <f t="array" ref="V207">_xlfn.IFS(C207="","",COUNTIF(C207,"ตำแหน่งว่าง*"),"ว่าง",COUNTIF(C207,"&lt;&gt;ตำแหน่งว่าง*"),"คนครอง")</f>
        <v>ว่าง</v>
      </c>
      <c r="W207" s="49" cm="1">
        <f t="array" ref="W207">_xlfn.IFS(COUNTIF(F207,"ผบ.หมู่*"),51,COUNTIF(F207,"รอง สว.*"),43)</f>
        <v>51</v>
      </c>
      <c r="X207" s="6" t="s">
        <v>1767</v>
      </c>
      <c r="Y207" s="6" t="s">
        <v>52</v>
      </c>
    </row>
    <row r="208" spans="1:25" s="10" customFormat="1" ht="21.3" customHeight="1">
      <c r="A208" s="68"/>
      <c r="B208" s="30"/>
      <c r="C208" s="30" t="s">
        <v>18</v>
      </c>
      <c r="D208" s="27"/>
      <c r="E208" s="27"/>
      <c r="F208" s="68" t="s">
        <v>1732</v>
      </c>
      <c r="G208" s="121" t="s">
        <v>1770</v>
      </c>
      <c r="H208" s="93" t="s">
        <v>19</v>
      </c>
      <c r="I208" s="74" t="s">
        <v>19</v>
      </c>
      <c r="J208" s="74" t="s">
        <v>19</v>
      </c>
      <c r="K208" s="74" t="s">
        <v>19</v>
      </c>
      <c r="L208" s="7"/>
      <c r="M208" s="6"/>
      <c r="N208" s="113" t="s">
        <v>14</v>
      </c>
      <c r="O208" s="122" t="s">
        <v>52</v>
      </c>
      <c r="P208" s="122" t="s">
        <v>52</v>
      </c>
      <c r="Q208" s="106"/>
      <c r="R208" s="30"/>
      <c r="S208" s="225" t="str">
        <f t="shared" si="3"/>
        <v/>
      </c>
      <c r="T208" s="7" t="s">
        <v>7690</v>
      </c>
      <c r="U208" s="7" t="s">
        <v>92</v>
      </c>
      <c r="V208" s="171" t="str" cm="1">
        <f t="array" ref="V208">_xlfn.IFS(C208="","",COUNTIF(C208,"ตำแหน่งว่าง*"),"ว่าง",COUNTIF(C208,"&lt;&gt;ตำแหน่งว่าง*"),"คนครอง")</f>
        <v>ว่าง</v>
      </c>
      <c r="W208" s="49" cm="1">
        <f t="array" ref="W208">_xlfn.IFS(COUNTIF(F208,"ผบ.หมู่*"),51,COUNTIF(F208,"รอง สว.*"),43)</f>
        <v>51</v>
      </c>
      <c r="X208" s="6" t="s">
        <v>1769</v>
      </c>
      <c r="Y208" s="6" t="s">
        <v>52</v>
      </c>
    </row>
    <row r="209" spans="1:25" s="12" customFormat="1" ht="21.3" customHeight="1">
      <c r="A209" s="27" t="s">
        <v>60</v>
      </c>
      <c r="B209" s="28" t="s">
        <v>12</v>
      </c>
      <c r="C209" s="95" t="s">
        <v>1771</v>
      </c>
      <c r="D209" s="27" t="s">
        <v>8455</v>
      </c>
      <c r="E209" s="27" t="s">
        <v>8456</v>
      </c>
      <c r="F209" s="95" t="s">
        <v>1747</v>
      </c>
      <c r="G209" s="101" t="s">
        <v>1773</v>
      </c>
      <c r="H209" s="91">
        <v>40063</v>
      </c>
      <c r="I209" s="73">
        <v>40063</v>
      </c>
      <c r="J209" s="73">
        <v>35825</v>
      </c>
      <c r="K209" s="73">
        <v>26442</v>
      </c>
      <c r="L209" s="2" t="s">
        <v>1774</v>
      </c>
      <c r="M209" s="1" t="s">
        <v>13</v>
      </c>
      <c r="N209" s="111" t="s">
        <v>14</v>
      </c>
      <c r="O209" s="104" t="s">
        <v>52</v>
      </c>
      <c r="P209" s="104" t="s">
        <v>52</v>
      </c>
      <c r="Q209" s="105"/>
      <c r="R209" s="28" t="s">
        <v>603</v>
      </c>
      <c r="S209" s="225">
        <f t="shared" si="3"/>
        <v>48488</v>
      </c>
      <c r="T209" s="162" t="s">
        <v>7690</v>
      </c>
      <c r="U209" s="7" t="s">
        <v>92</v>
      </c>
      <c r="V209" s="162" t="str" cm="1">
        <f t="array" ref="V209">_xlfn.IFS(C209="","",COUNTIF(C209,"ตำแหน่งว่าง*"),"ว่าง",COUNTIF(C209,"&lt;&gt;ตำแหน่งว่าง*"),"คนครอง")</f>
        <v>คนครอง</v>
      </c>
      <c r="W209" s="49" cm="1">
        <f t="array" ref="W209">_xlfn.IFS(COUNTIF(F209,"ผบ.หมู่*"),51,COUNTIF(F209,"รอง สว.*"),43)</f>
        <v>43</v>
      </c>
      <c r="X209" s="5" t="s">
        <v>1772</v>
      </c>
      <c r="Y209" s="5" t="s">
        <v>52</v>
      </c>
    </row>
    <row r="210" spans="1:25" s="10" customFormat="1" ht="21.3" customHeight="1">
      <c r="A210" s="68"/>
      <c r="B210" s="30"/>
      <c r="C210" s="30" t="s">
        <v>18</v>
      </c>
      <c r="D210" s="27"/>
      <c r="E210" s="27"/>
      <c r="F210" s="68" t="s">
        <v>1732</v>
      </c>
      <c r="G210" s="121" t="s">
        <v>1776</v>
      </c>
      <c r="H210" s="93" t="s">
        <v>19</v>
      </c>
      <c r="I210" s="74" t="s">
        <v>19</v>
      </c>
      <c r="J210" s="74" t="s">
        <v>19</v>
      </c>
      <c r="K210" s="74" t="s">
        <v>19</v>
      </c>
      <c r="L210" s="7"/>
      <c r="M210" s="6"/>
      <c r="N210" s="113" t="s">
        <v>14</v>
      </c>
      <c r="O210" s="122" t="s">
        <v>52</v>
      </c>
      <c r="P210" s="122" t="s">
        <v>52</v>
      </c>
      <c r="Q210" s="106"/>
      <c r="R210" s="30"/>
      <c r="S210" s="225" t="str">
        <f t="shared" si="3"/>
        <v/>
      </c>
      <c r="T210" s="7" t="s">
        <v>7690</v>
      </c>
      <c r="U210" s="7" t="s">
        <v>92</v>
      </c>
      <c r="V210" s="171" t="str" cm="1">
        <f t="array" ref="V210">_xlfn.IFS(C210="","",COUNTIF(C210,"ตำแหน่งว่าง*"),"ว่าง",COUNTIF(C210,"&lt;&gt;ตำแหน่งว่าง*"),"คนครอง")</f>
        <v>ว่าง</v>
      </c>
      <c r="W210" s="49" cm="1">
        <f t="array" ref="W210">_xlfn.IFS(COUNTIF(F210,"ผบ.หมู่*"),51,COUNTIF(F210,"รอง สว.*"),43)</f>
        <v>51</v>
      </c>
      <c r="X210" s="6" t="s">
        <v>1775</v>
      </c>
      <c r="Y210" s="6" t="s">
        <v>52</v>
      </c>
    </row>
    <row r="211" spans="1:25" s="10" customFormat="1" ht="21.3" customHeight="1">
      <c r="A211" s="68"/>
      <c r="B211" s="30"/>
      <c r="C211" s="30" t="s">
        <v>18</v>
      </c>
      <c r="D211" s="27"/>
      <c r="E211" s="27"/>
      <c r="F211" s="68" t="s">
        <v>1732</v>
      </c>
      <c r="G211" s="121" t="s">
        <v>1778</v>
      </c>
      <c r="H211" s="93" t="s">
        <v>19</v>
      </c>
      <c r="I211" s="74" t="s">
        <v>19</v>
      </c>
      <c r="J211" s="74" t="s">
        <v>19</v>
      </c>
      <c r="K211" s="74" t="s">
        <v>19</v>
      </c>
      <c r="L211" s="7"/>
      <c r="M211" s="6"/>
      <c r="N211" s="113" t="s">
        <v>14</v>
      </c>
      <c r="O211" s="122" t="s">
        <v>52</v>
      </c>
      <c r="P211" s="122" t="s">
        <v>52</v>
      </c>
      <c r="Q211" s="106"/>
      <c r="R211" s="30"/>
      <c r="S211" s="225" t="str">
        <f t="shared" si="3"/>
        <v/>
      </c>
      <c r="T211" s="7" t="s">
        <v>7690</v>
      </c>
      <c r="U211" s="7" t="s">
        <v>92</v>
      </c>
      <c r="V211" s="171" t="str" cm="1">
        <f t="array" ref="V211">_xlfn.IFS(C211="","",COUNTIF(C211,"ตำแหน่งว่าง*"),"ว่าง",COUNTIF(C211,"&lt;&gt;ตำแหน่งว่าง*"),"คนครอง")</f>
        <v>ว่าง</v>
      </c>
      <c r="W211" s="49" cm="1">
        <f t="array" ref="W211">_xlfn.IFS(COUNTIF(F211,"ผบ.หมู่*"),51,COUNTIF(F211,"รอง สว.*"),43)</f>
        <v>51</v>
      </c>
      <c r="X211" s="6" t="s">
        <v>1777</v>
      </c>
      <c r="Y211" s="6" t="s">
        <v>52</v>
      </c>
    </row>
    <row r="212" spans="1:25" s="10" customFormat="1" ht="21.3" customHeight="1">
      <c r="A212" s="68"/>
      <c r="B212" s="30"/>
      <c r="C212" s="30" t="s">
        <v>18</v>
      </c>
      <c r="D212" s="27"/>
      <c r="E212" s="27"/>
      <c r="F212" s="68" t="s">
        <v>1732</v>
      </c>
      <c r="G212" s="121" t="s">
        <v>1780</v>
      </c>
      <c r="H212" s="93" t="s">
        <v>19</v>
      </c>
      <c r="I212" s="74" t="s">
        <v>19</v>
      </c>
      <c r="J212" s="74" t="s">
        <v>19</v>
      </c>
      <c r="K212" s="74" t="s">
        <v>19</v>
      </c>
      <c r="L212" s="7"/>
      <c r="M212" s="6"/>
      <c r="N212" s="113" t="s">
        <v>14</v>
      </c>
      <c r="O212" s="122" t="s">
        <v>52</v>
      </c>
      <c r="P212" s="122" t="s">
        <v>52</v>
      </c>
      <c r="Q212" s="106"/>
      <c r="R212" s="30"/>
      <c r="S212" s="225" t="str">
        <f t="shared" si="3"/>
        <v/>
      </c>
      <c r="T212" s="7" t="s">
        <v>7690</v>
      </c>
      <c r="U212" s="7" t="s">
        <v>92</v>
      </c>
      <c r="V212" s="171" t="str" cm="1">
        <f t="array" ref="V212">_xlfn.IFS(C212="","",COUNTIF(C212,"ตำแหน่งว่าง*"),"ว่าง",COUNTIF(C212,"&lt;&gt;ตำแหน่งว่าง*"),"คนครอง")</f>
        <v>ว่าง</v>
      </c>
      <c r="W212" s="49" cm="1">
        <f t="array" ref="W212">_xlfn.IFS(COUNTIF(F212,"ผบ.หมู่*"),51,COUNTIF(F212,"รอง สว.*"),43)</f>
        <v>51</v>
      </c>
      <c r="X212" s="6" t="s">
        <v>1779</v>
      </c>
      <c r="Y212" s="6" t="s">
        <v>52</v>
      </c>
    </row>
    <row r="213" spans="1:25" s="10" customFormat="1" ht="21.3" customHeight="1">
      <c r="A213" s="68"/>
      <c r="B213" s="30"/>
      <c r="C213" s="30" t="s">
        <v>18</v>
      </c>
      <c r="D213" s="27"/>
      <c r="E213" s="27"/>
      <c r="F213" s="68" t="s">
        <v>1732</v>
      </c>
      <c r="G213" s="121" t="s">
        <v>1782</v>
      </c>
      <c r="H213" s="93" t="s">
        <v>19</v>
      </c>
      <c r="I213" s="74" t="s">
        <v>19</v>
      </c>
      <c r="J213" s="74" t="s">
        <v>19</v>
      </c>
      <c r="K213" s="74" t="s">
        <v>19</v>
      </c>
      <c r="L213" s="7"/>
      <c r="M213" s="6"/>
      <c r="N213" s="113" t="s">
        <v>14</v>
      </c>
      <c r="O213" s="122" t="s">
        <v>52</v>
      </c>
      <c r="P213" s="122" t="s">
        <v>52</v>
      </c>
      <c r="Q213" s="106"/>
      <c r="R213" s="30"/>
      <c r="S213" s="225" t="str">
        <f t="shared" si="3"/>
        <v/>
      </c>
      <c r="T213" s="7" t="s">
        <v>7690</v>
      </c>
      <c r="U213" s="7" t="s">
        <v>92</v>
      </c>
      <c r="V213" s="171" t="str" cm="1">
        <f t="array" ref="V213">_xlfn.IFS(C213="","",COUNTIF(C213,"ตำแหน่งว่าง*"),"ว่าง",COUNTIF(C213,"&lt;&gt;ตำแหน่งว่าง*"),"คนครอง")</f>
        <v>ว่าง</v>
      </c>
      <c r="W213" s="49" cm="1">
        <f t="array" ref="W213">_xlfn.IFS(COUNTIF(F213,"ผบ.หมู่*"),51,COUNTIF(F213,"รอง สว.*"),43)</f>
        <v>51</v>
      </c>
      <c r="X213" s="6" t="s">
        <v>1781</v>
      </c>
      <c r="Y213" s="6" t="s">
        <v>52</v>
      </c>
    </row>
    <row r="214" spans="1:25" s="12" customFormat="1" ht="21.3" customHeight="1">
      <c r="A214" s="27" t="s">
        <v>26</v>
      </c>
      <c r="B214" s="28" t="s">
        <v>12</v>
      </c>
      <c r="C214" s="95" t="s">
        <v>1783</v>
      </c>
      <c r="D214" s="27" t="s">
        <v>8105</v>
      </c>
      <c r="E214" s="27" t="s">
        <v>8457</v>
      </c>
      <c r="F214" s="95" t="s">
        <v>1747</v>
      </c>
      <c r="G214" s="101" t="s">
        <v>1785</v>
      </c>
      <c r="H214" s="91">
        <v>44286</v>
      </c>
      <c r="I214" s="73">
        <v>44286</v>
      </c>
      <c r="J214" s="73">
        <v>35825</v>
      </c>
      <c r="K214" s="73">
        <v>24770</v>
      </c>
      <c r="L214" s="2" t="s">
        <v>1786</v>
      </c>
      <c r="M214" s="1" t="s">
        <v>73</v>
      </c>
      <c r="N214" s="111" t="s">
        <v>14</v>
      </c>
      <c r="O214" s="104" t="s">
        <v>52</v>
      </c>
      <c r="P214" s="104" t="s">
        <v>52</v>
      </c>
      <c r="Q214" s="105"/>
      <c r="R214" s="28" t="s">
        <v>1313</v>
      </c>
      <c r="S214" s="225">
        <f t="shared" si="3"/>
        <v>47027</v>
      </c>
      <c r="T214" s="162" t="s">
        <v>7690</v>
      </c>
      <c r="U214" s="7" t="s">
        <v>92</v>
      </c>
      <c r="V214" s="162" t="str" cm="1">
        <f t="array" ref="V214">_xlfn.IFS(C214="","",COUNTIF(C214,"ตำแหน่งว่าง*"),"ว่าง",COUNTIF(C214,"&lt;&gt;ตำแหน่งว่าง*"),"คนครอง")</f>
        <v>คนครอง</v>
      </c>
      <c r="W214" s="49" cm="1">
        <f t="array" ref="W214">_xlfn.IFS(COUNTIF(F214,"ผบ.หมู่*"),51,COUNTIF(F214,"รอง สว.*"),43)</f>
        <v>43</v>
      </c>
      <c r="X214" s="5" t="s">
        <v>1784</v>
      </c>
      <c r="Y214" s="5" t="s">
        <v>52</v>
      </c>
    </row>
    <row r="215" spans="1:25" s="10" customFormat="1" ht="21.3" customHeight="1">
      <c r="A215" s="68"/>
      <c r="B215" s="30"/>
      <c r="C215" s="30" t="s">
        <v>18</v>
      </c>
      <c r="D215" s="27"/>
      <c r="E215" s="27"/>
      <c r="F215" s="68" t="s">
        <v>1732</v>
      </c>
      <c r="G215" s="121" t="s">
        <v>1788</v>
      </c>
      <c r="H215" s="93" t="s">
        <v>19</v>
      </c>
      <c r="I215" s="74" t="s">
        <v>19</v>
      </c>
      <c r="J215" s="74" t="s">
        <v>19</v>
      </c>
      <c r="K215" s="74" t="s">
        <v>19</v>
      </c>
      <c r="L215" s="7"/>
      <c r="M215" s="6"/>
      <c r="N215" s="113" t="s">
        <v>14</v>
      </c>
      <c r="O215" s="122" t="s">
        <v>52</v>
      </c>
      <c r="P215" s="122" t="s">
        <v>52</v>
      </c>
      <c r="Q215" s="106"/>
      <c r="R215" s="30"/>
      <c r="S215" s="225" t="str">
        <f t="shared" si="3"/>
        <v/>
      </c>
      <c r="T215" s="7" t="s">
        <v>7690</v>
      </c>
      <c r="U215" s="7" t="s">
        <v>92</v>
      </c>
      <c r="V215" s="171" t="str" cm="1">
        <f t="array" ref="V215">_xlfn.IFS(C215="","",COUNTIF(C215,"ตำแหน่งว่าง*"),"ว่าง",COUNTIF(C215,"&lt;&gt;ตำแหน่งว่าง*"),"คนครอง")</f>
        <v>ว่าง</v>
      </c>
      <c r="W215" s="49" cm="1">
        <f t="array" ref="W215">_xlfn.IFS(COUNTIF(F215,"ผบ.หมู่*"),51,COUNTIF(F215,"รอง สว.*"),43)</f>
        <v>51</v>
      </c>
      <c r="X215" s="6" t="s">
        <v>1787</v>
      </c>
      <c r="Y215" s="6" t="s">
        <v>52</v>
      </c>
    </row>
    <row r="216" spans="1:25" s="12" customFormat="1" ht="21.3" customHeight="1">
      <c r="A216" s="27" t="s">
        <v>612</v>
      </c>
      <c r="B216" s="28" t="s">
        <v>12</v>
      </c>
      <c r="C216" s="95" t="s">
        <v>1789</v>
      </c>
      <c r="D216" s="27" t="s">
        <v>8458</v>
      </c>
      <c r="E216" s="27" t="s">
        <v>8459</v>
      </c>
      <c r="F216" s="95" t="s">
        <v>1732</v>
      </c>
      <c r="G216" s="101" t="s">
        <v>1791</v>
      </c>
      <c r="H216" s="91">
        <v>42416</v>
      </c>
      <c r="I216" s="73">
        <v>42416</v>
      </c>
      <c r="J216" s="73">
        <v>42416</v>
      </c>
      <c r="K216" s="73">
        <v>33659</v>
      </c>
      <c r="L216" s="2" t="s">
        <v>1792</v>
      </c>
      <c r="M216" s="1" t="s">
        <v>24</v>
      </c>
      <c r="N216" s="111" t="s">
        <v>14</v>
      </c>
      <c r="O216" s="104" t="s">
        <v>52</v>
      </c>
      <c r="P216" s="104" t="s">
        <v>52</v>
      </c>
      <c r="Q216" s="105"/>
      <c r="R216" s="28" t="s">
        <v>1766</v>
      </c>
      <c r="S216" s="225">
        <f t="shared" si="3"/>
        <v>55793</v>
      </c>
      <c r="T216" s="162" t="s">
        <v>7690</v>
      </c>
      <c r="U216" s="7" t="s">
        <v>92</v>
      </c>
      <c r="V216" s="162" t="str" cm="1">
        <f t="array" ref="V216">_xlfn.IFS(C216="","",COUNTIF(C216,"ตำแหน่งว่าง*"),"ว่าง",COUNTIF(C216,"&lt;&gt;ตำแหน่งว่าง*"),"คนครอง")</f>
        <v>คนครอง</v>
      </c>
      <c r="W216" s="49" cm="1">
        <f t="array" ref="W216">_xlfn.IFS(COUNTIF(F216,"ผบ.หมู่*"),51,COUNTIF(F216,"รอง สว.*"),43)</f>
        <v>51</v>
      </c>
      <c r="X216" s="5" t="s">
        <v>1790</v>
      </c>
      <c r="Y216" s="5" t="s">
        <v>52</v>
      </c>
    </row>
    <row r="217" spans="1:25" s="12" customFormat="1" ht="21.3" customHeight="1">
      <c r="A217" s="27" t="s">
        <v>157</v>
      </c>
      <c r="B217" s="28" t="s">
        <v>12</v>
      </c>
      <c r="C217" s="95" t="s">
        <v>1793</v>
      </c>
      <c r="D217" s="27" t="s">
        <v>8460</v>
      </c>
      <c r="E217" s="27" t="s">
        <v>8461</v>
      </c>
      <c r="F217" s="95" t="s">
        <v>1732</v>
      </c>
      <c r="G217" s="101" t="s">
        <v>1795</v>
      </c>
      <c r="H217" s="91">
        <v>40063</v>
      </c>
      <c r="I217" s="73">
        <v>37316</v>
      </c>
      <c r="J217" s="73">
        <v>37316</v>
      </c>
      <c r="K217" s="73">
        <v>28443</v>
      </c>
      <c r="L217" s="2" t="s">
        <v>1796</v>
      </c>
      <c r="M217" s="1" t="s">
        <v>97</v>
      </c>
      <c r="N217" s="111" t="s">
        <v>14</v>
      </c>
      <c r="O217" s="104" t="s">
        <v>52</v>
      </c>
      <c r="P217" s="104" t="s">
        <v>52</v>
      </c>
      <c r="Q217" s="105"/>
      <c r="R217" s="28" t="s">
        <v>603</v>
      </c>
      <c r="S217" s="225">
        <f t="shared" si="3"/>
        <v>50679</v>
      </c>
      <c r="T217" s="162" t="s">
        <v>7690</v>
      </c>
      <c r="U217" s="7" t="s">
        <v>92</v>
      </c>
      <c r="V217" s="162" t="str" cm="1">
        <f t="array" ref="V217">_xlfn.IFS(C217="","",COUNTIF(C217,"ตำแหน่งว่าง*"),"ว่าง",COUNTIF(C217,"&lt;&gt;ตำแหน่งว่าง*"),"คนครอง")</f>
        <v>คนครอง</v>
      </c>
      <c r="W217" s="49" cm="1">
        <f t="array" ref="W217">_xlfn.IFS(COUNTIF(F217,"ผบ.หมู่*"),51,COUNTIF(F217,"รอง สว.*"),43)</f>
        <v>51</v>
      </c>
      <c r="X217" s="5" t="s">
        <v>1794</v>
      </c>
      <c r="Y217" s="5" t="s">
        <v>52</v>
      </c>
    </row>
    <row r="218" spans="1:25" s="10" customFormat="1" ht="21.3" customHeight="1">
      <c r="A218" s="68"/>
      <c r="B218" s="30"/>
      <c r="C218" s="30" t="s">
        <v>18</v>
      </c>
      <c r="D218" s="27"/>
      <c r="E218" s="27"/>
      <c r="F218" s="68" t="s">
        <v>1732</v>
      </c>
      <c r="G218" s="121" t="s">
        <v>1798</v>
      </c>
      <c r="H218" s="93" t="s">
        <v>19</v>
      </c>
      <c r="I218" s="74" t="s">
        <v>19</v>
      </c>
      <c r="J218" s="74" t="s">
        <v>19</v>
      </c>
      <c r="K218" s="74" t="s">
        <v>19</v>
      </c>
      <c r="L218" s="7"/>
      <c r="M218" s="6"/>
      <c r="N218" s="113" t="s">
        <v>14</v>
      </c>
      <c r="O218" s="122" t="s">
        <v>52</v>
      </c>
      <c r="P218" s="122" t="s">
        <v>52</v>
      </c>
      <c r="Q218" s="106"/>
      <c r="R218" s="30"/>
      <c r="S218" s="225" t="str">
        <f t="shared" si="3"/>
        <v/>
      </c>
      <c r="T218" s="7" t="s">
        <v>7690</v>
      </c>
      <c r="U218" s="7" t="s">
        <v>92</v>
      </c>
      <c r="V218" s="171" t="str" cm="1">
        <f t="array" ref="V218">_xlfn.IFS(C218="","",COUNTIF(C218,"ตำแหน่งว่าง*"),"ว่าง",COUNTIF(C218,"&lt;&gt;ตำแหน่งว่าง*"),"คนครอง")</f>
        <v>ว่าง</v>
      </c>
      <c r="W218" s="49" cm="1">
        <f t="array" ref="W218">_xlfn.IFS(COUNTIF(F218,"ผบ.หมู่*"),51,COUNTIF(F218,"รอง สว.*"),43)</f>
        <v>51</v>
      </c>
      <c r="X218" s="6" t="s">
        <v>1797</v>
      </c>
      <c r="Y218" s="6" t="s">
        <v>52</v>
      </c>
    </row>
    <row r="219" spans="1:25" s="10" customFormat="1" ht="21.3" customHeight="1">
      <c r="A219" s="68"/>
      <c r="B219" s="30"/>
      <c r="C219" s="30" t="s">
        <v>18</v>
      </c>
      <c r="D219" s="27"/>
      <c r="E219" s="27"/>
      <c r="F219" s="68" t="s">
        <v>1732</v>
      </c>
      <c r="G219" s="121" t="s">
        <v>1800</v>
      </c>
      <c r="H219" s="93" t="s">
        <v>19</v>
      </c>
      <c r="I219" s="74" t="s">
        <v>19</v>
      </c>
      <c r="J219" s="74" t="s">
        <v>19</v>
      </c>
      <c r="K219" s="74" t="s">
        <v>19</v>
      </c>
      <c r="L219" s="7"/>
      <c r="M219" s="6"/>
      <c r="N219" s="113" t="s">
        <v>14</v>
      </c>
      <c r="O219" s="122" t="s">
        <v>52</v>
      </c>
      <c r="P219" s="122" t="s">
        <v>52</v>
      </c>
      <c r="Q219" s="106"/>
      <c r="R219" s="30"/>
      <c r="S219" s="225" t="str">
        <f t="shared" si="3"/>
        <v/>
      </c>
      <c r="T219" s="7" t="s">
        <v>7690</v>
      </c>
      <c r="U219" s="7" t="s">
        <v>92</v>
      </c>
      <c r="V219" s="171" t="str" cm="1">
        <f t="array" ref="V219">_xlfn.IFS(C219="","",COUNTIF(C219,"ตำแหน่งว่าง*"),"ว่าง",COUNTIF(C219,"&lt;&gt;ตำแหน่งว่าง*"),"คนครอง")</f>
        <v>ว่าง</v>
      </c>
      <c r="W219" s="49" cm="1">
        <f t="array" ref="W219">_xlfn.IFS(COUNTIF(F219,"ผบ.หมู่*"),51,COUNTIF(F219,"รอง สว.*"),43)</f>
        <v>51</v>
      </c>
      <c r="X219" s="6" t="s">
        <v>1799</v>
      </c>
      <c r="Y219" s="6" t="s">
        <v>52</v>
      </c>
    </row>
    <row r="220" spans="1:25" s="9" customFormat="1" ht="21.3" customHeight="1">
      <c r="A220" s="68"/>
      <c r="B220" s="30"/>
      <c r="C220" s="30" t="s">
        <v>18</v>
      </c>
      <c r="D220" s="27"/>
      <c r="E220" s="27"/>
      <c r="F220" s="68" t="s">
        <v>1732</v>
      </c>
      <c r="G220" s="121" t="s">
        <v>1802</v>
      </c>
      <c r="H220" s="93" t="s">
        <v>19</v>
      </c>
      <c r="I220" s="74" t="s">
        <v>19</v>
      </c>
      <c r="J220" s="74" t="s">
        <v>19</v>
      </c>
      <c r="K220" s="74" t="s">
        <v>19</v>
      </c>
      <c r="L220" s="7"/>
      <c r="M220" s="6"/>
      <c r="N220" s="113" t="s">
        <v>14</v>
      </c>
      <c r="O220" s="122" t="s">
        <v>52</v>
      </c>
      <c r="P220" s="122" t="s">
        <v>52</v>
      </c>
      <c r="Q220" s="106"/>
      <c r="R220" s="30"/>
      <c r="S220" s="225" t="str">
        <f t="shared" si="3"/>
        <v/>
      </c>
      <c r="T220" s="2" t="s">
        <v>7690</v>
      </c>
      <c r="U220" s="7" t="s">
        <v>92</v>
      </c>
      <c r="V220" s="171" t="str" cm="1">
        <f t="array" ref="V220">_xlfn.IFS(C220="","",COUNTIF(C220,"ตำแหน่งว่าง*"),"ว่าง",COUNTIF(C220,"&lt;&gt;ตำแหน่งว่าง*"),"คนครอง")</f>
        <v>ว่าง</v>
      </c>
      <c r="W220" s="49" cm="1">
        <f t="array" ref="W220">_xlfn.IFS(COUNTIF(F220,"ผบ.หมู่*"),51,COUNTIF(F220,"รอง สว.*"),43)</f>
        <v>51</v>
      </c>
      <c r="X220" s="6" t="s">
        <v>1801</v>
      </c>
      <c r="Y220" s="6" t="s">
        <v>52</v>
      </c>
    </row>
    <row r="221" spans="1:25" s="9" customFormat="1" ht="21.3" customHeight="1">
      <c r="A221" s="27"/>
      <c r="B221" s="28"/>
      <c r="C221" s="30" t="s">
        <v>18</v>
      </c>
      <c r="D221" s="27"/>
      <c r="E221" s="27"/>
      <c r="F221" s="27" t="s">
        <v>1732</v>
      </c>
      <c r="G221" s="101" t="s">
        <v>1804</v>
      </c>
      <c r="H221" s="75"/>
      <c r="I221" s="73"/>
      <c r="J221" s="73"/>
      <c r="K221" s="73"/>
      <c r="L221" s="2"/>
      <c r="M221" s="1"/>
      <c r="N221" s="112" t="s">
        <v>14</v>
      </c>
      <c r="O221" s="104" t="s">
        <v>52</v>
      </c>
      <c r="P221" s="104" t="s">
        <v>52</v>
      </c>
      <c r="Q221" s="105"/>
      <c r="R221" s="28"/>
      <c r="S221" s="225" t="str">
        <f t="shared" si="3"/>
        <v/>
      </c>
      <c r="T221" s="2" t="s">
        <v>7690</v>
      </c>
      <c r="U221" s="7" t="s">
        <v>92</v>
      </c>
      <c r="V221" s="162" t="str" cm="1">
        <f t="array" ref="V221">_xlfn.IFS(C221="","",COUNTIF(C221,"ตำแหน่งว่าง*"),"ว่าง",COUNTIF(C221,"&lt;&gt;ตำแหน่งว่าง*"),"คนครอง")</f>
        <v>ว่าง</v>
      </c>
      <c r="W221" s="49" cm="1">
        <f t="array" ref="W221">_xlfn.IFS(COUNTIF(F221,"ผบ.หมู่*"),51,COUNTIF(F221,"รอง สว.*"),43)</f>
        <v>51</v>
      </c>
      <c r="X221" s="1" t="s">
        <v>1803</v>
      </c>
      <c r="Y221" s="1" t="s">
        <v>52</v>
      </c>
    </row>
    <row r="222" spans="1:25" s="9" customFormat="1" ht="21.3" customHeight="1">
      <c r="A222" s="27" t="s">
        <v>182</v>
      </c>
      <c r="B222" s="28" t="s">
        <v>12</v>
      </c>
      <c r="C222" s="27" t="s">
        <v>1806</v>
      </c>
      <c r="D222" s="27" t="s">
        <v>8462</v>
      </c>
      <c r="E222" s="27" t="s">
        <v>8463</v>
      </c>
      <c r="F222" s="27" t="s">
        <v>1732</v>
      </c>
      <c r="G222" s="101" t="s">
        <v>1808</v>
      </c>
      <c r="H222" s="75">
        <v>44636</v>
      </c>
      <c r="I222" s="73">
        <v>44636</v>
      </c>
      <c r="J222" s="73">
        <v>44636</v>
      </c>
      <c r="K222" s="73">
        <v>34101</v>
      </c>
      <c r="L222" s="2" t="s">
        <v>1809</v>
      </c>
      <c r="M222" s="1" t="s">
        <v>85</v>
      </c>
      <c r="N222" s="112" t="s">
        <v>14</v>
      </c>
      <c r="O222" s="104" t="s">
        <v>52</v>
      </c>
      <c r="P222" s="104" t="s">
        <v>52</v>
      </c>
      <c r="Q222" s="105"/>
      <c r="R222" s="28" t="s">
        <v>611</v>
      </c>
      <c r="S222" s="225">
        <f t="shared" si="3"/>
        <v>56158</v>
      </c>
      <c r="T222" s="2" t="s">
        <v>7690</v>
      </c>
      <c r="U222" s="7" t="s">
        <v>92</v>
      </c>
      <c r="V222" s="162" t="str" cm="1">
        <f t="array" ref="V222">_xlfn.IFS(C222="","",COUNTIF(C222,"ตำแหน่งว่าง*"),"ว่าง",COUNTIF(C222,"&lt;&gt;ตำแหน่งว่าง*"),"คนครอง")</f>
        <v>คนครอง</v>
      </c>
      <c r="W222" s="49" cm="1">
        <f t="array" ref="W222">_xlfn.IFS(COUNTIF(F222,"ผบ.หมู่*"),51,COUNTIF(F222,"รอง สว.*"),43)</f>
        <v>51</v>
      </c>
      <c r="X222" s="1" t="s">
        <v>1807</v>
      </c>
      <c r="Y222" s="1" t="s">
        <v>52</v>
      </c>
    </row>
    <row r="223" spans="1:25" s="9" customFormat="1" ht="21.3" customHeight="1">
      <c r="A223" s="27" t="s">
        <v>182</v>
      </c>
      <c r="B223" s="28" t="s">
        <v>12</v>
      </c>
      <c r="C223" s="27" t="s">
        <v>1810</v>
      </c>
      <c r="D223" s="27" t="s">
        <v>8464</v>
      </c>
      <c r="E223" s="27" t="s">
        <v>8465</v>
      </c>
      <c r="F223" s="27" t="s">
        <v>1732</v>
      </c>
      <c r="G223" s="101" t="s">
        <v>1812</v>
      </c>
      <c r="H223" s="75">
        <v>44636</v>
      </c>
      <c r="I223" s="73">
        <v>44636</v>
      </c>
      <c r="J223" s="73">
        <v>44636</v>
      </c>
      <c r="K223" s="73">
        <v>37681</v>
      </c>
      <c r="L223" s="2" t="s">
        <v>1809</v>
      </c>
      <c r="M223" s="1" t="s">
        <v>13</v>
      </c>
      <c r="N223" s="112" t="s">
        <v>14</v>
      </c>
      <c r="O223" s="104" t="s">
        <v>52</v>
      </c>
      <c r="P223" s="104" t="s">
        <v>52</v>
      </c>
      <c r="Q223" s="105"/>
      <c r="R223" s="28" t="s">
        <v>611</v>
      </c>
      <c r="S223" s="225">
        <f t="shared" si="3"/>
        <v>59810</v>
      </c>
      <c r="T223" s="2" t="s">
        <v>7690</v>
      </c>
      <c r="U223" s="7" t="s">
        <v>92</v>
      </c>
      <c r="V223" s="162" t="str" cm="1">
        <f t="array" ref="V223">_xlfn.IFS(C223="","",COUNTIF(C223,"ตำแหน่งว่าง*"),"ว่าง",COUNTIF(C223,"&lt;&gt;ตำแหน่งว่าง*"),"คนครอง")</f>
        <v>คนครอง</v>
      </c>
      <c r="W223" s="49" cm="1">
        <f t="array" ref="W223">_xlfn.IFS(COUNTIF(F223,"ผบ.หมู่*"),51,COUNTIF(F223,"รอง สว.*"),43)</f>
        <v>51</v>
      </c>
      <c r="X223" s="1" t="s">
        <v>1811</v>
      </c>
      <c r="Y223" s="1" t="s">
        <v>52</v>
      </c>
    </row>
    <row r="224" spans="1:25" s="9" customFormat="1" ht="21.3" customHeight="1">
      <c r="A224" s="27" t="s">
        <v>182</v>
      </c>
      <c r="B224" s="28" t="s">
        <v>12</v>
      </c>
      <c r="C224" s="27" t="s">
        <v>1813</v>
      </c>
      <c r="D224" s="27" t="s">
        <v>8466</v>
      </c>
      <c r="E224" s="27" t="s">
        <v>8467</v>
      </c>
      <c r="F224" s="27" t="s">
        <v>1732</v>
      </c>
      <c r="G224" s="101" t="s">
        <v>1815</v>
      </c>
      <c r="H224" s="75">
        <v>44636</v>
      </c>
      <c r="I224" s="73">
        <v>44636</v>
      </c>
      <c r="J224" s="73">
        <v>44636</v>
      </c>
      <c r="K224" s="73">
        <v>35554</v>
      </c>
      <c r="L224" s="2" t="s">
        <v>1805</v>
      </c>
      <c r="M224" s="1" t="s">
        <v>13</v>
      </c>
      <c r="N224" s="112" t="s">
        <v>14</v>
      </c>
      <c r="O224" s="104" t="s">
        <v>52</v>
      </c>
      <c r="P224" s="104" t="s">
        <v>52</v>
      </c>
      <c r="Q224" s="105"/>
      <c r="R224" s="28" t="s">
        <v>611</v>
      </c>
      <c r="S224" s="225">
        <f t="shared" si="3"/>
        <v>57619</v>
      </c>
      <c r="T224" s="2" t="s">
        <v>7690</v>
      </c>
      <c r="U224" s="7" t="s">
        <v>92</v>
      </c>
      <c r="V224" s="162" t="str" cm="1">
        <f t="array" ref="V224">_xlfn.IFS(C224="","",COUNTIF(C224,"ตำแหน่งว่าง*"),"ว่าง",COUNTIF(C224,"&lt;&gt;ตำแหน่งว่าง*"),"คนครอง")</f>
        <v>คนครอง</v>
      </c>
      <c r="W224" s="49" cm="1">
        <f t="array" ref="W224">_xlfn.IFS(COUNTIF(F224,"ผบ.หมู่*"),51,COUNTIF(F224,"รอง สว.*"),43)</f>
        <v>51</v>
      </c>
      <c r="X224" s="1" t="s">
        <v>1814</v>
      </c>
      <c r="Y224" s="1" t="s">
        <v>52</v>
      </c>
    </row>
    <row r="225" spans="1:25" s="10" customFormat="1" ht="21.3" customHeight="1">
      <c r="A225" s="65" t="s">
        <v>169</v>
      </c>
      <c r="B225" s="66" t="s">
        <v>12</v>
      </c>
      <c r="C225" s="65" t="s">
        <v>1816</v>
      </c>
      <c r="D225" s="27" t="s">
        <v>8468</v>
      </c>
      <c r="E225" s="27" t="s">
        <v>8469</v>
      </c>
      <c r="F225" s="65" t="s">
        <v>1732</v>
      </c>
      <c r="G225" s="101" t="s">
        <v>1818</v>
      </c>
      <c r="H225" s="81">
        <v>44986</v>
      </c>
      <c r="I225" s="77">
        <v>44986</v>
      </c>
      <c r="J225" s="77">
        <v>44986</v>
      </c>
      <c r="K225" s="77">
        <v>35832</v>
      </c>
      <c r="L225" s="60" t="s">
        <v>82</v>
      </c>
      <c r="M225" s="61"/>
      <c r="N225" s="114" t="s">
        <v>14</v>
      </c>
      <c r="O225" s="104" t="s">
        <v>52</v>
      </c>
      <c r="P225" s="104" t="s">
        <v>52</v>
      </c>
      <c r="Q225" s="107"/>
      <c r="R225" s="66" t="s">
        <v>861</v>
      </c>
      <c r="S225" s="225">
        <f t="shared" si="3"/>
        <v>57984</v>
      </c>
      <c r="T225" s="7" t="s">
        <v>7690</v>
      </c>
      <c r="U225" s="7" t="s">
        <v>92</v>
      </c>
      <c r="V225" s="162" t="str" cm="1">
        <f t="array" ref="V225">_xlfn.IFS(C225="","",COUNTIF(C225,"ตำแหน่งว่าง*"),"ว่าง",COUNTIF(C225,"&lt;&gt;ตำแหน่งว่าง*"),"คนครอง")</f>
        <v>คนครอง</v>
      </c>
      <c r="W225" s="49" cm="1">
        <f t="array" ref="W225">_xlfn.IFS(COUNTIF(F225,"ผบ.หมู่*"),51,COUNTIF(F225,"รอง สว.*"),43)</f>
        <v>51</v>
      </c>
      <c r="X225" s="61" t="s">
        <v>1817</v>
      </c>
      <c r="Y225" s="61" t="s">
        <v>52</v>
      </c>
    </row>
    <row r="226" spans="1:25" s="9" customFormat="1" ht="21.3" customHeight="1">
      <c r="A226" s="27"/>
      <c r="B226" s="28"/>
      <c r="C226" s="27" t="s">
        <v>18</v>
      </c>
      <c r="D226" s="27"/>
      <c r="E226" s="27"/>
      <c r="F226" s="27" t="s">
        <v>1732</v>
      </c>
      <c r="G226" s="101" t="s">
        <v>1820</v>
      </c>
      <c r="H226" s="75"/>
      <c r="I226" s="73"/>
      <c r="J226" s="73"/>
      <c r="K226" s="73"/>
      <c r="L226" s="2"/>
      <c r="M226" s="1"/>
      <c r="N226" s="112" t="s">
        <v>14</v>
      </c>
      <c r="O226" s="104" t="s">
        <v>52</v>
      </c>
      <c r="P226" s="104" t="s">
        <v>52</v>
      </c>
      <c r="Q226" s="105"/>
      <c r="R226" s="28"/>
      <c r="S226" s="225" t="str">
        <f t="shared" si="3"/>
        <v/>
      </c>
      <c r="T226" s="2" t="s">
        <v>7690</v>
      </c>
      <c r="U226" s="7" t="s">
        <v>92</v>
      </c>
      <c r="V226" s="162" t="str" cm="1">
        <f t="array" ref="V226">_xlfn.IFS(C226="","",COUNTIF(C226,"ตำแหน่งว่าง*"),"ว่าง",COUNTIF(C226,"&lt;&gt;ตำแหน่งว่าง*"),"คนครอง")</f>
        <v>ว่าง</v>
      </c>
      <c r="W226" s="49" cm="1">
        <f t="array" ref="W226">_xlfn.IFS(COUNTIF(F226,"ผบ.หมู่*"),51,COUNTIF(F226,"รอง สว.*"),43)</f>
        <v>51</v>
      </c>
      <c r="X226" s="1" t="s">
        <v>1819</v>
      </c>
      <c r="Y226" s="1" t="s">
        <v>52</v>
      </c>
    </row>
    <row r="227" spans="1:25" s="12" customFormat="1" ht="21.3" customHeight="1">
      <c r="A227" s="27" t="s">
        <v>157</v>
      </c>
      <c r="B227" s="28" t="s">
        <v>12</v>
      </c>
      <c r="C227" s="95" t="s">
        <v>1821</v>
      </c>
      <c r="D227" s="27" t="s">
        <v>8470</v>
      </c>
      <c r="E227" s="27" t="s">
        <v>8471</v>
      </c>
      <c r="F227" s="95" t="s">
        <v>1732</v>
      </c>
      <c r="G227" s="101" t="s">
        <v>1823</v>
      </c>
      <c r="H227" s="91">
        <v>40063</v>
      </c>
      <c r="I227" s="73">
        <v>39717</v>
      </c>
      <c r="J227" s="73">
        <v>39717</v>
      </c>
      <c r="K227" s="73">
        <v>29764</v>
      </c>
      <c r="L227" s="2" t="s">
        <v>1824</v>
      </c>
      <c r="M227" s="1" t="s">
        <v>13</v>
      </c>
      <c r="N227" s="111" t="s">
        <v>14</v>
      </c>
      <c r="O227" s="104" t="s">
        <v>52</v>
      </c>
      <c r="P227" s="104" t="s">
        <v>52</v>
      </c>
      <c r="Q227" s="105"/>
      <c r="R227" s="28" t="s">
        <v>603</v>
      </c>
      <c r="S227" s="225">
        <f t="shared" si="3"/>
        <v>51775</v>
      </c>
      <c r="T227" s="162" t="s">
        <v>7690</v>
      </c>
      <c r="U227" s="7" t="s">
        <v>92</v>
      </c>
      <c r="V227" s="162" t="str" cm="1">
        <f t="array" ref="V227">_xlfn.IFS(C227="","",COUNTIF(C227,"ตำแหน่งว่าง*"),"ว่าง",COUNTIF(C227,"&lt;&gt;ตำแหน่งว่าง*"),"คนครอง")</f>
        <v>คนครอง</v>
      </c>
      <c r="W227" s="49" cm="1">
        <f t="array" ref="W227">_xlfn.IFS(COUNTIF(F227,"ผบ.หมู่*"),51,COUNTIF(F227,"รอง สว.*"),43)</f>
        <v>51</v>
      </c>
      <c r="X227" s="5" t="s">
        <v>1822</v>
      </c>
      <c r="Y227" s="5" t="s">
        <v>52</v>
      </c>
    </row>
    <row r="228" spans="1:25" s="12" customFormat="1" ht="21.3" customHeight="1">
      <c r="A228" s="27" t="s">
        <v>157</v>
      </c>
      <c r="B228" s="28" t="s">
        <v>12</v>
      </c>
      <c r="C228" s="95" t="s">
        <v>1825</v>
      </c>
      <c r="D228" s="27" t="s">
        <v>8131</v>
      </c>
      <c r="E228" s="27" t="s">
        <v>8472</v>
      </c>
      <c r="F228" s="95" t="s">
        <v>1732</v>
      </c>
      <c r="G228" s="101" t="s">
        <v>1827</v>
      </c>
      <c r="H228" s="91">
        <v>40063</v>
      </c>
      <c r="I228" s="73">
        <v>39717</v>
      </c>
      <c r="J228" s="73">
        <v>39717</v>
      </c>
      <c r="K228" s="73">
        <v>29781</v>
      </c>
      <c r="L228" s="2" t="s">
        <v>1828</v>
      </c>
      <c r="M228" s="1" t="s">
        <v>33</v>
      </c>
      <c r="N228" s="111" t="s">
        <v>14</v>
      </c>
      <c r="O228" s="104" t="s">
        <v>52</v>
      </c>
      <c r="P228" s="104" t="s">
        <v>52</v>
      </c>
      <c r="Q228" s="105"/>
      <c r="R228" s="28" t="s">
        <v>603</v>
      </c>
      <c r="S228" s="225">
        <f t="shared" si="3"/>
        <v>51775</v>
      </c>
      <c r="T228" s="162" t="s">
        <v>7690</v>
      </c>
      <c r="U228" s="7" t="s">
        <v>92</v>
      </c>
      <c r="V228" s="162" t="str" cm="1">
        <f t="array" ref="V228">_xlfn.IFS(C228="","",COUNTIF(C228,"ตำแหน่งว่าง*"),"ว่าง",COUNTIF(C228,"&lt;&gt;ตำแหน่งว่าง*"),"คนครอง")</f>
        <v>คนครอง</v>
      </c>
      <c r="W228" s="49" cm="1">
        <f t="array" ref="W228">_xlfn.IFS(COUNTIF(F228,"ผบ.หมู่*"),51,COUNTIF(F228,"รอง สว.*"),43)</f>
        <v>51</v>
      </c>
      <c r="X228" s="5" t="s">
        <v>1826</v>
      </c>
      <c r="Y228" s="5" t="s">
        <v>52</v>
      </c>
    </row>
    <row r="229" spans="1:25" s="9" customFormat="1" ht="21.3" customHeight="1">
      <c r="A229" s="27" t="s">
        <v>182</v>
      </c>
      <c r="B229" s="28" t="s">
        <v>12</v>
      </c>
      <c r="C229" s="27" t="s">
        <v>1829</v>
      </c>
      <c r="D229" s="27" t="s">
        <v>8473</v>
      </c>
      <c r="E229" s="27" t="s">
        <v>8474</v>
      </c>
      <c r="F229" s="27" t="s">
        <v>1732</v>
      </c>
      <c r="G229" s="101" t="s">
        <v>1831</v>
      </c>
      <c r="H229" s="75">
        <v>44636</v>
      </c>
      <c r="I229" s="73">
        <v>44636</v>
      </c>
      <c r="J229" s="73">
        <v>44636</v>
      </c>
      <c r="K229" s="73">
        <v>35158</v>
      </c>
      <c r="L229" s="2" t="s">
        <v>1805</v>
      </c>
      <c r="M229" s="1" t="s">
        <v>36</v>
      </c>
      <c r="N229" s="112" t="s">
        <v>14</v>
      </c>
      <c r="O229" s="104" t="s">
        <v>52</v>
      </c>
      <c r="P229" s="104" t="s">
        <v>52</v>
      </c>
      <c r="Q229" s="105"/>
      <c r="R229" s="28" t="s">
        <v>611</v>
      </c>
      <c r="S229" s="225">
        <f t="shared" si="3"/>
        <v>57254</v>
      </c>
      <c r="T229" s="2" t="s">
        <v>7690</v>
      </c>
      <c r="U229" s="7" t="s">
        <v>92</v>
      </c>
      <c r="V229" s="162" t="str" cm="1">
        <f t="array" ref="V229">_xlfn.IFS(C229="","",COUNTIF(C229,"ตำแหน่งว่าง*"),"ว่าง",COUNTIF(C229,"&lt;&gt;ตำแหน่งว่าง*"),"คนครอง")</f>
        <v>คนครอง</v>
      </c>
      <c r="W229" s="49" cm="1">
        <f t="array" ref="W229">_xlfn.IFS(COUNTIF(F229,"ผบ.หมู่*"),51,COUNTIF(F229,"รอง สว.*"),43)</f>
        <v>51</v>
      </c>
      <c r="X229" s="1" t="s">
        <v>1830</v>
      </c>
      <c r="Y229" s="1" t="s">
        <v>52</v>
      </c>
    </row>
    <row r="230" spans="1:25" s="9" customFormat="1" ht="21.3" customHeight="1">
      <c r="A230" s="27" t="s">
        <v>182</v>
      </c>
      <c r="B230" s="28" t="s">
        <v>12</v>
      </c>
      <c r="C230" s="27" t="s">
        <v>1832</v>
      </c>
      <c r="D230" s="27" t="s">
        <v>8475</v>
      </c>
      <c r="E230" s="27" t="s">
        <v>8476</v>
      </c>
      <c r="F230" s="27" t="s">
        <v>1732</v>
      </c>
      <c r="G230" s="101" t="s">
        <v>1834</v>
      </c>
      <c r="H230" s="75">
        <v>44636</v>
      </c>
      <c r="I230" s="73">
        <v>44636</v>
      </c>
      <c r="J230" s="73">
        <v>44636</v>
      </c>
      <c r="K230" s="73">
        <v>32000</v>
      </c>
      <c r="L230" s="2" t="s">
        <v>1809</v>
      </c>
      <c r="M230" s="1" t="s">
        <v>33</v>
      </c>
      <c r="N230" s="112" t="s">
        <v>14</v>
      </c>
      <c r="O230" s="104" t="s">
        <v>52</v>
      </c>
      <c r="P230" s="104" t="s">
        <v>52</v>
      </c>
      <c r="Q230" s="105"/>
      <c r="R230" s="28" t="s">
        <v>611</v>
      </c>
      <c r="S230" s="225">
        <f t="shared" si="3"/>
        <v>53966</v>
      </c>
      <c r="T230" s="2" t="s">
        <v>7690</v>
      </c>
      <c r="U230" s="7" t="s">
        <v>92</v>
      </c>
      <c r="V230" s="162" t="str" cm="1">
        <f t="array" ref="V230">_xlfn.IFS(C230="","",COUNTIF(C230,"ตำแหน่งว่าง*"),"ว่าง",COUNTIF(C230,"&lt;&gt;ตำแหน่งว่าง*"),"คนครอง")</f>
        <v>คนครอง</v>
      </c>
      <c r="W230" s="49" cm="1">
        <f t="array" ref="W230">_xlfn.IFS(COUNTIF(F230,"ผบ.หมู่*"),51,COUNTIF(F230,"รอง สว.*"),43)</f>
        <v>51</v>
      </c>
      <c r="X230" s="1" t="s">
        <v>1833</v>
      </c>
      <c r="Y230" s="1" t="s">
        <v>52</v>
      </c>
    </row>
    <row r="231" spans="1:25" s="9" customFormat="1" ht="21.3" customHeight="1">
      <c r="A231" s="27" t="s">
        <v>182</v>
      </c>
      <c r="B231" s="28" t="s">
        <v>12</v>
      </c>
      <c r="C231" s="27" t="s">
        <v>1835</v>
      </c>
      <c r="D231" s="27" t="s">
        <v>8477</v>
      </c>
      <c r="E231" s="27" t="s">
        <v>8478</v>
      </c>
      <c r="F231" s="27" t="s">
        <v>1732</v>
      </c>
      <c r="G231" s="101" t="s">
        <v>1837</v>
      </c>
      <c r="H231" s="75">
        <v>44636</v>
      </c>
      <c r="I231" s="73">
        <v>44636</v>
      </c>
      <c r="J231" s="73">
        <v>44636</v>
      </c>
      <c r="K231" s="73">
        <v>37682</v>
      </c>
      <c r="L231" s="2" t="s">
        <v>1809</v>
      </c>
      <c r="M231" s="1" t="s">
        <v>73</v>
      </c>
      <c r="N231" s="112" t="s">
        <v>14</v>
      </c>
      <c r="O231" s="104" t="s">
        <v>52</v>
      </c>
      <c r="P231" s="104" t="s">
        <v>52</v>
      </c>
      <c r="Q231" s="105"/>
      <c r="R231" s="28" t="s">
        <v>611</v>
      </c>
      <c r="S231" s="225">
        <f t="shared" si="3"/>
        <v>59810</v>
      </c>
      <c r="T231" s="2" t="s">
        <v>7690</v>
      </c>
      <c r="U231" s="7" t="s">
        <v>92</v>
      </c>
      <c r="V231" s="162" t="str" cm="1">
        <f t="array" ref="V231">_xlfn.IFS(C231="","",COUNTIF(C231,"ตำแหน่งว่าง*"),"ว่าง",COUNTIF(C231,"&lt;&gt;ตำแหน่งว่าง*"),"คนครอง")</f>
        <v>คนครอง</v>
      </c>
      <c r="W231" s="49" cm="1">
        <f t="array" ref="W231">_xlfn.IFS(COUNTIF(F231,"ผบ.หมู่*"),51,COUNTIF(F231,"รอง สว.*"),43)</f>
        <v>51</v>
      </c>
      <c r="X231" s="1" t="s">
        <v>1836</v>
      </c>
      <c r="Y231" s="1" t="s">
        <v>52</v>
      </c>
    </row>
    <row r="232" spans="1:25" s="9" customFormat="1" ht="21.3" customHeight="1">
      <c r="A232" s="68"/>
      <c r="B232" s="30"/>
      <c r="C232" s="68" t="s">
        <v>18</v>
      </c>
      <c r="D232" s="27"/>
      <c r="E232" s="27"/>
      <c r="F232" s="68" t="s">
        <v>1732</v>
      </c>
      <c r="G232" s="121" t="s">
        <v>1839</v>
      </c>
      <c r="H232" s="80"/>
      <c r="I232" s="74"/>
      <c r="J232" s="74"/>
      <c r="K232" s="74"/>
      <c r="L232" s="7"/>
      <c r="M232" s="6"/>
      <c r="N232" s="113" t="s">
        <v>14</v>
      </c>
      <c r="O232" s="122" t="s">
        <v>52</v>
      </c>
      <c r="P232" s="122" t="s">
        <v>52</v>
      </c>
      <c r="Q232" s="106"/>
      <c r="R232" s="30"/>
      <c r="S232" s="225" t="str">
        <f t="shared" si="3"/>
        <v/>
      </c>
      <c r="T232" s="2" t="s">
        <v>7690</v>
      </c>
      <c r="U232" s="7" t="s">
        <v>92</v>
      </c>
      <c r="V232" s="171" t="str" cm="1">
        <f t="array" ref="V232">_xlfn.IFS(C232="","",COUNTIF(C232,"ตำแหน่งว่าง*"),"ว่าง",COUNTIF(C232,"&lt;&gt;ตำแหน่งว่าง*"),"คนครอง")</f>
        <v>ว่าง</v>
      </c>
      <c r="W232" s="49" cm="1">
        <f t="array" ref="W232">_xlfn.IFS(COUNTIF(F232,"ผบ.หมู่*"),51,COUNTIF(F232,"รอง สว.*"),43)</f>
        <v>51</v>
      </c>
      <c r="X232" s="1" t="s">
        <v>1838</v>
      </c>
      <c r="Y232" s="1" t="s">
        <v>52</v>
      </c>
    </row>
    <row r="233" spans="1:25" s="9" customFormat="1" ht="21.3" customHeight="1">
      <c r="A233" s="27" t="s">
        <v>182</v>
      </c>
      <c r="B233" s="28" t="s">
        <v>12</v>
      </c>
      <c r="C233" s="27" t="s">
        <v>1840</v>
      </c>
      <c r="D233" s="27" t="s">
        <v>8085</v>
      </c>
      <c r="E233" s="27" t="s">
        <v>8479</v>
      </c>
      <c r="F233" s="27" t="s">
        <v>1732</v>
      </c>
      <c r="G233" s="101" t="s">
        <v>1842</v>
      </c>
      <c r="H233" s="75">
        <v>44636</v>
      </c>
      <c r="I233" s="73">
        <v>44636</v>
      </c>
      <c r="J233" s="73">
        <v>44636</v>
      </c>
      <c r="K233" s="73">
        <v>34590</v>
      </c>
      <c r="L233" s="2" t="s">
        <v>1809</v>
      </c>
      <c r="M233" s="1" t="s">
        <v>75</v>
      </c>
      <c r="N233" s="112" t="s">
        <v>14</v>
      </c>
      <c r="O233" s="104" t="s">
        <v>52</v>
      </c>
      <c r="P233" s="104" t="s">
        <v>52</v>
      </c>
      <c r="Q233" s="105"/>
      <c r="R233" s="28" t="s">
        <v>611</v>
      </c>
      <c r="S233" s="225">
        <f t="shared" si="3"/>
        <v>56523</v>
      </c>
      <c r="T233" s="2" t="s">
        <v>7690</v>
      </c>
      <c r="U233" s="7" t="s">
        <v>92</v>
      </c>
      <c r="V233" s="162" t="str" cm="1">
        <f t="array" ref="V233">_xlfn.IFS(C233="","",COUNTIF(C233,"ตำแหน่งว่าง*"),"ว่าง",COUNTIF(C233,"&lt;&gt;ตำแหน่งว่าง*"),"คนครอง")</f>
        <v>คนครอง</v>
      </c>
      <c r="W233" s="49" cm="1">
        <f t="array" ref="W233">_xlfn.IFS(COUNTIF(F233,"ผบ.หมู่*"),51,COUNTIF(F233,"รอง สว.*"),43)</f>
        <v>51</v>
      </c>
      <c r="X233" s="1" t="s">
        <v>1841</v>
      </c>
      <c r="Y233" s="1" t="s">
        <v>52</v>
      </c>
    </row>
    <row r="234" spans="1:25" s="10" customFormat="1" ht="21.3" customHeight="1">
      <c r="A234" s="65" t="s">
        <v>169</v>
      </c>
      <c r="B234" s="66" t="s">
        <v>12</v>
      </c>
      <c r="C234" s="65" t="s">
        <v>1843</v>
      </c>
      <c r="D234" s="27" t="s">
        <v>8480</v>
      </c>
      <c r="E234" s="27" t="s">
        <v>8481</v>
      </c>
      <c r="F234" s="65" t="s">
        <v>1732</v>
      </c>
      <c r="G234" s="101" t="s">
        <v>1845</v>
      </c>
      <c r="H234" s="81">
        <v>44986</v>
      </c>
      <c r="I234" s="77">
        <v>44986</v>
      </c>
      <c r="J234" s="77">
        <v>44986</v>
      </c>
      <c r="K234" s="77">
        <v>36118</v>
      </c>
      <c r="L234" s="60" t="s">
        <v>1805</v>
      </c>
      <c r="M234" s="61" t="s">
        <v>49</v>
      </c>
      <c r="N234" s="114" t="s">
        <v>14</v>
      </c>
      <c r="O234" s="104" t="s">
        <v>52</v>
      </c>
      <c r="P234" s="104" t="s">
        <v>52</v>
      </c>
      <c r="Q234" s="107"/>
      <c r="R234" s="66" t="s">
        <v>861</v>
      </c>
      <c r="S234" s="225">
        <f t="shared" si="3"/>
        <v>58349</v>
      </c>
      <c r="T234" s="7" t="s">
        <v>7690</v>
      </c>
      <c r="U234" s="7" t="s">
        <v>92</v>
      </c>
      <c r="V234" s="162" t="str" cm="1">
        <f t="array" ref="V234">_xlfn.IFS(C234="","",COUNTIF(C234,"ตำแหน่งว่าง*"),"ว่าง",COUNTIF(C234,"&lt;&gt;ตำแหน่งว่าง*"),"คนครอง")</f>
        <v>คนครอง</v>
      </c>
      <c r="W234" s="49" cm="1">
        <f t="array" ref="W234">_xlfn.IFS(COUNTIF(F234,"ผบ.หมู่*"),51,COUNTIF(F234,"รอง สว.*"),43)</f>
        <v>51</v>
      </c>
      <c r="X234" s="61" t="s">
        <v>1844</v>
      </c>
      <c r="Y234" s="61" t="s">
        <v>52</v>
      </c>
    </row>
    <row r="235" spans="1:25" s="10" customFormat="1" ht="21.3" customHeight="1">
      <c r="A235" s="65" t="s">
        <v>169</v>
      </c>
      <c r="B235" s="66" t="s">
        <v>12</v>
      </c>
      <c r="C235" s="65" t="s">
        <v>1846</v>
      </c>
      <c r="D235" s="27" t="s">
        <v>8482</v>
      </c>
      <c r="E235" s="27" t="s">
        <v>8483</v>
      </c>
      <c r="F235" s="65" t="s">
        <v>1732</v>
      </c>
      <c r="G235" s="101" t="s">
        <v>1848</v>
      </c>
      <c r="H235" s="81">
        <v>44986</v>
      </c>
      <c r="I235" s="77">
        <v>44986</v>
      </c>
      <c r="J235" s="77">
        <v>44986</v>
      </c>
      <c r="K235" s="77">
        <v>36896</v>
      </c>
      <c r="L235" s="60" t="s">
        <v>1805</v>
      </c>
      <c r="M235" s="61" t="s">
        <v>40</v>
      </c>
      <c r="N235" s="114" t="s">
        <v>14</v>
      </c>
      <c r="O235" s="104" t="s">
        <v>52</v>
      </c>
      <c r="P235" s="104" t="s">
        <v>52</v>
      </c>
      <c r="Q235" s="107"/>
      <c r="R235" s="66" t="s">
        <v>861</v>
      </c>
      <c r="S235" s="225">
        <f t="shared" si="3"/>
        <v>59080</v>
      </c>
      <c r="T235" s="7" t="s">
        <v>7690</v>
      </c>
      <c r="U235" s="7" t="s">
        <v>92</v>
      </c>
      <c r="V235" s="162" t="str" cm="1">
        <f t="array" ref="V235">_xlfn.IFS(C235="","",COUNTIF(C235,"ตำแหน่งว่าง*"),"ว่าง",COUNTIF(C235,"&lt;&gt;ตำแหน่งว่าง*"),"คนครอง")</f>
        <v>คนครอง</v>
      </c>
      <c r="W235" s="49" cm="1">
        <f t="array" ref="W235">_xlfn.IFS(COUNTIF(F235,"ผบ.หมู่*"),51,COUNTIF(F235,"รอง สว.*"),43)</f>
        <v>51</v>
      </c>
      <c r="X235" s="61" t="s">
        <v>1847</v>
      </c>
      <c r="Y235" s="61" t="s">
        <v>52</v>
      </c>
    </row>
    <row r="236" spans="1:25" s="10" customFormat="1" ht="21.3" customHeight="1">
      <c r="A236" s="65" t="s">
        <v>169</v>
      </c>
      <c r="B236" s="66" t="s">
        <v>12</v>
      </c>
      <c r="C236" s="65" t="s">
        <v>1849</v>
      </c>
      <c r="D236" s="27" t="s">
        <v>8484</v>
      </c>
      <c r="E236" s="27" t="s">
        <v>8485</v>
      </c>
      <c r="F236" s="65" t="s">
        <v>1732</v>
      </c>
      <c r="G236" s="101" t="s">
        <v>1851</v>
      </c>
      <c r="H236" s="81">
        <v>44986</v>
      </c>
      <c r="I236" s="77">
        <v>44986</v>
      </c>
      <c r="J236" s="77">
        <v>44986</v>
      </c>
      <c r="K236" s="77">
        <v>34417</v>
      </c>
      <c r="L236" s="60" t="s">
        <v>1805</v>
      </c>
      <c r="M236" s="61" t="s">
        <v>13</v>
      </c>
      <c r="N236" s="114" t="s">
        <v>14</v>
      </c>
      <c r="O236" s="104" t="s">
        <v>52</v>
      </c>
      <c r="P236" s="104" t="s">
        <v>52</v>
      </c>
      <c r="Q236" s="107"/>
      <c r="R236" s="66" t="s">
        <v>861</v>
      </c>
      <c r="S236" s="225">
        <f t="shared" si="3"/>
        <v>56523</v>
      </c>
      <c r="T236" s="7" t="s">
        <v>7690</v>
      </c>
      <c r="U236" s="7" t="s">
        <v>92</v>
      </c>
      <c r="V236" s="162" t="str" cm="1">
        <f t="array" ref="V236">_xlfn.IFS(C236="","",COUNTIF(C236,"ตำแหน่งว่าง*"),"ว่าง",COUNTIF(C236,"&lt;&gt;ตำแหน่งว่าง*"),"คนครอง")</f>
        <v>คนครอง</v>
      </c>
      <c r="W236" s="49" cm="1">
        <f t="array" ref="W236">_xlfn.IFS(COUNTIF(F236,"ผบ.หมู่*"),51,COUNTIF(F236,"รอง สว.*"),43)</f>
        <v>51</v>
      </c>
      <c r="X236" s="61" t="s">
        <v>1850</v>
      </c>
      <c r="Y236" s="61" t="s">
        <v>52</v>
      </c>
    </row>
    <row r="237" spans="1:25" s="12" customFormat="1" ht="21.3" customHeight="1">
      <c r="A237" s="68"/>
      <c r="B237" s="30"/>
      <c r="C237" s="68" t="s">
        <v>18</v>
      </c>
      <c r="D237" s="27"/>
      <c r="E237" s="27"/>
      <c r="F237" s="68" t="s">
        <v>1732</v>
      </c>
      <c r="G237" s="121" t="s">
        <v>1853</v>
      </c>
      <c r="H237" s="93"/>
      <c r="I237" s="74"/>
      <c r="J237" s="74"/>
      <c r="K237" s="74"/>
      <c r="L237" s="7"/>
      <c r="M237" s="6"/>
      <c r="N237" s="113" t="s">
        <v>14</v>
      </c>
      <c r="O237" s="122" t="s">
        <v>52</v>
      </c>
      <c r="P237" s="122" t="s">
        <v>52</v>
      </c>
      <c r="Q237" s="106"/>
      <c r="R237" s="30"/>
      <c r="S237" s="225" t="str">
        <f t="shared" si="3"/>
        <v/>
      </c>
      <c r="T237" s="162" t="s">
        <v>7690</v>
      </c>
      <c r="U237" s="7" t="s">
        <v>92</v>
      </c>
      <c r="V237" s="171" t="str" cm="1">
        <f t="array" ref="V237">_xlfn.IFS(C237="","",COUNTIF(C237,"ตำแหน่งว่าง*"),"ว่าง",COUNTIF(C237,"&lt;&gt;ตำแหน่งว่าง*"),"คนครอง")</f>
        <v>ว่าง</v>
      </c>
      <c r="W237" s="49" cm="1">
        <f t="array" ref="W237">_xlfn.IFS(COUNTIF(F237,"ผบ.หมู่*"),51,COUNTIF(F237,"รอง สว.*"),43)</f>
        <v>51</v>
      </c>
      <c r="X237" s="5" t="s">
        <v>1852</v>
      </c>
      <c r="Y237" s="5" t="s">
        <v>52</v>
      </c>
    </row>
    <row r="238" spans="1:25" s="9" customFormat="1" ht="21.3" customHeight="1">
      <c r="A238" s="27"/>
      <c r="B238" s="28"/>
      <c r="C238" s="30" t="s">
        <v>18</v>
      </c>
      <c r="D238" s="27"/>
      <c r="E238" s="27"/>
      <c r="F238" s="68" t="s">
        <v>1732</v>
      </c>
      <c r="G238" s="121" t="s">
        <v>1855</v>
      </c>
      <c r="H238" s="93"/>
      <c r="I238" s="74"/>
      <c r="J238" s="90"/>
      <c r="K238" s="74"/>
      <c r="L238" s="7"/>
      <c r="M238" s="6"/>
      <c r="N238" s="113" t="s">
        <v>14</v>
      </c>
      <c r="O238" s="122" t="s">
        <v>52</v>
      </c>
      <c r="P238" s="122" t="s">
        <v>52</v>
      </c>
      <c r="Q238" s="106"/>
      <c r="R238" s="30"/>
      <c r="S238" s="225" t="str">
        <f t="shared" si="3"/>
        <v/>
      </c>
      <c r="T238" s="2" t="s">
        <v>7690</v>
      </c>
      <c r="U238" s="7" t="s">
        <v>92</v>
      </c>
      <c r="V238" s="171" t="str" cm="1">
        <f t="array" ref="V238">_xlfn.IFS(C238="","",COUNTIF(C238,"ตำแหน่งว่าง*"),"ว่าง",COUNTIF(C238,"&lt;&gt;ตำแหน่งว่าง*"),"คนครอง")</f>
        <v>ว่าง</v>
      </c>
      <c r="W238" s="49" cm="1">
        <f t="array" ref="W238">_xlfn.IFS(COUNTIF(F238,"ผบ.หมู่*"),51,COUNTIF(F238,"รอง สว.*"),43)</f>
        <v>51</v>
      </c>
      <c r="X238" s="6" t="s">
        <v>1854</v>
      </c>
      <c r="Y238" s="6" t="s">
        <v>52</v>
      </c>
    </row>
    <row r="239" spans="1:25" s="9" customFormat="1" ht="21.3" customHeight="1">
      <c r="A239" s="68"/>
      <c r="B239" s="30"/>
      <c r="C239" s="68" t="s">
        <v>18</v>
      </c>
      <c r="D239" s="27"/>
      <c r="E239" s="27"/>
      <c r="F239" s="68" t="s">
        <v>1732</v>
      </c>
      <c r="G239" s="121" t="s">
        <v>1858</v>
      </c>
      <c r="H239" s="93"/>
      <c r="I239" s="74"/>
      <c r="J239" s="90"/>
      <c r="K239" s="74"/>
      <c r="L239" s="7"/>
      <c r="M239" s="6"/>
      <c r="N239" s="113" t="s">
        <v>14</v>
      </c>
      <c r="O239" s="122" t="s">
        <v>52</v>
      </c>
      <c r="P239" s="122" t="s">
        <v>52</v>
      </c>
      <c r="Q239" s="106"/>
      <c r="R239" s="30"/>
      <c r="S239" s="225" t="str">
        <f t="shared" si="3"/>
        <v/>
      </c>
      <c r="T239" s="2" t="s">
        <v>7690</v>
      </c>
      <c r="U239" s="7" t="s">
        <v>92</v>
      </c>
      <c r="V239" s="171" t="str" cm="1">
        <f t="array" ref="V239">_xlfn.IFS(C239="","",COUNTIF(C239,"ตำแหน่งว่าง*"),"ว่าง",COUNTIF(C239,"&lt;&gt;ตำแหน่งว่าง*"),"คนครอง")</f>
        <v>ว่าง</v>
      </c>
      <c r="W239" s="49" cm="1">
        <f t="array" ref="W239">_xlfn.IFS(COUNTIF(F239,"ผบ.หมู่*"),51,COUNTIF(F239,"รอง สว.*"),43)</f>
        <v>51</v>
      </c>
      <c r="X239" s="1" t="s">
        <v>1857</v>
      </c>
      <c r="Y239" s="1" t="s">
        <v>52</v>
      </c>
    </row>
    <row r="240" spans="1:25" s="9" customFormat="1" ht="21.3" customHeight="1">
      <c r="A240" s="27" t="s">
        <v>208</v>
      </c>
      <c r="B240" s="28" t="s">
        <v>21</v>
      </c>
      <c r="C240" s="27" t="s">
        <v>1859</v>
      </c>
      <c r="D240" s="27" t="s">
        <v>8486</v>
      </c>
      <c r="E240" s="27" t="s">
        <v>8487</v>
      </c>
      <c r="F240" s="27" t="s">
        <v>1732</v>
      </c>
      <c r="G240" s="101" t="s">
        <v>1861</v>
      </c>
      <c r="H240" s="91">
        <v>43693</v>
      </c>
      <c r="I240" s="73">
        <v>43693</v>
      </c>
      <c r="J240" s="89">
        <v>43693</v>
      </c>
      <c r="K240" s="73">
        <v>35549</v>
      </c>
      <c r="L240" s="2" t="s">
        <v>7817</v>
      </c>
      <c r="M240" s="1" t="s">
        <v>56</v>
      </c>
      <c r="N240" s="112" t="s">
        <v>14</v>
      </c>
      <c r="O240" s="104" t="s">
        <v>52</v>
      </c>
      <c r="P240" s="104" t="s">
        <v>52</v>
      </c>
      <c r="Q240" s="105"/>
      <c r="R240" s="28" t="s">
        <v>645</v>
      </c>
      <c r="S240" s="225">
        <f t="shared" si="3"/>
        <v>57619</v>
      </c>
      <c r="T240" s="2" t="s">
        <v>7690</v>
      </c>
      <c r="U240" s="7" t="s">
        <v>92</v>
      </c>
      <c r="V240" s="162" t="str" cm="1">
        <f t="array" ref="V240">_xlfn.IFS(C240="","",COUNTIF(C240,"ตำแหน่งว่าง*"),"ว่าง",COUNTIF(C240,"&lt;&gt;ตำแหน่งว่าง*"),"คนครอง")</f>
        <v>คนครอง</v>
      </c>
      <c r="W240" s="49" cm="1">
        <f t="array" ref="W240">_xlfn.IFS(COUNTIF(F240,"ผบ.หมู่*"),51,COUNTIF(F240,"รอง สว.*"),43)</f>
        <v>51</v>
      </c>
      <c r="X240" s="1" t="s">
        <v>1860</v>
      </c>
      <c r="Y240" s="1" t="s">
        <v>52</v>
      </c>
    </row>
    <row r="241" spans="1:25" s="10" customFormat="1" ht="21.3" customHeight="1">
      <c r="A241" s="68"/>
      <c r="B241" s="30"/>
      <c r="C241" s="30" t="s">
        <v>18</v>
      </c>
      <c r="D241" s="27"/>
      <c r="E241" s="27"/>
      <c r="F241" s="68" t="s">
        <v>1732</v>
      </c>
      <c r="G241" s="121" t="s">
        <v>1863</v>
      </c>
      <c r="H241" s="91" t="s">
        <v>19</v>
      </c>
      <c r="I241" s="73" t="s">
        <v>19</v>
      </c>
      <c r="J241" s="73" t="s">
        <v>19</v>
      </c>
      <c r="K241" s="73" t="s">
        <v>19</v>
      </c>
      <c r="L241" s="2"/>
      <c r="M241" s="1"/>
      <c r="N241" s="113" t="s">
        <v>14</v>
      </c>
      <c r="O241" s="122" t="s">
        <v>52</v>
      </c>
      <c r="P241" s="122" t="s">
        <v>52</v>
      </c>
      <c r="Q241" s="106"/>
      <c r="R241" s="30"/>
      <c r="S241" s="225" t="str">
        <f t="shared" si="3"/>
        <v/>
      </c>
      <c r="T241" s="7" t="s">
        <v>7690</v>
      </c>
      <c r="U241" s="7" t="s">
        <v>92</v>
      </c>
      <c r="V241" s="171" t="str" cm="1">
        <f t="array" ref="V241">_xlfn.IFS(C241="","",COUNTIF(C241,"ตำแหน่งว่าง*"),"ว่าง",COUNTIF(C241,"&lt;&gt;ตำแหน่งว่าง*"),"คนครอง")</f>
        <v>ว่าง</v>
      </c>
      <c r="W241" s="49" cm="1">
        <f t="array" ref="W241">_xlfn.IFS(COUNTIF(F241,"ผบ.หมู่*"),51,COUNTIF(F241,"รอง สว.*"),43)</f>
        <v>51</v>
      </c>
      <c r="X241" s="6" t="s">
        <v>1862</v>
      </c>
      <c r="Y241" s="6" t="s">
        <v>52</v>
      </c>
    </row>
    <row r="242" spans="1:25" s="10" customFormat="1" ht="21.3" customHeight="1">
      <c r="A242" s="68"/>
      <c r="B242" s="30"/>
      <c r="C242" s="30" t="s">
        <v>18</v>
      </c>
      <c r="D242" s="27"/>
      <c r="E242" s="27"/>
      <c r="F242" s="68" t="s">
        <v>1732</v>
      </c>
      <c r="G242" s="121" t="s">
        <v>1865</v>
      </c>
      <c r="H242" s="91" t="s">
        <v>19</v>
      </c>
      <c r="I242" s="73" t="s">
        <v>19</v>
      </c>
      <c r="J242" s="73" t="s">
        <v>19</v>
      </c>
      <c r="K242" s="73" t="s">
        <v>19</v>
      </c>
      <c r="L242" s="2"/>
      <c r="M242" s="1"/>
      <c r="N242" s="113" t="s">
        <v>14</v>
      </c>
      <c r="O242" s="122" t="s">
        <v>52</v>
      </c>
      <c r="P242" s="122" t="s">
        <v>52</v>
      </c>
      <c r="Q242" s="106"/>
      <c r="R242" s="30"/>
      <c r="S242" s="225" t="str">
        <f t="shared" si="3"/>
        <v/>
      </c>
      <c r="T242" s="7" t="s">
        <v>7690</v>
      </c>
      <c r="U242" s="7" t="s">
        <v>92</v>
      </c>
      <c r="V242" s="171" t="str" cm="1">
        <f t="array" ref="V242">_xlfn.IFS(C242="","",COUNTIF(C242,"ตำแหน่งว่าง*"),"ว่าง",COUNTIF(C242,"&lt;&gt;ตำแหน่งว่าง*"),"คนครอง")</f>
        <v>ว่าง</v>
      </c>
      <c r="W242" s="49" cm="1">
        <f t="array" ref="W242">_xlfn.IFS(COUNTIF(F242,"ผบ.หมู่*"),51,COUNTIF(F242,"รอง สว.*"),43)</f>
        <v>51</v>
      </c>
      <c r="X242" s="6" t="s">
        <v>1864</v>
      </c>
      <c r="Y242" s="6" t="s">
        <v>52</v>
      </c>
    </row>
    <row r="243" spans="1:25" s="10" customFormat="1" ht="21.3" customHeight="1">
      <c r="A243" s="68"/>
      <c r="B243" s="30"/>
      <c r="C243" s="30" t="s">
        <v>18</v>
      </c>
      <c r="D243" s="27"/>
      <c r="E243" s="27"/>
      <c r="F243" s="68" t="s">
        <v>1732</v>
      </c>
      <c r="G243" s="121" t="s">
        <v>1867</v>
      </c>
      <c r="H243" s="91" t="s">
        <v>19</v>
      </c>
      <c r="I243" s="73" t="s">
        <v>19</v>
      </c>
      <c r="J243" s="73" t="s">
        <v>19</v>
      </c>
      <c r="K243" s="73" t="s">
        <v>19</v>
      </c>
      <c r="L243" s="2"/>
      <c r="M243" s="1"/>
      <c r="N243" s="113" t="s">
        <v>14</v>
      </c>
      <c r="O243" s="122" t="s">
        <v>52</v>
      </c>
      <c r="P243" s="122" t="s">
        <v>52</v>
      </c>
      <c r="Q243" s="106"/>
      <c r="R243" s="30"/>
      <c r="S243" s="225" t="str">
        <f t="shared" si="3"/>
        <v/>
      </c>
      <c r="T243" s="7" t="s">
        <v>7690</v>
      </c>
      <c r="U243" s="7" t="s">
        <v>92</v>
      </c>
      <c r="V243" s="171" t="str" cm="1">
        <f t="array" ref="V243">_xlfn.IFS(C243="","",COUNTIF(C243,"ตำแหน่งว่าง*"),"ว่าง",COUNTIF(C243,"&lt;&gt;ตำแหน่งว่าง*"),"คนครอง")</f>
        <v>ว่าง</v>
      </c>
      <c r="W243" s="49" cm="1">
        <f t="array" ref="W243">_xlfn.IFS(COUNTIF(F243,"ผบ.หมู่*"),51,COUNTIF(F243,"รอง สว.*"),43)</f>
        <v>51</v>
      </c>
      <c r="X243" s="6" t="s">
        <v>1866</v>
      </c>
      <c r="Y243" s="6" t="s">
        <v>52</v>
      </c>
    </row>
    <row r="244" spans="1:25" s="10" customFormat="1" ht="21.3" customHeight="1">
      <c r="A244" s="68"/>
      <c r="B244" s="30"/>
      <c r="C244" s="30" t="s">
        <v>18</v>
      </c>
      <c r="D244" s="27"/>
      <c r="E244" s="27"/>
      <c r="F244" s="68" t="s">
        <v>1732</v>
      </c>
      <c r="G244" s="121" t="s">
        <v>1869</v>
      </c>
      <c r="H244" s="91" t="s">
        <v>19</v>
      </c>
      <c r="I244" s="73" t="s">
        <v>19</v>
      </c>
      <c r="J244" s="73" t="s">
        <v>19</v>
      </c>
      <c r="K244" s="73" t="s">
        <v>19</v>
      </c>
      <c r="L244" s="2"/>
      <c r="M244" s="1"/>
      <c r="N244" s="113" t="s">
        <v>14</v>
      </c>
      <c r="O244" s="122" t="s">
        <v>52</v>
      </c>
      <c r="P244" s="122" t="s">
        <v>52</v>
      </c>
      <c r="Q244" s="106"/>
      <c r="R244" s="30"/>
      <c r="S244" s="225" t="str">
        <f t="shared" si="3"/>
        <v/>
      </c>
      <c r="T244" s="7" t="s">
        <v>7690</v>
      </c>
      <c r="U244" s="7" t="s">
        <v>92</v>
      </c>
      <c r="V244" s="171" t="str" cm="1">
        <f t="array" ref="V244">_xlfn.IFS(C244="","",COUNTIF(C244,"ตำแหน่งว่าง*"),"ว่าง",COUNTIF(C244,"&lt;&gt;ตำแหน่งว่าง*"),"คนครอง")</f>
        <v>ว่าง</v>
      </c>
      <c r="W244" s="49" cm="1">
        <f t="array" ref="W244">_xlfn.IFS(COUNTIF(F244,"ผบ.หมู่*"),51,COUNTIF(F244,"รอง สว.*"),43)</f>
        <v>51</v>
      </c>
      <c r="X244" s="6" t="s">
        <v>1868</v>
      </c>
      <c r="Y244" s="6" t="s">
        <v>52</v>
      </c>
    </row>
    <row r="245" spans="1:25" s="10" customFormat="1" ht="21.3" customHeight="1">
      <c r="A245" s="27"/>
      <c r="B245" s="28"/>
      <c r="C245" s="30" t="s">
        <v>18</v>
      </c>
      <c r="D245" s="27"/>
      <c r="E245" s="27"/>
      <c r="F245" s="68" t="s">
        <v>1732</v>
      </c>
      <c r="G245" s="121" t="s">
        <v>1871</v>
      </c>
      <c r="H245" s="91" t="s">
        <v>19</v>
      </c>
      <c r="I245" s="73" t="s">
        <v>19</v>
      </c>
      <c r="J245" s="73" t="s">
        <v>19</v>
      </c>
      <c r="K245" s="73" t="s">
        <v>19</v>
      </c>
      <c r="L245" s="2"/>
      <c r="M245" s="1"/>
      <c r="N245" s="113" t="s">
        <v>14</v>
      </c>
      <c r="O245" s="122" t="s">
        <v>52</v>
      </c>
      <c r="P245" s="122" t="s">
        <v>52</v>
      </c>
      <c r="Q245" s="105"/>
      <c r="R245" s="28"/>
      <c r="S245" s="225" t="str">
        <f t="shared" si="3"/>
        <v/>
      </c>
      <c r="T245" s="7" t="s">
        <v>7690</v>
      </c>
      <c r="U245" s="7" t="s">
        <v>92</v>
      </c>
      <c r="V245" s="171" t="str" cm="1">
        <f t="array" ref="V245">_xlfn.IFS(C245="","",COUNTIF(C245,"ตำแหน่งว่าง*"),"ว่าง",COUNTIF(C245,"&lt;&gt;ตำแหน่งว่าง*"),"คนครอง")</f>
        <v>ว่าง</v>
      </c>
      <c r="W245" s="49" cm="1">
        <f t="array" ref="W245">_xlfn.IFS(COUNTIF(F245,"ผบ.หมู่*"),51,COUNTIF(F245,"รอง สว.*"),43)</f>
        <v>51</v>
      </c>
      <c r="X245" s="6" t="s">
        <v>1870</v>
      </c>
      <c r="Y245" s="6" t="s">
        <v>52</v>
      </c>
    </row>
    <row r="246" spans="1:25" s="10" customFormat="1" ht="21.3" customHeight="1">
      <c r="A246" s="27"/>
      <c r="B246" s="28"/>
      <c r="C246" s="30" t="s">
        <v>18</v>
      </c>
      <c r="D246" s="27"/>
      <c r="E246" s="27"/>
      <c r="F246" s="68" t="s">
        <v>1732</v>
      </c>
      <c r="G246" s="121" t="s">
        <v>1873</v>
      </c>
      <c r="H246" s="91" t="s">
        <v>19</v>
      </c>
      <c r="I246" s="73" t="s">
        <v>19</v>
      </c>
      <c r="J246" s="73" t="s">
        <v>19</v>
      </c>
      <c r="K246" s="73" t="s">
        <v>19</v>
      </c>
      <c r="L246" s="2"/>
      <c r="M246" s="1"/>
      <c r="N246" s="113" t="s">
        <v>14</v>
      </c>
      <c r="O246" s="122" t="s">
        <v>52</v>
      </c>
      <c r="P246" s="122" t="s">
        <v>52</v>
      </c>
      <c r="Q246" s="105"/>
      <c r="R246" s="28"/>
      <c r="S246" s="225" t="str">
        <f t="shared" si="3"/>
        <v/>
      </c>
      <c r="T246" s="7" t="s">
        <v>7690</v>
      </c>
      <c r="U246" s="7" t="s">
        <v>92</v>
      </c>
      <c r="V246" s="171" t="str" cm="1">
        <f t="array" ref="V246">_xlfn.IFS(C246="","",COUNTIF(C246,"ตำแหน่งว่าง*"),"ว่าง",COUNTIF(C246,"&lt;&gt;ตำแหน่งว่าง*"),"คนครอง")</f>
        <v>ว่าง</v>
      </c>
      <c r="W246" s="49" cm="1">
        <f t="array" ref="W246">_xlfn.IFS(COUNTIF(F246,"ผบ.หมู่*"),51,COUNTIF(F246,"รอง สว.*"),43)</f>
        <v>51</v>
      </c>
      <c r="X246" s="6" t="s">
        <v>1872</v>
      </c>
      <c r="Y246" s="6" t="s">
        <v>52</v>
      </c>
    </row>
    <row r="247" spans="1:25" s="10" customFormat="1" ht="21.3" customHeight="1">
      <c r="A247" s="27"/>
      <c r="B247" s="28"/>
      <c r="C247" s="30" t="s">
        <v>18</v>
      </c>
      <c r="D247" s="27"/>
      <c r="E247" s="27"/>
      <c r="F247" s="68" t="s">
        <v>1732</v>
      </c>
      <c r="G247" s="121" t="s">
        <v>1875</v>
      </c>
      <c r="H247" s="91" t="s">
        <v>19</v>
      </c>
      <c r="I247" s="73" t="s">
        <v>19</v>
      </c>
      <c r="J247" s="73" t="s">
        <v>19</v>
      </c>
      <c r="K247" s="73" t="s">
        <v>19</v>
      </c>
      <c r="L247" s="2"/>
      <c r="M247" s="1"/>
      <c r="N247" s="113" t="s">
        <v>14</v>
      </c>
      <c r="O247" s="122" t="s">
        <v>52</v>
      </c>
      <c r="P247" s="122" t="s">
        <v>52</v>
      </c>
      <c r="Q247" s="105"/>
      <c r="R247" s="28"/>
      <c r="S247" s="225" t="str">
        <f t="shared" si="3"/>
        <v/>
      </c>
      <c r="T247" s="7" t="s">
        <v>7690</v>
      </c>
      <c r="U247" s="7" t="s">
        <v>92</v>
      </c>
      <c r="V247" s="171" t="str" cm="1">
        <f t="array" ref="V247">_xlfn.IFS(C247="","",COUNTIF(C247,"ตำแหน่งว่าง*"),"ว่าง",COUNTIF(C247,"&lt;&gt;ตำแหน่งว่าง*"),"คนครอง")</f>
        <v>ว่าง</v>
      </c>
      <c r="W247" s="49" cm="1">
        <f t="array" ref="W247">_xlfn.IFS(COUNTIF(F247,"ผบ.หมู่*"),51,COUNTIF(F247,"รอง สว.*"),43)</f>
        <v>51</v>
      </c>
      <c r="X247" s="6" t="s">
        <v>1874</v>
      </c>
      <c r="Y247" s="6" t="s">
        <v>52</v>
      </c>
    </row>
    <row r="248" spans="1:25" s="10" customFormat="1" ht="21.3" customHeight="1">
      <c r="A248" s="27"/>
      <c r="B248" s="28"/>
      <c r="C248" s="30" t="s">
        <v>18</v>
      </c>
      <c r="D248" s="27"/>
      <c r="E248" s="27"/>
      <c r="F248" s="68" t="s">
        <v>1732</v>
      </c>
      <c r="G248" s="121" t="s">
        <v>1877</v>
      </c>
      <c r="H248" s="91" t="s">
        <v>19</v>
      </c>
      <c r="I248" s="73" t="s">
        <v>19</v>
      </c>
      <c r="J248" s="73" t="s">
        <v>19</v>
      </c>
      <c r="K248" s="73" t="s">
        <v>19</v>
      </c>
      <c r="L248" s="2"/>
      <c r="M248" s="1"/>
      <c r="N248" s="113" t="s">
        <v>14</v>
      </c>
      <c r="O248" s="122" t="s">
        <v>52</v>
      </c>
      <c r="P248" s="122" t="s">
        <v>52</v>
      </c>
      <c r="Q248" s="105"/>
      <c r="R248" s="28"/>
      <c r="S248" s="225" t="str">
        <f t="shared" si="3"/>
        <v/>
      </c>
      <c r="T248" s="7" t="s">
        <v>7690</v>
      </c>
      <c r="U248" s="7" t="s">
        <v>92</v>
      </c>
      <c r="V248" s="171" t="str" cm="1">
        <f t="array" ref="V248">_xlfn.IFS(C248="","",COUNTIF(C248,"ตำแหน่งว่าง*"),"ว่าง",COUNTIF(C248,"&lt;&gt;ตำแหน่งว่าง*"),"คนครอง")</f>
        <v>ว่าง</v>
      </c>
      <c r="W248" s="49" cm="1">
        <f t="array" ref="W248">_xlfn.IFS(COUNTIF(F248,"ผบ.หมู่*"),51,COUNTIF(F248,"รอง สว.*"),43)</f>
        <v>51</v>
      </c>
      <c r="X248" s="6" t="s">
        <v>1876</v>
      </c>
      <c r="Y248" s="6" t="s">
        <v>52</v>
      </c>
    </row>
    <row r="249" spans="1:25" s="10" customFormat="1" ht="21.3" customHeight="1">
      <c r="A249" s="27"/>
      <c r="B249" s="28"/>
      <c r="C249" s="30" t="s">
        <v>18</v>
      </c>
      <c r="D249" s="27"/>
      <c r="E249" s="27"/>
      <c r="F249" s="68" t="s">
        <v>1732</v>
      </c>
      <c r="G249" s="121" t="s">
        <v>1879</v>
      </c>
      <c r="H249" s="91" t="s">
        <v>19</v>
      </c>
      <c r="I249" s="73" t="s">
        <v>19</v>
      </c>
      <c r="J249" s="73" t="s">
        <v>19</v>
      </c>
      <c r="K249" s="73" t="s">
        <v>19</v>
      </c>
      <c r="L249" s="2"/>
      <c r="M249" s="1"/>
      <c r="N249" s="113" t="s">
        <v>14</v>
      </c>
      <c r="O249" s="122" t="s">
        <v>52</v>
      </c>
      <c r="P249" s="122" t="s">
        <v>52</v>
      </c>
      <c r="Q249" s="105"/>
      <c r="R249" s="28"/>
      <c r="S249" s="225" t="str">
        <f t="shared" si="3"/>
        <v/>
      </c>
      <c r="T249" s="7" t="s">
        <v>7690</v>
      </c>
      <c r="U249" s="7" t="s">
        <v>92</v>
      </c>
      <c r="V249" s="171" t="str" cm="1">
        <f t="array" ref="V249">_xlfn.IFS(C249="","",COUNTIF(C249,"ตำแหน่งว่าง*"),"ว่าง",COUNTIF(C249,"&lt;&gt;ตำแหน่งว่าง*"),"คนครอง")</f>
        <v>ว่าง</v>
      </c>
      <c r="W249" s="49" cm="1">
        <f t="array" ref="W249">_xlfn.IFS(COUNTIF(F249,"ผบ.หมู่*"),51,COUNTIF(F249,"รอง สว.*"),43)</f>
        <v>51</v>
      </c>
      <c r="X249" s="6" t="s">
        <v>1878</v>
      </c>
      <c r="Y249" s="6" t="s">
        <v>52</v>
      </c>
    </row>
    <row r="250" spans="1:25" s="10" customFormat="1" ht="21.3" customHeight="1">
      <c r="A250" s="27"/>
      <c r="B250" s="28"/>
      <c r="C250" s="30" t="s">
        <v>18</v>
      </c>
      <c r="D250" s="27"/>
      <c r="E250" s="27"/>
      <c r="F250" s="68" t="s">
        <v>1732</v>
      </c>
      <c r="G250" s="121" t="s">
        <v>1881</v>
      </c>
      <c r="H250" s="91" t="s">
        <v>19</v>
      </c>
      <c r="I250" s="73" t="s">
        <v>19</v>
      </c>
      <c r="J250" s="73" t="s">
        <v>19</v>
      </c>
      <c r="K250" s="73" t="s">
        <v>19</v>
      </c>
      <c r="L250" s="2"/>
      <c r="M250" s="1"/>
      <c r="N250" s="113" t="s">
        <v>14</v>
      </c>
      <c r="O250" s="122" t="s">
        <v>52</v>
      </c>
      <c r="P250" s="122" t="s">
        <v>52</v>
      </c>
      <c r="Q250" s="105"/>
      <c r="R250" s="28"/>
      <c r="S250" s="225" t="str">
        <f t="shared" si="3"/>
        <v/>
      </c>
      <c r="T250" s="7" t="s">
        <v>7690</v>
      </c>
      <c r="U250" s="7" t="s">
        <v>92</v>
      </c>
      <c r="V250" s="171" t="str" cm="1">
        <f t="array" ref="V250">_xlfn.IFS(C250="","",COUNTIF(C250,"ตำแหน่งว่าง*"),"ว่าง",COUNTIF(C250,"&lt;&gt;ตำแหน่งว่าง*"),"คนครอง")</f>
        <v>ว่าง</v>
      </c>
      <c r="W250" s="49" cm="1">
        <f t="array" ref="W250">_xlfn.IFS(COUNTIF(F250,"ผบ.หมู่*"),51,COUNTIF(F250,"รอง สว.*"),43)</f>
        <v>51</v>
      </c>
      <c r="X250" s="6" t="s">
        <v>1880</v>
      </c>
      <c r="Y250" s="6" t="s">
        <v>52</v>
      </c>
    </row>
    <row r="251" spans="1:25" s="10" customFormat="1" ht="21.3" customHeight="1">
      <c r="A251" s="27"/>
      <c r="B251" s="28"/>
      <c r="C251" s="30" t="s">
        <v>18</v>
      </c>
      <c r="D251" s="27"/>
      <c r="E251" s="27"/>
      <c r="F251" s="68" t="s">
        <v>1732</v>
      </c>
      <c r="G251" s="121" t="s">
        <v>1883</v>
      </c>
      <c r="H251" s="91" t="s">
        <v>19</v>
      </c>
      <c r="I251" s="73" t="s">
        <v>19</v>
      </c>
      <c r="J251" s="73" t="s">
        <v>19</v>
      </c>
      <c r="K251" s="73" t="s">
        <v>19</v>
      </c>
      <c r="L251" s="2"/>
      <c r="M251" s="1"/>
      <c r="N251" s="113" t="s">
        <v>14</v>
      </c>
      <c r="O251" s="122" t="s">
        <v>52</v>
      </c>
      <c r="P251" s="122" t="s">
        <v>52</v>
      </c>
      <c r="Q251" s="105"/>
      <c r="R251" s="28"/>
      <c r="S251" s="225" t="str">
        <f t="shared" si="3"/>
        <v/>
      </c>
      <c r="T251" s="7" t="s">
        <v>7690</v>
      </c>
      <c r="U251" s="7" t="s">
        <v>92</v>
      </c>
      <c r="V251" s="171" t="str" cm="1">
        <f t="array" ref="V251">_xlfn.IFS(C251="","",COUNTIF(C251,"ตำแหน่งว่าง*"),"ว่าง",COUNTIF(C251,"&lt;&gt;ตำแหน่งว่าง*"),"คนครอง")</f>
        <v>ว่าง</v>
      </c>
      <c r="W251" s="49" cm="1">
        <f t="array" ref="W251">_xlfn.IFS(COUNTIF(F251,"ผบ.หมู่*"),51,COUNTIF(F251,"รอง สว.*"),43)</f>
        <v>51</v>
      </c>
      <c r="X251" s="6" t="s">
        <v>1882</v>
      </c>
      <c r="Y251" s="6" t="s">
        <v>52</v>
      </c>
    </row>
    <row r="252" spans="1:25" s="10" customFormat="1" ht="21.3" customHeight="1">
      <c r="A252" s="27"/>
      <c r="B252" s="28"/>
      <c r="C252" s="30" t="s">
        <v>18</v>
      </c>
      <c r="D252" s="27"/>
      <c r="E252" s="27"/>
      <c r="F252" s="68" t="s">
        <v>1732</v>
      </c>
      <c r="G252" s="121" t="s">
        <v>1885</v>
      </c>
      <c r="H252" s="91" t="s">
        <v>19</v>
      </c>
      <c r="I252" s="73" t="s">
        <v>19</v>
      </c>
      <c r="J252" s="73" t="s">
        <v>19</v>
      </c>
      <c r="K252" s="73" t="s">
        <v>19</v>
      </c>
      <c r="L252" s="2"/>
      <c r="M252" s="1"/>
      <c r="N252" s="113" t="s">
        <v>14</v>
      </c>
      <c r="O252" s="122" t="s">
        <v>52</v>
      </c>
      <c r="P252" s="122" t="s">
        <v>52</v>
      </c>
      <c r="Q252" s="105"/>
      <c r="R252" s="28"/>
      <c r="S252" s="225" t="str">
        <f t="shared" si="3"/>
        <v/>
      </c>
      <c r="T252" s="7" t="s">
        <v>7690</v>
      </c>
      <c r="U252" s="7" t="s">
        <v>92</v>
      </c>
      <c r="V252" s="171" t="str" cm="1">
        <f t="array" ref="V252">_xlfn.IFS(C252="","",COUNTIF(C252,"ตำแหน่งว่าง*"),"ว่าง",COUNTIF(C252,"&lt;&gt;ตำแหน่งว่าง*"),"คนครอง")</f>
        <v>ว่าง</v>
      </c>
      <c r="W252" s="49" cm="1">
        <f t="array" ref="W252">_xlfn.IFS(COUNTIF(F252,"ผบ.หมู่*"),51,COUNTIF(F252,"รอง สว.*"),43)</f>
        <v>51</v>
      </c>
      <c r="X252" s="6" t="s">
        <v>1884</v>
      </c>
      <c r="Y252" s="6" t="s">
        <v>52</v>
      </c>
    </row>
    <row r="253" spans="1:25" s="10" customFormat="1" ht="21.3" customHeight="1">
      <c r="A253" s="27"/>
      <c r="B253" s="28"/>
      <c r="C253" s="30" t="s">
        <v>18</v>
      </c>
      <c r="D253" s="27"/>
      <c r="E253" s="27"/>
      <c r="F253" s="68" t="s">
        <v>1732</v>
      </c>
      <c r="G253" s="121" t="s">
        <v>1887</v>
      </c>
      <c r="H253" s="91" t="s">
        <v>19</v>
      </c>
      <c r="I253" s="73" t="s">
        <v>19</v>
      </c>
      <c r="J253" s="73" t="s">
        <v>19</v>
      </c>
      <c r="K253" s="73" t="s">
        <v>19</v>
      </c>
      <c r="L253" s="2"/>
      <c r="M253" s="1"/>
      <c r="N253" s="113" t="s">
        <v>14</v>
      </c>
      <c r="O253" s="122" t="s">
        <v>52</v>
      </c>
      <c r="P253" s="122" t="s">
        <v>52</v>
      </c>
      <c r="Q253" s="105"/>
      <c r="R253" s="28"/>
      <c r="S253" s="225" t="str">
        <f t="shared" si="3"/>
        <v/>
      </c>
      <c r="T253" s="7" t="s">
        <v>7690</v>
      </c>
      <c r="U253" s="7" t="s">
        <v>92</v>
      </c>
      <c r="V253" s="171" t="str" cm="1">
        <f t="array" ref="V253">_xlfn.IFS(C253="","",COUNTIF(C253,"ตำแหน่งว่าง*"),"ว่าง",COUNTIF(C253,"&lt;&gt;ตำแหน่งว่าง*"),"คนครอง")</f>
        <v>ว่าง</v>
      </c>
      <c r="W253" s="49" cm="1">
        <f t="array" ref="W253">_xlfn.IFS(COUNTIF(F253,"ผบ.หมู่*"),51,COUNTIF(F253,"รอง สว.*"),43)</f>
        <v>51</v>
      </c>
      <c r="X253" s="6" t="s">
        <v>1886</v>
      </c>
      <c r="Y253" s="6" t="s">
        <v>52</v>
      </c>
    </row>
    <row r="254" spans="1:25" s="10" customFormat="1" ht="21.3" customHeight="1">
      <c r="A254" s="27"/>
      <c r="B254" s="28"/>
      <c r="C254" s="30" t="s">
        <v>18</v>
      </c>
      <c r="D254" s="27"/>
      <c r="E254" s="27"/>
      <c r="F254" s="68" t="s">
        <v>1732</v>
      </c>
      <c r="G254" s="121" t="s">
        <v>1889</v>
      </c>
      <c r="H254" s="91" t="s">
        <v>19</v>
      </c>
      <c r="I254" s="73" t="s">
        <v>19</v>
      </c>
      <c r="J254" s="73" t="s">
        <v>19</v>
      </c>
      <c r="K254" s="73" t="s">
        <v>19</v>
      </c>
      <c r="L254" s="2"/>
      <c r="M254" s="1"/>
      <c r="N254" s="113" t="s">
        <v>14</v>
      </c>
      <c r="O254" s="122" t="s">
        <v>52</v>
      </c>
      <c r="P254" s="122" t="s">
        <v>52</v>
      </c>
      <c r="Q254" s="105"/>
      <c r="R254" s="28"/>
      <c r="S254" s="225" t="str">
        <f t="shared" si="3"/>
        <v/>
      </c>
      <c r="T254" s="7" t="s">
        <v>7690</v>
      </c>
      <c r="U254" s="7" t="s">
        <v>92</v>
      </c>
      <c r="V254" s="171" t="str" cm="1">
        <f t="array" ref="V254">_xlfn.IFS(C254="","",COUNTIF(C254,"ตำแหน่งว่าง*"),"ว่าง",COUNTIF(C254,"&lt;&gt;ตำแหน่งว่าง*"),"คนครอง")</f>
        <v>ว่าง</v>
      </c>
      <c r="W254" s="49" cm="1">
        <f t="array" ref="W254">_xlfn.IFS(COUNTIF(F254,"ผบ.หมู่*"),51,COUNTIF(F254,"รอง สว.*"),43)</f>
        <v>51</v>
      </c>
      <c r="X254" s="6" t="s">
        <v>1888</v>
      </c>
      <c r="Y254" s="6" t="s">
        <v>52</v>
      </c>
    </row>
    <row r="255" spans="1:25" s="10" customFormat="1" ht="21.3" customHeight="1">
      <c r="A255" s="27"/>
      <c r="B255" s="28"/>
      <c r="C255" s="30" t="s">
        <v>18</v>
      </c>
      <c r="D255" s="27"/>
      <c r="E255" s="27"/>
      <c r="F255" s="68" t="s">
        <v>1732</v>
      </c>
      <c r="G255" s="121" t="s">
        <v>1891</v>
      </c>
      <c r="H255" s="91" t="s">
        <v>19</v>
      </c>
      <c r="I255" s="73" t="s">
        <v>19</v>
      </c>
      <c r="J255" s="73" t="s">
        <v>19</v>
      </c>
      <c r="K255" s="73" t="s">
        <v>19</v>
      </c>
      <c r="L255" s="2"/>
      <c r="M255" s="1"/>
      <c r="N255" s="113" t="s">
        <v>14</v>
      </c>
      <c r="O255" s="122" t="s">
        <v>52</v>
      </c>
      <c r="P255" s="122" t="s">
        <v>52</v>
      </c>
      <c r="Q255" s="105"/>
      <c r="R255" s="28"/>
      <c r="S255" s="225" t="str">
        <f t="shared" si="3"/>
        <v/>
      </c>
      <c r="T255" s="7" t="s">
        <v>7690</v>
      </c>
      <c r="U255" s="7" t="s">
        <v>92</v>
      </c>
      <c r="V255" s="171" t="str" cm="1">
        <f t="array" ref="V255">_xlfn.IFS(C255="","",COUNTIF(C255,"ตำแหน่งว่าง*"),"ว่าง",COUNTIF(C255,"&lt;&gt;ตำแหน่งว่าง*"),"คนครอง")</f>
        <v>ว่าง</v>
      </c>
      <c r="W255" s="49" cm="1">
        <f t="array" ref="W255">_xlfn.IFS(COUNTIF(F255,"ผบ.หมู่*"),51,COUNTIF(F255,"รอง สว.*"),43)</f>
        <v>51</v>
      </c>
      <c r="X255" s="6" t="s">
        <v>1890</v>
      </c>
      <c r="Y255" s="6" t="s">
        <v>52</v>
      </c>
    </row>
    <row r="256" spans="1:25" s="10" customFormat="1" ht="21.3" customHeight="1">
      <c r="A256" s="27"/>
      <c r="B256" s="28"/>
      <c r="C256" s="30" t="s">
        <v>18</v>
      </c>
      <c r="D256" s="27"/>
      <c r="E256" s="27"/>
      <c r="F256" s="68" t="s">
        <v>1732</v>
      </c>
      <c r="G256" s="121" t="s">
        <v>1893</v>
      </c>
      <c r="H256" s="91" t="s">
        <v>19</v>
      </c>
      <c r="I256" s="73" t="s">
        <v>19</v>
      </c>
      <c r="J256" s="73" t="s">
        <v>19</v>
      </c>
      <c r="K256" s="73" t="s">
        <v>19</v>
      </c>
      <c r="L256" s="2"/>
      <c r="M256" s="1"/>
      <c r="N256" s="113" t="s">
        <v>14</v>
      </c>
      <c r="O256" s="122" t="s">
        <v>52</v>
      </c>
      <c r="P256" s="122" t="s">
        <v>52</v>
      </c>
      <c r="Q256" s="105"/>
      <c r="R256" s="28"/>
      <c r="S256" s="225" t="str">
        <f t="shared" si="3"/>
        <v/>
      </c>
      <c r="T256" s="7" t="s">
        <v>7690</v>
      </c>
      <c r="U256" s="7" t="s">
        <v>92</v>
      </c>
      <c r="V256" s="171" t="str" cm="1">
        <f t="array" ref="V256">_xlfn.IFS(C256="","",COUNTIF(C256,"ตำแหน่งว่าง*"),"ว่าง",COUNTIF(C256,"&lt;&gt;ตำแหน่งว่าง*"),"คนครอง")</f>
        <v>ว่าง</v>
      </c>
      <c r="W256" s="49" cm="1">
        <f t="array" ref="W256">_xlfn.IFS(COUNTIF(F256,"ผบ.หมู่*"),51,COUNTIF(F256,"รอง สว.*"),43)</f>
        <v>51</v>
      </c>
      <c r="X256" s="6" t="s">
        <v>1892</v>
      </c>
      <c r="Y256" s="6" t="s">
        <v>52</v>
      </c>
    </row>
    <row r="257" spans="1:25" s="10" customFormat="1" ht="21.3" customHeight="1">
      <c r="A257" s="27"/>
      <c r="B257" s="28"/>
      <c r="C257" s="30" t="s">
        <v>18</v>
      </c>
      <c r="D257" s="27"/>
      <c r="E257" s="27"/>
      <c r="F257" s="68" t="s">
        <v>1732</v>
      </c>
      <c r="G257" s="121" t="s">
        <v>1895</v>
      </c>
      <c r="H257" s="91" t="s">
        <v>19</v>
      </c>
      <c r="I257" s="73" t="s">
        <v>19</v>
      </c>
      <c r="J257" s="73" t="s">
        <v>19</v>
      </c>
      <c r="K257" s="73" t="s">
        <v>19</v>
      </c>
      <c r="L257" s="2"/>
      <c r="M257" s="1"/>
      <c r="N257" s="113" t="s">
        <v>14</v>
      </c>
      <c r="O257" s="122" t="s">
        <v>52</v>
      </c>
      <c r="P257" s="122" t="s">
        <v>52</v>
      </c>
      <c r="Q257" s="105"/>
      <c r="R257" s="28"/>
      <c r="S257" s="225" t="str">
        <f t="shared" si="3"/>
        <v/>
      </c>
      <c r="T257" s="7" t="s">
        <v>7690</v>
      </c>
      <c r="U257" s="7" t="s">
        <v>92</v>
      </c>
      <c r="V257" s="171" t="str" cm="1">
        <f t="array" ref="V257">_xlfn.IFS(C257="","",COUNTIF(C257,"ตำแหน่งว่าง*"),"ว่าง",COUNTIF(C257,"&lt;&gt;ตำแหน่งว่าง*"),"คนครอง")</f>
        <v>ว่าง</v>
      </c>
      <c r="W257" s="49" cm="1">
        <f t="array" ref="W257">_xlfn.IFS(COUNTIF(F257,"ผบ.หมู่*"),51,COUNTIF(F257,"รอง สว.*"),43)</f>
        <v>51</v>
      </c>
      <c r="X257" s="6" t="s">
        <v>1894</v>
      </c>
      <c r="Y257" s="6" t="s">
        <v>52</v>
      </c>
    </row>
    <row r="258" spans="1:25" s="10" customFormat="1" ht="21.3" customHeight="1">
      <c r="A258" s="27"/>
      <c r="B258" s="28"/>
      <c r="C258" s="30" t="s">
        <v>18</v>
      </c>
      <c r="D258" s="27"/>
      <c r="E258" s="27"/>
      <c r="F258" s="68" t="s">
        <v>1732</v>
      </c>
      <c r="G258" s="121" t="s">
        <v>1897</v>
      </c>
      <c r="H258" s="91" t="s">
        <v>19</v>
      </c>
      <c r="I258" s="73" t="s">
        <v>19</v>
      </c>
      <c r="J258" s="73" t="s">
        <v>19</v>
      </c>
      <c r="K258" s="73" t="s">
        <v>19</v>
      </c>
      <c r="L258" s="2"/>
      <c r="M258" s="1"/>
      <c r="N258" s="113" t="s">
        <v>14</v>
      </c>
      <c r="O258" s="122" t="s">
        <v>52</v>
      </c>
      <c r="P258" s="122" t="s">
        <v>52</v>
      </c>
      <c r="Q258" s="105"/>
      <c r="R258" s="28"/>
      <c r="S258" s="225" t="str">
        <f t="shared" ref="S258:S321" si="4">IF(K258&lt;&gt;"",DATE(YEAR(K258)+60+(K258&gt;=DATE(YEAR(K258),10,2)),10,1),"")</f>
        <v/>
      </c>
      <c r="T258" s="7" t="s">
        <v>7690</v>
      </c>
      <c r="U258" s="7" t="s">
        <v>92</v>
      </c>
      <c r="V258" s="171" t="str" cm="1">
        <f t="array" ref="V258">_xlfn.IFS(C258="","",COUNTIF(C258,"ตำแหน่งว่าง*"),"ว่าง",COUNTIF(C258,"&lt;&gt;ตำแหน่งว่าง*"),"คนครอง")</f>
        <v>ว่าง</v>
      </c>
      <c r="W258" s="49" cm="1">
        <f t="array" ref="W258">_xlfn.IFS(COUNTIF(F258,"ผบ.หมู่*"),51,COUNTIF(F258,"รอง สว.*"),43)</f>
        <v>51</v>
      </c>
      <c r="X258" s="6" t="s">
        <v>1896</v>
      </c>
      <c r="Y258" s="6" t="s">
        <v>52</v>
      </c>
    </row>
    <row r="259" spans="1:25" s="10" customFormat="1" ht="21.3" customHeight="1">
      <c r="A259" s="27"/>
      <c r="B259" s="28"/>
      <c r="C259" s="30" t="s">
        <v>18</v>
      </c>
      <c r="D259" s="27"/>
      <c r="E259" s="27"/>
      <c r="F259" s="68" t="s">
        <v>1732</v>
      </c>
      <c r="G259" s="121" t="s">
        <v>1899</v>
      </c>
      <c r="H259" s="91" t="s">
        <v>19</v>
      </c>
      <c r="I259" s="73" t="s">
        <v>19</v>
      </c>
      <c r="J259" s="73" t="s">
        <v>19</v>
      </c>
      <c r="K259" s="73" t="s">
        <v>19</v>
      </c>
      <c r="L259" s="2"/>
      <c r="M259" s="1"/>
      <c r="N259" s="113" t="s">
        <v>14</v>
      </c>
      <c r="O259" s="122" t="s">
        <v>52</v>
      </c>
      <c r="P259" s="122" t="s">
        <v>52</v>
      </c>
      <c r="Q259" s="105"/>
      <c r="R259" s="28"/>
      <c r="S259" s="225" t="str">
        <f t="shared" si="4"/>
        <v/>
      </c>
      <c r="T259" s="7" t="s">
        <v>7690</v>
      </c>
      <c r="U259" s="7" t="s">
        <v>92</v>
      </c>
      <c r="V259" s="171" t="str" cm="1">
        <f t="array" ref="V259">_xlfn.IFS(C259="","",COUNTIF(C259,"ตำแหน่งว่าง*"),"ว่าง",COUNTIF(C259,"&lt;&gt;ตำแหน่งว่าง*"),"คนครอง")</f>
        <v>ว่าง</v>
      </c>
      <c r="W259" s="49" cm="1">
        <f t="array" ref="W259">_xlfn.IFS(COUNTIF(F259,"ผบ.หมู่*"),51,COUNTIF(F259,"รอง สว.*"),43)</f>
        <v>51</v>
      </c>
      <c r="X259" s="6" t="s">
        <v>1898</v>
      </c>
      <c r="Y259" s="6" t="s">
        <v>52</v>
      </c>
    </row>
    <row r="260" spans="1:25" s="10" customFormat="1" ht="21.3" customHeight="1">
      <c r="A260" s="27"/>
      <c r="B260" s="28"/>
      <c r="C260" s="30" t="s">
        <v>18</v>
      </c>
      <c r="D260" s="27"/>
      <c r="E260" s="27"/>
      <c r="F260" s="68" t="s">
        <v>1732</v>
      </c>
      <c r="G260" s="121" t="s">
        <v>1901</v>
      </c>
      <c r="H260" s="91" t="s">
        <v>19</v>
      </c>
      <c r="I260" s="73" t="s">
        <v>19</v>
      </c>
      <c r="J260" s="73" t="s">
        <v>19</v>
      </c>
      <c r="K260" s="73" t="s">
        <v>19</v>
      </c>
      <c r="L260" s="2"/>
      <c r="M260" s="1"/>
      <c r="N260" s="113" t="s">
        <v>14</v>
      </c>
      <c r="O260" s="122" t="s">
        <v>52</v>
      </c>
      <c r="P260" s="122" t="s">
        <v>52</v>
      </c>
      <c r="Q260" s="105"/>
      <c r="R260" s="28"/>
      <c r="S260" s="225" t="str">
        <f t="shared" si="4"/>
        <v/>
      </c>
      <c r="T260" s="7" t="s">
        <v>7690</v>
      </c>
      <c r="U260" s="7" t="s">
        <v>92</v>
      </c>
      <c r="V260" s="171" t="str" cm="1">
        <f t="array" ref="V260">_xlfn.IFS(C260="","",COUNTIF(C260,"ตำแหน่งว่าง*"),"ว่าง",COUNTIF(C260,"&lt;&gt;ตำแหน่งว่าง*"),"คนครอง")</f>
        <v>ว่าง</v>
      </c>
      <c r="W260" s="49" cm="1">
        <f t="array" ref="W260">_xlfn.IFS(COUNTIF(F260,"ผบ.หมู่*"),51,COUNTIF(F260,"รอง สว.*"),43)</f>
        <v>51</v>
      </c>
      <c r="X260" s="6" t="s">
        <v>1900</v>
      </c>
      <c r="Y260" s="6" t="s">
        <v>52</v>
      </c>
    </row>
    <row r="261" spans="1:25" s="10" customFormat="1" ht="21.3" customHeight="1">
      <c r="A261" s="27"/>
      <c r="B261" s="28"/>
      <c r="C261" s="30" t="s">
        <v>18</v>
      </c>
      <c r="D261" s="27"/>
      <c r="E261" s="27"/>
      <c r="F261" s="68" t="s">
        <v>1902</v>
      </c>
      <c r="G261" s="121" t="s">
        <v>1904</v>
      </c>
      <c r="H261" s="91"/>
      <c r="I261" s="73" t="s">
        <v>19</v>
      </c>
      <c r="J261" s="73" t="s">
        <v>19</v>
      </c>
      <c r="K261" s="73" t="s">
        <v>19</v>
      </c>
      <c r="L261" s="2"/>
      <c r="M261" s="1"/>
      <c r="N261" s="113" t="s">
        <v>14</v>
      </c>
      <c r="O261" s="122" t="s">
        <v>27</v>
      </c>
      <c r="P261" s="122"/>
      <c r="Q261" s="105"/>
      <c r="R261" s="28"/>
      <c r="S261" s="225" t="str">
        <f t="shared" si="4"/>
        <v/>
      </c>
      <c r="T261" s="7" t="s">
        <v>115</v>
      </c>
      <c r="U261" s="7" t="s">
        <v>92</v>
      </c>
      <c r="V261" s="171" t="str" cm="1">
        <f t="array" ref="V261">_xlfn.IFS(C261="","",COUNTIF(C261,"ตำแหน่งว่าง*"),"ว่าง",COUNTIF(C261,"&lt;&gt;ตำแหน่งว่าง*"),"คนครอง")</f>
        <v>ว่าง</v>
      </c>
      <c r="W261" s="49" cm="1">
        <f t="array" ref="W261">_xlfn.IFS(COUNTIF(F261,"ผบ.หมู่*"),51,COUNTIF(F261,"รอง สว.*"),43)</f>
        <v>51</v>
      </c>
      <c r="X261" s="6" t="s">
        <v>1903</v>
      </c>
      <c r="Y261" s="6" t="s">
        <v>27</v>
      </c>
    </row>
    <row r="262" spans="1:25" s="10" customFormat="1" ht="21.3" customHeight="1">
      <c r="A262" s="27"/>
      <c r="B262" s="28"/>
      <c r="C262" s="30" t="s">
        <v>18</v>
      </c>
      <c r="D262" s="27"/>
      <c r="E262" s="27"/>
      <c r="F262" s="68" t="s">
        <v>1902</v>
      </c>
      <c r="G262" s="121" t="s">
        <v>1906</v>
      </c>
      <c r="H262" s="91" t="s">
        <v>19</v>
      </c>
      <c r="I262" s="73" t="s">
        <v>19</v>
      </c>
      <c r="J262" s="73" t="s">
        <v>19</v>
      </c>
      <c r="K262" s="73" t="s">
        <v>19</v>
      </c>
      <c r="L262" s="2"/>
      <c r="M262" s="1"/>
      <c r="N262" s="113" t="s">
        <v>14</v>
      </c>
      <c r="O262" s="122" t="s">
        <v>27</v>
      </c>
      <c r="P262" s="122"/>
      <c r="Q262" s="105"/>
      <c r="R262" s="28"/>
      <c r="S262" s="225" t="str">
        <f t="shared" si="4"/>
        <v/>
      </c>
      <c r="T262" s="7" t="s">
        <v>115</v>
      </c>
      <c r="U262" s="7" t="s">
        <v>92</v>
      </c>
      <c r="V262" s="171" t="str" cm="1">
        <f t="array" ref="V262">_xlfn.IFS(C262="","",COUNTIF(C262,"ตำแหน่งว่าง*"),"ว่าง",COUNTIF(C262,"&lt;&gt;ตำแหน่งว่าง*"),"คนครอง")</f>
        <v>ว่าง</v>
      </c>
      <c r="W262" s="49" cm="1">
        <f t="array" ref="W262">_xlfn.IFS(COUNTIF(F262,"ผบ.หมู่*"),51,COUNTIF(F262,"รอง สว.*"),43)</f>
        <v>51</v>
      </c>
      <c r="X262" s="6" t="s">
        <v>1905</v>
      </c>
      <c r="Y262" s="6" t="s">
        <v>27</v>
      </c>
    </row>
    <row r="263" spans="1:25" s="10" customFormat="1" ht="21.3" customHeight="1">
      <c r="A263" s="192" t="s">
        <v>169</v>
      </c>
      <c r="B263" s="193" t="s">
        <v>21</v>
      </c>
      <c r="C263" s="192" t="s">
        <v>7871</v>
      </c>
      <c r="D263" s="27" t="s">
        <v>8164</v>
      </c>
      <c r="E263" s="27" t="s">
        <v>8488</v>
      </c>
      <c r="F263" s="192" t="s">
        <v>1902</v>
      </c>
      <c r="G263" s="101" t="s">
        <v>1908</v>
      </c>
      <c r="H263" s="73">
        <v>45463</v>
      </c>
      <c r="I263" s="73">
        <v>45463</v>
      </c>
      <c r="J263" s="73">
        <v>45463</v>
      </c>
      <c r="K263" s="73">
        <v>35824</v>
      </c>
      <c r="L263" s="2" t="s">
        <v>82</v>
      </c>
      <c r="M263" s="1"/>
      <c r="N263" s="112" t="s">
        <v>14</v>
      </c>
      <c r="O263" s="104" t="s">
        <v>52</v>
      </c>
      <c r="P263" s="104" t="s">
        <v>52</v>
      </c>
      <c r="Q263" s="105"/>
      <c r="R263" s="28" t="s">
        <v>7961</v>
      </c>
      <c r="S263" s="174">
        <f t="shared" si="4"/>
        <v>57984</v>
      </c>
      <c r="T263" s="2" t="s">
        <v>115</v>
      </c>
      <c r="U263" s="2" t="s">
        <v>92</v>
      </c>
      <c r="V263" s="162" t="str" cm="1">
        <f t="array" ref="V263">_xlfn.IFS(C263="","",COUNTIF(C263,"ตำแหน่งว่าง*"),"ว่าง",COUNTIF(C263,"&lt;&gt;ตำแหน่งว่าง*"),"คนครอง")</f>
        <v>คนครอง</v>
      </c>
      <c r="W263" s="49" cm="1">
        <f t="array" ref="W263">_xlfn.IFS(COUNTIF(F263,"ผบ.หมู่*"),51,COUNTIF(F263,"รอง สว.*"),43)</f>
        <v>51</v>
      </c>
      <c r="X263" s="1" t="s">
        <v>1907</v>
      </c>
      <c r="Y263" s="1" t="s">
        <v>52</v>
      </c>
    </row>
    <row r="264" spans="1:25" s="9" customFormat="1" ht="21.3" customHeight="1">
      <c r="A264" s="27" t="s">
        <v>182</v>
      </c>
      <c r="B264" s="28" t="s">
        <v>12</v>
      </c>
      <c r="C264" s="27" t="s">
        <v>1909</v>
      </c>
      <c r="D264" s="27" t="s">
        <v>8489</v>
      </c>
      <c r="E264" s="27" t="s">
        <v>8490</v>
      </c>
      <c r="F264" s="27" t="s">
        <v>1902</v>
      </c>
      <c r="G264" s="101" t="s">
        <v>1911</v>
      </c>
      <c r="H264" s="75">
        <v>44636</v>
      </c>
      <c r="I264" s="73">
        <v>44636</v>
      </c>
      <c r="J264" s="73">
        <v>44636</v>
      </c>
      <c r="K264" s="73">
        <v>32805</v>
      </c>
      <c r="L264" s="2" t="s">
        <v>7818</v>
      </c>
      <c r="M264" s="1" t="s">
        <v>38</v>
      </c>
      <c r="N264" s="112" t="s">
        <v>14</v>
      </c>
      <c r="O264" s="104" t="s">
        <v>52</v>
      </c>
      <c r="P264" s="104" t="s">
        <v>52</v>
      </c>
      <c r="Q264" s="105"/>
      <c r="R264" s="28" t="s">
        <v>611</v>
      </c>
      <c r="S264" s="225">
        <f t="shared" si="4"/>
        <v>55062</v>
      </c>
      <c r="T264" s="2" t="s">
        <v>115</v>
      </c>
      <c r="U264" s="7" t="s">
        <v>92</v>
      </c>
      <c r="V264" s="162" t="str" cm="1">
        <f t="array" ref="V264">_xlfn.IFS(C264="","",COUNTIF(C264,"ตำแหน่งว่าง*"),"ว่าง",COUNTIF(C264,"&lt;&gt;ตำแหน่งว่าง*"),"คนครอง")</f>
        <v>คนครอง</v>
      </c>
      <c r="W264" s="49" cm="1">
        <f t="array" ref="W264">_xlfn.IFS(COUNTIF(F264,"ผบ.หมู่*"),51,COUNTIF(F264,"รอง สว.*"),43)</f>
        <v>51</v>
      </c>
      <c r="X264" s="1" t="s">
        <v>1910</v>
      </c>
      <c r="Y264" s="1" t="s">
        <v>52</v>
      </c>
    </row>
    <row r="265" spans="1:25" s="9" customFormat="1" ht="21.3" customHeight="1">
      <c r="A265" s="192" t="s">
        <v>169</v>
      </c>
      <c r="B265" s="193" t="s">
        <v>21</v>
      </c>
      <c r="C265" s="192" t="s">
        <v>7872</v>
      </c>
      <c r="D265" s="27" t="s">
        <v>8491</v>
      </c>
      <c r="E265" s="27" t="s">
        <v>8492</v>
      </c>
      <c r="F265" s="192" t="s">
        <v>1902</v>
      </c>
      <c r="G265" s="101" t="s">
        <v>1913</v>
      </c>
      <c r="H265" s="73">
        <v>45463</v>
      </c>
      <c r="I265" s="73">
        <v>45463</v>
      </c>
      <c r="J265" s="73">
        <v>45463</v>
      </c>
      <c r="K265" s="73">
        <v>36844</v>
      </c>
      <c r="L265" s="2" t="s">
        <v>82</v>
      </c>
      <c r="M265" s="1"/>
      <c r="N265" s="219" t="s">
        <v>14</v>
      </c>
      <c r="O265" s="104" t="s">
        <v>52</v>
      </c>
      <c r="P265" s="104" t="s">
        <v>52</v>
      </c>
      <c r="Q265" s="220"/>
      <c r="R265" s="28" t="s">
        <v>7961</v>
      </c>
      <c r="S265" s="174">
        <f t="shared" si="4"/>
        <v>59080</v>
      </c>
      <c r="T265" s="2" t="s">
        <v>115</v>
      </c>
      <c r="U265" s="2" t="s">
        <v>92</v>
      </c>
      <c r="V265" s="162" t="str" cm="1">
        <f t="array" ref="V265">_xlfn.IFS(C265="","",COUNTIF(C265,"ตำแหน่งว่าง*"),"ว่าง",COUNTIF(C265,"&lt;&gt;ตำแหน่งว่าง*"),"คนครอง")</f>
        <v>คนครอง</v>
      </c>
      <c r="W265" s="49" cm="1">
        <f t="array" ref="W265">_xlfn.IFS(COUNTIF(F265,"ผบ.หมู่*"),51,COUNTIF(F265,"รอง สว.*"),43)</f>
        <v>51</v>
      </c>
      <c r="X265" s="1" t="s">
        <v>1912</v>
      </c>
      <c r="Y265" s="1" t="s">
        <v>52</v>
      </c>
    </row>
    <row r="266" spans="1:25" s="9" customFormat="1" ht="21.3" customHeight="1">
      <c r="A266" s="68"/>
      <c r="B266" s="30"/>
      <c r="C266" s="68" t="s">
        <v>18</v>
      </c>
      <c r="D266" s="27"/>
      <c r="E266" s="27"/>
      <c r="F266" s="68" t="s">
        <v>1902</v>
      </c>
      <c r="G266" s="121" t="s">
        <v>1916</v>
      </c>
      <c r="H266" s="93"/>
      <c r="I266" s="74"/>
      <c r="J266" s="90"/>
      <c r="K266" s="74"/>
      <c r="L266" s="7"/>
      <c r="M266" s="6"/>
      <c r="N266" s="113" t="s">
        <v>14</v>
      </c>
      <c r="O266" s="122" t="s">
        <v>52</v>
      </c>
      <c r="P266" s="122" t="s">
        <v>52</v>
      </c>
      <c r="Q266" s="106"/>
      <c r="R266" s="30"/>
      <c r="S266" s="225" t="str">
        <f t="shared" si="4"/>
        <v/>
      </c>
      <c r="T266" s="2" t="s">
        <v>115</v>
      </c>
      <c r="U266" s="7" t="s">
        <v>92</v>
      </c>
      <c r="V266" s="171" t="str" cm="1">
        <f t="array" ref="V266">_xlfn.IFS(C266="","",COUNTIF(C266,"ตำแหน่งว่าง*"),"ว่าง",COUNTIF(C266,"&lt;&gt;ตำแหน่งว่าง*"),"คนครอง")</f>
        <v>ว่าง</v>
      </c>
      <c r="W266" s="49" cm="1">
        <f t="array" ref="W266">_xlfn.IFS(COUNTIF(F266,"ผบ.หมู่*"),51,COUNTIF(F266,"รอง สว.*"),43)</f>
        <v>51</v>
      </c>
      <c r="X266" s="1" t="s">
        <v>1915</v>
      </c>
      <c r="Y266" s="1" t="s">
        <v>52</v>
      </c>
    </row>
    <row r="267" spans="1:25" s="9" customFormat="1" ht="21.3" customHeight="1">
      <c r="A267" s="27"/>
      <c r="B267" s="28"/>
      <c r="C267" s="28" t="s">
        <v>18</v>
      </c>
      <c r="D267" s="27"/>
      <c r="E267" s="27"/>
      <c r="F267" s="27" t="s">
        <v>1902</v>
      </c>
      <c r="G267" s="101" t="s">
        <v>1918</v>
      </c>
      <c r="H267" s="91"/>
      <c r="I267" s="73"/>
      <c r="J267" s="85"/>
      <c r="K267" s="73"/>
      <c r="L267" s="2"/>
      <c r="M267" s="1"/>
      <c r="N267" s="112" t="s">
        <v>14</v>
      </c>
      <c r="O267" s="104" t="s">
        <v>52</v>
      </c>
      <c r="P267" s="104" t="s">
        <v>52</v>
      </c>
      <c r="Q267" s="105"/>
      <c r="R267" s="28"/>
      <c r="S267" s="174" t="str">
        <f t="shared" si="4"/>
        <v/>
      </c>
      <c r="T267" s="2" t="s">
        <v>115</v>
      </c>
      <c r="U267" s="2" t="s">
        <v>92</v>
      </c>
      <c r="V267" s="2" t="str" cm="1">
        <f t="array" ref="V267">_xlfn.IFS(C267="","",COUNTIF(C267,"ตำแหน่งว่าง*"),"ว่าง",COUNTIF(C267,"&lt;&gt;ตำแหน่งว่าง*"),"คนครอง")</f>
        <v>ว่าง</v>
      </c>
      <c r="W267" s="170" cm="1">
        <f t="array" ref="W267">_xlfn.IFS(COUNTIF(F267,"ผบ.หมู่*"),51,COUNTIF(F267,"รอง สว.*"),43)</f>
        <v>51</v>
      </c>
      <c r="X267" s="1" t="s">
        <v>1917</v>
      </c>
      <c r="Y267" s="1" t="s">
        <v>52</v>
      </c>
    </row>
    <row r="268" spans="1:25" s="9" customFormat="1" ht="21.3" customHeight="1">
      <c r="A268" s="27" t="s">
        <v>208</v>
      </c>
      <c r="B268" s="28" t="s">
        <v>21</v>
      </c>
      <c r="C268" s="27" t="s">
        <v>1920</v>
      </c>
      <c r="D268" s="27" t="s">
        <v>8234</v>
      </c>
      <c r="E268" s="27" t="s">
        <v>8495</v>
      </c>
      <c r="F268" s="27" t="s">
        <v>1902</v>
      </c>
      <c r="G268" s="101" t="s">
        <v>1922</v>
      </c>
      <c r="H268" s="91">
        <v>43693</v>
      </c>
      <c r="I268" s="73">
        <v>43693</v>
      </c>
      <c r="J268" s="85">
        <v>43693</v>
      </c>
      <c r="K268" s="73">
        <v>31826</v>
      </c>
      <c r="L268" s="2" t="s">
        <v>1923</v>
      </c>
      <c r="M268" s="1" t="s">
        <v>80</v>
      </c>
      <c r="N268" s="112" t="s">
        <v>14</v>
      </c>
      <c r="O268" s="104" t="s">
        <v>52</v>
      </c>
      <c r="P268" s="104" t="s">
        <v>52</v>
      </c>
      <c r="Q268" s="105"/>
      <c r="R268" s="28" t="s">
        <v>645</v>
      </c>
      <c r="S268" s="225">
        <f t="shared" si="4"/>
        <v>53966</v>
      </c>
      <c r="T268" s="2" t="s">
        <v>115</v>
      </c>
      <c r="U268" s="7" t="s">
        <v>92</v>
      </c>
      <c r="V268" s="162" t="str" cm="1">
        <f t="array" ref="V268">_xlfn.IFS(C268="","",COUNTIF(C268,"ตำแหน่งว่าง*"),"ว่าง",COUNTIF(C268,"&lt;&gt;ตำแหน่งว่าง*"),"คนครอง")</f>
        <v>คนครอง</v>
      </c>
      <c r="W268" s="49" cm="1">
        <f t="array" ref="W268">_xlfn.IFS(COUNTIF(F268,"ผบ.หมู่*"),51,COUNTIF(F268,"รอง สว.*"),43)</f>
        <v>51</v>
      </c>
      <c r="X268" s="1" t="s">
        <v>1921</v>
      </c>
      <c r="Y268" s="1" t="s">
        <v>52</v>
      </c>
    </row>
    <row r="269" spans="1:25" s="9" customFormat="1" ht="21.3" customHeight="1">
      <c r="A269" s="27" t="s">
        <v>182</v>
      </c>
      <c r="B269" s="28" t="s">
        <v>12</v>
      </c>
      <c r="C269" s="27" t="s">
        <v>1924</v>
      </c>
      <c r="D269" s="27" t="s">
        <v>8303</v>
      </c>
      <c r="E269" s="27" t="s">
        <v>8496</v>
      </c>
      <c r="F269" s="27" t="s">
        <v>1902</v>
      </c>
      <c r="G269" s="101" t="s">
        <v>1926</v>
      </c>
      <c r="H269" s="75">
        <v>44636</v>
      </c>
      <c r="I269" s="73">
        <v>44636</v>
      </c>
      <c r="J269" s="73">
        <v>44636</v>
      </c>
      <c r="K269" s="73">
        <v>34426</v>
      </c>
      <c r="L269" s="2" t="s">
        <v>7819</v>
      </c>
      <c r="M269" s="1" t="s">
        <v>61</v>
      </c>
      <c r="N269" s="112" t="s">
        <v>14</v>
      </c>
      <c r="O269" s="104" t="s">
        <v>52</v>
      </c>
      <c r="P269" s="104" t="s">
        <v>52</v>
      </c>
      <c r="Q269" s="105"/>
      <c r="R269" s="28" t="s">
        <v>611</v>
      </c>
      <c r="S269" s="225">
        <f t="shared" si="4"/>
        <v>56523</v>
      </c>
      <c r="T269" s="2" t="s">
        <v>115</v>
      </c>
      <c r="U269" s="7" t="s">
        <v>92</v>
      </c>
      <c r="V269" s="162" t="str" cm="1">
        <f t="array" ref="V269">_xlfn.IFS(C269="","",COUNTIF(C269,"ตำแหน่งว่าง*"),"ว่าง",COUNTIF(C269,"&lt;&gt;ตำแหน่งว่าง*"),"คนครอง")</f>
        <v>คนครอง</v>
      </c>
      <c r="W269" s="49" cm="1">
        <f t="array" ref="W269">_xlfn.IFS(COUNTIF(F269,"ผบ.หมู่*"),51,COUNTIF(F269,"รอง สว.*"),43)</f>
        <v>51</v>
      </c>
      <c r="X269" s="1" t="s">
        <v>1925</v>
      </c>
      <c r="Y269" s="1" t="s">
        <v>52</v>
      </c>
    </row>
    <row r="270" spans="1:25" s="9" customFormat="1" ht="21.3" customHeight="1">
      <c r="A270" s="27" t="s">
        <v>182</v>
      </c>
      <c r="B270" s="28" t="s">
        <v>21</v>
      </c>
      <c r="C270" s="27" t="s">
        <v>1927</v>
      </c>
      <c r="D270" s="27" t="s">
        <v>8497</v>
      </c>
      <c r="E270" s="27" t="s">
        <v>8498</v>
      </c>
      <c r="F270" s="27" t="s">
        <v>1902</v>
      </c>
      <c r="G270" s="101" t="s">
        <v>1929</v>
      </c>
      <c r="H270" s="75">
        <v>44636</v>
      </c>
      <c r="I270" s="73">
        <v>44636</v>
      </c>
      <c r="J270" s="73">
        <v>44636</v>
      </c>
      <c r="K270" s="73">
        <v>35260</v>
      </c>
      <c r="L270" s="2" t="s">
        <v>7820</v>
      </c>
      <c r="M270" s="1" t="s">
        <v>36</v>
      </c>
      <c r="N270" s="112" t="s">
        <v>14</v>
      </c>
      <c r="O270" s="104" t="s">
        <v>52</v>
      </c>
      <c r="P270" s="104" t="s">
        <v>52</v>
      </c>
      <c r="Q270" s="105"/>
      <c r="R270" s="28" t="s">
        <v>611</v>
      </c>
      <c r="S270" s="225">
        <f t="shared" si="4"/>
        <v>57254</v>
      </c>
      <c r="T270" s="2" t="s">
        <v>115</v>
      </c>
      <c r="U270" s="7" t="s">
        <v>92</v>
      </c>
      <c r="V270" s="162" t="str" cm="1">
        <f t="array" ref="V270">_xlfn.IFS(C270="","",COUNTIF(C270,"ตำแหน่งว่าง*"),"ว่าง",COUNTIF(C270,"&lt;&gt;ตำแหน่งว่าง*"),"คนครอง")</f>
        <v>คนครอง</v>
      </c>
      <c r="W270" s="49" cm="1">
        <f t="array" ref="W270">_xlfn.IFS(COUNTIF(F270,"ผบ.หมู่*"),51,COUNTIF(F270,"รอง สว.*"),43)</f>
        <v>51</v>
      </c>
      <c r="X270" s="1" t="s">
        <v>1928</v>
      </c>
      <c r="Y270" s="1" t="s">
        <v>52</v>
      </c>
    </row>
    <row r="271" spans="1:25" s="10" customFormat="1" ht="21.3" customHeight="1">
      <c r="A271" s="27"/>
      <c r="B271" s="28"/>
      <c r="C271" s="30" t="s">
        <v>18</v>
      </c>
      <c r="D271" s="27"/>
      <c r="E271" s="27"/>
      <c r="F271" s="68" t="s">
        <v>1902</v>
      </c>
      <c r="G271" s="121" t="s">
        <v>1931</v>
      </c>
      <c r="H271" s="91" t="s">
        <v>19</v>
      </c>
      <c r="I271" s="73" t="s">
        <v>19</v>
      </c>
      <c r="J271" s="73" t="s">
        <v>19</v>
      </c>
      <c r="K271" s="73" t="s">
        <v>19</v>
      </c>
      <c r="L271" s="2"/>
      <c r="M271" s="1"/>
      <c r="N271" s="113" t="s">
        <v>14</v>
      </c>
      <c r="O271" s="122" t="s">
        <v>52</v>
      </c>
      <c r="P271" s="122" t="s">
        <v>52</v>
      </c>
      <c r="Q271" s="105"/>
      <c r="R271" s="28"/>
      <c r="S271" s="225" t="str">
        <f t="shared" si="4"/>
        <v/>
      </c>
      <c r="T271" s="7" t="s">
        <v>115</v>
      </c>
      <c r="U271" s="7" t="s">
        <v>92</v>
      </c>
      <c r="V271" s="171" t="str" cm="1">
        <f t="array" ref="V271">_xlfn.IFS(C271="","",COUNTIF(C271,"ตำแหน่งว่าง*"),"ว่าง",COUNTIF(C271,"&lt;&gt;ตำแหน่งว่าง*"),"คนครอง")</f>
        <v>ว่าง</v>
      </c>
      <c r="W271" s="49" cm="1">
        <f t="array" ref="W271">_xlfn.IFS(COUNTIF(F271,"ผบ.หมู่*"),51,COUNTIF(F271,"รอง สว.*"),43)</f>
        <v>51</v>
      </c>
      <c r="X271" s="6" t="s">
        <v>1930</v>
      </c>
      <c r="Y271" s="6" t="s">
        <v>52</v>
      </c>
    </row>
    <row r="272" spans="1:25" s="10" customFormat="1" ht="21.3" customHeight="1">
      <c r="A272" s="27"/>
      <c r="B272" s="28"/>
      <c r="C272" s="30" t="s">
        <v>18</v>
      </c>
      <c r="D272" s="27"/>
      <c r="E272" s="27"/>
      <c r="F272" s="68" t="s">
        <v>1902</v>
      </c>
      <c r="G272" s="121" t="s">
        <v>1933</v>
      </c>
      <c r="H272" s="91" t="s">
        <v>19</v>
      </c>
      <c r="I272" s="73" t="s">
        <v>19</v>
      </c>
      <c r="J272" s="73" t="s">
        <v>19</v>
      </c>
      <c r="K272" s="73" t="s">
        <v>19</v>
      </c>
      <c r="L272" s="2"/>
      <c r="M272" s="1"/>
      <c r="N272" s="113" t="s">
        <v>14</v>
      </c>
      <c r="O272" s="122" t="s">
        <v>52</v>
      </c>
      <c r="P272" s="122" t="s">
        <v>52</v>
      </c>
      <c r="Q272" s="105"/>
      <c r="R272" s="28"/>
      <c r="S272" s="225" t="str">
        <f t="shared" si="4"/>
        <v/>
      </c>
      <c r="T272" s="7" t="s">
        <v>115</v>
      </c>
      <c r="U272" s="7" t="s">
        <v>92</v>
      </c>
      <c r="V272" s="171" t="str" cm="1">
        <f t="array" ref="V272">_xlfn.IFS(C272="","",COUNTIF(C272,"ตำแหน่งว่าง*"),"ว่าง",COUNTIF(C272,"&lt;&gt;ตำแหน่งว่าง*"),"คนครอง")</f>
        <v>ว่าง</v>
      </c>
      <c r="W272" s="49" cm="1">
        <f t="array" ref="W272">_xlfn.IFS(COUNTIF(F272,"ผบ.หมู่*"),51,COUNTIF(F272,"รอง สว.*"),43)</f>
        <v>51</v>
      </c>
      <c r="X272" s="6" t="s">
        <v>1932</v>
      </c>
      <c r="Y272" s="6" t="s">
        <v>52</v>
      </c>
    </row>
    <row r="273" spans="1:25" s="10" customFormat="1" ht="21.3" customHeight="1">
      <c r="A273" s="27"/>
      <c r="B273" s="28"/>
      <c r="C273" s="30" t="s">
        <v>18</v>
      </c>
      <c r="D273" s="27"/>
      <c r="E273" s="27"/>
      <c r="F273" s="68" t="s">
        <v>1902</v>
      </c>
      <c r="G273" s="121" t="s">
        <v>1935</v>
      </c>
      <c r="H273" s="91" t="s">
        <v>19</v>
      </c>
      <c r="I273" s="73" t="s">
        <v>19</v>
      </c>
      <c r="J273" s="73" t="s">
        <v>19</v>
      </c>
      <c r="K273" s="73" t="s">
        <v>19</v>
      </c>
      <c r="L273" s="2"/>
      <c r="M273" s="1"/>
      <c r="N273" s="113" t="s">
        <v>14</v>
      </c>
      <c r="O273" s="122" t="s">
        <v>52</v>
      </c>
      <c r="P273" s="122" t="s">
        <v>52</v>
      </c>
      <c r="Q273" s="105"/>
      <c r="R273" s="28"/>
      <c r="S273" s="225" t="str">
        <f t="shared" si="4"/>
        <v/>
      </c>
      <c r="T273" s="7" t="s">
        <v>115</v>
      </c>
      <c r="U273" s="7" t="s">
        <v>92</v>
      </c>
      <c r="V273" s="171" t="str" cm="1">
        <f t="array" ref="V273">_xlfn.IFS(C273="","",COUNTIF(C273,"ตำแหน่งว่าง*"),"ว่าง",COUNTIF(C273,"&lt;&gt;ตำแหน่งว่าง*"),"คนครอง")</f>
        <v>ว่าง</v>
      </c>
      <c r="W273" s="49" cm="1">
        <f t="array" ref="W273">_xlfn.IFS(COUNTIF(F273,"ผบ.หมู่*"),51,COUNTIF(F273,"รอง สว.*"),43)</f>
        <v>51</v>
      </c>
      <c r="X273" s="6" t="s">
        <v>1934</v>
      </c>
      <c r="Y273" s="6" t="s">
        <v>52</v>
      </c>
    </row>
    <row r="274" spans="1:25" s="10" customFormat="1" ht="21.3" customHeight="1">
      <c r="A274" s="27"/>
      <c r="B274" s="28"/>
      <c r="C274" s="30" t="s">
        <v>18</v>
      </c>
      <c r="D274" s="27"/>
      <c r="E274" s="27"/>
      <c r="F274" s="68" t="s">
        <v>1902</v>
      </c>
      <c r="G274" s="121" t="s">
        <v>1937</v>
      </c>
      <c r="H274" s="91" t="s">
        <v>19</v>
      </c>
      <c r="I274" s="73" t="s">
        <v>19</v>
      </c>
      <c r="J274" s="73" t="s">
        <v>19</v>
      </c>
      <c r="K274" s="73" t="s">
        <v>19</v>
      </c>
      <c r="L274" s="2"/>
      <c r="M274" s="1"/>
      <c r="N274" s="113" t="s">
        <v>14</v>
      </c>
      <c r="O274" s="122" t="s">
        <v>52</v>
      </c>
      <c r="P274" s="122" t="s">
        <v>52</v>
      </c>
      <c r="Q274" s="105"/>
      <c r="R274" s="28"/>
      <c r="S274" s="225" t="str">
        <f t="shared" si="4"/>
        <v/>
      </c>
      <c r="T274" s="7" t="s">
        <v>115</v>
      </c>
      <c r="U274" s="7" t="s">
        <v>92</v>
      </c>
      <c r="V274" s="171" t="str" cm="1">
        <f t="array" ref="V274">_xlfn.IFS(C274="","",COUNTIF(C274,"ตำแหน่งว่าง*"),"ว่าง",COUNTIF(C274,"&lt;&gt;ตำแหน่งว่าง*"),"คนครอง")</f>
        <v>ว่าง</v>
      </c>
      <c r="W274" s="49" cm="1">
        <f t="array" ref="W274">_xlfn.IFS(COUNTIF(F274,"ผบ.หมู่*"),51,COUNTIF(F274,"รอง สว.*"),43)</f>
        <v>51</v>
      </c>
      <c r="X274" s="6" t="s">
        <v>1936</v>
      </c>
      <c r="Y274" s="6" t="s">
        <v>52</v>
      </c>
    </row>
    <row r="275" spans="1:25" s="10" customFormat="1" ht="21.3" customHeight="1">
      <c r="A275" s="27"/>
      <c r="B275" s="28"/>
      <c r="C275" s="30" t="s">
        <v>18</v>
      </c>
      <c r="D275" s="27"/>
      <c r="E275" s="27"/>
      <c r="F275" s="68" t="s">
        <v>1902</v>
      </c>
      <c r="G275" s="121" t="s">
        <v>1939</v>
      </c>
      <c r="H275" s="91" t="s">
        <v>19</v>
      </c>
      <c r="I275" s="73" t="s">
        <v>19</v>
      </c>
      <c r="J275" s="73" t="s">
        <v>19</v>
      </c>
      <c r="K275" s="73" t="s">
        <v>19</v>
      </c>
      <c r="L275" s="2"/>
      <c r="M275" s="1"/>
      <c r="N275" s="113" t="s">
        <v>14</v>
      </c>
      <c r="O275" s="122" t="s">
        <v>52</v>
      </c>
      <c r="P275" s="122" t="s">
        <v>52</v>
      </c>
      <c r="Q275" s="105"/>
      <c r="R275" s="28"/>
      <c r="S275" s="225" t="str">
        <f t="shared" si="4"/>
        <v/>
      </c>
      <c r="T275" s="7" t="s">
        <v>115</v>
      </c>
      <c r="U275" s="7" t="s">
        <v>92</v>
      </c>
      <c r="V275" s="171" t="str" cm="1">
        <f t="array" ref="V275">_xlfn.IFS(C275="","",COUNTIF(C275,"ตำแหน่งว่าง*"),"ว่าง",COUNTIF(C275,"&lt;&gt;ตำแหน่งว่าง*"),"คนครอง")</f>
        <v>ว่าง</v>
      </c>
      <c r="W275" s="49" cm="1">
        <f t="array" ref="W275">_xlfn.IFS(COUNTIF(F275,"ผบ.หมู่*"),51,COUNTIF(F275,"รอง สว.*"),43)</f>
        <v>51</v>
      </c>
      <c r="X275" s="6" t="s">
        <v>1938</v>
      </c>
      <c r="Y275" s="6" t="s">
        <v>52</v>
      </c>
    </row>
    <row r="276" spans="1:25" s="10" customFormat="1" ht="21.3" customHeight="1">
      <c r="A276" s="27"/>
      <c r="B276" s="28"/>
      <c r="C276" s="30" t="s">
        <v>18</v>
      </c>
      <c r="D276" s="27"/>
      <c r="E276" s="27"/>
      <c r="F276" s="68" t="s">
        <v>1902</v>
      </c>
      <c r="G276" s="121" t="s">
        <v>1941</v>
      </c>
      <c r="H276" s="91" t="s">
        <v>19</v>
      </c>
      <c r="I276" s="73" t="s">
        <v>19</v>
      </c>
      <c r="J276" s="73" t="s">
        <v>19</v>
      </c>
      <c r="K276" s="73" t="s">
        <v>19</v>
      </c>
      <c r="L276" s="2"/>
      <c r="M276" s="1"/>
      <c r="N276" s="113" t="s">
        <v>14</v>
      </c>
      <c r="O276" s="122" t="s">
        <v>52</v>
      </c>
      <c r="P276" s="122" t="s">
        <v>52</v>
      </c>
      <c r="Q276" s="105"/>
      <c r="R276" s="28"/>
      <c r="S276" s="225" t="str">
        <f t="shared" si="4"/>
        <v/>
      </c>
      <c r="T276" s="7" t="s">
        <v>115</v>
      </c>
      <c r="U276" s="7" t="s">
        <v>92</v>
      </c>
      <c r="V276" s="171" t="str" cm="1">
        <f t="array" ref="V276">_xlfn.IFS(C276="","",COUNTIF(C276,"ตำแหน่งว่าง*"),"ว่าง",COUNTIF(C276,"&lt;&gt;ตำแหน่งว่าง*"),"คนครอง")</f>
        <v>ว่าง</v>
      </c>
      <c r="W276" s="49" cm="1">
        <f t="array" ref="W276">_xlfn.IFS(COUNTIF(F276,"ผบ.หมู่*"),51,COUNTIF(F276,"รอง สว.*"),43)</f>
        <v>51</v>
      </c>
      <c r="X276" s="6" t="s">
        <v>1940</v>
      </c>
      <c r="Y276" s="6" t="s">
        <v>52</v>
      </c>
    </row>
    <row r="277" spans="1:25" s="10" customFormat="1" ht="21.3" customHeight="1">
      <c r="A277" s="27"/>
      <c r="B277" s="28"/>
      <c r="C277" s="30" t="s">
        <v>18</v>
      </c>
      <c r="D277" s="27"/>
      <c r="E277" s="27"/>
      <c r="F277" s="68" t="s">
        <v>1902</v>
      </c>
      <c r="G277" s="121" t="s">
        <v>1943</v>
      </c>
      <c r="H277" s="91" t="s">
        <v>19</v>
      </c>
      <c r="I277" s="73" t="s">
        <v>19</v>
      </c>
      <c r="J277" s="73" t="s">
        <v>19</v>
      </c>
      <c r="K277" s="73" t="s">
        <v>19</v>
      </c>
      <c r="L277" s="2"/>
      <c r="M277" s="1"/>
      <c r="N277" s="113" t="s">
        <v>14</v>
      </c>
      <c r="O277" s="122" t="s">
        <v>52</v>
      </c>
      <c r="P277" s="122" t="s">
        <v>52</v>
      </c>
      <c r="Q277" s="105"/>
      <c r="R277" s="28"/>
      <c r="S277" s="225" t="str">
        <f t="shared" si="4"/>
        <v/>
      </c>
      <c r="T277" s="7" t="s">
        <v>115</v>
      </c>
      <c r="U277" s="7" t="s">
        <v>92</v>
      </c>
      <c r="V277" s="171" t="str" cm="1">
        <f t="array" ref="V277">_xlfn.IFS(C277="","",COUNTIF(C277,"ตำแหน่งว่าง*"),"ว่าง",COUNTIF(C277,"&lt;&gt;ตำแหน่งว่าง*"),"คนครอง")</f>
        <v>ว่าง</v>
      </c>
      <c r="W277" s="49" cm="1">
        <f t="array" ref="W277">_xlfn.IFS(COUNTIF(F277,"ผบ.หมู่*"),51,COUNTIF(F277,"รอง สว.*"),43)</f>
        <v>51</v>
      </c>
      <c r="X277" s="6" t="s">
        <v>1942</v>
      </c>
      <c r="Y277" s="6" t="s">
        <v>52</v>
      </c>
    </row>
    <row r="278" spans="1:25" s="10" customFormat="1" ht="21.3" customHeight="1">
      <c r="A278" s="27"/>
      <c r="B278" s="28"/>
      <c r="C278" s="30" t="s">
        <v>18</v>
      </c>
      <c r="D278" s="27"/>
      <c r="E278" s="27"/>
      <c r="F278" s="68" t="s">
        <v>1902</v>
      </c>
      <c r="G278" s="121" t="s">
        <v>1945</v>
      </c>
      <c r="H278" s="91" t="s">
        <v>19</v>
      </c>
      <c r="I278" s="73" t="s">
        <v>19</v>
      </c>
      <c r="J278" s="73" t="s">
        <v>19</v>
      </c>
      <c r="K278" s="73" t="s">
        <v>19</v>
      </c>
      <c r="L278" s="2"/>
      <c r="M278" s="1"/>
      <c r="N278" s="113" t="s">
        <v>14</v>
      </c>
      <c r="O278" s="122" t="s">
        <v>52</v>
      </c>
      <c r="P278" s="122" t="s">
        <v>52</v>
      </c>
      <c r="Q278" s="105"/>
      <c r="R278" s="28"/>
      <c r="S278" s="225" t="str">
        <f t="shared" si="4"/>
        <v/>
      </c>
      <c r="T278" s="7" t="s">
        <v>115</v>
      </c>
      <c r="U278" s="7" t="s">
        <v>92</v>
      </c>
      <c r="V278" s="171" t="str" cm="1">
        <f t="array" ref="V278">_xlfn.IFS(C278="","",COUNTIF(C278,"ตำแหน่งว่าง*"),"ว่าง",COUNTIF(C278,"&lt;&gt;ตำแหน่งว่าง*"),"คนครอง")</f>
        <v>ว่าง</v>
      </c>
      <c r="W278" s="49" cm="1">
        <f t="array" ref="W278">_xlfn.IFS(COUNTIF(F278,"ผบ.หมู่*"),51,COUNTIF(F278,"รอง สว.*"),43)</f>
        <v>51</v>
      </c>
      <c r="X278" s="6" t="s">
        <v>1944</v>
      </c>
      <c r="Y278" s="6" t="s">
        <v>52</v>
      </c>
    </row>
    <row r="279" spans="1:25" s="10" customFormat="1" ht="21.3" customHeight="1">
      <c r="A279" s="27"/>
      <c r="B279" s="28"/>
      <c r="C279" s="30" t="s">
        <v>18</v>
      </c>
      <c r="D279" s="27"/>
      <c r="E279" s="27"/>
      <c r="F279" s="68" t="s">
        <v>1946</v>
      </c>
      <c r="G279" s="121" t="s">
        <v>1948</v>
      </c>
      <c r="H279" s="91" t="s">
        <v>19</v>
      </c>
      <c r="I279" s="73" t="s">
        <v>19</v>
      </c>
      <c r="J279" s="73" t="s">
        <v>19</v>
      </c>
      <c r="K279" s="73" t="s">
        <v>19</v>
      </c>
      <c r="L279" s="2"/>
      <c r="M279" s="1"/>
      <c r="N279" s="113" t="s">
        <v>14</v>
      </c>
      <c r="O279" s="122" t="s">
        <v>27</v>
      </c>
      <c r="P279" s="122"/>
      <c r="Q279" s="105"/>
      <c r="R279" s="28"/>
      <c r="S279" s="225" t="str">
        <f t="shared" si="4"/>
        <v/>
      </c>
      <c r="T279" s="7" t="s">
        <v>7691</v>
      </c>
      <c r="U279" s="7" t="s">
        <v>92</v>
      </c>
      <c r="V279" s="171" t="str" cm="1">
        <f t="array" ref="V279">_xlfn.IFS(C279="","",COUNTIF(C279,"ตำแหน่งว่าง*"),"ว่าง",COUNTIF(C279,"&lt;&gt;ตำแหน่งว่าง*"),"คนครอง")</f>
        <v>ว่าง</v>
      </c>
      <c r="W279" s="49" cm="1">
        <f t="array" ref="W279">_xlfn.IFS(COUNTIF(F279,"ผบ.หมู่*"),51,COUNTIF(F279,"รอง สว.*"),43)</f>
        <v>51</v>
      </c>
      <c r="X279" s="6" t="s">
        <v>1947</v>
      </c>
      <c r="Y279" s="6" t="s">
        <v>27</v>
      </c>
    </row>
    <row r="280" spans="1:25" s="10" customFormat="1" ht="21.3" customHeight="1">
      <c r="A280" s="27"/>
      <c r="B280" s="28"/>
      <c r="C280" s="30" t="s">
        <v>18</v>
      </c>
      <c r="D280" s="27"/>
      <c r="E280" s="27"/>
      <c r="F280" s="68" t="s">
        <v>1946</v>
      </c>
      <c r="G280" s="121" t="s">
        <v>1950</v>
      </c>
      <c r="H280" s="91" t="s">
        <v>19</v>
      </c>
      <c r="I280" s="73" t="s">
        <v>19</v>
      </c>
      <c r="J280" s="73" t="s">
        <v>19</v>
      </c>
      <c r="K280" s="73" t="s">
        <v>19</v>
      </c>
      <c r="L280" s="2"/>
      <c r="M280" s="1"/>
      <c r="N280" s="113" t="s">
        <v>14</v>
      </c>
      <c r="O280" s="122" t="s">
        <v>27</v>
      </c>
      <c r="P280" s="122"/>
      <c r="Q280" s="105"/>
      <c r="R280" s="28"/>
      <c r="S280" s="225" t="str">
        <f t="shared" si="4"/>
        <v/>
      </c>
      <c r="T280" s="7" t="s">
        <v>7691</v>
      </c>
      <c r="U280" s="7" t="s">
        <v>92</v>
      </c>
      <c r="V280" s="171" t="str" cm="1">
        <f t="array" ref="V280">_xlfn.IFS(C280="","",COUNTIF(C280,"ตำแหน่งว่าง*"),"ว่าง",COUNTIF(C280,"&lt;&gt;ตำแหน่งว่าง*"),"คนครอง")</f>
        <v>ว่าง</v>
      </c>
      <c r="W280" s="49" cm="1">
        <f t="array" ref="W280">_xlfn.IFS(COUNTIF(F280,"ผบ.หมู่*"),51,COUNTIF(F280,"รอง สว.*"),43)</f>
        <v>51</v>
      </c>
      <c r="X280" s="6" t="s">
        <v>1949</v>
      </c>
      <c r="Y280" s="6" t="s">
        <v>27</v>
      </c>
    </row>
    <row r="281" spans="1:25" s="9" customFormat="1" ht="21.3" customHeight="1">
      <c r="A281" s="27" t="s">
        <v>208</v>
      </c>
      <c r="B281" s="28" t="s">
        <v>21</v>
      </c>
      <c r="C281" s="27" t="s">
        <v>1951</v>
      </c>
      <c r="D281" s="27" t="s">
        <v>7977</v>
      </c>
      <c r="E281" s="27" t="s">
        <v>8499</v>
      </c>
      <c r="F281" s="27" t="s">
        <v>1946</v>
      </c>
      <c r="G281" s="101" t="s">
        <v>1953</v>
      </c>
      <c r="H281" s="91">
        <v>43693</v>
      </c>
      <c r="I281" s="73">
        <v>43693</v>
      </c>
      <c r="J281" s="89">
        <v>43693</v>
      </c>
      <c r="K281" s="73">
        <v>34927</v>
      </c>
      <c r="L281" s="2" t="s">
        <v>1954</v>
      </c>
      <c r="M281" s="1" t="s">
        <v>16</v>
      </c>
      <c r="N281" s="112" t="s">
        <v>14</v>
      </c>
      <c r="O281" s="104" t="s">
        <v>52</v>
      </c>
      <c r="P281" s="104" t="s">
        <v>52</v>
      </c>
      <c r="Q281" s="105"/>
      <c r="R281" s="28" t="s">
        <v>645</v>
      </c>
      <c r="S281" s="225">
        <f t="shared" si="4"/>
        <v>56888</v>
      </c>
      <c r="T281" s="2" t="s">
        <v>7691</v>
      </c>
      <c r="U281" s="7" t="s">
        <v>92</v>
      </c>
      <c r="V281" s="162" t="str" cm="1">
        <f t="array" ref="V281">_xlfn.IFS(C281="","",COUNTIF(C281,"ตำแหน่งว่าง*"),"ว่าง",COUNTIF(C281,"&lt;&gt;ตำแหน่งว่าง*"),"คนครอง")</f>
        <v>คนครอง</v>
      </c>
      <c r="W281" s="49" cm="1">
        <f t="array" ref="W281">_xlfn.IFS(COUNTIF(F281,"ผบ.หมู่*"),51,COUNTIF(F281,"รอง สว.*"),43)</f>
        <v>51</v>
      </c>
      <c r="X281" s="1" t="s">
        <v>1952</v>
      </c>
      <c r="Y281" s="1" t="s">
        <v>52</v>
      </c>
    </row>
    <row r="282" spans="1:25" s="9" customFormat="1" ht="21.3" customHeight="1">
      <c r="A282" s="192" t="s">
        <v>169</v>
      </c>
      <c r="B282" s="193" t="s">
        <v>12</v>
      </c>
      <c r="C282" s="192" t="s">
        <v>7873</v>
      </c>
      <c r="D282" s="27" t="s">
        <v>8500</v>
      </c>
      <c r="E282" s="27" t="s">
        <v>8501</v>
      </c>
      <c r="F282" s="192" t="s">
        <v>1946</v>
      </c>
      <c r="G282" s="101" t="s">
        <v>1956</v>
      </c>
      <c r="H282" s="73">
        <v>45463</v>
      </c>
      <c r="I282" s="73">
        <v>45463</v>
      </c>
      <c r="J282" s="73">
        <v>45463</v>
      </c>
      <c r="K282" s="73">
        <v>34911</v>
      </c>
      <c r="L282" s="2" t="s">
        <v>82</v>
      </c>
      <c r="M282" s="1"/>
      <c r="N282" s="112" t="s">
        <v>14</v>
      </c>
      <c r="O282" s="104" t="s">
        <v>52</v>
      </c>
      <c r="P282" s="104" t="s">
        <v>52</v>
      </c>
      <c r="Q282" s="105"/>
      <c r="R282" s="28" t="s">
        <v>7961</v>
      </c>
      <c r="S282" s="174">
        <f t="shared" si="4"/>
        <v>56888</v>
      </c>
      <c r="T282" s="2" t="s">
        <v>7691</v>
      </c>
      <c r="U282" s="2" t="s">
        <v>92</v>
      </c>
      <c r="V282" s="162" t="str" cm="1">
        <f t="array" ref="V282">_xlfn.IFS(C282="","",COUNTIF(C282,"ตำแหน่งว่าง*"),"ว่าง",COUNTIF(C282,"&lt;&gt;ตำแหน่งว่าง*"),"คนครอง")</f>
        <v>คนครอง</v>
      </c>
      <c r="W282" s="49" cm="1">
        <f t="array" ref="W282">_xlfn.IFS(COUNTIF(F282,"ผบ.หมู่*"),51,COUNTIF(F282,"รอง สว.*"),43)</f>
        <v>51</v>
      </c>
      <c r="X282" s="1" t="s">
        <v>1955</v>
      </c>
      <c r="Y282" s="1" t="s">
        <v>52</v>
      </c>
    </row>
    <row r="283" spans="1:25" s="9" customFormat="1" ht="21.3" customHeight="1">
      <c r="A283" s="27" t="s">
        <v>182</v>
      </c>
      <c r="B283" s="28" t="s">
        <v>12</v>
      </c>
      <c r="C283" s="27" t="s">
        <v>1958</v>
      </c>
      <c r="D283" s="27" t="s">
        <v>8502</v>
      </c>
      <c r="E283" s="27" t="s">
        <v>8503</v>
      </c>
      <c r="F283" s="27" t="s">
        <v>1946</v>
      </c>
      <c r="G283" s="101" t="s">
        <v>1960</v>
      </c>
      <c r="H283" s="75">
        <v>44636</v>
      </c>
      <c r="I283" s="73">
        <v>44636</v>
      </c>
      <c r="J283" s="73">
        <v>44636</v>
      </c>
      <c r="K283" s="73">
        <v>34666</v>
      </c>
      <c r="L283" s="2" t="s">
        <v>1957</v>
      </c>
      <c r="M283" s="1" t="s">
        <v>56</v>
      </c>
      <c r="N283" s="112" t="s">
        <v>14</v>
      </c>
      <c r="O283" s="104" t="s">
        <v>52</v>
      </c>
      <c r="P283" s="104" t="s">
        <v>52</v>
      </c>
      <c r="Q283" s="105"/>
      <c r="R283" s="28" t="s">
        <v>611</v>
      </c>
      <c r="S283" s="225">
        <f t="shared" si="4"/>
        <v>56888</v>
      </c>
      <c r="T283" s="2" t="s">
        <v>7691</v>
      </c>
      <c r="U283" s="7" t="s">
        <v>92</v>
      </c>
      <c r="V283" s="162" t="str" cm="1">
        <f t="array" ref="V283">_xlfn.IFS(C283="","",COUNTIF(C283,"ตำแหน่งว่าง*"),"ว่าง",COUNTIF(C283,"&lt;&gt;ตำแหน่งว่าง*"),"คนครอง")</f>
        <v>คนครอง</v>
      </c>
      <c r="W283" s="49" cm="1">
        <f t="array" ref="W283">_xlfn.IFS(COUNTIF(F283,"ผบ.หมู่*"),51,COUNTIF(F283,"รอง สว.*"),43)</f>
        <v>51</v>
      </c>
      <c r="X283" s="1" t="s">
        <v>1959</v>
      </c>
      <c r="Y283" s="1" t="s">
        <v>52</v>
      </c>
    </row>
    <row r="284" spans="1:25" s="9" customFormat="1" ht="21.3" customHeight="1">
      <c r="A284" s="192" t="s">
        <v>169</v>
      </c>
      <c r="B284" s="193" t="s">
        <v>21</v>
      </c>
      <c r="C284" s="192" t="s">
        <v>7874</v>
      </c>
      <c r="D284" s="27" t="s">
        <v>8336</v>
      </c>
      <c r="E284" s="27" t="s">
        <v>8504</v>
      </c>
      <c r="F284" s="192" t="s">
        <v>1946</v>
      </c>
      <c r="G284" s="101" t="s">
        <v>1963</v>
      </c>
      <c r="H284" s="73">
        <v>45463</v>
      </c>
      <c r="I284" s="73">
        <v>45463</v>
      </c>
      <c r="J284" s="73">
        <v>45463</v>
      </c>
      <c r="K284" s="73">
        <v>36154</v>
      </c>
      <c r="L284" s="2" t="s">
        <v>82</v>
      </c>
      <c r="M284" s="1"/>
      <c r="N284" s="112" t="s">
        <v>14</v>
      </c>
      <c r="O284" s="104" t="s">
        <v>52</v>
      </c>
      <c r="P284" s="104" t="s">
        <v>52</v>
      </c>
      <c r="Q284" s="105"/>
      <c r="R284" s="28" t="s">
        <v>7961</v>
      </c>
      <c r="S284" s="174">
        <f t="shared" si="4"/>
        <v>58349</v>
      </c>
      <c r="T284" s="2" t="s">
        <v>7691</v>
      </c>
      <c r="U284" s="2" t="s">
        <v>92</v>
      </c>
      <c r="V284" s="162" t="str" cm="1">
        <f t="array" ref="V284">_xlfn.IFS(C284="","",COUNTIF(C284,"ตำแหน่งว่าง*"),"ว่าง",COUNTIF(C284,"&lt;&gt;ตำแหน่งว่าง*"),"คนครอง")</f>
        <v>คนครอง</v>
      </c>
      <c r="W284" s="49" cm="1">
        <f t="array" ref="W284">_xlfn.IFS(COUNTIF(F284,"ผบ.หมู่*"),51,COUNTIF(F284,"รอง สว.*"),43)</f>
        <v>51</v>
      </c>
      <c r="X284" s="1" t="s">
        <v>1962</v>
      </c>
      <c r="Y284" s="1" t="s">
        <v>52</v>
      </c>
    </row>
    <row r="285" spans="1:25" s="9" customFormat="1" ht="21.3" customHeight="1">
      <c r="A285" s="27" t="s">
        <v>182</v>
      </c>
      <c r="B285" s="28" t="s">
        <v>21</v>
      </c>
      <c r="C285" s="27" t="s">
        <v>1965</v>
      </c>
      <c r="D285" s="27" t="s">
        <v>8040</v>
      </c>
      <c r="E285" s="27" t="s">
        <v>8505</v>
      </c>
      <c r="F285" s="27" t="s">
        <v>1946</v>
      </c>
      <c r="G285" s="101" t="s">
        <v>1967</v>
      </c>
      <c r="H285" s="75">
        <v>44636</v>
      </c>
      <c r="I285" s="73">
        <v>44636</v>
      </c>
      <c r="J285" s="73">
        <v>44636</v>
      </c>
      <c r="K285" s="73">
        <v>34658</v>
      </c>
      <c r="L285" s="2" t="s">
        <v>1954</v>
      </c>
      <c r="M285" s="1" t="s">
        <v>47</v>
      </c>
      <c r="N285" s="112" t="s">
        <v>14</v>
      </c>
      <c r="O285" s="104" t="s">
        <v>52</v>
      </c>
      <c r="P285" s="104" t="s">
        <v>52</v>
      </c>
      <c r="Q285" s="105"/>
      <c r="R285" s="28" t="s">
        <v>611</v>
      </c>
      <c r="S285" s="225">
        <f t="shared" si="4"/>
        <v>56888</v>
      </c>
      <c r="T285" s="2" t="s">
        <v>7691</v>
      </c>
      <c r="U285" s="7" t="s">
        <v>92</v>
      </c>
      <c r="V285" s="162" t="str" cm="1">
        <f t="array" ref="V285">_xlfn.IFS(C285="","",COUNTIF(C285,"ตำแหน่งว่าง*"),"ว่าง",COUNTIF(C285,"&lt;&gt;ตำแหน่งว่าง*"),"คนครอง")</f>
        <v>คนครอง</v>
      </c>
      <c r="W285" s="49" cm="1">
        <f t="array" ref="W285">_xlfn.IFS(COUNTIF(F285,"ผบ.หมู่*"),51,COUNTIF(F285,"รอง สว.*"),43)</f>
        <v>51</v>
      </c>
      <c r="X285" s="1" t="s">
        <v>1966</v>
      </c>
      <c r="Y285" s="1" t="s">
        <v>52</v>
      </c>
    </row>
    <row r="286" spans="1:25" s="10" customFormat="1" ht="21.3" customHeight="1">
      <c r="A286" s="192" t="s">
        <v>169</v>
      </c>
      <c r="B286" s="193" t="s">
        <v>12</v>
      </c>
      <c r="C286" s="192" t="s">
        <v>7875</v>
      </c>
      <c r="D286" s="27" t="s">
        <v>8506</v>
      </c>
      <c r="E286" s="27" t="s">
        <v>8507</v>
      </c>
      <c r="F286" s="192" t="s">
        <v>1946</v>
      </c>
      <c r="G286" s="101" t="s">
        <v>1969</v>
      </c>
      <c r="H286" s="73">
        <v>45463</v>
      </c>
      <c r="I286" s="73">
        <v>45463</v>
      </c>
      <c r="J286" s="73">
        <v>45463</v>
      </c>
      <c r="K286" s="73">
        <v>36252</v>
      </c>
      <c r="L286" s="2" t="s">
        <v>82</v>
      </c>
      <c r="M286" s="1"/>
      <c r="N286" s="112" t="s">
        <v>14</v>
      </c>
      <c r="O286" s="104" t="s">
        <v>52</v>
      </c>
      <c r="P286" s="104" t="s">
        <v>52</v>
      </c>
      <c r="Q286" s="105"/>
      <c r="R286" s="28" t="s">
        <v>7961</v>
      </c>
      <c r="S286" s="174">
        <f t="shared" si="4"/>
        <v>58349</v>
      </c>
      <c r="T286" s="2" t="s">
        <v>7691</v>
      </c>
      <c r="U286" s="2" t="s">
        <v>92</v>
      </c>
      <c r="V286" s="162" t="str" cm="1">
        <f t="array" ref="V286">_xlfn.IFS(C286="","",COUNTIF(C286,"ตำแหน่งว่าง*"),"ว่าง",COUNTIF(C286,"&lt;&gt;ตำแหน่งว่าง*"),"คนครอง")</f>
        <v>คนครอง</v>
      </c>
      <c r="W286" s="49" cm="1">
        <f t="array" ref="W286">_xlfn.IFS(COUNTIF(F286,"ผบ.หมู่*"),51,COUNTIF(F286,"รอง สว.*"),43)</f>
        <v>51</v>
      </c>
      <c r="X286" s="1" t="s">
        <v>1968</v>
      </c>
      <c r="Y286" s="1" t="s">
        <v>52</v>
      </c>
    </row>
    <row r="287" spans="1:25" s="10" customFormat="1" ht="21.3" customHeight="1">
      <c r="A287" s="68"/>
      <c r="B287" s="30"/>
      <c r="C287" s="30" t="s">
        <v>18</v>
      </c>
      <c r="D287" s="27"/>
      <c r="E287" s="27"/>
      <c r="F287" s="68" t="s">
        <v>1946</v>
      </c>
      <c r="G287" s="121" t="s">
        <v>1971</v>
      </c>
      <c r="H287" s="93" t="s">
        <v>19</v>
      </c>
      <c r="I287" s="74" t="s">
        <v>19</v>
      </c>
      <c r="J287" s="74" t="s">
        <v>19</v>
      </c>
      <c r="K287" s="74" t="s">
        <v>19</v>
      </c>
      <c r="L287" s="7"/>
      <c r="M287" s="6"/>
      <c r="N287" s="113" t="s">
        <v>14</v>
      </c>
      <c r="O287" s="122" t="s">
        <v>52</v>
      </c>
      <c r="P287" s="122" t="s">
        <v>52</v>
      </c>
      <c r="Q287" s="106"/>
      <c r="R287" s="30"/>
      <c r="S287" s="225" t="str">
        <f t="shared" si="4"/>
        <v/>
      </c>
      <c r="T287" s="7" t="s">
        <v>7691</v>
      </c>
      <c r="U287" s="7" t="s">
        <v>92</v>
      </c>
      <c r="V287" s="171" t="str" cm="1">
        <f t="array" ref="V287">_xlfn.IFS(C287="","",COUNTIF(C287,"ตำแหน่งว่าง*"),"ว่าง",COUNTIF(C287,"&lt;&gt;ตำแหน่งว่าง*"),"คนครอง")</f>
        <v>ว่าง</v>
      </c>
      <c r="W287" s="49" cm="1">
        <f t="array" ref="W287">_xlfn.IFS(COUNTIF(F287,"ผบ.หมู่*"),51,COUNTIF(F287,"รอง สว.*"),43)</f>
        <v>51</v>
      </c>
      <c r="X287" s="6" t="s">
        <v>1970</v>
      </c>
      <c r="Y287" s="6" t="s">
        <v>52</v>
      </c>
    </row>
    <row r="288" spans="1:25" s="12" customFormat="1" ht="21.3" customHeight="1">
      <c r="A288" s="27" t="s">
        <v>157</v>
      </c>
      <c r="B288" s="28" t="s">
        <v>21</v>
      </c>
      <c r="C288" s="95" t="s">
        <v>1972</v>
      </c>
      <c r="D288" s="27" t="s">
        <v>8508</v>
      </c>
      <c r="E288" s="27" t="s">
        <v>8509</v>
      </c>
      <c r="F288" s="95" t="s">
        <v>1946</v>
      </c>
      <c r="G288" s="101" t="s">
        <v>1974</v>
      </c>
      <c r="H288" s="91">
        <v>40063</v>
      </c>
      <c r="I288" s="73">
        <v>40063</v>
      </c>
      <c r="J288" s="73">
        <v>34352</v>
      </c>
      <c r="K288" s="73">
        <v>26595</v>
      </c>
      <c r="L288" s="2" t="s">
        <v>1975</v>
      </c>
      <c r="M288" s="1" t="s">
        <v>25</v>
      </c>
      <c r="N288" s="111" t="s">
        <v>14</v>
      </c>
      <c r="O288" s="104" t="s">
        <v>52</v>
      </c>
      <c r="P288" s="104" t="s">
        <v>52</v>
      </c>
      <c r="Q288" s="105"/>
      <c r="R288" s="28" t="s">
        <v>603</v>
      </c>
      <c r="S288" s="225">
        <f t="shared" si="4"/>
        <v>48853</v>
      </c>
      <c r="T288" s="162" t="s">
        <v>7691</v>
      </c>
      <c r="U288" s="7" t="s">
        <v>92</v>
      </c>
      <c r="V288" s="162" t="str" cm="1">
        <f t="array" ref="V288">_xlfn.IFS(C288="","",COUNTIF(C288,"ตำแหน่งว่าง*"),"ว่าง",COUNTIF(C288,"&lt;&gt;ตำแหน่งว่าง*"),"คนครอง")</f>
        <v>คนครอง</v>
      </c>
      <c r="W288" s="49" cm="1">
        <f t="array" ref="W288">_xlfn.IFS(COUNTIF(F288,"ผบ.หมู่*"),51,COUNTIF(F288,"รอง สว.*"),43)</f>
        <v>51</v>
      </c>
      <c r="X288" s="5" t="s">
        <v>1973</v>
      </c>
      <c r="Y288" s="5" t="s">
        <v>52</v>
      </c>
    </row>
    <row r="289" spans="1:25" s="12" customFormat="1" ht="21.3" customHeight="1">
      <c r="A289" s="27" t="s">
        <v>26</v>
      </c>
      <c r="B289" s="28" t="s">
        <v>12</v>
      </c>
      <c r="C289" s="95" t="s">
        <v>1976</v>
      </c>
      <c r="D289" s="27" t="s">
        <v>8510</v>
      </c>
      <c r="E289" s="27" t="s">
        <v>8511</v>
      </c>
      <c r="F289" s="95" t="s">
        <v>1977</v>
      </c>
      <c r="G289" s="101" t="s">
        <v>1979</v>
      </c>
      <c r="H289" s="91">
        <v>43921</v>
      </c>
      <c r="I289" s="73">
        <v>43921</v>
      </c>
      <c r="J289" s="73">
        <v>35825</v>
      </c>
      <c r="K289" s="73">
        <v>24573</v>
      </c>
      <c r="L289" s="2" t="s">
        <v>1980</v>
      </c>
      <c r="M289" s="1" t="s">
        <v>57</v>
      </c>
      <c r="N289" s="111" t="s">
        <v>14</v>
      </c>
      <c r="O289" s="104" t="s">
        <v>52</v>
      </c>
      <c r="P289" s="104" t="s">
        <v>52</v>
      </c>
      <c r="Q289" s="105"/>
      <c r="R289" s="28" t="s">
        <v>603</v>
      </c>
      <c r="S289" s="225">
        <f t="shared" si="4"/>
        <v>46661</v>
      </c>
      <c r="T289" s="162" t="s">
        <v>7691</v>
      </c>
      <c r="U289" s="7" t="s">
        <v>92</v>
      </c>
      <c r="V289" s="162" t="str" cm="1">
        <f t="array" ref="V289">_xlfn.IFS(C289="","",COUNTIF(C289,"ตำแหน่งว่าง*"),"ว่าง",COUNTIF(C289,"&lt;&gt;ตำแหน่งว่าง*"),"คนครอง")</f>
        <v>คนครอง</v>
      </c>
      <c r="W289" s="49" cm="1">
        <f t="array" ref="W289">_xlfn.IFS(COUNTIF(F289,"ผบ.หมู่*"),51,COUNTIF(F289,"รอง สว.*"),43)</f>
        <v>43</v>
      </c>
      <c r="X289" s="5" t="s">
        <v>1978</v>
      </c>
      <c r="Y289" s="5" t="s">
        <v>52</v>
      </c>
    </row>
    <row r="290" spans="1:25" s="10" customFormat="1" ht="21.3" customHeight="1">
      <c r="A290" s="27"/>
      <c r="B290" s="28"/>
      <c r="C290" s="30" t="s">
        <v>18</v>
      </c>
      <c r="D290" s="27"/>
      <c r="E290" s="27"/>
      <c r="F290" s="68" t="s">
        <v>1946</v>
      </c>
      <c r="G290" s="121" t="s">
        <v>1982</v>
      </c>
      <c r="H290" s="91" t="s">
        <v>19</v>
      </c>
      <c r="I290" s="73" t="s">
        <v>19</v>
      </c>
      <c r="J290" s="73" t="s">
        <v>19</v>
      </c>
      <c r="K290" s="73" t="s">
        <v>19</v>
      </c>
      <c r="L290" s="2"/>
      <c r="M290" s="1"/>
      <c r="N290" s="113" t="s">
        <v>14</v>
      </c>
      <c r="O290" s="122" t="s">
        <v>52</v>
      </c>
      <c r="P290" s="122" t="s">
        <v>52</v>
      </c>
      <c r="Q290" s="105"/>
      <c r="R290" s="28"/>
      <c r="S290" s="225" t="str">
        <f t="shared" si="4"/>
        <v/>
      </c>
      <c r="T290" s="7" t="s">
        <v>7691</v>
      </c>
      <c r="U290" s="7" t="s">
        <v>92</v>
      </c>
      <c r="V290" s="171" t="str" cm="1">
        <f t="array" ref="V290">_xlfn.IFS(C290="","",COUNTIF(C290,"ตำแหน่งว่าง*"),"ว่าง",COUNTIF(C290,"&lt;&gt;ตำแหน่งว่าง*"),"คนครอง")</f>
        <v>ว่าง</v>
      </c>
      <c r="W290" s="49" cm="1">
        <f t="array" ref="W290">_xlfn.IFS(COUNTIF(F290,"ผบ.หมู่*"),51,COUNTIF(F290,"รอง สว.*"),43)</f>
        <v>51</v>
      </c>
      <c r="X290" s="6" t="s">
        <v>1981</v>
      </c>
      <c r="Y290" s="6" t="s">
        <v>52</v>
      </c>
    </row>
    <row r="291" spans="1:25" s="10" customFormat="1" ht="21.3" customHeight="1">
      <c r="A291" s="27"/>
      <c r="B291" s="28"/>
      <c r="C291" s="30" t="s">
        <v>18</v>
      </c>
      <c r="D291" s="27"/>
      <c r="E291" s="27"/>
      <c r="F291" s="68" t="s">
        <v>1946</v>
      </c>
      <c r="G291" s="121" t="s">
        <v>1984</v>
      </c>
      <c r="H291" s="91" t="s">
        <v>19</v>
      </c>
      <c r="I291" s="73" t="s">
        <v>19</v>
      </c>
      <c r="J291" s="73" t="s">
        <v>19</v>
      </c>
      <c r="K291" s="73" t="s">
        <v>19</v>
      </c>
      <c r="L291" s="2"/>
      <c r="M291" s="1"/>
      <c r="N291" s="113" t="s">
        <v>14</v>
      </c>
      <c r="O291" s="122" t="s">
        <v>52</v>
      </c>
      <c r="P291" s="122" t="s">
        <v>52</v>
      </c>
      <c r="Q291" s="105"/>
      <c r="R291" s="28"/>
      <c r="S291" s="225" t="str">
        <f t="shared" si="4"/>
        <v/>
      </c>
      <c r="T291" s="7" t="s">
        <v>7691</v>
      </c>
      <c r="U291" s="7" t="s">
        <v>92</v>
      </c>
      <c r="V291" s="171" t="str" cm="1">
        <f t="array" ref="V291">_xlfn.IFS(C291="","",COUNTIF(C291,"ตำแหน่งว่าง*"),"ว่าง",COUNTIF(C291,"&lt;&gt;ตำแหน่งว่าง*"),"คนครอง")</f>
        <v>ว่าง</v>
      </c>
      <c r="W291" s="49" cm="1">
        <f t="array" ref="W291">_xlfn.IFS(COUNTIF(F291,"ผบ.หมู่*"),51,COUNTIF(F291,"รอง สว.*"),43)</f>
        <v>51</v>
      </c>
      <c r="X291" s="6" t="s">
        <v>1983</v>
      </c>
      <c r="Y291" s="6" t="s">
        <v>52</v>
      </c>
    </row>
    <row r="292" spans="1:25" s="10" customFormat="1" ht="21.3" customHeight="1">
      <c r="A292" s="27"/>
      <c r="B292" s="28"/>
      <c r="C292" s="30" t="s">
        <v>18</v>
      </c>
      <c r="D292" s="27"/>
      <c r="E292" s="27"/>
      <c r="F292" s="68" t="s">
        <v>1946</v>
      </c>
      <c r="G292" s="121" t="s">
        <v>1986</v>
      </c>
      <c r="H292" s="91" t="s">
        <v>19</v>
      </c>
      <c r="I292" s="73" t="s">
        <v>19</v>
      </c>
      <c r="J292" s="73" t="s">
        <v>19</v>
      </c>
      <c r="K292" s="73" t="s">
        <v>19</v>
      </c>
      <c r="L292" s="2"/>
      <c r="M292" s="1"/>
      <c r="N292" s="113" t="s">
        <v>14</v>
      </c>
      <c r="O292" s="122" t="s">
        <v>52</v>
      </c>
      <c r="P292" s="122" t="s">
        <v>52</v>
      </c>
      <c r="Q292" s="105"/>
      <c r="R292" s="28"/>
      <c r="S292" s="225" t="str">
        <f t="shared" si="4"/>
        <v/>
      </c>
      <c r="T292" s="7" t="s">
        <v>7691</v>
      </c>
      <c r="U292" s="7" t="s">
        <v>92</v>
      </c>
      <c r="V292" s="171" t="str" cm="1">
        <f t="array" ref="V292">_xlfn.IFS(C292="","",COUNTIF(C292,"ตำแหน่งว่าง*"),"ว่าง",COUNTIF(C292,"&lt;&gt;ตำแหน่งว่าง*"),"คนครอง")</f>
        <v>ว่าง</v>
      </c>
      <c r="W292" s="49" cm="1">
        <f t="array" ref="W292">_xlfn.IFS(COUNTIF(F292,"ผบ.หมู่*"),51,COUNTIF(F292,"รอง สว.*"),43)</f>
        <v>51</v>
      </c>
      <c r="X292" s="6" t="s">
        <v>1985</v>
      </c>
      <c r="Y292" s="6" t="s">
        <v>52</v>
      </c>
    </row>
    <row r="293" spans="1:25" s="10" customFormat="1" ht="21.3" customHeight="1">
      <c r="A293" s="27"/>
      <c r="B293" s="28"/>
      <c r="C293" s="30" t="s">
        <v>18</v>
      </c>
      <c r="D293" s="27"/>
      <c r="E293" s="27"/>
      <c r="F293" s="68" t="s">
        <v>1946</v>
      </c>
      <c r="G293" s="121" t="s">
        <v>1988</v>
      </c>
      <c r="H293" s="91" t="s">
        <v>19</v>
      </c>
      <c r="I293" s="73" t="s">
        <v>19</v>
      </c>
      <c r="J293" s="73" t="s">
        <v>19</v>
      </c>
      <c r="K293" s="73" t="s">
        <v>19</v>
      </c>
      <c r="L293" s="2"/>
      <c r="M293" s="1"/>
      <c r="N293" s="113" t="s">
        <v>14</v>
      </c>
      <c r="O293" s="122" t="s">
        <v>52</v>
      </c>
      <c r="P293" s="122" t="s">
        <v>52</v>
      </c>
      <c r="Q293" s="105"/>
      <c r="R293" s="28"/>
      <c r="S293" s="225" t="str">
        <f t="shared" si="4"/>
        <v/>
      </c>
      <c r="T293" s="7" t="s">
        <v>7691</v>
      </c>
      <c r="U293" s="7" t="s">
        <v>92</v>
      </c>
      <c r="V293" s="171" t="str" cm="1">
        <f t="array" ref="V293">_xlfn.IFS(C293="","",COUNTIF(C293,"ตำแหน่งว่าง*"),"ว่าง",COUNTIF(C293,"&lt;&gt;ตำแหน่งว่าง*"),"คนครอง")</f>
        <v>ว่าง</v>
      </c>
      <c r="W293" s="49" cm="1">
        <f t="array" ref="W293">_xlfn.IFS(COUNTIF(F293,"ผบ.หมู่*"),51,COUNTIF(F293,"รอง สว.*"),43)</f>
        <v>51</v>
      </c>
      <c r="X293" s="6" t="s">
        <v>1987</v>
      </c>
      <c r="Y293" s="6" t="s">
        <v>52</v>
      </c>
    </row>
    <row r="294" spans="1:25" s="12" customFormat="1" ht="21.3" customHeight="1">
      <c r="A294" s="27" t="s">
        <v>612</v>
      </c>
      <c r="B294" s="28" t="s">
        <v>12</v>
      </c>
      <c r="C294" s="95" t="s">
        <v>1989</v>
      </c>
      <c r="D294" s="27" t="s">
        <v>8512</v>
      </c>
      <c r="E294" s="27" t="s">
        <v>8513</v>
      </c>
      <c r="F294" s="95" t="s">
        <v>1946</v>
      </c>
      <c r="G294" s="101" t="s">
        <v>1991</v>
      </c>
      <c r="H294" s="91">
        <v>41944</v>
      </c>
      <c r="I294" s="73">
        <v>41944</v>
      </c>
      <c r="J294" s="73">
        <v>41944</v>
      </c>
      <c r="K294" s="73">
        <v>34660</v>
      </c>
      <c r="L294" s="2" t="s">
        <v>1992</v>
      </c>
      <c r="M294" s="1" t="s">
        <v>56</v>
      </c>
      <c r="N294" s="111" t="s">
        <v>14</v>
      </c>
      <c r="O294" s="104" t="s">
        <v>52</v>
      </c>
      <c r="P294" s="104" t="s">
        <v>52</v>
      </c>
      <c r="Q294" s="105"/>
      <c r="R294" s="28" t="s">
        <v>641</v>
      </c>
      <c r="S294" s="225">
        <f t="shared" si="4"/>
        <v>56888</v>
      </c>
      <c r="T294" s="162" t="s">
        <v>7691</v>
      </c>
      <c r="U294" s="7" t="s">
        <v>92</v>
      </c>
      <c r="V294" s="162" t="str" cm="1">
        <f t="array" ref="V294">_xlfn.IFS(C294="","",COUNTIF(C294,"ตำแหน่งว่าง*"),"ว่าง",COUNTIF(C294,"&lt;&gt;ตำแหน่งว่าง*"),"คนครอง")</f>
        <v>คนครอง</v>
      </c>
      <c r="W294" s="49" cm="1">
        <f t="array" ref="W294">_xlfn.IFS(COUNTIF(F294,"ผบ.หมู่*"),51,COUNTIF(F294,"รอง สว.*"),43)</f>
        <v>51</v>
      </c>
      <c r="X294" s="5" t="s">
        <v>1990</v>
      </c>
      <c r="Y294" s="5" t="s">
        <v>52</v>
      </c>
    </row>
    <row r="295" spans="1:25" s="10" customFormat="1" ht="21.3" customHeight="1">
      <c r="A295" s="27"/>
      <c r="B295" s="28"/>
      <c r="C295" s="30" t="s">
        <v>18</v>
      </c>
      <c r="D295" s="27"/>
      <c r="E295" s="27"/>
      <c r="F295" s="68" t="s">
        <v>1946</v>
      </c>
      <c r="G295" s="121" t="s">
        <v>1994</v>
      </c>
      <c r="H295" s="91" t="s">
        <v>19</v>
      </c>
      <c r="I295" s="73" t="s">
        <v>19</v>
      </c>
      <c r="J295" s="73" t="s">
        <v>19</v>
      </c>
      <c r="K295" s="73" t="s">
        <v>19</v>
      </c>
      <c r="L295" s="2"/>
      <c r="M295" s="1"/>
      <c r="N295" s="113" t="s">
        <v>14</v>
      </c>
      <c r="O295" s="122" t="s">
        <v>52</v>
      </c>
      <c r="P295" s="122" t="s">
        <v>52</v>
      </c>
      <c r="Q295" s="105"/>
      <c r="R295" s="28"/>
      <c r="S295" s="225" t="str">
        <f t="shared" si="4"/>
        <v/>
      </c>
      <c r="T295" s="7" t="s">
        <v>7691</v>
      </c>
      <c r="U295" s="7" t="s">
        <v>92</v>
      </c>
      <c r="V295" s="171" t="str" cm="1">
        <f t="array" ref="V295">_xlfn.IFS(C295="","",COUNTIF(C295,"ตำแหน่งว่าง*"),"ว่าง",COUNTIF(C295,"&lt;&gt;ตำแหน่งว่าง*"),"คนครอง")</f>
        <v>ว่าง</v>
      </c>
      <c r="W295" s="49" cm="1">
        <f t="array" ref="W295">_xlfn.IFS(COUNTIF(F295,"ผบ.หมู่*"),51,COUNTIF(F295,"รอง สว.*"),43)</f>
        <v>51</v>
      </c>
      <c r="X295" s="6" t="s">
        <v>1993</v>
      </c>
      <c r="Y295" s="6" t="s">
        <v>52</v>
      </c>
    </row>
    <row r="296" spans="1:25" s="10" customFormat="1" ht="21.3" customHeight="1">
      <c r="A296" s="27"/>
      <c r="B296" s="28"/>
      <c r="C296" s="30" t="s">
        <v>18</v>
      </c>
      <c r="D296" s="27"/>
      <c r="E296" s="27"/>
      <c r="F296" s="68" t="s">
        <v>1946</v>
      </c>
      <c r="G296" s="121" t="s">
        <v>1996</v>
      </c>
      <c r="H296" s="91" t="s">
        <v>19</v>
      </c>
      <c r="I296" s="73" t="s">
        <v>19</v>
      </c>
      <c r="J296" s="73" t="s">
        <v>19</v>
      </c>
      <c r="K296" s="73" t="s">
        <v>19</v>
      </c>
      <c r="L296" s="2"/>
      <c r="M296" s="1"/>
      <c r="N296" s="113" t="s">
        <v>14</v>
      </c>
      <c r="O296" s="122" t="s">
        <v>52</v>
      </c>
      <c r="P296" s="122" t="s">
        <v>52</v>
      </c>
      <c r="Q296" s="105"/>
      <c r="R296" s="28"/>
      <c r="S296" s="225" t="str">
        <f t="shared" si="4"/>
        <v/>
      </c>
      <c r="T296" s="7" t="s">
        <v>7691</v>
      </c>
      <c r="U296" s="7" t="s">
        <v>92</v>
      </c>
      <c r="V296" s="171" t="str" cm="1">
        <f t="array" ref="V296">_xlfn.IFS(C296="","",COUNTIF(C296,"ตำแหน่งว่าง*"),"ว่าง",COUNTIF(C296,"&lt;&gt;ตำแหน่งว่าง*"),"คนครอง")</f>
        <v>ว่าง</v>
      </c>
      <c r="W296" s="49" cm="1">
        <f t="array" ref="W296">_xlfn.IFS(COUNTIF(F296,"ผบ.หมู่*"),51,COUNTIF(F296,"รอง สว.*"),43)</f>
        <v>51</v>
      </c>
      <c r="X296" s="6" t="s">
        <v>1995</v>
      </c>
      <c r="Y296" s="6" t="s">
        <v>52</v>
      </c>
    </row>
    <row r="297" spans="1:25" s="10" customFormat="1" ht="21.3" customHeight="1">
      <c r="A297" s="27"/>
      <c r="B297" s="28"/>
      <c r="C297" s="30" t="s">
        <v>18</v>
      </c>
      <c r="D297" s="27"/>
      <c r="E297" s="27"/>
      <c r="F297" s="68" t="s">
        <v>1997</v>
      </c>
      <c r="G297" s="121" t="s">
        <v>1999</v>
      </c>
      <c r="H297" s="91" t="s">
        <v>19</v>
      </c>
      <c r="I297" s="73" t="s">
        <v>19</v>
      </c>
      <c r="J297" s="73" t="s">
        <v>19</v>
      </c>
      <c r="K297" s="73" t="s">
        <v>19</v>
      </c>
      <c r="L297" s="2"/>
      <c r="M297" s="1"/>
      <c r="N297" s="113" t="s">
        <v>14</v>
      </c>
      <c r="O297" s="122" t="s">
        <v>27</v>
      </c>
      <c r="P297" s="122"/>
      <c r="Q297" s="105"/>
      <c r="R297" s="28"/>
      <c r="S297" s="225" t="str">
        <f t="shared" si="4"/>
        <v/>
      </c>
      <c r="T297" s="7" t="s">
        <v>7692</v>
      </c>
      <c r="U297" s="7" t="s">
        <v>92</v>
      </c>
      <c r="V297" s="171" t="str" cm="1">
        <f t="array" ref="V297">_xlfn.IFS(C297="","",COUNTIF(C297,"ตำแหน่งว่าง*"),"ว่าง",COUNTIF(C297,"&lt;&gt;ตำแหน่งว่าง*"),"คนครอง")</f>
        <v>ว่าง</v>
      </c>
      <c r="W297" s="49" cm="1">
        <f t="array" ref="W297">_xlfn.IFS(COUNTIF(F297,"ผบ.หมู่*"),51,COUNTIF(F297,"รอง สว.*"),43)</f>
        <v>51</v>
      </c>
      <c r="X297" s="6" t="s">
        <v>1998</v>
      </c>
      <c r="Y297" s="6" t="s">
        <v>27</v>
      </c>
    </row>
    <row r="298" spans="1:25" s="10" customFormat="1" ht="21.3" customHeight="1">
      <c r="A298" s="27"/>
      <c r="B298" s="28"/>
      <c r="C298" s="30" t="s">
        <v>18</v>
      </c>
      <c r="D298" s="27"/>
      <c r="E298" s="27"/>
      <c r="F298" s="68" t="s">
        <v>1997</v>
      </c>
      <c r="G298" s="121" t="s">
        <v>2001</v>
      </c>
      <c r="H298" s="91" t="s">
        <v>19</v>
      </c>
      <c r="I298" s="73" t="s">
        <v>19</v>
      </c>
      <c r="J298" s="73" t="s">
        <v>19</v>
      </c>
      <c r="K298" s="73" t="s">
        <v>19</v>
      </c>
      <c r="L298" s="2"/>
      <c r="M298" s="1"/>
      <c r="N298" s="113" t="s">
        <v>14</v>
      </c>
      <c r="O298" s="122" t="s">
        <v>27</v>
      </c>
      <c r="P298" s="122"/>
      <c r="Q298" s="105"/>
      <c r="R298" s="28"/>
      <c r="S298" s="225" t="str">
        <f t="shared" si="4"/>
        <v/>
      </c>
      <c r="T298" s="7" t="s">
        <v>7692</v>
      </c>
      <c r="U298" s="7" t="s">
        <v>92</v>
      </c>
      <c r="V298" s="171" t="str" cm="1">
        <f t="array" ref="V298">_xlfn.IFS(C298="","",COUNTIF(C298,"ตำแหน่งว่าง*"),"ว่าง",COUNTIF(C298,"&lt;&gt;ตำแหน่งว่าง*"),"คนครอง")</f>
        <v>ว่าง</v>
      </c>
      <c r="W298" s="49" cm="1">
        <f t="array" ref="W298">_xlfn.IFS(COUNTIF(F298,"ผบ.หมู่*"),51,COUNTIF(F298,"รอง สว.*"),43)</f>
        <v>51</v>
      </c>
      <c r="X298" s="6" t="s">
        <v>2000</v>
      </c>
      <c r="Y298" s="6" t="s">
        <v>27</v>
      </c>
    </row>
    <row r="299" spans="1:25" s="10" customFormat="1" ht="21.3" customHeight="1">
      <c r="A299" s="68"/>
      <c r="B299" s="30"/>
      <c r="C299" s="68" t="s">
        <v>18</v>
      </c>
      <c r="D299" s="27"/>
      <c r="E299" s="27"/>
      <c r="F299" s="68" t="s">
        <v>1997</v>
      </c>
      <c r="G299" s="121" t="s">
        <v>2003</v>
      </c>
      <c r="H299" s="80"/>
      <c r="I299" s="74"/>
      <c r="J299" s="74"/>
      <c r="K299" s="74"/>
      <c r="L299" s="7"/>
      <c r="M299" s="6"/>
      <c r="N299" s="113" t="s">
        <v>14</v>
      </c>
      <c r="O299" s="122" t="s">
        <v>52</v>
      </c>
      <c r="P299" s="122" t="s">
        <v>52</v>
      </c>
      <c r="Q299" s="106"/>
      <c r="R299" s="30"/>
      <c r="S299" s="225" t="str">
        <f t="shared" si="4"/>
        <v/>
      </c>
      <c r="T299" s="7" t="s">
        <v>7692</v>
      </c>
      <c r="U299" s="7" t="s">
        <v>92</v>
      </c>
      <c r="V299" s="171" t="str" cm="1">
        <f t="array" ref="V299">_xlfn.IFS(C299="","",COUNTIF(C299,"ตำแหน่งว่าง*"),"ว่าง",COUNTIF(C299,"&lt;&gt;ตำแหน่งว่าง*"),"คนครอง")</f>
        <v>ว่าง</v>
      </c>
      <c r="W299" s="49" cm="1">
        <f t="array" ref="W299">_xlfn.IFS(COUNTIF(F299,"ผบ.หมู่*"),51,COUNTIF(F299,"รอง สว.*"),43)</f>
        <v>51</v>
      </c>
      <c r="X299" s="61" t="s">
        <v>2002</v>
      </c>
      <c r="Y299" s="61" t="s">
        <v>52</v>
      </c>
    </row>
    <row r="300" spans="1:25" s="10" customFormat="1" ht="21.3" customHeight="1">
      <c r="A300" s="65" t="s">
        <v>169</v>
      </c>
      <c r="B300" s="66" t="s">
        <v>12</v>
      </c>
      <c r="C300" s="65" t="s">
        <v>2004</v>
      </c>
      <c r="D300" s="27" t="s">
        <v>8514</v>
      </c>
      <c r="E300" s="27" t="s">
        <v>8515</v>
      </c>
      <c r="F300" s="65" t="s">
        <v>1997</v>
      </c>
      <c r="G300" s="101" t="s">
        <v>2006</v>
      </c>
      <c r="H300" s="81">
        <v>44986</v>
      </c>
      <c r="I300" s="77">
        <v>44986</v>
      </c>
      <c r="J300" s="77">
        <v>44986</v>
      </c>
      <c r="K300" s="77">
        <v>34972</v>
      </c>
      <c r="L300" s="60" t="s">
        <v>82</v>
      </c>
      <c r="M300" s="61"/>
      <c r="N300" s="114" t="s">
        <v>14</v>
      </c>
      <c r="O300" s="104" t="s">
        <v>52</v>
      </c>
      <c r="P300" s="104" t="s">
        <v>52</v>
      </c>
      <c r="Q300" s="107"/>
      <c r="R300" s="66" t="s">
        <v>861</v>
      </c>
      <c r="S300" s="225">
        <f t="shared" si="4"/>
        <v>56888</v>
      </c>
      <c r="T300" s="7" t="s">
        <v>7692</v>
      </c>
      <c r="U300" s="7" t="s">
        <v>92</v>
      </c>
      <c r="V300" s="162" t="str" cm="1">
        <f t="array" ref="V300">_xlfn.IFS(C300="","",COUNTIF(C300,"ตำแหน่งว่าง*"),"ว่าง",COUNTIF(C300,"&lt;&gt;ตำแหน่งว่าง*"),"คนครอง")</f>
        <v>คนครอง</v>
      </c>
      <c r="W300" s="49" cm="1">
        <f t="array" ref="W300">_xlfn.IFS(COUNTIF(F300,"ผบ.หมู่*"),51,COUNTIF(F300,"รอง สว.*"),43)</f>
        <v>51</v>
      </c>
      <c r="X300" s="61" t="s">
        <v>2005</v>
      </c>
      <c r="Y300" s="61" t="s">
        <v>52</v>
      </c>
    </row>
    <row r="301" spans="1:25" s="12" customFormat="1" ht="21.3" customHeight="1">
      <c r="A301" s="27"/>
      <c r="B301" s="28"/>
      <c r="C301" s="95" t="s">
        <v>18</v>
      </c>
      <c r="D301" s="27"/>
      <c r="E301" s="27"/>
      <c r="F301" s="27" t="s">
        <v>1997</v>
      </c>
      <c r="G301" s="101" t="s">
        <v>2008</v>
      </c>
      <c r="H301" s="91"/>
      <c r="I301" s="73"/>
      <c r="J301" s="73"/>
      <c r="K301" s="73"/>
      <c r="L301" s="2"/>
      <c r="M301" s="1"/>
      <c r="N301" s="111" t="s">
        <v>14</v>
      </c>
      <c r="O301" s="104" t="s">
        <v>52</v>
      </c>
      <c r="P301" s="104" t="s">
        <v>52</v>
      </c>
      <c r="Q301" s="105"/>
      <c r="R301" s="28"/>
      <c r="S301" s="225" t="str">
        <f t="shared" si="4"/>
        <v/>
      </c>
      <c r="T301" s="162" t="s">
        <v>7692</v>
      </c>
      <c r="U301" s="7" t="s">
        <v>92</v>
      </c>
      <c r="V301" s="162" t="str" cm="1">
        <f t="array" ref="V301">_xlfn.IFS(C301="","",COUNTIF(C301,"ตำแหน่งว่าง*"),"ว่าง",COUNTIF(C301,"&lt;&gt;ตำแหน่งว่าง*"),"คนครอง")</f>
        <v>ว่าง</v>
      </c>
      <c r="W301" s="49" cm="1">
        <f t="array" ref="W301">_xlfn.IFS(COUNTIF(F301,"ผบ.หมู่*"),51,COUNTIF(F301,"รอง สว.*"),43)</f>
        <v>51</v>
      </c>
      <c r="X301" s="5" t="s">
        <v>2007</v>
      </c>
      <c r="Y301" s="5" t="s">
        <v>52</v>
      </c>
    </row>
    <row r="302" spans="1:25" s="10" customFormat="1" ht="21.3" customHeight="1">
      <c r="A302" s="192" t="s">
        <v>169</v>
      </c>
      <c r="B302" s="193" t="s">
        <v>12</v>
      </c>
      <c r="C302" s="192" t="s">
        <v>7876</v>
      </c>
      <c r="D302" s="27" t="s">
        <v>8516</v>
      </c>
      <c r="E302" s="27" t="s">
        <v>8517</v>
      </c>
      <c r="F302" s="192" t="s">
        <v>1997</v>
      </c>
      <c r="G302" s="101" t="s">
        <v>2010</v>
      </c>
      <c r="H302" s="73">
        <v>45463</v>
      </c>
      <c r="I302" s="73">
        <v>45463</v>
      </c>
      <c r="J302" s="73">
        <v>45463</v>
      </c>
      <c r="K302" s="73">
        <v>38194</v>
      </c>
      <c r="L302" s="2" t="s">
        <v>82</v>
      </c>
      <c r="M302" s="1"/>
      <c r="N302" s="112" t="s">
        <v>14</v>
      </c>
      <c r="O302" s="104" t="s">
        <v>52</v>
      </c>
      <c r="P302" s="104" t="s">
        <v>52</v>
      </c>
      <c r="Q302" s="105"/>
      <c r="R302" s="28" t="s">
        <v>7961</v>
      </c>
      <c r="S302" s="174">
        <f t="shared" si="4"/>
        <v>60176</v>
      </c>
      <c r="T302" s="2" t="s">
        <v>7692</v>
      </c>
      <c r="U302" s="2" t="s">
        <v>92</v>
      </c>
      <c r="V302" s="162" t="str" cm="1">
        <f t="array" ref="V302">_xlfn.IFS(C302="","",COUNTIF(C302,"ตำแหน่งว่าง*"),"ว่าง",COUNTIF(C302,"&lt;&gt;ตำแหน่งว่าง*"),"คนครอง")</f>
        <v>คนครอง</v>
      </c>
      <c r="W302" s="49" cm="1">
        <f t="array" ref="W302">_xlfn.IFS(COUNTIF(F302,"ผบ.หมู่*"),51,COUNTIF(F302,"รอง สว.*"),43)</f>
        <v>51</v>
      </c>
      <c r="X302" s="1" t="s">
        <v>2009</v>
      </c>
      <c r="Y302" s="1" t="s">
        <v>52</v>
      </c>
    </row>
    <row r="303" spans="1:25" s="9" customFormat="1" ht="21.3" customHeight="1">
      <c r="A303" s="27" t="s">
        <v>182</v>
      </c>
      <c r="B303" s="28" t="s">
        <v>12</v>
      </c>
      <c r="C303" s="27" t="s">
        <v>2011</v>
      </c>
      <c r="D303" s="27" t="s">
        <v>8518</v>
      </c>
      <c r="E303" s="27" t="s">
        <v>8519</v>
      </c>
      <c r="F303" s="27" t="s">
        <v>1997</v>
      </c>
      <c r="G303" s="101" t="s">
        <v>2013</v>
      </c>
      <c r="H303" s="75">
        <v>44636</v>
      </c>
      <c r="I303" s="73">
        <v>44636</v>
      </c>
      <c r="J303" s="73">
        <v>44636</v>
      </c>
      <c r="K303" s="73">
        <v>35911</v>
      </c>
      <c r="L303" s="2" t="s">
        <v>82</v>
      </c>
      <c r="M303" s="1" t="s">
        <v>83</v>
      </c>
      <c r="N303" s="112" t="s">
        <v>14</v>
      </c>
      <c r="O303" s="104" t="s">
        <v>52</v>
      </c>
      <c r="P303" s="104" t="s">
        <v>52</v>
      </c>
      <c r="Q303" s="105"/>
      <c r="R303" s="28" t="s">
        <v>611</v>
      </c>
      <c r="S303" s="225">
        <f t="shared" si="4"/>
        <v>57984</v>
      </c>
      <c r="T303" s="2" t="s">
        <v>7692</v>
      </c>
      <c r="U303" s="7" t="s">
        <v>92</v>
      </c>
      <c r="V303" s="162" t="str" cm="1">
        <f t="array" ref="V303">_xlfn.IFS(C303="","",COUNTIF(C303,"ตำแหน่งว่าง*"),"ว่าง",COUNTIF(C303,"&lt;&gt;ตำแหน่งว่าง*"),"คนครอง")</f>
        <v>คนครอง</v>
      </c>
      <c r="W303" s="49" cm="1">
        <f t="array" ref="W303">_xlfn.IFS(COUNTIF(F303,"ผบ.หมู่*"),51,COUNTIF(F303,"รอง สว.*"),43)</f>
        <v>51</v>
      </c>
      <c r="X303" s="1" t="s">
        <v>2012</v>
      </c>
      <c r="Y303" s="1" t="s">
        <v>52</v>
      </c>
    </row>
    <row r="304" spans="1:25" s="9" customFormat="1" ht="21.3" customHeight="1">
      <c r="A304" s="27" t="s">
        <v>182</v>
      </c>
      <c r="B304" s="28" t="s">
        <v>12</v>
      </c>
      <c r="C304" s="27" t="s">
        <v>2014</v>
      </c>
      <c r="D304" s="27" t="s">
        <v>8520</v>
      </c>
      <c r="E304" s="27" t="s">
        <v>8521</v>
      </c>
      <c r="F304" s="27" t="s">
        <v>1997</v>
      </c>
      <c r="G304" s="101" t="s">
        <v>2016</v>
      </c>
      <c r="H304" s="75">
        <v>44636</v>
      </c>
      <c r="I304" s="73">
        <v>44636</v>
      </c>
      <c r="J304" s="73">
        <v>44636</v>
      </c>
      <c r="K304" s="73">
        <v>37022</v>
      </c>
      <c r="L304" s="2" t="s">
        <v>82</v>
      </c>
      <c r="M304" s="1" t="s">
        <v>13</v>
      </c>
      <c r="N304" s="112" t="s">
        <v>14</v>
      </c>
      <c r="O304" s="104" t="s">
        <v>52</v>
      </c>
      <c r="P304" s="104" t="s">
        <v>52</v>
      </c>
      <c r="Q304" s="105"/>
      <c r="R304" s="28" t="s">
        <v>611</v>
      </c>
      <c r="S304" s="225">
        <f t="shared" si="4"/>
        <v>59080</v>
      </c>
      <c r="T304" s="2" t="s">
        <v>7692</v>
      </c>
      <c r="U304" s="7" t="s">
        <v>92</v>
      </c>
      <c r="V304" s="162" t="str" cm="1">
        <f t="array" ref="V304">_xlfn.IFS(C304="","",COUNTIF(C304,"ตำแหน่งว่าง*"),"ว่าง",COUNTIF(C304,"&lt;&gt;ตำแหน่งว่าง*"),"คนครอง")</f>
        <v>คนครอง</v>
      </c>
      <c r="W304" s="49" cm="1">
        <f t="array" ref="W304">_xlfn.IFS(COUNTIF(F304,"ผบ.หมู่*"),51,COUNTIF(F304,"รอง สว.*"),43)</f>
        <v>51</v>
      </c>
      <c r="X304" s="1" t="s">
        <v>2015</v>
      </c>
      <c r="Y304" s="1" t="s">
        <v>52</v>
      </c>
    </row>
    <row r="305" spans="1:25" s="9" customFormat="1" ht="21.3" customHeight="1">
      <c r="A305" s="27"/>
      <c r="B305" s="28"/>
      <c r="C305" s="30" t="s">
        <v>18</v>
      </c>
      <c r="D305" s="27"/>
      <c r="E305" s="27"/>
      <c r="F305" s="27" t="s">
        <v>1997</v>
      </c>
      <c r="G305" s="101" t="s">
        <v>2018</v>
      </c>
      <c r="H305" s="75"/>
      <c r="I305" s="73"/>
      <c r="J305" s="73"/>
      <c r="K305" s="73"/>
      <c r="L305" s="2"/>
      <c r="M305" s="1"/>
      <c r="N305" s="112" t="s">
        <v>14</v>
      </c>
      <c r="O305" s="104" t="s">
        <v>52</v>
      </c>
      <c r="P305" s="104" t="s">
        <v>52</v>
      </c>
      <c r="Q305" s="105"/>
      <c r="R305" s="28"/>
      <c r="S305" s="225" t="str">
        <f t="shared" si="4"/>
        <v/>
      </c>
      <c r="T305" s="2" t="s">
        <v>7692</v>
      </c>
      <c r="U305" s="7" t="s">
        <v>92</v>
      </c>
      <c r="V305" s="162" t="str" cm="1">
        <f t="array" ref="V305">_xlfn.IFS(C305="","",COUNTIF(C305,"ตำแหน่งว่าง*"),"ว่าง",COUNTIF(C305,"&lt;&gt;ตำแหน่งว่าง*"),"คนครอง")</f>
        <v>ว่าง</v>
      </c>
      <c r="W305" s="49" cm="1">
        <f t="array" ref="W305">_xlfn.IFS(COUNTIF(F305,"ผบ.หมู่*"),51,COUNTIF(F305,"รอง สว.*"),43)</f>
        <v>51</v>
      </c>
      <c r="X305" s="1" t="s">
        <v>2017</v>
      </c>
      <c r="Y305" s="1" t="s">
        <v>52</v>
      </c>
    </row>
    <row r="306" spans="1:25" s="10" customFormat="1" ht="21.3" customHeight="1">
      <c r="A306" s="192" t="s">
        <v>169</v>
      </c>
      <c r="B306" s="193" t="s">
        <v>21</v>
      </c>
      <c r="C306" s="192" t="s">
        <v>7877</v>
      </c>
      <c r="D306" s="27" t="s">
        <v>8522</v>
      </c>
      <c r="E306" s="27" t="s">
        <v>8523</v>
      </c>
      <c r="F306" s="192" t="s">
        <v>1997</v>
      </c>
      <c r="G306" s="101" t="s">
        <v>2020</v>
      </c>
      <c r="H306" s="73">
        <v>45463</v>
      </c>
      <c r="I306" s="73">
        <v>45463</v>
      </c>
      <c r="J306" s="73">
        <v>45463</v>
      </c>
      <c r="K306" s="73">
        <v>36462</v>
      </c>
      <c r="L306" s="2" t="s">
        <v>82</v>
      </c>
      <c r="M306" s="1"/>
      <c r="N306" s="112" t="s">
        <v>14</v>
      </c>
      <c r="O306" s="104" t="s">
        <v>52</v>
      </c>
      <c r="P306" s="104" t="s">
        <v>52</v>
      </c>
      <c r="Q306" s="105"/>
      <c r="R306" s="28" t="s">
        <v>7961</v>
      </c>
      <c r="S306" s="174">
        <f t="shared" si="4"/>
        <v>58715</v>
      </c>
      <c r="T306" s="2" t="s">
        <v>7692</v>
      </c>
      <c r="U306" s="2" t="s">
        <v>92</v>
      </c>
      <c r="V306" s="162" t="str" cm="1">
        <f t="array" ref="V306">_xlfn.IFS(C306="","",COUNTIF(C306,"ตำแหน่งว่าง*"),"ว่าง",COUNTIF(C306,"&lt;&gt;ตำแหน่งว่าง*"),"คนครอง")</f>
        <v>คนครอง</v>
      </c>
      <c r="W306" s="49" cm="1">
        <f t="array" ref="W306">_xlfn.IFS(COUNTIF(F306,"ผบ.หมู่*"),51,COUNTIF(F306,"รอง สว.*"),43)</f>
        <v>51</v>
      </c>
      <c r="X306" s="1" t="s">
        <v>2019</v>
      </c>
      <c r="Y306" s="1" t="s">
        <v>52</v>
      </c>
    </row>
    <row r="307" spans="1:25" s="9" customFormat="1" ht="21.3" customHeight="1">
      <c r="A307" s="27" t="s">
        <v>182</v>
      </c>
      <c r="B307" s="28" t="s">
        <v>21</v>
      </c>
      <c r="C307" s="27" t="s">
        <v>2021</v>
      </c>
      <c r="D307" s="27" t="s">
        <v>8524</v>
      </c>
      <c r="E307" s="27" t="s">
        <v>8525</v>
      </c>
      <c r="F307" s="27" t="s">
        <v>1997</v>
      </c>
      <c r="G307" s="101" t="s">
        <v>2023</v>
      </c>
      <c r="H307" s="75">
        <v>44636</v>
      </c>
      <c r="I307" s="73">
        <v>44636</v>
      </c>
      <c r="J307" s="73">
        <v>44636</v>
      </c>
      <c r="K307" s="73">
        <v>35797</v>
      </c>
      <c r="L307" s="2" t="s">
        <v>82</v>
      </c>
      <c r="M307" s="1" t="s">
        <v>25</v>
      </c>
      <c r="N307" s="112" t="s">
        <v>14</v>
      </c>
      <c r="O307" s="104" t="s">
        <v>52</v>
      </c>
      <c r="P307" s="104" t="s">
        <v>52</v>
      </c>
      <c r="Q307" s="105"/>
      <c r="R307" s="28" t="s">
        <v>611</v>
      </c>
      <c r="S307" s="225">
        <f t="shared" si="4"/>
        <v>57984</v>
      </c>
      <c r="T307" s="2" t="s">
        <v>7692</v>
      </c>
      <c r="U307" s="7" t="s">
        <v>92</v>
      </c>
      <c r="V307" s="162" t="str" cm="1">
        <f t="array" ref="V307">_xlfn.IFS(C307="","",COUNTIF(C307,"ตำแหน่งว่าง*"),"ว่าง",COUNTIF(C307,"&lt;&gt;ตำแหน่งว่าง*"),"คนครอง")</f>
        <v>คนครอง</v>
      </c>
      <c r="W307" s="49" cm="1">
        <f t="array" ref="W307">_xlfn.IFS(COUNTIF(F307,"ผบ.หมู่*"),51,COUNTIF(F307,"รอง สว.*"),43)</f>
        <v>51</v>
      </c>
      <c r="X307" s="1" t="s">
        <v>2022</v>
      </c>
      <c r="Y307" s="1" t="s">
        <v>52</v>
      </c>
    </row>
    <row r="308" spans="1:25" s="9" customFormat="1" ht="21.3" customHeight="1">
      <c r="A308" s="68"/>
      <c r="B308" s="30"/>
      <c r="C308" s="30" t="s">
        <v>18</v>
      </c>
      <c r="D308" s="27"/>
      <c r="E308" s="27"/>
      <c r="F308" s="68" t="s">
        <v>1997</v>
      </c>
      <c r="G308" s="121" t="s">
        <v>2025</v>
      </c>
      <c r="H308" s="93" t="s">
        <v>19</v>
      </c>
      <c r="I308" s="74" t="s">
        <v>19</v>
      </c>
      <c r="J308" s="90" t="s">
        <v>19</v>
      </c>
      <c r="K308" s="74" t="s">
        <v>19</v>
      </c>
      <c r="L308" s="7"/>
      <c r="M308" s="6"/>
      <c r="N308" s="113" t="s">
        <v>14</v>
      </c>
      <c r="O308" s="122" t="s">
        <v>52</v>
      </c>
      <c r="P308" s="122" t="s">
        <v>52</v>
      </c>
      <c r="Q308" s="106"/>
      <c r="R308" s="30"/>
      <c r="S308" s="225" t="str">
        <f t="shared" si="4"/>
        <v/>
      </c>
      <c r="T308" s="2" t="s">
        <v>7692</v>
      </c>
      <c r="U308" s="7" t="s">
        <v>92</v>
      </c>
      <c r="V308" s="171" t="str" cm="1">
        <f t="array" ref="V308">_xlfn.IFS(C308="","",COUNTIF(C308,"ตำแหน่งว่าง*"),"ว่าง",COUNTIF(C308,"&lt;&gt;ตำแหน่งว่าง*"),"คนครอง")</f>
        <v>ว่าง</v>
      </c>
      <c r="W308" s="49" cm="1">
        <f t="array" ref="W308">_xlfn.IFS(COUNTIF(F308,"ผบ.หมู่*"),51,COUNTIF(F308,"รอง สว.*"),43)</f>
        <v>51</v>
      </c>
      <c r="X308" s="6" t="s">
        <v>2024</v>
      </c>
      <c r="Y308" s="6" t="s">
        <v>52</v>
      </c>
    </row>
    <row r="309" spans="1:25" s="10" customFormat="1" ht="21.3" customHeight="1">
      <c r="A309" s="27"/>
      <c r="B309" s="28"/>
      <c r="C309" s="30" t="s">
        <v>18</v>
      </c>
      <c r="D309" s="27"/>
      <c r="E309" s="27"/>
      <c r="F309" s="68" t="s">
        <v>1997</v>
      </c>
      <c r="G309" s="121" t="s">
        <v>2027</v>
      </c>
      <c r="H309" s="91" t="s">
        <v>19</v>
      </c>
      <c r="I309" s="73" t="s">
        <v>19</v>
      </c>
      <c r="J309" s="73" t="s">
        <v>19</v>
      </c>
      <c r="K309" s="73" t="s">
        <v>19</v>
      </c>
      <c r="L309" s="2"/>
      <c r="M309" s="1"/>
      <c r="N309" s="113" t="s">
        <v>14</v>
      </c>
      <c r="O309" s="122" t="s">
        <v>52</v>
      </c>
      <c r="P309" s="122" t="s">
        <v>52</v>
      </c>
      <c r="Q309" s="105"/>
      <c r="R309" s="28"/>
      <c r="S309" s="225" t="str">
        <f t="shared" si="4"/>
        <v/>
      </c>
      <c r="T309" s="7" t="s">
        <v>7692</v>
      </c>
      <c r="U309" s="7" t="s">
        <v>92</v>
      </c>
      <c r="V309" s="171" t="str" cm="1">
        <f t="array" ref="V309">_xlfn.IFS(C309="","",COUNTIF(C309,"ตำแหน่งว่าง*"),"ว่าง",COUNTIF(C309,"&lt;&gt;ตำแหน่งว่าง*"),"คนครอง")</f>
        <v>ว่าง</v>
      </c>
      <c r="W309" s="49" cm="1">
        <f t="array" ref="W309">_xlfn.IFS(COUNTIF(F309,"ผบ.หมู่*"),51,COUNTIF(F309,"รอง สว.*"),43)</f>
        <v>51</v>
      </c>
      <c r="X309" s="6" t="s">
        <v>2026</v>
      </c>
      <c r="Y309" s="6" t="s">
        <v>52</v>
      </c>
    </row>
    <row r="310" spans="1:25" s="10" customFormat="1" ht="21.3" customHeight="1">
      <c r="A310" s="27"/>
      <c r="B310" s="28"/>
      <c r="C310" s="30" t="s">
        <v>18</v>
      </c>
      <c r="D310" s="27"/>
      <c r="E310" s="27"/>
      <c r="F310" s="68" t="s">
        <v>1997</v>
      </c>
      <c r="G310" s="121" t="s">
        <v>2029</v>
      </c>
      <c r="H310" s="91" t="s">
        <v>19</v>
      </c>
      <c r="I310" s="73" t="s">
        <v>19</v>
      </c>
      <c r="J310" s="73" t="s">
        <v>19</v>
      </c>
      <c r="K310" s="73" t="s">
        <v>19</v>
      </c>
      <c r="L310" s="2"/>
      <c r="M310" s="1"/>
      <c r="N310" s="113" t="s">
        <v>14</v>
      </c>
      <c r="O310" s="122" t="s">
        <v>52</v>
      </c>
      <c r="P310" s="122" t="s">
        <v>52</v>
      </c>
      <c r="Q310" s="105"/>
      <c r="R310" s="28"/>
      <c r="S310" s="225" t="str">
        <f t="shared" si="4"/>
        <v/>
      </c>
      <c r="T310" s="7" t="s">
        <v>7692</v>
      </c>
      <c r="U310" s="7" t="s">
        <v>92</v>
      </c>
      <c r="V310" s="171" t="str" cm="1">
        <f t="array" ref="V310">_xlfn.IFS(C310="","",COUNTIF(C310,"ตำแหน่งว่าง*"),"ว่าง",COUNTIF(C310,"&lt;&gt;ตำแหน่งว่าง*"),"คนครอง")</f>
        <v>ว่าง</v>
      </c>
      <c r="W310" s="49" cm="1">
        <f t="array" ref="W310">_xlfn.IFS(COUNTIF(F310,"ผบ.หมู่*"),51,COUNTIF(F310,"รอง สว.*"),43)</f>
        <v>51</v>
      </c>
      <c r="X310" s="6" t="s">
        <v>2028</v>
      </c>
      <c r="Y310" s="6" t="s">
        <v>52</v>
      </c>
    </row>
    <row r="311" spans="1:25" s="10" customFormat="1" ht="21.3" customHeight="1">
      <c r="A311" s="27"/>
      <c r="B311" s="28"/>
      <c r="C311" s="30" t="s">
        <v>18</v>
      </c>
      <c r="D311" s="27"/>
      <c r="E311" s="27"/>
      <c r="F311" s="68" t="s">
        <v>1997</v>
      </c>
      <c r="G311" s="121" t="s">
        <v>2031</v>
      </c>
      <c r="H311" s="91" t="s">
        <v>19</v>
      </c>
      <c r="I311" s="73" t="s">
        <v>19</v>
      </c>
      <c r="J311" s="73" t="s">
        <v>19</v>
      </c>
      <c r="K311" s="73" t="s">
        <v>19</v>
      </c>
      <c r="L311" s="2"/>
      <c r="M311" s="1"/>
      <c r="N311" s="113" t="s">
        <v>14</v>
      </c>
      <c r="O311" s="122" t="s">
        <v>52</v>
      </c>
      <c r="P311" s="122" t="s">
        <v>52</v>
      </c>
      <c r="Q311" s="105"/>
      <c r="R311" s="28"/>
      <c r="S311" s="225" t="str">
        <f t="shared" si="4"/>
        <v/>
      </c>
      <c r="T311" s="7" t="s">
        <v>7692</v>
      </c>
      <c r="U311" s="7" t="s">
        <v>92</v>
      </c>
      <c r="V311" s="171" t="str" cm="1">
        <f t="array" ref="V311">_xlfn.IFS(C311="","",COUNTIF(C311,"ตำแหน่งว่าง*"),"ว่าง",COUNTIF(C311,"&lt;&gt;ตำแหน่งว่าง*"),"คนครอง")</f>
        <v>ว่าง</v>
      </c>
      <c r="W311" s="49" cm="1">
        <f t="array" ref="W311">_xlfn.IFS(COUNTIF(F311,"ผบ.หมู่*"),51,COUNTIF(F311,"รอง สว.*"),43)</f>
        <v>51</v>
      </c>
      <c r="X311" s="6" t="s">
        <v>2030</v>
      </c>
      <c r="Y311" s="6" t="s">
        <v>52</v>
      </c>
    </row>
    <row r="312" spans="1:25" s="10" customFormat="1" ht="21.3" customHeight="1">
      <c r="A312" s="27"/>
      <c r="B312" s="28"/>
      <c r="C312" s="30" t="s">
        <v>18</v>
      </c>
      <c r="D312" s="27"/>
      <c r="E312" s="27"/>
      <c r="F312" s="68" t="s">
        <v>1997</v>
      </c>
      <c r="G312" s="121" t="s">
        <v>2033</v>
      </c>
      <c r="H312" s="91" t="s">
        <v>19</v>
      </c>
      <c r="I312" s="73" t="s">
        <v>19</v>
      </c>
      <c r="J312" s="73" t="s">
        <v>19</v>
      </c>
      <c r="K312" s="73" t="s">
        <v>19</v>
      </c>
      <c r="L312" s="2"/>
      <c r="M312" s="1"/>
      <c r="N312" s="113" t="s">
        <v>14</v>
      </c>
      <c r="O312" s="122" t="s">
        <v>52</v>
      </c>
      <c r="P312" s="122" t="s">
        <v>52</v>
      </c>
      <c r="Q312" s="105"/>
      <c r="R312" s="28"/>
      <c r="S312" s="225" t="str">
        <f t="shared" si="4"/>
        <v/>
      </c>
      <c r="T312" s="7" t="s">
        <v>7692</v>
      </c>
      <c r="U312" s="7" t="s">
        <v>92</v>
      </c>
      <c r="V312" s="171" t="str" cm="1">
        <f t="array" ref="V312">_xlfn.IFS(C312="","",COUNTIF(C312,"ตำแหน่งว่าง*"),"ว่าง",COUNTIF(C312,"&lt;&gt;ตำแหน่งว่าง*"),"คนครอง")</f>
        <v>ว่าง</v>
      </c>
      <c r="W312" s="49" cm="1">
        <f t="array" ref="W312">_xlfn.IFS(COUNTIF(F312,"ผบ.หมู่*"),51,COUNTIF(F312,"รอง สว.*"),43)</f>
        <v>51</v>
      </c>
      <c r="X312" s="6" t="s">
        <v>2032</v>
      </c>
      <c r="Y312" s="6" t="s">
        <v>52</v>
      </c>
    </row>
    <row r="313" spans="1:25" s="10" customFormat="1" ht="21.3" customHeight="1">
      <c r="A313" s="27"/>
      <c r="B313" s="28"/>
      <c r="C313" s="30" t="s">
        <v>18</v>
      </c>
      <c r="D313" s="27"/>
      <c r="E313" s="27"/>
      <c r="F313" s="68" t="s">
        <v>1997</v>
      </c>
      <c r="G313" s="121" t="s">
        <v>2035</v>
      </c>
      <c r="H313" s="91" t="s">
        <v>19</v>
      </c>
      <c r="I313" s="73" t="s">
        <v>19</v>
      </c>
      <c r="J313" s="73" t="s">
        <v>19</v>
      </c>
      <c r="K313" s="73" t="s">
        <v>19</v>
      </c>
      <c r="L313" s="2"/>
      <c r="M313" s="1"/>
      <c r="N313" s="113" t="s">
        <v>14</v>
      </c>
      <c r="O313" s="122" t="s">
        <v>52</v>
      </c>
      <c r="P313" s="122" t="s">
        <v>52</v>
      </c>
      <c r="Q313" s="105"/>
      <c r="R313" s="28"/>
      <c r="S313" s="225" t="str">
        <f t="shared" si="4"/>
        <v/>
      </c>
      <c r="T313" s="7" t="s">
        <v>7692</v>
      </c>
      <c r="U313" s="7" t="s">
        <v>92</v>
      </c>
      <c r="V313" s="171" t="str" cm="1">
        <f t="array" ref="V313">_xlfn.IFS(C313="","",COUNTIF(C313,"ตำแหน่งว่าง*"),"ว่าง",COUNTIF(C313,"&lt;&gt;ตำแหน่งว่าง*"),"คนครอง")</f>
        <v>ว่าง</v>
      </c>
      <c r="W313" s="49" cm="1">
        <f t="array" ref="W313">_xlfn.IFS(COUNTIF(F313,"ผบ.หมู่*"),51,COUNTIF(F313,"รอง สว.*"),43)</f>
        <v>51</v>
      </c>
      <c r="X313" s="6" t="s">
        <v>2034</v>
      </c>
      <c r="Y313" s="6" t="s">
        <v>52</v>
      </c>
    </row>
    <row r="314" spans="1:25" s="10" customFormat="1" ht="21.3" customHeight="1">
      <c r="A314" s="27"/>
      <c r="B314" s="28"/>
      <c r="C314" s="30" t="s">
        <v>18</v>
      </c>
      <c r="D314" s="27"/>
      <c r="E314" s="27"/>
      <c r="F314" s="68" t="s">
        <v>1997</v>
      </c>
      <c r="G314" s="121" t="s">
        <v>2037</v>
      </c>
      <c r="H314" s="91" t="s">
        <v>19</v>
      </c>
      <c r="I314" s="73" t="s">
        <v>19</v>
      </c>
      <c r="J314" s="73" t="s">
        <v>19</v>
      </c>
      <c r="K314" s="73" t="s">
        <v>19</v>
      </c>
      <c r="L314" s="2"/>
      <c r="M314" s="1"/>
      <c r="N314" s="113" t="s">
        <v>14</v>
      </c>
      <c r="O314" s="122" t="s">
        <v>52</v>
      </c>
      <c r="P314" s="122" t="s">
        <v>52</v>
      </c>
      <c r="Q314" s="105"/>
      <c r="R314" s="28"/>
      <c r="S314" s="225" t="str">
        <f t="shared" si="4"/>
        <v/>
      </c>
      <c r="T314" s="7" t="s">
        <v>7692</v>
      </c>
      <c r="U314" s="7" t="s">
        <v>92</v>
      </c>
      <c r="V314" s="171" t="str" cm="1">
        <f t="array" ref="V314">_xlfn.IFS(C314="","",COUNTIF(C314,"ตำแหน่งว่าง*"),"ว่าง",COUNTIF(C314,"&lt;&gt;ตำแหน่งว่าง*"),"คนครอง")</f>
        <v>ว่าง</v>
      </c>
      <c r="W314" s="49" cm="1">
        <f t="array" ref="W314">_xlfn.IFS(COUNTIF(F314,"ผบ.หมู่*"),51,COUNTIF(F314,"รอง สว.*"),43)</f>
        <v>51</v>
      </c>
      <c r="X314" s="6" t="s">
        <v>2036</v>
      </c>
      <c r="Y314" s="6" t="s">
        <v>52</v>
      </c>
    </row>
    <row r="315" spans="1:25" s="10" customFormat="1" ht="21.3" customHeight="1">
      <c r="A315" s="27"/>
      <c r="B315" s="28"/>
      <c r="C315" s="30" t="s">
        <v>18</v>
      </c>
      <c r="D315" s="27"/>
      <c r="E315" s="27"/>
      <c r="F315" s="68" t="s">
        <v>2038</v>
      </c>
      <c r="G315" s="121" t="s">
        <v>2040</v>
      </c>
      <c r="H315" s="91" t="s">
        <v>19</v>
      </c>
      <c r="I315" s="73" t="s">
        <v>19</v>
      </c>
      <c r="J315" s="73" t="s">
        <v>19</v>
      </c>
      <c r="K315" s="73" t="s">
        <v>19</v>
      </c>
      <c r="L315" s="2"/>
      <c r="M315" s="1"/>
      <c r="N315" s="113" t="s">
        <v>14</v>
      </c>
      <c r="O315" s="122" t="s">
        <v>27</v>
      </c>
      <c r="P315" s="122"/>
      <c r="Q315" s="105"/>
      <c r="R315" s="28"/>
      <c r="S315" s="225" t="str">
        <f t="shared" si="4"/>
        <v/>
      </c>
      <c r="T315" s="7" t="s">
        <v>7693</v>
      </c>
      <c r="U315" s="7" t="s">
        <v>92</v>
      </c>
      <c r="V315" s="171" t="str" cm="1">
        <f t="array" ref="V315">_xlfn.IFS(C315="","",COUNTIF(C315,"ตำแหน่งว่าง*"),"ว่าง",COUNTIF(C315,"&lt;&gt;ตำแหน่งว่าง*"),"คนครอง")</f>
        <v>ว่าง</v>
      </c>
      <c r="W315" s="49" cm="1">
        <f t="array" ref="W315">_xlfn.IFS(COUNTIF(F315,"ผบ.หมู่*"),51,COUNTIF(F315,"รอง สว.*"),43)</f>
        <v>51</v>
      </c>
      <c r="X315" s="6" t="s">
        <v>2039</v>
      </c>
      <c r="Y315" s="6" t="s">
        <v>27</v>
      </c>
    </row>
    <row r="316" spans="1:25" s="10" customFormat="1" ht="21.3" customHeight="1">
      <c r="A316" s="27"/>
      <c r="B316" s="28"/>
      <c r="C316" s="30" t="s">
        <v>18</v>
      </c>
      <c r="D316" s="27"/>
      <c r="E316" s="27"/>
      <c r="F316" s="68" t="s">
        <v>2038</v>
      </c>
      <c r="G316" s="121" t="s">
        <v>2042</v>
      </c>
      <c r="H316" s="91" t="s">
        <v>19</v>
      </c>
      <c r="I316" s="73" t="s">
        <v>19</v>
      </c>
      <c r="J316" s="73" t="s">
        <v>19</v>
      </c>
      <c r="K316" s="73" t="s">
        <v>19</v>
      </c>
      <c r="L316" s="2"/>
      <c r="M316" s="1"/>
      <c r="N316" s="113" t="s">
        <v>14</v>
      </c>
      <c r="O316" s="122" t="s">
        <v>27</v>
      </c>
      <c r="P316" s="122"/>
      <c r="Q316" s="105"/>
      <c r="R316" s="28"/>
      <c r="S316" s="225" t="str">
        <f t="shared" si="4"/>
        <v/>
      </c>
      <c r="T316" s="7" t="s">
        <v>7693</v>
      </c>
      <c r="U316" s="7" t="s">
        <v>92</v>
      </c>
      <c r="V316" s="171" t="str" cm="1">
        <f t="array" ref="V316">_xlfn.IFS(C316="","",COUNTIF(C316,"ตำแหน่งว่าง*"),"ว่าง",COUNTIF(C316,"&lt;&gt;ตำแหน่งว่าง*"),"คนครอง")</f>
        <v>ว่าง</v>
      </c>
      <c r="W316" s="49" cm="1">
        <f t="array" ref="W316">_xlfn.IFS(COUNTIF(F316,"ผบ.หมู่*"),51,COUNTIF(F316,"รอง สว.*"),43)</f>
        <v>51</v>
      </c>
      <c r="X316" s="6" t="s">
        <v>2041</v>
      </c>
      <c r="Y316" s="6" t="s">
        <v>27</v>
      </c>
    </row>
    <row r="317" spans="1:25" s="9" customFormat="1" ht="21.3" customHeight="1">
      <c r="A317" s="27" t="s">
        <v>182</v>
      </c>
      <c r="B317" s="28" t="s">
        <v>12</v>
      </c>
      <c r="C317" s="27" t="s">
        <v>2043</v>
      </c>
      <c r="D317" s="27" t="s">
        <v>8526</v>
      </c>
      <c r="E317" s="27" t="s">
        <v>8527</v>
      </c>
      <c r="F317" s="27" t="s">
        <v>2038</v>
      </c>
      <c r="G317" s="101" t="s">
        <v>2045</v>
      </c>
      <c r="H317" s="75">
        <v>44636</v>
      </c>
      <c r="I317" s="73">
        <v>44636</v>
      </c>
      <c r="J317" s="73">
        <v>44636</v>
      </c>
      <c r="K317" s="73">
        <v>32304</v>
      </c>
      <c r="L317" s="2" t="s">
        <v>82</v>
      </c>
      <c r="M317" s="1" t="s">
        <v>123</v>
      </c>
      <c r="N317" s="112" t="s">
        <v>14</v>
      </c>
      <c r="O317" s="104" t="s">
        <v>52</v>
      </c>
      <c r="P317" s="104" t="s">
        <v>52</v>
      </c>
      <c r="Q317" s="105"/>
      <c r="R317" s="28" t="s">
        <v>611</v>
      </c>
      <c r="S317" s="225">
        <f t="shared" si="4"/>
        <v>54332</v>
      </c>
      <c r="T317" s="2" t="s">
        <v>7693</v>
      </c>
      <c r="U317" s="7" t="s">
        <v>92</v>
      </c>
      <c r="V317" s="162" t="str" cm="1">
        <f t="array" ref="V317">_xlfn.IFS(C317="","",COUNTIF(C317,"ตำแหน่งว่าง*"),"ว่าง",COUNTIF(C317,"&lt;&gt;ตำแหน่งว่าง*"),"คนครอง")</f>
        <v>คนครอง</v>
      </c>
      <c r="W317" s="49" cm="1">
        <f t="array" ref="W317">_xlfn.IFS(COUNTIF(F317,"ผบ.หมู่*"),51,COUNTIF(F317,"รอง สว.*"),43)</f>
        <v>51</v>
      </c>
      <c r="X317" s="1" t="s">
        <v>2044</v>
      </c>
      <c r="Y317" s="1" t="s">
        <v>52</v>
      </c>
    </row>
    <row r="318" spans="1:25" s="12" customFormat="1" ht="21.3" customHeight="1">
      <c r="A318" s="27" t="s">
        <v>612</v>
      </c>
      <c r="B318" s="28" t="s">
        <v>12</v>
      </c>
      <c r="C318" s="95" t="s">
        <v>2046</v>
      </c>
      <c r="D318" s="27" t="s">
        <v>8528</v>
      </c>
      <c r="E318" s="27" t="s">
        <v>8529</v>
      </c>
      <c r="F318" s="95" t="s">
        <v>2038</v>
      </c>
      <c r="G318" s="101" t="s">
        <v>2048</v>
      </c>
      <c r="H318" s="91">
        <v>42416</v>
      </c>
      <c r="I318" s="73">
        <v>42416</v>
      </c>
      <c r="J318" s="73">
        <v>42416</v>
      </c>
      <c r="K318" s="73">
        <v>30886</v>
      </c>
      <c r="L318" s="2" t="s">
        <v>2049</v>
      </c>
      <c r="M318" s="1" t="s">
        <v>61</v>
      </c>
      <c r="N318" s="111" t="s">
        <v>14</v>
      </c>
      <c r="O318" s="104" t="s">
        <v>52</v>
      </c>
      <c r="P318" s="104" t="s">
        <v>52</v>
      </c>
      <c r="Q318" s="105"/>
      <c r="R318" s="28" t="s">
        <v>1766</v>
      </c>
      <c r="S318" s="225">
        <f t="shared" si="4"/>
        <v>52871</v>
      </c>
      <c r="T318" s="162" t="s">
        <v>7693</v>
      </c>
      <c r="U318" s="7" t="s">
        <v>92</v>
      </c>
      <c r="V318" s="162" t="str" cm="1">
        <f t="array" ref="V318">_xlfn.IFS(C318="","",COUNTIF(C318,"ตำแหน่งว่าง*"),"ว่าง",COUNTIF(C318,"&lt;&gt;ตำแหน่งว่าง*"),"คนครอง")</f>
        <v>คนครอง</v>
      </c>
      <c r="W318" s="49" cm="1">
        <f t="array" ref="W318">_xlfn.IFS(COUNTIF(F318,"ผบ.หมู่*"),51,COUNTIF(F318,"รอง สว.*"),43)</f>
        <v>51</v>
      </c>
      <c r="X318" s="5" t="s">
        <v>2047</v>
      </c>
      <c r="Y318" s="5" t="s">
        <v>52</v>
      </c>
    </row>
    <row r="319" spans="1:25" s="9" customFormat="1" ht="21.3" customHeight="1">
      <c r="A319" s="27" t="s">
        <v>182</v>
      </c>
      <c r="B319" s="28" t="s">
        <v>12</v>
      </c>
      <c r="C319" s="27" t="s">
        <v>2050</v>
      </c>
      <c r="D319" s="27" t="s">
        <v>8530</v>
      </c>
      <c r="E319" s="27" t="s">
        <v>8531</v>
      </c>
      <c r="F319" s="27" t="s">
        <v>2038</v>
      </c>
      <c r="G319" s="101" t="s">
        <v>2052</v>
      </c>
      <c r="H319" s="75">
        <v>44636</v>
      </c>
      <c r="I319" s="73">
        <v>44636</v>
      </c>
      <c r="J319" s="73">
        <v>44636</v>
      </c>
      <c r="K319" s="73">
        <v>37157</v>
      </c>
      <c r="L319" s="2" t="s">
        <v>82</v>
      </c>
      <c r="M319" s="1" t="s">
        <v>89</v>
      </c>
      <c r="N319" s="112" t="s">
        <v>14</v>
      </c>
      <c r="O319" s="104" t="s">
        <v>52</v>
      </c>
      <c r="P319" s="104" t="s">
        <v>52</v>
      </c>
      <c r="Q319" s="105"/>
      <c r="R319" s="28" t="s">
        <v>611</v>
      </c>
      <c r="S319" s="225">
        <f t="shared" si="4"/>
        <v>59080</v>
      </c>
      <c r="T319" s="2" t="s">
        <v>7693</v>
      </c>
      <c r="U319" s="7" t="s">
        <v>92</v>
      </c>
      <c r="V319" s="162" t="str" cm="1">
        <f t="array" ref="V319">_xlfn.IFS(C319="","",COUNTIF(C319,"ตำแหน่งว่าง*"),"ว่าง",COUNTIF(C319,"&lt;&gt;ตำแหน่งว่าง*"),"คนครอง")</f>
        <v>คนครอง</v>
      </c>
      <c r="W319" s="49" cm="1">
        <f t="array" ref="W319">_xlfn.IFS(COUNTIF(F319,"ผบ.หมู่*"),51,COUNTIF(F319,"รอง สว.*"),43)</f>
        <v>51</v>
      </c>
      <c r="X319" s="1" t="s">
        <v>2051</v>
      </c>
      <c r="Y319" s="1" t="s">
        <v>52</v>
      </c>
    </row>
    <row r="320" spans="1:25" s="9" customFormat="1" ht="21.3" customHeight="1">
      <c r="A320" s="27" t="s">
        <v>182</v>
      </c>
      <c r="B320" s="28" t="s">
        <v>12</v>
      </c>
      <c r="C320" s="27" t="s">
        <v>2053</v>
      </c>
      <c r="D320" s="27" t="s">
        <v>8532</v>
      </c>
      <c r="E320" s="27" t="s">
        <v>8533</v>
      </c>
      <c r="F320" s="27" t="s">
        <v>2038</v>
      </c>
      <c r="G320" s="101" t="s">
        <v>2055</v>
      </c>
      <c r="H320" s="75">
        <v>44636</v>
      </c>
      <c r="I320" s="73">
        <v>44636</v>
      </c>
      <c r="J320" s="73">
        <v>44636</v>
      </c>
      <c r="K320" s="73">
        <v>34510</v>
      </c>
      <c r="L320" s="2" t="s">
        <v>82</v>
      </c>
      <c r="M320" s="1" t="s">
        <v>38</v>
      </c>
      <c r="N320" s="112" t="s">
        <v>14</v>
      </c>
      <c r="O320" s="104" t="s">
        <v>52</v>
      </c>
      <c r="P320" s="104" t="s">
        <v>52</v>
      </c>
      <c r="Q320" s="105"/>
      <c r="R320" s="28" t="s">
        <v>611</v>
      </c>
      <c r="S320" s="225">
        <f t="shared" si="4"/>
        <v>56523</v>
      </c>
      <c r="T320" s="2" t="s">
        <v>7693</v>
      </c>
      <c r="U320" s="7" t="s">
        <v>92</v>
      </c>
      <c r="V320" s="162" t="str" cm="1">
        <f t="array" ref="V320">_xlfn.IFS(C320="","",COUNTIF(C320,"ตำแหน่งว่าง*"),"ว่าง",COUNTIF(C320,"&lt;&gt;ตำแหน่งว่าง*"),"คนครอง")</f>
        <v>คนครอง</v>
      </c>
      <c r="W320" s="49" cm="1">
        <f t="array" ref="W320">_xlfn.IFS(COUNTIF(F320,"ผบ.หมู่*"),51,COUNTIF(F320,"รอง สว.*"),43)</f>
        <v>51</v>
      </c>
      <c r="X320" s="1" t="s">
        <v>2054</v>
      </c>
      <c r="Y320" s="1" t="s">
        <v>52</v>
      </c>
    </row>
    <row r="321" spans="1:25" s="9" customFormat="1" ht="21.3" customHeight="1">
      <c r="A321" s="192" t="s">
        <v>169</v>
      </c>
      <c r="B321" s="193" t="s">
        <v>21</v>
      </c>
      <c r="C321" s="192" t="s">
        <v>7878</v>
      </c>
      <c r="D321" s="27" t="s">
        <v>8112</v>
      </c>
      <c r="E321" s="27" t="s">
        <v>8534</v>
      </c>
      <c r="F321" s="192" t="s">
        <v>2038</v>
      </c>
      <c r="G321" s="101" t="s">
        <v>2057</v>
      </c>
      <c r="H321" s="73">
        <v>45463</v>
      </c>
      <c r="I321" s="73">
        <v>45463</v>
      </c>
      <c r="J321" s="73">
        <v>45463</v>
      </c>
      <c r="K321" s="73">
        <v>36568</v>
      </c>
      <c r="L321" s="2" t="s">
        <v>82</v>
      </c>
      <c r="M321" s="1"/>
      <c r="N321" s="112" t="s">
        <v>14</v>
      </c>
      <c r="O321" s="104" t="s">
        <v>52</v>
      </c>
      <c r="P321" s="104" t="s">
        <v>52</v>
      </c>
      <c r="Q321" s="105"/>
      <c r="R321" s="28" t="s">
        <v>7961</v>
      </c>
      <c r="S321" s="174">
        <f t="shared" si="4"/>
        <v>58715</v>
      </c>
      <c r="T321" s="2" t="s">
        <v>7693</v>
      </c>
      <c r="U321" s="2" t="s">
        <v>92</v>
      </c>
      <c r="V321" s="162" t="str" cm="1">
        <f t="array" ref="V321">_xlfn.IFS(C321="","",COUNTIF(C321,"ตำแหน่งว่าง*"),"ว่าง",COUNTIF(C321,"&lt;&gt;ตำแหน่งว่าง*"),"คนครอง")</f>
        <v>คนครอง</v>
      </c>
      <c r="W321" s="49" cm="1">
        <f t="array" ref="W321">_xlfn.IFS(COUNTIF(F321,"ผบ.หมู่*"),51,COUNTIF(F321,"รอง สว.*"),43)</f>
        <v>51</v>
      </c>
      <c r="X321" s="1" t="s">
        <v>2056</v>
      </c>
      <c r="Y321" s="1" t="s">
        <v>52</v>
      </c>
    </row>
    <row r="322" spans="1:25" s="9" customFormat="1" ht="21.3" customHeight="1">
      <c r="A322" s="27"/>
      <c r="B322" s="28"/>
      <c r="C322" s="30" t="s">
        <v>18</v>
      </c>
      <c r="D322" s="27"/>
      <c r="E322" s="27"/>
      <c r="F322" s="68" t="s">
        <v>2038</v>
      </c>
      <c r="G322" s="121" t="s">
        <v>2060</v>
      </c>
      <c r="H322" s="93"/>
      <c r="I322" s="74"/>
      <c r="J322" s="90"/>
      <c r="K322" s="74"/>
      <c r="L322" s="68"/>
      <c r="M322" s="6"/>
      <c r="N322" s="113" t="s">
        <v>14</v>
      </c>
      <c r="O322" s="122" t="s">
        <v>52</v>
      </c>
      <c r="P322" s="122" t="s">
        <v>52</v>
      </c>
      <c r="Q322" s="106"/>
      <c r="R322" s="30"/>
      <c r="S322" s="225" t="str">
        <f t="shared" ref="S322:S385" si="5">IF(K322&lt;&gt;"",DATE(YEAR(K322)+60+(K322&gt;=DATE(YEAR(K322),10,2)),10,1),"")</f>
        <v/>
      </c>
      <c r="T322" s="2" t="s">
        <v>7693</v>
      </c>
      <c r="U322" s="7" t="s">
        <v>92</v>
      </c>
      <c r="V322" s="171" t="str" cm="1">
        <f t="array" ref="V322">_xlfn.IFS(C322="","",COUNTIF(C322,"ตำแหน่งว่าง*"),"ว่าง",COUNTIF(C322,"&lt;&gt;ตำแหน่งว่าง*"),"คนครอง")</f>
        <v>ว่าง</v>
      </c>
      <c r="W322" s="49" cm="1">
        <f t="array" ref="W322">_xlfn.IFS(COUNTIF(F322,"ผบ.หมู่*"),51,COUNTIF(F322,"รอง สว.*"),43)</f>
        <v>51</v>
      </c>
      <c r="X322" s="6" t="s">
        <v>2059</v>
      </c>
      <c r="Y322" s="6" t="s">
        <v>52</v>
      </c>
    </row>
    <row r="323" spans="1:25" s="9" customFormat="1" ht="21.3" customHeight="1">
      <c r="A323" s="27"/>
      <c r="B323" s="28"/>
      <c r="C323" s="30" t="s">
        <v>18</v>
      </c>
      <c r="D323" s="27"/>
      <c r="E323" s="27"/>
      <c r="F323" s="27" t="s">
        <v>2038</v>
      </c>
      <c r="G323" s="101" t="s">
        <v>2063</v>
      </c>
      <c r="H323" s="75"/>
      <c r="I323" s="73"/>
      <c r="J323" s="73"/>
      <c r="K323" s="73"/>
      <c r="L323" s="2"/>
      <c r="M323" s="1"/>
      <c r="N323" s="112" t="s">
        <v>14</v>
      </c>
      <c r="O323" s="104" t="s">
        <v>52</v>
      </c>
      <c r="P323" s="104" t="s">
        <v>52</v>
      </c>
      <c r="Q323" s="105"/>
      <c r="R323" s="28"/>
      <c r="S323" s="225" t="str">
        <f t="shared" si="5"/>
        <v/>
      </c>
      <c r="T323" s="2" t="s">
        <v>7693</v>
      </c>
      <c r="U323" s="7" t="s">
        <v>92</v>
      </c>
      <c r="V323" s="162" t="str" cm="1">
        <f t="array" ref="V323">_xlfn.IFS(C323="","",COUNTIF(C323,"ตำแหน่งว่าง*"),"ว่าง",COUNTIF(C323,"&lt;&gt;ตำแหน่งว่าง*"),"คนครอง")</f>
        <v>ว่าง</v>
      </c>
      <c r="W323" s="49" cm="1">
        <f t="array" ref="W323">_xlfn.IFS(COUNTIF(F323,"ผบ.หมู่*"),51,COUNTIF(F323,"รอง สว.*"),43)</f>
        <v>51</v>
      </c>
      <c r="X323" s="1" t="s">
        <v>2062</v>
      </c>
      <c r="Y323" s="1" t="s">
        <v>52</v>
      </c>
    </row>
    <row r="324" spans="1:25" s="9" customFormat="1" ht="21.3" customHeight="1">
      <c r="A324" s="27"/>
      <c r="B324" s="28"/>
      <c r="C324" s="30" t="s">
        <v>18</v>
      </c>
      <c r="D324" s="27"/>
      <c r="E324" s="27"/>
      <c r="F324" s="27" t="s">
        <v>2038</v>
      </c>
      <c r="G324" s="101" t="s">
        <v>2065</v>
      </c>
      <c r="H324" s="75"/>
      <c r="I324" s="73"/>
      <c r="J324" s="73"/>
      <c r="K324" s="73"/>
      <c r="L324" s="2"/>
      <c r="M324" s="1"/>
      <c r="N324" s="112" t="s">
        <v>14</v>
      </c>
      <c r="O324" s="104" t="s">
        <v>52</v>
      </c>
      <c r="P324" s="104" t="s">
        <v>52</v>
      </c>
      <c r="Q324" s="105"/>
      <c r="R324" s="28"/>
      <c r="S324" s="225" t="str">
        <f t="shared" si="5"/>
        <v/>
      </c>
      <c r="T324" s="2" t="s">
        <v>7693</v>
      </c>
      <c r="U324" s="7" t="s">
        <v>92</v>
      </c>
      <c r="V324" s="162" t="str" cm="1">
        <f t="array" ref="V324">_xlfn.IFS(C324="","",COUNTIF(C324,"ตำแหน่งว่าง*"),"ว่าง",COUNTIF(C324,"&lt;&gt;ตำแหน่งว่าง*"),"คนครอง")</f>
        <v>ว่าง</v>
      </c>
      <c r="W324" s="49" cm="1">
        <f t="array" ref="W324">_xlfn.IFS(COUNTIF(F324,"ผบ.หมู่*"),51,COUNTIF(F324,"รอง สว.*"),43)</f>
        <v>51</v>
      </c>
      <c r="X324" s="1" t="s">
        <v>2064</v>
      </c>
      <c r="Y324" s="1" t="s">
        <v>52</v>
      </c>
    </row>
    <row r="325" spans="1:25" s="10" customFormat="1" ht="21.3" customHeight="1">
      <c r="A325" s="65" t="s">
        <v>169</v>
      </c>
      <c r="B325" s="66" t="s">
        <v>12</v>
      </c>
      <c r="C325" s="65" t="s">
        <v>2066</v>
      </c>
      <c r="D325" s="27" t="s">
        <v>8535</v>
      </c>
      <c r="E325" s="27" t="s">
        <v>8536</v>
      </c>
      <c r="F325" s="65" t="s">
        <v>2038</v>
      </c>
      <c r="G325" s="101" t="s">
        <v>2068</v>
      </c>
      <c r="H325" s="81">
        <v>44986</v>
      </c>
      <c r="I325" s="77">
        <v>44986</v>
      </c>
      <c r="J325" s="77">
        <v>44986</v>
      </c>
      <c r="K325" s="77">
        <v>33588</v>
      </c>
      <c r="L325" s="60" t="s">
        <v>82</v>
      </c>
      <c r="M325" s="61"/>
      <c r="N325" s="114" t="s">
        <v>14</v>
      </c>
      <c r="O325" s="104" t="s">
        <v>52</v>
      </c>
      <c r="P325" s="104" t="s">
        <v>52</v>
      </c>
      <c r="Q325" s="107"/>
      <c r="R325" s="66" t="s">
        <v>861</v>
      </c>
      <c r="S325" s="225">
        <f t="shared" si="5"/>
        <v>55793</v>
      </c>
      <c r="T325" s="7" t="s">
        <v>7693</v>
      </c>
      <c r="U325" s="7" t="s">
        <v>92</v>
      </c>
      <c r="V325" s="162" t="str" cm="1">
        <f t="array" ref="V325">_xlfn.IFS(C325="","",COUNTIF(C325,"ตำแหน่งว่าง*"),"ว่าง",COUNTIF(C325,"&lt;&gt;ตำแหน่งว่าง*"),"คนครอง")</f>
        <v>คนครอง</v>
      </c>
      <c r="W325" s="49" cm="1">
        <f t="array" ref="W325">_xlfn.IFS(COUNTIF(F325,"ผบ.หมู่*"),51,COUNTIF(F325,"รอง สว.*"),43)</f>
        <v>51</v>
      </c>
      <c r="X325" s="61" t="s">
        <v>2067</v>
      </c>
      <c r="Y325" s="61" t="s">
        <v>52</v>
      </c>
    </row>
    <row r="326" spans="1:25" s="10" customFormat="1" ht="21.3" customHeight="1">
      <c r="A326" s="65" t="s">
        <v>169</v>
      </c>
      <c r="B326" s="66" t="s">
        <v>12</v>
      </c>
      <c r="C326" s="65" t="s">
        <v>2069</v>
      </c>
      <c r="D326" s="27" t="s">
        <v>8537</v>
      </c>
      <c r="E326" s="27" t="s">
        <v>8538</v>
      </c>
      <c r="F326" s="65" t="s">
        <v>2038</v>
      </c>
      <c r="G326" s="101" t="s">
        <v>2071</v>
      </c>
      <c r="H326" s="81">
        <v>44986</v>
      </c>
      <c r="I326" s="77">
        <v>44986</v>
      </c>
      <c r="J326" s="77">
        <v>44986</v>
      </c>
      <c r="K326" s="77">
        <v>34841</v>
      </c>
      <c r="L326" s="60" t="s">
        <v>82</v>
      </c>
      <c r="M326" s="61"/>
      <c r="N326" s="114" t="s">
        <v>14</v>
      </c>
      <c r="O326" s="104" t="s">
        <v>52</v>
      </c>
      <c r="P326" s="104" t="s">
        <v>52</v>
      </c>
      <c r="Q326" s="107"/>
      <c r="R326" s="66" t="s">
        <v>861</v>
      </c>
      <c r="S326" s="225">
        <f t="shared" si="5"/>
        <v>56888</v>
      </c>
      <c r="T326" s="7" t="s">
        <v>7693</v>
      </c>
      <c r="U326" s="7" t="s">
        <v>92</v>
      </c>
      <c r="V326" s="162" t="str" cm="1">
        <f t="array" ref="V326">_xlfn.IFS(C326="","",COUNTIF(C326,"ตำแหน่งว่าง*"),"ว่าง",COUNTIF(C326,"&lt;&gt;ตำแหน่งว่าง*"),"คนครอง")</f>
        <v>คนครอง</v>
      </c>
      <c r="W326" s="49" cm="1">
        <f t="array" ref="W326">_xlfn.IFS(COUNTIF(F326,"ผบ.หมู่*"),51,COUNTIF(F326,"รอง สว.*"),43)</f>
        <v>51</v>
      </c>
      <c r="X326" s="61" t="s">
        <v>2070</v>
      </c>
      <c r="Y326" s="61" t="s">
        <v>52</v>
      </c>
    </row>
    <row r="327" spans="1:25" s="10" customFormat="1" ht="21.3" customHeight="1">
      <c r="A327" s="27"/>
      <c r="B327" s="28"/>
      <c r="C327" s="30" t="s">
        <v>18</v>
      </c>
      <c r="D327" s="27"/>
      <c r="E327" s="27"/>
      <c r="F327" s="68" t="s">
        <v>2038</v>
      </c>
      <c r="G327" s="121" t="s">
        <v>2073</v>
      </c>
      <c r="H327" s="91" t="s">
        <v>19</v>
      </c>
      <c r="I327" s="73" t="s">
        <v>19</v>
      </c>
      <c r="J327" s="73" t="s">
        <v>19</v>
      </c>
      <c r="K327" s="73" t="s">
        <v>19</v>
      </c>
      <c r="L327" s="2"/>
      <c r="M327" s="1"/>
      <c r="N327" s="113" t="s">
        <v>14</v>
      </c>
      <c r="O327" s="122" t="s">
        <v>52</v>
      </c>
      <c r="P327" s="122" t="s">
        <v>52</v>
      </c>
      <c r="Q327" s="105"/>
      <c r="R327" s="28"/>
      <c r="S327" s="225" t="str">
        <f t="shared" si="5"/>
        <v/>
      </c>
      <c r="T327" s="7" t="s">
        <v>7693</v>
      </c>
      <c r="U327" s="7" t="s">
        <v>92</v>
      </c>
      <c r="V327" s="171" t="str" cm="1">
        <f t="array" ref="V327">_xlfn.IFS(C327="","",COUNTIF(C327,"ตำแหน่งว่าง*"),"ว่าง",COUNTIF(C327,"&lt;&gt;ตำแหน่งว่าง*"),"คนครอง")</f>
        <v>ว่าง</v>
      </c>
      <c r="W327" s="49" cm="1">
        <f t="array" ref="W327">_xlfn.IFS(COUNTIF(F327,"ผบ.หมู่*"),51,COUNTIF(F327,"รอง สว.*"),43)</f>
        <v>51</v>
      </c>
      <c r="X327" s="6" t="s">
        <v>2072</v>
      </c>
      <c r="Y327" s="6" t="s">
        <v>52</v>
      </c>
    </row>
    <row r="328" spans="1:25" s="10" customFormat="1" ht="21.3" customHeight="1">
      <c r="A328" s="27"/>
      <c r="B328" s="28"/>
      <c r="C328" s="30" t="s">
        <v>18</v>
      </c>
      <c r="D328" s="27"/>
      <c r="E328" s="27"/>
      <c r="F328" s="68" t="s">
        <v>2038</v>
      </c>
      <c r="G328" s="121" t="s">
        <v>2075</v>
      </c>
      <c r="H328" s="91" t="s">
        <v>19</v>
      </c>
      <c r="I328" s="73" t="s">
        <v>19</v>
      </c>
      <c r="J328" s="73" t="s">
        <v>19</v>
      </c>
      <c r="K328" s="73" t="s">
        <v>19</v>
      </c>
      <c r="L328" s="2"/>
      <c r="M328" s="1"/>
      <c r="N328" s="113" t="s">
        <v>14</v>
      </c>
      <c r="O328" s="122" t="s">
        <v>52</v>
      </c>
      <c r="P328" s="122" t="s">
        <v>52</v>
      </c>
      <c r="Q328" s="105"/>
      <c r="R328" s="28"/>
      <c r="S328" s="225" t="str">
        <f t="shared" si="5"/>
        <v/>
      </c>
      <c r="T328" s="7" t="s">
        <v>7693</v>
      </c>
      <c r="U328" s="7" t="s">
        <v>92</v>
      </c>
      <c r="V328" s="171" t="str" cm="1">
        <f t="array" ref="V328">_xlfn.IFS(C328="","",COUNTIF(C328,"ตำแหน่งว่าง*"),"ว่าง",COUNTIF(C328,"&lt;&gt;ตำแหน่งว่าง*"),"คนครอง")</f>
        <v>ว่าง</v>
      </c>
      <c r="W328" s="49" cm="1">
        <f t="array" ref="W328">_xlfn.IFS(COUNTIF(F328,"ผบ.หมู่*"),51,COUNTIF(F328,"รอง สว.*"),43)</f>
        <v>51</v>
      </c>
      <c r="X328" s="6" t="s">
        <v>2074</v>
      </c>
      <c r="Y328" s="6" t="s">
        <v>52</v>
      </c>
    </row>
    <row r="329" spans="1:25" s="10" customFormat="1" ht="21.3" customHeight="1">
      <c r="A329" s="27"/>
      <c r="B329" s="28"/>
      <c r="C329" s="30" t="s">
        <v>18</v>
      </c>
      <c r="D329" s="27"/>
      <c r="E329" s="27"/>
      <c r="F329" s="68" t="s">
        <v>2038</v>
      </c>
      <c r="G329" s="121" t="s">
        <v>2077</v>
      </c>
      <c r="H329" s="91" t="s">
        <v>19</v>
      </c>
      <c r="I329" s="73" t="s">
        <v>19</v>
      </c>
      <c r="J329" s="73" t="s">
        <v>19</v>
      </c>
      <c r="K329" s="73" t="s">
        <v>19</v>
      </c>
      <c r="L329" s="2"/>
      <c r="M329" s="1"/>
      <c r="N329" s="113" t="s">
        <v>14</v>
      </c>
      <c r="O329" s="122" t="s">
        <v>52</v>
      </c>
      <c r="P329" s="122" t="s">
        <v>52</v>
      </c>
      <c r="Q329" s="105"/>
      <c r="R329" s="28"/>
      <c r="S329" s="225" t="str">
        <f t="shared" si="5"/>
        <v/>
      </c>
      <c r="T329" s="7" t="s">
        <v>7693</v>
      </c>
      <c r="U329" s="7" t="s">
        <v>92</v>
      </c>
      <c r="V329" s="171" t="str" cm="1">
        <f t="array" ref="V329">_xlfn.IFS(C329="","",COUNTIF(C329,"ตำแหน่งว่าง*"),"ว่าง",COUNTIF(C329,"&lt;&gt;ตำแหน่งว่าง*"),"คนครอง")</f>
        <v>ว่าง</v>
      </c>
      <c r="W329" s="49" cm="1">
        <f t="array" ref="W329">_xlfn.IFS(COUNTIF(F329,"ผบ.หมู่*"),51,COUNTIF(F329,"รอง สว.*"),43)</f>
        <v>51</v>
      </c>
      <c r="X329" s="6" t="s">
        <v>2076</v>
      </c>
      <c r="Y329" s="6" t="s">
        <v>52</v>
      </c>
    </row>
    <row r="330" spans="1:25" s="10" customFormat="1" ht="21.3" customHeight="1">
      <c r="A330" s="27"/>
      <c r="B330" s="28"/>
      <c r="C330" s="30" t="s">
        <v>18</v>
      </c>
      <c r="D330" s="27"/>
      <c r="E330" s="27"/>
      <c r="F330" s="68" t="s">
        <v>2038</v>
      </c>
      <c r="G330" s="121" t="s">
        <v>2079</v>
      </c>
      <c r="H330" s="91" t="s">
        <v>19</v>
      </c>
      <c r="I330" s="73" t="s">
        <v>19</v>
      </c>
      <c r="J330" s="73" t="s">
        <v>19</v>
      </c>
      <c r="K330" s="73" t="s">
        <v>19</v>
      </c>
      <c r="L330" s="2"/>
      <c r="M330" s="1"/>
      <c r="N330" s="113" t="s">
        <v>14</v>
      </c>
      <c r="O330" s="122" t="s">
        <v>52</v>
      </c>
      <c r="P330" s="122" t="s">
        <v>52</v>
      </c>
      <c r="Q330" s="105"/>
      <c r="R330" s="28"/>
      <c r="S330" s="225" t="str">
        <f t="shared" si="5"/>
        <v/>
      </c>
      <c r="T330" s="7" t="s">
        <v>7693</v>
      </c>
      <c r="U330" s="7" t="s">
        <v>92</v>
      </c>
      <c r="V330" s="171" t="str" cm="1">
        <f t="array" ref="V330">_xlfn.IFS(C330="","",COUNTIF(C330,"ตำแหน่งว่าง*"),"ว่าง",COUNTIF(C330,"&lt;&gt;ตำแหน่งว่าง*"),"คนครอง")</f>
        <v>ว่าง</v>
      </c>
      <c r="W330" s="49" cm="1">
        <f t="array" ref="W330">_xlfn.IFS(COUNTIF(F330,"ผบ.หมู่*"),51,COUNTIF(F330,"รอง สว.*"),43)</f>
        <v>51</v>
      </c>
      <c r="X330" s="6" t="s">
        <v>2078</v>
      </c>
      <c r="Y330" s="6" t="s">
        <v>52</v>
      </c>
    </row>
    <row r="331" spans="1:25" s="10" customFormat="1" ht="21.3" customHeight="1">
      <c r="A331" s="27"/>
      <c r="B331" s="28"/>
      <c r="C331" s="30" t="s">
        <v>18</v>
      </c>
      <c r="D331" s="27"/>
      <c r="E331" s="27"/>
      <c r="F331" s="68" t="s">
        <v>2038</v>
      </c>
      <c r="G331" s="121" t="s">
        <v>2081</v>
      </c>
      <c r="H331" s="91" t="s">
        <v>19</v>
      </c>
      <c r="I331" s="73" t="s">
        <v>19</v>
      </c>
      <c r="J331" s="73" t="s">
        <v>19</v>
      </c>
      <c r="K331" s="73" t="s">
        <v>19</v>
      </c>
      <c r="L331" s="2"/>
      <c r="M331" s="1"/>
      <c r="N331" s="113" t="s">
        <v>14</v>
      </c>
      <c r="O331" s="122" t="s">
        <v>52</v>
      </c>
      <c r="P331" s="122" t="s">
        <v>52</v>
      </c>
      <c r="Q331" s="105"/>
      <c r="R331" s="28"/>
      <c r="S331" s="225" t="str">
        <f t="shared" si="5"/>
        <v/>
      </c>
      <c r="T331" s="7" t="s">
        <v>7693</v>
      </c>
      <c r="U331" s="7" t="s">
        <v>92</v>
      </c>
      <c r="V331" s="171" t="str" cm="1">
        <f t="array" ref="V331">_xlfn.IFS(C331="","",COUNTIF(C331,"ตำแหน่งว่าง*"),"ว่าง",COUNTIF(C331,"&lt;&gt;ตำแหน่งว่าง*"),"คนครอง")</f>
        <v>ว่าง</v>
      </c>
      <c r="W331" s="49" cm="1">
        <f t="array" ref="W331">_xlfn.IFS(COUNTIF(F331,"ผบ.หมู่*"),51,COUNTIF(F331,"รอง สว.*"),43)</f>
        <v>51</v>
      </c>
      <c r="X331" s="6" t="s">
        <v>2080</v>
      </c>
      <c r="Y331" s="6" t="s">
        <v>52</v>
      </c>
    </row>
    <row r="332" spans="1:25" s="10" customFormat="1" ht="21.3" customHeight="1">
      <c r="A332" s="27"/>
      <c r="B332" s="28"/>
      <c r="C332" s="30" t="s">
        <v>18</v>
      </c>
      <c r="D332" s="27"/>
      <c r="E332" s="27"/>
      <c r="F332" s="68" t="s">
        <v>2038</v>
      </c>
      <c r="G332" s="121" t="s">
        <v>2083</v>
      </c>
      <c r="H332" s="91" t="s">
        <v>19</v>
      </c>
      <c r="I332" s="73" t="s">
        <v>19</v>
      </c>
      <c r="J332" s="73" t="s">
        <v>19</v>
      </c>
      <c r="K332" s="73" t="s">
        <v>19</v>
      </c>
      <c r="L332" s="2"/>
      <c r="M332" s="1"/>
      <c r="N332" s="113" t="s">
        <v>14</v>
      </c>
      <c r="O332" s="122" t="s">
        <v>52</v>
      </c>
      <c r="P332" s="122" t="s">
        <v>52</v>
      </c>
      <c r="Q332" s="105"/>
      <c r="R332" s="28"/>
      <c r="S332" s="225" t="str">
        <f t="shared" si="5"/>
        <v/>
      </c>
      <c r="T332" s="7" t="s">
        <v>7693</v>
      </c>
      <c r="U332" s="7" t="s">
        <v>92</v>
      </c>
      <c r="V332" s="171" t="str" cm="1">
        <f t="array" ref="V332">_xlfn.IFS(C332="","",COUNTIF(C332,"ตำแหน่งว่าง*"),"ว่าง",COUNTIF(C332,"&lt;&gt;ตำแหน่งว่าง*"),"คนครอง")</f>
        <v>ว่าง</v>
      </c>
      <c r="W332" s="49" cm="1">
        <f t="array" ref="W332">_xlfn.IFS(COUNTIF(F332,"ผบ.หมู่*"),51,COUNTIF(F332,"รอง สว.*"),43)</f>
        <v>51</v>
      </c>
      <c r="X332" s="6" t="s">
        <v>2082</v>
      </c>
      <c r="Y332" s="6" t="s">
        <v>52</v>
      </c>
    </row>
    <row r="333" spans="1:25" s="10" customFormat="1" ht="21.3" customHeight="1">
      <c r="A333" s="27"/>
      <c r="B333" s="28"/>
      <c r="C333" s="30" t="s">
        <v>18</v>
      </c>
      <c r="D333" s="27"/>
      <c r="E333" s="27"/>
      <c r="F333" s="68" t="s">
        <v>2084</v>
      </c>
      <c r="G333" s="121" t="s">
        <v>2086</v>
      </c>
      <c r="H333" s="91" t="s">
        <v>19</v>
      </c>
      <c r="I333" s="73" t="s">
        <v>19</v>
      </c>
      <c r="J333" s="73" t="s">
        <v>19</v>
      </c>
      <c r="K333" s="73" t="s">
        <v>19</v>
      </c>
      <c r="L333" s="2"/>
      <c r="M333" s="1"/>
      <c r="N333" s="113" t="s">
        <v>14</v>
      </c>
      <c r="O333" s="122" t="s">
        <v>27</v>
      </c>
      <c r="P333" s="122"/>
      <c r="Q333" s="105"/>
      <c r="R333" s="28"/>
      <c r="S333" s="225" t="str">
        <f t="shared" si="5"/>
        <v/>
      </c>
      <c r="T333" s="7" t="s">
        <v>7694</v>
      </c>
      <c r="U333" s="7" t="s">
        <v>92</v>
      </c>
      <c r="V333" s="171" t="str" cm="1">
        <f t="array" ref="V333">_xlfn.IFS(C333="","",COUNTIF(C333,"ตำแหน่งว่าง*"),"ว่าง",COUNTIF(C333,"&lt;&gt;ตำแหน่งว่าง*"),"คนครอง")</f>
        <v>ว่าง</v>
      </c>
      <c r="W333" s="49" cm="1">
        <f t="array" ref="W333">_xlfn.IFS(COUNTIF(F333,"ผบ.หมู่*"),51,COUNTIF(F333,"รอง สว.*"),43)</f>
        <v>51</v>
      </c>
      <c r="X333" s="6" t="s">
        <v>2085</v>
      </c>
      <c r="Y333" s="6" t="s">
        <v>27</v>
      </c>
    </row>
    <row r="334" spans="1:25" s="10" customFormat="1" ht="21.3" customHeight="1">
      <c r="A334" s="27"/>
      <c r="B334" s="28"/>
      <c r="C334" s="30" t="s">
        <v>18</v>
      </c>
      <c r="D334" s="27"/>
      <c r="E334" s="27"/>
      <c r="F334" s="68" t="s">
        <v>2084</v>
      </c>
      <c r="G334" s="121" t="s">
        <v>2088</v>
      </c>
      <c r="H334" s="91" t="s">
        <v>19</v>
      </c>
      <c r="I334" s="73" t="s">
        <v>19</v>
      </c>
      <c r="J334" s="73" t="s">
        <v>19</v>
      </c>
      <c r="K334" s="73" t="s">
        <v>19</v>
      </c>
      <c r="L334" s="2"/>
      <c r="M334" s="1"/>
      <c r="N334" s="113" t="s">
        <v>14</v>
      </c>
      <c r="O334" s="122" t="s">
        <v>27</v>
      </c>
      <c r="P334" s="122"/>
      <c r="Q334" s="105"/>
      <c r="R334" s="28"/>
      <c r="S334" s="225" t="str">
        <f t="shared" si="5"/>
        <v/>
      </c>
      <c r="T334" s="7" t="s">
        <v>7694</v>
      </c>
      <c r="U334" s="7" t="s">
        <v>92</v>
      </c>
      <c r="V334" s="171" t="str" cm="1">
        <f t="array" ref="V334">_xlfn.IFS(C334="","",COUNTIF(C334,"ตำแหน่งว่าง*"),"ว่าง",COUNTIF(C334,"&lt;&gt;ตำแหน่งว่าง*"),"คนครอง")</f>
        <v>ว่าง</v>
      </c>
      <c r="W334" s="49" cm="1">
        <f t="array" ref="W334">_xlfn.IFS(COUNTIF(F334,"ผบ.หมู่*"),51,COUNTIF(F334,"รอง สว.*"),43)</f>
        <v>51</v>
      </c>
      <c r="X334" s="6" t="s">
        <v>2087</v>
      </c>
      <c r="Y334" s="6" t="s">
        <v>27</v>
      </c>
    </row>
    <row r="335" spans="1:25" s="12" customFormat="1" ht="21.3" customHeight="1">
      <c r="A335" s="192" t="s">
        <v>169</v>
      </c>
      <c r="B335" s="193" t="s">
        <v>21</v>
      </c>
      <c r="C335" s="192" t="s">
        <v>7879</v>
      </c>
      <c r="D335" s="27" t="s">
        <v>8539</v>
      </c>
      <c r="E335" s="27" t="s">
        <v>8540</v>
      </c>
      <c r="F335" s="192" t="s">
        <v>2084</v>
      </c>
      <c r="G335" s="101" t="s">
        <v>2090</v>
      </c>
      <c r="H335" s="73">
        <v>45463</v>
      </c>
      <c r="I335" s="73">
        <v>45463</v>
      </c>
      <c r="J335" s="73">
        <v>45463</v>
      </c>
      <c r="K335" s="73">
        <v>35627</v>
      </c>
      <c r="L335" s="2" t="s">
        <v>82</v>
      </c>
      <c r="M335" s="1"/>
      <c r="N335" s="112" t="s">
        <v>14</v>
      </c>
      <c r="O335" s="104" t="s">
        <v>52</v>
      </c>
      <c r="P335" s="104" t="s">
        <v>52</v>
      </c>
      <c r="Q335" s="105"/>
      <c r="R335" s="28" t="s">
        <v>7961</v>
      </c>
      <c r="S335" s="174">
        <f t="shared" si="5"/>
        <v>57619</v>
      </c>
      <c r="T335" s="2" t="s">
        <v>7694</v>
      </c>
      <c r="U335" s="2" t="s">
        <v>92</v>
      </c>
      <c r="V335" s="162" t="str" cm="1">
        <f t="array" ref="V335">_xlfn.IFS(C335="","",COUNTIF(C335,"ตำแหน่งว่าง*"),"ว่าง",COUNTIF(C335,"&lt;&gt;ตำแหน่งว่าง*"),"คนครอง")</f>
        <v>คนครอง</v>
      </c>
      <c r="W335" s="49" cm="1">
        <f t="array" ref="W335">_xlfn.IFS(COUNTIF(F335,"ผบ.หมู่*"),51,COUNTIF(F335,"รอง สว.*"),43)</f>
        <v>51</v>
      </c>
      <c r="X335" s="1" t="s">
        <v>2089</v>
      </c>
      <c r="Y335" s="1" t="s">
        <v>52</v>
      </c>
    </row>
    <row r="336" spans="1:25" s="10" customFormat="1" ht="21.3" customHeight="1">
      <c r="A336" s="65" t="s">
        <v>169</v>
      </c>
      <c r="B336" s="66" t="s">
        <v>21</v>
      </c>
      <c r="C336" s="65" t="s">
        <v>2091</v>
      </c>
      <c r="D336" s="27" t="s">
        <v>8199</v>
      </c>
      <c r="E336" s="27" t="s">
        <v>8541</v>
      </c>
      <c r="F336" s="65" t="s">
        <v>2084</v>
      </c>
      <c r="G336" s="101" t="s">
        <v>2093</v>
      </c>
      <c r="H336" s="81">
        <v>44986</v>
      </c>
      <c r="I336" s="77">
        <v>44986</v>
      </c>
      <c r="J336" s="77">
        <v>44986</v>
      </c>
      <c r="K336" s="77">
        <v>35442</v>
      </c>
      <c r="L336" s="60" t="s">
        <v>82</v>
      </c>
      <c r="M336" s="61" t="s">
        <v>47</v>
      </c>
      <c r="N336" s="114" t="s">
        <v>14</v>
      </c>
      <c r="O336" s="104" t="s">
        <v>52</v>
      </c>
      <c r="P336" s="104" t="s">
        <v>52</v>
      </c>
      <c r="Q336" s="107"/>
      <c r="R336" s="66" t="s">
        <v>861</v>
      </c>
      <c r="S336" s="225">
        <f t="shared" si="5"/>
        <v>57619</v>
      </c>
      <c r="T336" s="7" t="s">
        <v>7694</v>
      </c>
      <c r="U336" s="7" t="s">
        <v>92</v>
      </c>
      <c r="V336" s="162" t="str" cm="1">
        <f t="array" ref="V336">_xlfn.IFS(C336="","",COUNTIF(C336,"ตำแหน่งว่าง*"),"ว่าง",COUNTIF(C336,"&lt;&gt;ตำแหน่งว่าง*"),"คนครอง")</f>
        <v>คนครอง</v>
      </c>
      <c r="W336" s="49" cm="1">
        <f t="array" ref="W336">_xlfn.IFS(COUNTIF(F336,"ผบ.หมู่*"),51,COUNTIF(F336,"รอง สว.*"),43)</f>
        <v>51</v>
      </c>
      <c r="X336" s="61" t="s">
        <v>2092</v>
      </c>
      <c r="Y336" s="61" t="s">
        <v>52</v>
      </c>
    </row>
    <row r="337" spans="1:25" s="10" customFormat="1" ht="21.3" customHeight="1">
      <c r="A337" s="192" t="s">
        <v>169</v>
      </c>
      <c r="B337" s="193" t="s">
        <v>21</v>
      </c>
      <c r="C337" s="192" t="s">
        <v>7880</v>
      </c>
      <c r="D337" s="27" t="s">
        <v>8542</v>
      </c>
      <c r="E337" s="27" t="s">
        <v>8543</v>
      </c>
      <c r="F337" s="192" t="s">
        <v>2084</v>
      </c>
      <c r="G337" s="101" t="s">
        <v>2095</v>
      </c>
      <c r="H337" s="73">
        <v>45463</v>
      </c>
      <c r="I337" s="73">
        <v>45463</v>
      </c>
      <c r="J337" s="73">
        <v>45463</v>
      </c>
      <c r="K337" s="73">
        <v>36524</v>
      </c>
      <c r="L337" s="2" t="s">
        <v>82</v>
      </c>
      <c r="M337" s="1"/>
      <c r="N337" s="112" t="s">
        <v>14</v>
      </c>
      <c r="O337" s="104" t="s">
        <v>52</v>
      </c>
      <c r="P337" s="104" t="s">
        <v>52</v>
      </c>
      <c r="Q337" s="105"/>
      <c r="R337" s="28" t="s">
        <v>7961</v>
      </c>
      <c r="S337" s="174">
        <f t="shared" si="5"/>
        <v>58715</v>
      </c>
      <c r="T337" s="2" t="s">
        <v>7694</v>
      </c>
      <c r="U337" s="2" t="s">
        <v>92</v>
      </c>
      <c r="V337" s="162" t="str" cm="1">
        <f t="array" ref="V337">_xlfn.IFS(C337="","",COUNTIF(C337,"ตำแหน่งว่าง*"),"ว่าง",COUNTIF(C337,"&lt;&gt;ตำแหน่งว่าง*"),"คนครอง")</f>
        <v>คนครอง</v>
      </c>
      <c r="W337" s="49" cm="1">
        <f t="array" ref="W337">_xlfn.IFS(COUNTIF(F337,"ผบ.หมู่*"),51,COUNTIF(F337,"รอง สว.*"),43)</f>
        <v>51</v>
      </c>
      <c r="X337" s="1" t="s">
        <v>2094</v>
      </c>
      <c r="Y337" s="1" t="s">
        <v>52</v>
      </c>
    </row>
    <row r="338" spans="1:25" s="10" customFormat="1" ht="21.3" customHeight="1">
      <c r="A338" s="192" t="s">
        <v>169</v>
      </c>
      <c r="B338" s="193" t="s">
        <v>21</v>
      </c>
      <c r="C338" s="192" t="s">
        <v>7881</v>
      </c>
      <c r="D338" s="27" t="s">
        <v>8082</v>
      </c>
      <c r="E338" s="27" t="s">
        <v>8544</v>
      </c>
      <c r="F338" s="192" t="s">
        <v>2084</v>
      </c>
      <c r="G338" s="101" t="s">
        <v>2097</v>
      </c>
      <c r="H338" s="73">
        <v>45463</v>
      </c>
      <c r="I338" s="73">
        <v>45463</v>
      </c>
      <c r="J338" s="73">
        <v>45463</v>
      </c>
      <c r="K338" s="73">
        <v>36816</v>
      </c>
      <c r="L338" s="2" t="s">
        <v>82</v>
      </c>
      <c r="M338" s="1"/>
      <c r="N338" s="112" t="s">
        <v>14</v>
      </c>
      <c r="O338" s="104" t="s">
        <v>52</v>
      </c>
      <c r="P338" s="104" t="s">
        <v>52</v>
      </c>
      <c r="Q338" s="105"/>
      <c r="R338" s="28" t="s">
        <v>7961</v>
      </c>
      <c r="S338" s="174">
        <f t="shared" si="5"/>
        <v>59080</v>
      </c>
      <c r="T338" s="2" t="s">
        <v>7694</v>
      </c>
      <c r="U338" s="2" t="s">
        <v>92</v>
      </c>
      <c r="V338" s="162" t="str" cm="1">
        <f t="array" ref="V338">_xlfn.IFS(C338="","",COUNTIF(C338,"ตำแหน่งว่าง*"),"ว่าง",COUNTIF(C338,"&lt;&gt;ตำแหน่งว่าง*"),"คนครอง")</f>
        <v>คนครอง</v>
      </c>
      <c r="W338" s="49" cm="1">
        <f t="array" ref="W338">_xlfn.IFS(COUNTIF(F338,"ผบ.หมู่*"),51,COUNTIF(F338,"รอง สว.*"),43)</f>
        <v>51</v>
      </c>
      <c r="X338" s="1" t="s">
        <v>2096</v>
      </c>
      <c r="Y338" s="1" t="s">
        <v>52</v>
      </c>
    </row>
    <row r="339" spans="1:25" s="9" customFormat="1" ht="21.3" customHeight="1">
      <c r="A339" s="27" t="s">
        <v>182</v>
      </c>
      <c r="B339" s="28" t="s">
        <v>21</v>
      </c>
      <c r="C339" s="27" t="s">
        <v>2098</v>
      </c>
      <c r="D339" s="27" t="s">
        <v>8545</v>
      </c>
      <c r="E339" s="27" t="s">
        <v>8342</v>
      </c>
      <c r="F339" s="27" t="s">
        <v>2084</v>
      </c>
      <c r="G339" s="101" t="s">
        <v>2100</v>
      </c>
      <c r="H339" s="75">
        <v>44636</v>
      </c>
      <c r="I339" s="73">
        <v>44636</v>
      </c>
      <c r="J339" s="73">
        <v>44636</v>
      </c>
      <c r="K339" s="73">
        <v>35441</v>
      </c>
      <c r="L339" s="2" t="s">
        <v>82</v>
      </c>
      <c r="M339" s="1" t="s">
        <v>85</v>
      </c>
      <c r="N339" s="112" t="s">
        <v>14</v>
      </c>
      <c r="O339" s="104" t="s">
        <v>52</v>
      </c>
      <c r="P339" s="104" t="s">
        <v>52</v>
      </c>
      <c r="Q339" s="105"/>
      <c r="R339" s="28" t="s">
        <v>611</v>
      </c>
      <c r="S339" s="225">
        <f t="shared" si="5"/>
        <v>57619</v>
      </c>
      <c r="T339" s="2" t="s">
        <v>7694</v>
      </c>
      <c r="U339" s="7" t="s">
        <v>92</v>
      </c>
      <c r="V339" s="162" t="str" cm="1">
        <f t="array" ref="V339">_xlfn.IFS(C339="","",COUNTIF(C339,"ตำแหน่งว่าง*"),"ว่าง",COUNTIF(C339,"&lt;&gt;ตำแหน่งว่าง*"),"คนครอง")</f>
        <v>คนครอง</v>
      </c>
      <c r="W339" s="49" cm="1">
        <f t="array" ref="W339">_xlfn.IFS(COUNTIF(F339,"ผบ.หมู่*"),51,COUNTIF(F339,"รอง สว.*"),43)</f>
        <v>51</v>
      </c>
      <c r="X339" s="1" t="s">
        <v>2099</v>
      </c>
      <c r="Y339" s="1" t="s">
        <v>52</v>
      </c>
    </row>
    <row r="340" spans="1:25" s="12" customFormat="1" ht="21.3" customHeight="1">
      <c r="A340" s="192" t="s">
        <v>169</v>
      </c>
      <c r="B340" s="193" t="s">
        <v>12</v>
      </c>
      <c r="C340" s="192" t="s">
        <v>7882</v>
      </c>
      <c r="D340" s="27" t="s">
        <v>8273</v>
      </c>
      <c r="E340" s="27" t="s">
        <v>8263</v>
      </c>
      <c r="F340" s="192" t="s">
        <v>2084</v>
      </c>
      <c r="G340" s="101" t="s">
        <v>2102</v>
      </c>
      <c r="H340" s="73">
        <v>45463</v>
      </c>
      <c r="I340" s="73">
        <v>45463</v>
      </c>
      <c r="J340" s="73">
        <v>45463</v>
      </c>
      <c r="K340" s="73">
        <v>34350</v>
      </c>
      <c r="L340" s="2" t="s">
        <v>82</v>
      </c>
      <c r="M340" s="1"/>
      <c r="N340" s="112" t="s">
        <v>14</v>
      </c>
      <c r="O340" s="104" t="s">
        <v>52</v>
      </c>
      <c r="P340" s="104" t="s">
        <v>52</v>
      </c>
      <c r="Q340" s="105"/>
      <c r="R340" s="28" t="s">
        <v>7961</v>
      </c>
      <c r="S340" s="174">
        <f t="shared" si="5"/>
        <v>56523</v>
      </c>
      <c r="T340" s="2" t="s">
        <v>7694</v>
      </c>
      <c r="U340" s="2" t="s">
        <v>92</v>
      </c>
      <c r="V340" s="162" t="str" cm="1">
        <f t="array" ref="V340">_xlfn.IFS(C340="","",COUNTIF(C340,"ตำแหน่งว่าง*"),"ว่าง",COUNTIF(C340,"&lt;&gt;ตำแหน่งว่าง*"),"คนครอง")</f>
        <v>คนครอง</v>
      </c>
      <c r="W340" s="49" cm="1">
        <f t="array" ref="W340">_xlfn.IFS(COUNTIF(F340,"ผบ.หมู่*"),51,COUNTIF(F340,"รอง สว.*"),43)</f>
        <v>51</v>
      </c>
      <c r="X340" s="1" t="s">
        <v>2101</v>
      </c>
      <c r="Y340" s="1" t="s">
        <v>52</v>
      </c>
    </row>
    <row r="341" spans="1:25" s="9" customFormat="1" ht="21.3" customHeight="1">
      <c r="A341" s="27" t="s">
        <v>208</v>
      </c>
      <c r="B341" s="28" t="s">
        <v>21</v>
      </c>
      <c r="C341" s="27" t="s">
        <v>2103</v>
      </c>
      <c r="D341" s="27" t="s">
        <v>8546</v>
      </c>
      <c r="E341" s="27" t="s">
        <v>8547</v>
      </c>
      <c r="F341" s="27" t="s">
        <v>2084</v>
      </c>
      <c r="G341" s="101" t="s">
        <v>2105</v>
      </c>
      <c r="H341" s="91">
        <v>43693</v>
      </c>
      <c r="I341" s="73">
        <v>43693</v>
      </c>
      <c r="J341" s="89">
        <v>43693</v>
      </c>
      <c r="K341" s="73">
        <v>33911</v>
      </c>
      <c r="L341" s="2" t="s">
        <v>82</v>
      </c>
      <c r="M341" s="1" t="s">
        <v>28</v>
      </c>
      <c r="N341" s="112" t="s">
        <v>14</v>
      </c>
      <c r="O341" s="104" t="s">
        <v>52</v>
      </c>
      <c r="P341" s="104" t="s">
        <v>52</v>
      </c>
      <c r="Q341" s="105"/>
      <c r="R341" s="28" t="s">
        <v>645</v>
      </c>
      <c r="S341" s="225">
        <f t="shared" si="5"/>
        <v>56158</v>
      </c>
      <c r="T341" s="2" t="s">
        <v>7694</v>
      </c>
      <c r="U341" s="7" t="s">
        <v>92</v>
      </c>
      <c r="V341" s="162" t="str" cm="1">
        <f t="array" ref="V341">_xlfn.IFS(C341="","",COUNTIF(C341,"ตำแหน่งว่าง*"),"ว่าง",COUNTIF(C341,"&lt;&gt;ตำแหน่งว่าง*"),"คนครอง")</f>
        <v>คนครอง</v>
      </c>
      <c r="W341" s="49" cm="1">
        <f t="array" ref="W341">_xlfn.IFS(COUNTIF(F341,"ผบ.หมู่*"),51,COUNTIF(F341,"รอง สว.*"),43)</f>
        <v>51</v>
      </c>
      <c r="X341" s="1" t="s">
        <v>2104</v>
      </c>
      <c r="Y341" s="1" t="s">
        <v>52</v>
      </c>
    </row>
    <row r="342" spans="1:25" s="9" customFormat="1" ht="21.3" customHeight="1">
      <c r="A342" s="192" t="s">
        <v>169</v>
      </c>
      <c r="B342" s="193" t="s">
        <v>21</v>
      </c>
      <c r="C342" s="192" t="s">
        <v>7963</v>
      </c>
      <c r="D342" s="27" t="s">
        <v>8548</v>
      </c>
      <c r="E342" s="27" t="s">
        <v>8549</v>
      </c>
      <c r="F342" s="192" t="s">
        <v>2084</v>
      </c>
      <c r="G342" s="101" t="s">
        <v>2107</v>
      </c>
      <c r="H342" s="73">
        <v>45463</v>
      </c>
      <c r="I342" s="73">
        <v>45463</v>
      </c>
      <c r="J342" s="73">
        <v>45463</v>
      </c>
      <c r="K342" s="73">
        <v>35678</v>
      </c>
      <c r="L342" s="2" t="s">
        <v>82</v>
      </c>
      <c r="M342" s="1"/>
      <c r="N342" s="112" t="s">
        <v>14</v>
      </c>
      <c r="O342" s="104" t="s">
        <v>52</v>
      </c>
      <c r="P342" s="104" t="s">
        <v>52</v>
      </c>
      <c r="Q342" s="105"/>
      <c r="R342" s="28" t="s">
        <v>7961</v>
      </c>
      <c r="S342" s="174">
        <f t="shared" si="5"/>
        <v>57619</v>
      </c>
      <c r="T342" s="2" t="s">
        <v>7694</v>
      </c>
      <c r="U342" s="2" t="s">
        <v>92</v>
      </c>
      <c r="V342" s="162" t="str" cm="1">
        <f t="array" ref="V342">_xlfn.IFS(C342="","",COUNTIF(C342,"ตำแหน่งว่าง*"),"ว่าง",COUNTIF(C342,"&lt;&gt;ตำแหน่งว่าง*"),"คนครอง")</f>
        <v>คนครอง</v>
      </c>
      <c r="W342" s="49" cm="1">
        <f t="array" ref="W342">_xlfn.IFS(COUNTIF(F342,"ผบ.หมู่*"),51,COUNTIF(F342,"รอง สว.*"),43)</f>
        <v>51</v>
      </c>
      <c r="X342" s="1" t="s">
        <v>2106</v>
      </c>
      <c r="Y342" s="1" t="s">
        <v>52</v>
      </c>
    </row>
    <row r="343" spans="1:25" s="10" customFormat="1" ht="21.3" customHeight="1">
      <c r="A343" s="27"/>
      <c r="B343" s="28"/>
      <c r="C343" s="30" t="s">
        <v>18</v>
      </c>
      <c r="D343" s="27"/>
      <c r="E343" s="27"/>
      <c r="F343" s="68" t="s">
        <v>2084</v>
      </c>
      <c r="G343" s="121" t="s">
        <v>2109</v>
      </c>
      <c r="H343" s="91" t="s">
        <v>19</v>
      </c>
      <c r="I343" s="73" t="s">
        <v>19</v>
      </c>
      <c r="J343" s="73" t="s">
        <v>19</v>
      </c>
      <c r="K343" s="73" t="s">
        <v>19</v>
      </c>
      <c r="L343" s="2"/>
      <c r="M343" s="1"/>
      <c r="N343" s="113" t="s">
        <v>14</v>
      </c>
      <c r="O343" s="122" t="s">
        <v>52</v>
      </c>
      <c r="P343" s="122" t="s">
        <v>52</v>
      </c>
      <c r="Q343" s="105"/>
      <c r="R343" s="28"/>
      <c r="S343" s="225" t="str">
        <f t="shared" si="5"/>
        <v/>
      </c>
      <c r="T343" s="7" t="s">
        <v>7694</v>
      </c>
      <c r="U343" s="7" t="s">
        <v>92</v>
      </c>
      <c r="V343" s="171" t="str" cm="1">
        <f t="array" ref="V343">_xlfn.IFS(C343="","",COUNTIF(C343,"ตำแหน่งว่าง*"),"ว่าง",COUNTIF(C343,"&lt;&gt;ตำแหน่งว่าง*"),"คนครอง")</f>
        <v>ว่าง</v>
      </c>
      <c r="W343" s="49" cm="1">
        <f t="array" ref="W343">_xlfn.IFS(COUNTIF(F343,"ผบ.หมู่*"),51,COUNTIF(F343,"รอง สว.*"),43)</f>
        <v>51</v>
      </c>
      <c r="X343" s="6" t="s">
        <v>2108</v>
      </c>
      <c r="Y343" s="6" t="s">
        <v>52</v>
      </c>
    </row>
    <row r="344" spans="1:25" s="10" customFormat="1" ht="21.3" customHeight="1">
      <c r="A344" s="27"/>
      <c r="B344" s="28"/>
      <c r="C344" s="30" t="s">
        <v>18</v>
      </c>
      <c r="D344" s="27"/>
      <c r="E344" s="27"/>
      <c r="F344" s="68" t="s">
        <v>2084</v>
      </c>
      <c r="G344" s="121" t="s">
        <v>2111</v>
      </c>
      <c r="H344" s="91" t="s">
        <v>19</v>
      </c>
      <c r="I344" s="73" t="s">
        <v>19</v>
      </c>
      <c r="J344" s="73" t="s">
        <v>19</v>
      </c>
      <c r="K344" s="73" t="s">
        <v>19</v>
      </c>
      <c r="L344" s="2"/>
      <c r="M344" s="1"/>
      <c r="N344" s="113" t="s">
        <v>14</v>
      </c>
      <c r="O344" s="122" t="s">
        <v>52</v>
      </c>
      <c r="P344" s="122" t="s">
        <v>52</v>
      </c>
      <c r="Q344" s="105"/>
      <c r="R344" s="28"/>
      <c r="S344" s="225" t="str">
        <f t="shared" si="5"/>
        <v/>
      </c>
      <c r="T344" s="7" t="s">
        <v>7694</v>
      </c>
      <c r="U344" s="7" t="s">
        <v>92</v>
      </c>
      <c r="V344" s="171" t="str" cm="1">
        <f t="array" ref="V344">_xlfn.IFS(C344="","",COUNTIF(C344,"ตำแหน่งว่าง*"),"ว่าง",COUNTIF(C344,"&lt;&gt;ตำแหน่งว่าง*"),"คนครอง")</f>
        <v>ว่าง</v>
      </c>
      <c r="W344" s="49" cm="1">
        <f t="array" ref="W344">_xlfn.IFS(COUNTIF(F344,"ผบ.หมู่*"),51,COUNTIF(F344,"รอง สว.*"),43)</f>
        <v>51</v>
      </c>
      <c r="X344" s="6" t="s">
        <v>2110</v>
      </c>
      <c r="Y344" s="6" t="s">
        <v>52</v>
      </c>
    </row>
    <row r="345" spans="1:25" s="10" customFormat="1" ht="21.3" customHeight="1">
      <c r="A345" s="27"/>
      <c r="B345" s="28"/>
      <c r="C345" s="30" t="s">
        <v>18</v>
      </c>
      <c r="D345" s="27"/>
      <c r="E345" s="27"/>
      <c r="F345" s="68" t="s">
        <v>2084</v>
      </c>
      <c r="G345" s="121" t="s">
        <v>2113</v>
      </c>
      <c r="H345" s="91" t="s">
        <v>19</v>
      </c>
      <c r="I345" s="73" t="s">
        <v>19</v>
      </c>
      <c r="J345" s="73" t="s">
        <v>19</v>
      </c>
      <c r="K345" s="73" t="s">
        <v>19</v>
      </c>
      <c r="L345" s="2"/>
      <c r="M345" s="1"/>
      <c r="N345" s="113" t="s">
        <v>14</v>
      </c>
      <c r="O345" s="122" t="s">
        <v>52</v>
      </c>
      <c r="P345" s="122" t="s">
        <v>52</v>
      </c>
      <c r="Q345" s="105"/>
      <c r="R345" s="28"/>
      <c r="S345" s="225" t="str">
        <f t="shared" si="5"/>
        <v/>
      </c>
      <c r="T345" s="7" t="s">
        <v>7694</v>
      </c>
      <c r="U345" s="7" t="s">
        <v>92</v>
      </c>
      <c r="V345" s="171" t="str" cm="1">
        <f t="array" ref="V345">_xlfn.IFS(C345="","",COUNTIF(C345,"ตำแหน่งว่าง*"),"ว่าง",COUNTIF(C345,"&lt;&gt;ตำแหน่งว่าง*"),"คนครอง")</f>
        <v>ว่าง</v>
      </c>
      <c r="W345" s="49" cm="1">
        <f t="array" ref="W345">_xlfn.IFS(COUNTIF(F345,"ผบ.หมู่*"),51,COUNTIF(F345,"รอง สว.*"),43)</f>
        <v>51</v>
      </c>
      <c r="X345" s="6" t="s">
        <v>2112</v>
      </c>
      <c r="Y345" s="6" t="s">
        <v>52</v>
      </c>
    </row>
    <row r="346" spans="1:25" s="10" customFormat="1" ht="21.3" customHeight="1">
      <c r="A346" s="27"/>
      <c r="B346" s="28"/>
      <c r="C346" s="30" t="s">
        <v>18</v>
      </c>
      <c r="D346" s="27"/>
      <c r="E346" s="27"/>
      <c r="F346" s="68" t="s">
        <v>2084</v>
      </c>
      <c r="G346" s="121" t="s">
        <v>2115</v>
      </c>
      <c r="H346" s="91" t="s">
        <v>19</v>
      </c>
      <c r="I346" s="73" t="s">
        <v>19</v>
      </c>
      <c r="J346" s="73" t="s">
        <v>19</v>
      </c>
      <c r="K346" s="73" t="s">
        <v>19</v>
      </c>
      <c r="L346" s="2"/>
      <c r="M346" s="1"/>
      <c r="N346" s="113" t="s">
        <v>14</v>
      </c>
      <c r="O346" s="122" t="s">
        <v>52</v>
      </c>
      <c r="P346" s="122" t="s">
        <v>52</v>
      </c>
      <c r="Q346" s="105"/>
      <c r="R346" s="28"/>
      <c r="S346" s="225" t="str">
        <f t="shared" si="5"/>
        <v/>
      </c>
      <c r="T346" s="7" t="s">
        <v>7694</v>
      </c>
      <c r="U346" s="7" t="s">
        <v>92</v>
      </c>
      <c r="V346" s="171" t="str" cm="1">
        <f t="array" ref="V346">_xlfn.IFS(C346="","",COUNTIF(C346,"ตำแหน่งว่าง*"),"ว่าง",COUNTIF(C346,"&lt;&gt;ตำแหน่งว่าง*"),"คนครอง")</f>
        <v>ว่าง</v>
      </c>
      <c r="W346" s="49" cm="1">
        <f t="array" ref="W346">_xlfn.IFS(COUNTIF(F346,"ผบ.หมู่*"),51,COUNTIF(F346,"รอง สว.*"),43)</f>
        <v>51</v>
      </c>
      <c r="X346" s="6" t="s">
        <v>2114</v>
      </c>
      <c r="Y346" s="6" t="s">
        <v>52</v>
      </c>
    </row>
    <row r="347" spans="1:25" s="10" customFormat="1" ht="21.3" customHeight="1">
      <c r="A347" s="27"/>
      <c r="B347" s="28"/>
      <c r="C347" s="30" t="s">
        <v>18</v>
      </c>
      <c r="D347" s="27"/>
      <c r="E347" s="27"/>
      <c r="F347" s="68" t="s">
        <v>2084</v>
      </c>
      <c r="G347" s="121" t="s">
        <v>2117</v>
      </c>
      <c r="H347" s="91" t="s">
        <v>19</v>
      </c>
      <c r="I347" s="73" t="s">
        <v>19</v>
      </c>
      <c r="J347" s="73" t="s">
        <v>19</v>
      </c>
      <c r="K347" s="73" t="s">
        <v>19</v>
      </c>
      <c r="L347" s="2"/>
      <c r="M347" s="1"/>
      <c r="N347" s="113" t="s">
        <v>14</v>
      </c>
      <c r="O347" s="122" t="s">
        <v>52</v>
      </c>
      <c r="P347" s="122" t="s">
        <v>52</v>
      </c>
      <c r="Q347" s="105"/>
      <c r="R347" s="28"/>
      <c r="S347" s="225" t="str">
        <f t="shared" si="5"/>
        <v/>
      </c>
      <c r="T347" s="7" t="s">
        <v>7694</v>
      </c>
      <c r="U347" s="7" t="s">
        <v>92</v>
      </c>
      <c r="V347" s="171" t="str" cm="1">
        <f t="array" ref="V347">_xlfn.IFS(C347="","",COUNTIF(C347,"ตำแหน่งว่าง*"),"ว่าง",COUNTIF(C347,"&lt;&gt;ตำแหน่งว่าง*"),"คนครอง")</f>
        <v>ว่าง</v>
      </c>
      <c r="W347" s="49" cm="1">
        <f t="array" ref="W347">_xlfn.IFS(COUNTIF(F347,"ผบ.หมู่*"),51,COUNTIF(F347,"รอง สว.*"),43)</f>
        <v>51</v>
      </c>
      <c r="X347" s="6" t="s">
        <v>2116</v>
      </c>
      <c r="Y347" s="6" t="s">
        <v>52</v>
      </c>
    </row>
    <row r="348" spans="1:25" s="10" customFormat="1" ht="21.3" customHeight="1">
      <c r="A348" s="27"/>
      <c r="B348" s="28"/>
      <c r="C348" s="30" t="s">
        <v>18</v>
      </c>
      <c r="D348" s="27"/>
      <c r="E348" s="27"/>
      <c r="F348" s="68" t="s">
        <v>2084</v>
      </c>
      <c r="G348" s="121" t="s">
        <v>2119</v>
      </c>
      <c r="H348" s="91" t="s">
        <v>19</v>
      </c>
      <c r="I348" s="73" t="s">
        <v>19</v>
      </c>
      <c r="J348" s="73" t="s">
        <v>19</v>
      </c>
      <c r="K348" s="73" t="s">
        <v>19</v>
      </c>
      <c r="L348" s="2"/>
      <c r="M348" s="1"/>
      <c r="N348" s="113" t="s">
        <v>14</v>
      </c>
      <c r="O348" s="122" t="s">
        <v>52</v>
      </c>
      <c r="P348" s="122" t="s">
        <v>52</v>
      </c>
      <c r="Q348" s="105"/>
      <c r="R348" s="28"/>
      <c r="S348" s="225" t="str">
        <f t="shared" si="5"/>
        <v/>
      </c>
      <c r="T348" s="7" t="s">
        <v>7694</v>
      </c>
      <c r="U348" s="7" t="s">
        <v>92</v>
      </c>
      <c r="V348" s="171" t="str" cm="1">
        <f t="array" ref="V348">_xlfn.IFS(C348="","",COUNTIF(C348,"ตำแหน่งว่าง*"),"ว่าง",COUNTIF(C348,"&lt;&gt;ตำแหน่งว่าง*"),"คนครอง")</f>
        <v>ว่าง</v>
      </c>
      <c r="W348" s="49" cm="1">
        <f t="array" ref="W348">_xlfn.IFS(COUNTIF(F348,"ผบ.หมู่*"),51,COUNTIF(F348,"รอง สว.*"),43)</f>
        <v>51</v>
      </c>
      <c r="X348" s="6" t="s">
        <v>2118</v>
      </c>
      <c r="Y348" s="6" t="s">
        <v>52</v>
      </c>
    </row>
    <row r="349" spans="1:25" s="10" customFormat="1" ht="21.3" customHeight="1">
      <c r="A349" s="27"/>
      <c r="B349" s="28"/>
      <c r="C349" s="30" t="s">
        <v>18</v>
      </c>
      <c r="D349" s="27"/>
      <c r="E349" s="27"/>
      <c r="F349" s="68" t="s">
        <v>2084</v>
      </c>
      <c r="G349" s="121" t="s">
        <v>2121</v>
      </c>
      <c r="H349" s="91" t="s">
        <v>19</v>
      </c>
      <c r="I349" s="73" t="s">
        <v>19</v>
      </c>
      <c r="J349" s="73" t="s">
        <v>19</v>
      </c>
      <c r="K349" s="73" t="s">
        <v>19</v>
      </c>
      <c r="L349" s="2"/>
      <c r="M349" s="1"/>
      <c r="N349" s="113" t="s">
        <v>14</v>
      </c>
      <c r="O349" s="122" t="s">
        <v>52</v>
      </c>
      <c r="P349" s="122" t="s">
        <v>52</v>
      </c>
      <c r="Q349" s="105"/>
      <c r="R349" s="28"/>
      <c r="S349" s="225" t="str">
        <f t="shared" si="5"/>
        <v/>
      </c>
      <c r="T349" s="7" t="s">
        <v>7694</v>
      </c>
      <c r="U349" s="7" t="s">
        <v>92</v>
      </c>
      <c r="V349" s="171" t="str" cm="1">
        <f t="array" ref="V349">_xlfn.IFS(C349="","",COUNTIF(C349,"ตำแหน่งว่าง*"),"ว่าง",COUNTIF(C349,"&lt;&gt;ตำแหน่งว่าง*"),"คนครอง")</f>
        <v>ว่าง</v>
      </c>
      <c r="W349" s="49" cm="1">
        <f t="array" ref="W349">_xlfn.IFS(COUNTIF(F349,"ผบ.หมู่*"),51,COUNTIF(F349,"รอง สว.*"),43)</f>
        <v>51</v>
      </c>
      <c r="X349" s="6" t="s">
        <v>2120</v>
      </c>
      <c r="Y349" s="6" t="s">
        <v>52</v>
      </c>
    </row>
    <row r="350" spans="1:25" s="10" customFormat="1" ht="21.3" customHeight="1">
      <c r="A350" s="27"/>
      <c r="B350" s="28"/>
      <c r="C350" s="30" t="s">
        <v>18</v>
      </c>
      <c r="D350" s="27"/>
      <c r="E350" s="27"/>
      <c r="F350" s="68" t="s">
        <v>2084</v>
      </c>
      <c r="G350" s="121" t="s">
        <v>2123</v>
      </c>
      <c r="H350" s="91" t="s">
        <v>19</v>
      </c>
      <c r="I350" s="73" t="s">
        <v>19</v>
      </c>
      <c r="J350" s="73" t="s">
        <v>19</v>
      </c>
      <c r="K350" s="73" t="s">
        <v>19</v>
      </c>
      <c r="L350" s="2"/>
      <c r="M350" s="1"/>
      <c r="N350" s="113" t="s">
        <v>14</v>
      </c>
      <c r="O350" s="122" t="s">
        <v>52</v>
      </c>
      <c r="P350" s="122" t="s">
        <v>52</v>
      </c>
      <c r="Q350" s="105"/>
      <c r="R350" s="28"/>
      <c r="S350" s="225" t="str">
        <f t="shared" si="5"/>
        <v/>
      </c>
      <c r="T350" s="7" t="s">
        <v>7694</v>
      </c>
      <c r="U350" s="7" t="s">
        <v>92</v>
      </c>
      <c r="V350" s="171" t="str" cm="1">
        <f t="array" ref="V350">_xlfn.IFS(C350="","",COUNTIF(C350,"ตำแหน่งว่าง*"),"ว่าง",COUNTIF(C350,"&lt;&gt;ตำแหน่งว่าง*"),"คนครอง")</f>
        <v>ว่าง</v>
      </c>
      <c r="W350" s="49" cm="1">
        <f t="array" ref="W350">_xlfn.IFS(COUNTIF(F350,"ผบ.หมู่*"),51,COUNTIF(F350,"รอง สว.*"),43)</f>
        <v>51</v>
      </c>
      <c r="X350" s="6" t="s">
        <v>2122</v>
      </c>
      <c r="Y350" s="6" t="s">
        <v>52</v>
      </c>
    </row>
    <row r="351" spans="1:25" s="10" customFormat="1" ht="21.3" customHeight="1">
      <c r="A351" s="27"/>
      <c r="B351" s="28"/>
      <c r="C351" s="30" t="s">
        <v>18</v>
      </c>
      <c r="D351" s="27"/>
      <c r="E351" s="27"/>
      <c r="F351" s="68" t="s">
        <v>2124</v>
      </c>
      <c r="G351" s="121" t="s">
        <v>2126</v>
      </c>
      <c r="H351" s="91" t="s">
        <v>19</v>
      </c>
      <c r="I351" s="73" t="s">
        <v>19</v>
      </c>
      <c r="J351" s="73" t="s">
        <v>19</v>
      </c>
      <c r="K351" s="73" t="s">
        <v>19</v>
      </c>
      <c r="L351" s="2"/>
      <c r="M351" s="1"/>
      <c r="N351" s="113" t="s">
        <v>14</v>
      </c>
      <c r="O351" s="122" t="s">
        <v>27</v>
      </c>
      <c r="P351" s="122"/>
      <c r="Q351" s="105"/>
      <c r="R351" s="28"/>
      <c r="S351" s="225" t="str">
        <f t="shared" si="5"/>
        <v/>
      </c>
      <c r="T351" s="7" t="s">
        <v>7695</v>
      </c>
      <c r="U351" s="7" t="s">
        <v>92</v>
      </c>
      <c r="V351" s="171" t="str" cm="1">
        <f t="array" ref="V351">_xlfn.IFS(C351="","",COUNTIF(C351,"ตำแหน่งว่าง*"),"ว่าง",COUNTIF(C351,"&lt;&gt;ตำแหน่งว่าง*"),"คนครอง")</f>
        <v>ว่าง</v>
      </c>
      <c r="W351" s="49" cm="1">
        <f t="array" ref="W351">_xlfn.IFS(COUNTIF(F351,"ผบ.หมู่*"),51,COUNTIF(F351,"รอง สว.*"),43)</f>
        <v>51</v>
      </c>
      <c r="X351" s="6" t="s">
        <v>2125</v>
      </c>
      <c r="Y351" s="6" t="s">
        <v>27</v>
      </c>
    </row>
    <row r="352" spans="1:25" s="10" customFormat="1" ht="21.3" customHeight="1">
      <c r="A352" s="27"/>
      <c r="B352" s="28"/>
      <c r="C352" s="30" t="s">
        <v>18</v>
      </c>
      <c r="D352" s="27"/>
      <c r="E352" s="27"/>
      <c r="F352" s="68" t="s">
        <v>2124</v>
      </c>
      <c r="G352" s="121" t="s">
        <v>2128</v>
      </c>
      <c r="H352" s="91" t="s">
        <v>19</v>
      </c>
      <c r="I352" s="73" t="s">
        <v>19</v>
      </c>
      <c r="J352" s="73" t="s">
        <v>19</v>
      </c>
      <c r="K352" s="73" t="s">
        <v>19</v>
      </c>
      <c r="L352" s="2"/>
      <c r="M352" s="1"/>
      <c r="N352" s="113" t="s">
        <v>14</v>
      </c>
      <c r="O352" s="122" t="s">
        <v>27</v>
      </c>
      <c r="P352" s="122"/>
      <c r="Q352" s="105"/>
      <c r="R352" s="28"/>
      <c r="S352" s="225" t="str">
        <f t="shared" si="5"/>
        <v/>
      </c>
      <c r="T352" s="7" t="s">
        <v>7695</v>
      </c>
      <c r="U352" s="7" t="s">
        <v>92</v>
      </c>
      <c r="V352" s="171" t="str" cm="1">
        <f t="array" ref="V352">_xlfn.IFS(C352="","",COUNTIF(C352,"ตำแหน่งว่าง*"),"ว่าง",COUNTIF(C352,"&lt;&gt;ตำแหน่งว่าง*"),"คนครอง")</f>
        <v>ว่าง</v>
      </c>
      <c r="W352" s="49" cm="1">
        <f t="array" ref="W352">_xlfn.IFS(COUNTIF(F352,"ผบ.หมู่*"),51,COUNTIF(F352,"รอง สว.*"),43)</f>
        <v>51</v>
      </c>
      <c r="X352" s="6" t="s">
        <v>2127</v>
      </c>
      <c r="Y352" s="6" t="s">
        <v>27</v>
      </c>
    </row>
    <row r="353" spans="1:25" s="12" customFormat="1" ht="21.3" customHeight="1">
      <c r="A353" s="27" t="s">
        <v>157</v>
      </c>
      <c r="B353" s="28" t="s">
        <v>21</v>
      </c>
      <c r="C353" s="95" t="s">
        <v>2129</v>
      </c>
      <c r="D353" s="27" t="s">
        <v>8088</v>
      </c>
      <c r="E353" s="27" t="s">
        <v>8550</v>
      </c>
      <c r="F353" s="95" t="s">
        <v>2124</v>
      </c>
      <c r="G353" s="101" t="s">
        <v>2131</v>
      </c>
      <c r="H353" s="91">
        <v>40063</v>
      </c>
      <c r="I353" s="73">
        <v>40063</v>
      </c>
      <c r="J353" s="73">
        <v>35094</v>
      </c>
      <c r="K353" s="73">
        <v>26686</v>
      </c>
      <c r="L353" s="27" t="s">
        <v>2132</v>
      </c>
      <c r="M353" s="28" t="s">
        <v>15</v>
      </c>
      <c r="N353" s="111" t="s">
        <v>14</v>
      </c>
      <c r="O353" s="104" t="s">
        <v>52</v>
      </c>
      <c r="P353" s="104" t="s">
        <v>52</v>
      </c>
      <c r="Q353" s="105"/>
      <c r="R353" s="28" t="s">
        <v>603</v>
      </c>
      <c r="S353" s="225">
        <f t="shared" si="5"/>
        <v>48853</v>
      </c>
      <c r="T353" s="162" t="s">
        <v>7695</v>
      </c>
      <c r="U353" s="7" t="s">
        <v>92</v>
      </c>
      <c r="V353" s="162" t="str" cm="1">
        <f t="array" ref="V353">_xlfn.IFS(C353="","",COUNTIF(C353,"ตำแหน่งว่าง*"),"ว่าง",COUNTIF(C353,"&lt;&gt;ตำแหน่งว่าง*"),"คนครอง")</f>
        <v>คนครอง</v>
      </c>
      <c r="W353" s="49" cm="1">
        <f t="array" ref="W353">_xlfn.IFS(COUNTIF(F353,"ผบ.หมู่*"),51,COUNTIF(F353,"รอง สว.*"),43)</f>
        <v>51</v>
      </c>
      <c r="X353" s="5" t="s">
        <v>2130</v>
      </c>
      <c r="Y353" s="5" t="s">
        <v>52</v>
      </c>
    </row>
    <row r="354" spans="1:25" s="12" customFormat="1" ht="21.3" customHeight="1">
      <c r="A354" s="27" t="s">
        <v>157</v>
      </c>
      <c r="B354" s="28" t="s">
        <v>21</v>
      </c>
      <c r="C354" s="95" t="s">
        <v>2133</v>
      </c>
      <c r="D354" s="27" t="s">
        <v>8072</v>
      </c>
      <c r="E354" s="27" t="s">
        <v>8551</v>
      </c>
      <c r="F354" s="95" t="s">
        <v>2124</v>
      </c>
      <c r="G354" s="101" t="s">
        <v>2135</v>
      </c>
      <c r="H354" s="91">
        <v>40063</v>
      </c>
      <c r="I354" s="73">
        <v>40063</v>
      </c>
      <c r="J354" s="73">
        <v>34729</v>
      </c>
      <c r="K354" s="73">
        <v>27070</v>
      </c>
      <c r="L354" s="27" t="s">
        <v>2136</v>
      </c>
      <c r="M354" s="28" t="s">
        <v>15</v>
      </c>
      <c r="N354" s="111" t="s">
        <v>14</v>
      </c>
      <c r="O354" s="104" t="s">
        <v>52</v>
      </c>
      <c r="P354" s="104" t="s">
        <v>52</v>
      </c>
      <c r="Q354" s="105"/>
      <c r="R354" s="28" t="s">
        <v>603</v>
      </c>
      <c r="S354" s="225">
        <f t="shared" si="5"/>
        <v>49218</v>
      </c>
      <c r="T354" s="162" t="s">
        <v>7695</v>
      </c>
      <c r="U354" s="7" t="s">
        <v>92</v>
      </c>
      <c r="V354" s="162" t="str" cm="1">
        <f t="array" ref="V354">_xlfn.IFS(C354="","",COUNTIF(C354,"ตำแหน่งว่าง*"),"ว่าง",COUNTIF(C354,"&lt;&gt;ตำแหน่งว่าง*"),"คนครอง")</f>
        <v>คนครอง</v>
      </c>
      <c r="W354" s="49" cm="1">
        <f t="array" ref="W354">_xlfn.IFS(COUNTIF(F354,"ผบ.หมู่*"),51,COUNTIF(F354,"รอง สว.*"),43)</f>
        <v>51</v>
      </c>
      <c r="X354" s="5" t="s">
        <v>2134</v>
      </c>
      <c r="Y354" s="5" t="s">
        <v>52</v>
      </c>
    </row>
    <row r="355" spans="1:25" s="10" customFormat="1" ht="21.3" customHeight="1">
      <c r="A355" s="65" t="s">
        <v>169</v>
      </c>
      <c r="B355" s="66" t="s">
        <v>21</v>
      </c>
      <c r="C355" s="65" t="s">
        <v>2137</v>
      </c>
      <c r="D355" s="27" t="s">
        <v>8552</v>
      </c>
      <c r="E355" s="27" t="s">
        <v>8553</v>
      </c>
      <c r="F355" s="65" t="s">
        <v>2124</v>
      </c>
      <c r="G355" s="101" t="s">
        <v>2139</v>
      </c>
      <c r="H355" s="81">
        <v>44986</v>
      </c>
      <c r="I355" s="77">
        <v>44986</v>
      </c>
      <c r="J355" s="77">
        <v>44986</v>
      </c>
      <c r="K355" s="77">
        <v>35883</v>
      </c>
      <c r="L355" s="27" t="s">
        <v>82</v>
      </c>
      <c r="M355" s="30" t="s">
        <v>58</v>
      </c>
      <c r="N355" s="114" t="s">
        <v>14</v>
      </c>
      <c r="O355" s="104" t="s">
        <v>52</v>
      </c>
      <c r="P355" s="104" t="s">
        <v>52</v>
      </c>
      <c r="Q355" s="107"/>
      <c r="R355" s="66" t="s">
        <v>861</v>
      </c>
      <c r="S355" s="225">
        <f t="shared" si="5"/>
        <v>57984</v>
      </c>
      <c r="T355" s="7" t="s">
        <v>7695</v>
      </c>
      <c r="U355" s="7" t="s">
        <v>92</v>
      </c>
      <c r="V355" s="162" t="str" cm="1">
        <f t="array" ref="V355">_xlfn.IFS(C355="","",COUNTIF(C355,"ตำแหน่งว่าง*"),"ว่าง",COUNTIF(C355,"&lt;&gt;ตำแหน่งว่าง*"),"คนครอง")</f>
        <v>คนครอง</v>
      </c>
      <c r="W355" s="49" cm="1">
        <f t="array" ref="W355">_xlfn.IFS(COUNTIF(F355,"ผบ.หมู่*"),51,COUNTIF(F355,"รอง สว.*"),43)</f>
        <v>51</v>
      </c>
      <c r="X355" s="61" t="s">
        <v>2138</v>
      </c>
      <c r="Y355" s="61" t="s">
        <v>52</v>
      </c>
    </row>
    <row r="356" spans="1:25" s="9" customFormat="1" ht="21.3" customHeight="1">
      <c r="A356" s="27" t="s">
        <v>182</v>
      </c>
      <c r="B356" s="28" t="s">
        <v>12</v>
      </c>
      <c r="C356" s="27" t="s">
        <v>2140</v>
      </c>
      <c r="D356" s="27" t="s">
        <v>8210</v>
      </c>
      <c r="E356" s="27" t="s">
        <v>8554</v>
      </c>
      <c r="F356" s="27" t="s">
        <v>2124</v>
      </c>
      <c r="G356" s="101" t="s">
        <v>2142</v>
      </c>
      <c r="H356" s="75">
        <v>44636</v>
      </c>
      <c r="I356" s="73">
        <v>44636</v>
      </c>
      <c r="J356" s="73">
        <v>44636</v>
      </c>
      <c r="K356" s="73">
        <v>33434</v>
      </c>
      <c r="L356" s="27" t="s">
        <v>1957</v>
      </c>
      <c r="M356" s="28" t="s">
        <v>13</v>
      </c>
      <c r="N356" s="112" t="s">
        <v>14</v>
      </c>
      <c r="O356" s="104" t="s">
        <v>52</v>
      </c>
      <c r="P356" s="104" t="s">
        <v>52</v>
      </c>
      <c r="Q356" s="105"/>
      <c r="R356" s="28" t="s">
        <v>611</v>
      </c>
      <c r="S356" s="225">
        <f t="shared" si="5"/>
        <v>55427</v>
      </c>
      <c r="T356" s="2" t="s">
        <v>7695</v>
      </c>
      <c r="U356" s="7" t="s">
        <v>92</v>
      </c>
      <c r="V356" s="162" t="str" cm="1">
        <f t="array" ref="V356">_xlfn.IFS(C356="","",COUNTIF(C356,"ตำแหน่งว่าง*"),"ว่าง",COUNTIF(C356,"&lt;&gt;ตำแหน่งว่าง*"),"คนครอง")</f>
        <v>คนครอง</v>
      </c>
      <c r="W356" s="49" cm="1">
        <f t="array" ref="W356">_xlfn.IFS(COUNTIF(F356,"ผบ.หมู่*"),51,COUNTIF(F356,"รอง สว.*"),43)</f>
        <v>51</v>
      </c>
      <c r="X356" s="1" t="s">
        <v>2141</v>
      </c>
      <c r="Y356" s="1" t="s">
        <v>52</v>
      </c>
    </row>
    <row r="357" spans="1:25" s="9" customFormat="1" ht="21.3" customHeight="1">
      <c r="A357" s="27" t="s">
        <v>182</v>
      </c>
      <c r="B357" s="28" t="s">
        <v>12</v>
      </c>
      <c r="C357" s="27" t="s">
        <v>2143</v>
      </c>
      <c r="D357" s="27" t="s">
        <v>8276</v>
      </c>
      <c r="E357" s="27" t="s">
        <v>8555</v>
      </c>
      <c r="F357" s="27" t="s">
        <v>2124</v>
      </c>
      <c r="G357" s="101" t="s">
        <v>2145</v>
      </c>
      <c r="H357" s="75">
        <v>44636</v>
      </c>
      <c r="I357" s="73">
        <v>44636</v>
      </c>
      <c r="J357" s="73">
        <v>44636</v>
      </c>
      <c r="K357" s="73">
        <v>32361</v>
      </c>
      <c r="L357" s="27" t="s">
        <v>1957</v>
      </c>
      <c r="M357" s="28" t="s">
        <v>13</v>
      </c>
      <c r="N357" s="112" t="s">
        <v>14</v>
      </c>
      <c r="O357" s="104" t="s">
        <v>52</v>
      </c>
      <c r="P357" s="104" t="s">
        <v>52</v>
      </c>
      <c r="Q357" s="105"/>
      <c r="R357" s="28" t="s">
        <v>611</v>
      </c>
      <c r="S357" s="225">
        <f t="shared" si="5"/>
        <v>54332</v>
      </c>
      <c r="T357" s="2" t="s">
        <v>7695</v>
      </c>
      <c r="U357" s="7" t="s">
        <v>92</v>
      </c>
      <c r="V357" s="162" t="str" cm="1">
        <f t="array" ref="V357">_xlfn.IFS(C357="","",COUNTIF(C357,"ตำแหน่งว่าง*"),"ว่าง",COUNTIF(C357,"&lt;&gt;ตำแหน่งว่าง*"),"คนครอง")</f>
        <v>คนครอง</v>
      </c>
      <c r="W357" s="49" cm="1">
        <f t="array" ref="W357">_xlfn.IFS(COUNTIF(F357,"ผบ.หมู่*"),51,COUNTIF(F357,"รอง สว.*"),43)</f>
        <v>51</v>
      </c>
      <c r="X357" s="1" t="s">
        <v>2144</v>
      </c>
      <c r="Y357" s="1" t="s">
        <v>52</v>
      </c>
    </row>
    <row r="358" spans="1:25" s="9" customFormat="1" ht="21.3" customHeight="1">
      <c r="A358" s="27" t="s">
        <v>182</v>
      </c>
      <c r="B358" s="28" t="s">
        <v>12</v>
      </c>
      <c r="C358" s="27" t="s">
        <v>2146</v>
      </c>
      <c r="D358" s="27" t="s">
        <v>8101</v>
      </c>
      <c r="E358" s="27" t="s">
        <v>8062</v>
      </c>
      <c r="F358" s="27" t="s">
        <v>2124</v>
      </c>
      <c r="G358" s="101" t="s">
        <v>2148</v>
      </c>
      <c r="H358" s="75">
        <v>44636</v>
      </c>
      <c r="I358" s="73">
        <v>44636</v>
      </c>
      <c r="J358" s="73">
        <v>44636</v>
      </c>
      <c r="K358" s="73">
        <v>35897</v>
      </c>
      <c r="L358" s="27" t="s">
        <v>7821</v>
      </c>
      <c r="M358" s="28" t="s">
        <v>42</v>
      </c>
      <c r="N358" s="112" t="s">
        <v>14</v>
      </c>
      <c r="O358" s="104" t="s">
        <v>52</v>
      </c>
      <c r="P358" s="104" t="s">
        <v>52</v>
      </c>
      <c r="Q358" s="105"/>
      <c r="R358" s="28" t="s">
        <v>611</v>
      </c>
      <c r="S358" s="225">
        <f t="shared" si="5"/>
        <v>57984</v>
      </c>
      <c r="T358" s="2" t="s">
        <v>7695</v>
      </c>
      <c r="U358" s="7" t="s">
        <v>92</v>
      </c>
      <c r="V358" s="162" t="str" cm="1">
        <f t="array" ref="V358">_xlfn.IFS(C358="","",COUNTIF(C358,"ตำแหน่งว่าง*"),"ว่าง",COUNTIF(C358,"&lt;&gt;ตำแหน่งว่าง*"),"คนครอง")</f>
        <v>คนครอง</v>
      </c>
      <c r="W358" s="49" cm="1">
        <f t="array" ref="W358">_xlfn.IFS(COUNTIF(F358,"ผบ.หมู่*"),51,COUNTIF(F358,"รอง สว.*"),43)</f>
        <v>51</v>
      </c>
      <c r="X358" s="1" t="s">
        <v>2147</v>
      </c>
      <c r="Y358" s="1" t="s">
        <v>52</v>
      </c>
    </row>
    <row r="359" spans="1:25" s="9" customFormat="1" ht="21.3" customHeight="1">
      <c r="A359" s="27" t="s">
        <v>182</v>
      </c>
      <c r="B359" s="28" t="s">
        <v>21</v>
      </c>
      <c r="C359" s="27" t="s">
        <v>2149</v>
      </c>
      <c r="D359" s="27" t="s">
        <v>8195</v>
      </c>
      <c r="E359" s="27" t="s">
        <v>8556</v>
      </c>
      <c r="F359" s="27" t="s">
        <v>2124</v>
      </c>
      <c r="G359" s="101" t="s">
        <v>2151</v>
      </c>
      <c r="H359" s="75">
        <v>44636</v>
      </c>
      <c r="I359" s="73">
        <v>44636</v>
      </c>
      <c r="J359" s="73">
        <v>44636</v>
      </c>
      <c r="K359" s="73">
        <v>35923</v>
      </c>
      <c r="L359" s="27" t="s">
        <v>1957</v>
      </c>
      <c r="M359" s="28" t="s">
        <v>57</v>
      </c>
      <c r="N359" s="112" t="s">
        <v>14</v>
      </c>
      <c r="O359" s="104" t="s">
        <v>52</v>
      </c>
      <c r="P359" s="104" t="s">
        <v>52</v>
      </c>
      <c r="Q359" s="105"/>
      <c r="R359" s="28" t="s">
        <v>611</v>
      </c>
      <c r="S359" s="225">
        <f t="shared" si="5"/>
        <v>57984</v>
      </c>
      <c r="T359" s="2" t="s">
        <v>7695</v>
      </c>
      <c r="U359" s="7" t="s">
        <v>92</v>
      </c>
      <c r="V359" s="162" t="str" cm="1">
        <f t="array" ref="V359">_xlfn.IFS(C359="","",COUNTIF(C359,"ตำแหน่งว่าง*"),"ว่าง",COUNTIF(C359,"&lt;&gt;ตำแหน่งว่าง*"),"คนครอง")</f>
        <v>คนครอง</v>
      </c>
      <c r="W359" s="49" cm="1">
        <f t="array" ref="W359">_xlfn.IFS(COUNTIF(F359,"ผบ.หมู่*"),51,COUNTIF(F359,"รอง สว.*"),43)</f>
        <v>51</v>
      </c>
      <c r="X359" s="1" t="s">
        <v>2150</v>
      </c>
      <c r="Y359" s="1" t="s">
        <v>52</v>
      </c>
    </row>
    <row r="360" spans="1:25" s="10" customFormat="1" ht="21.3" customHeight="1">
      <c r="A360" s="65" t="s">
        <v>169</v>
      </c>
      <c r="B360" s="66" t="s">
        <v>21</v>
      </c>
      <c r="C360" s="65" t="s">
        <v>2152</v>
      </c>
      <c r="D360" s="27" t="s">
        <v>8557</v>
      </c>
      <c r="E360" s="27" t="s">
        <v>8558</v>
      </c>
      <c r="F360" s="65" t="s">
        <v>2124</v>
      </c>
      <c r="G360" s="101" t="s">
        <v>2154</v>
      </c>
      <c r="H360" s="81">
        <v>44986</v>
      </c>
      <c r="I360" s="77">
        <v>44986</v>
      </c>
      <c r="J360" s="77">
        <v>44986</v>
      </c>
      <c r="K360" s="77">
        <v>34101</v>
      </c>
      <c r="L360" s="27" t="s">
        <v>82</v>
      </c>
      <c r="M360" s="30" t="s">
        <v>24</v>
      </c>
      <c r="N360" s="114" t="s">
        <v>14</v>
      </c>
      <c r="O360" s="104" t="s">
        <v>52</v>
      </c>
      <c r="P360" s="104" t="s">
        <v>52</v>
      </c>
      <c r="Q360" s="107"/>
      <c r="R360" s="66" t="s">
        <v>861</v>
      </c>
      <c r="S360" s="225">
        <f t="shared" si="5"/>
        <v>56158</v>
      </c>
      <c r="T360" s="7" t="s">
        <v>7695</v>
      </c>
      <c r="U360" s="7" t="s">
        <v>92</v>
      </c>
      <c r="V360" s="162" t="str" cm="1">
        <f t="array" ref="V360">_xlfn.IFS(C360="","",COUNTIF(C360,"ตำแหน่งว่าง*"),"ว่าง",COUNTIF(C360,"&lt;&gt;ตำแหน่งว่าง*"),"คนครอง")</f>
        <v>คนครอง</v>
      </c>
      <c r="W360" s="49" cm="1">
        <f t="array" ref="W360">_xlfn.IFS(COUNTIF(F360,"ผบ.หมู่*"),51,COUNTIF(F360,"รอง สว.*"),43)</f>
        <v>51</v>
      </c>
      <c r="X360" s="61" t="s">
        <v>2153</v>
      </c>
      <c r="Y360" s="61" t="s">
        <v>52</v>
      </c>
    </row>
    <row r="361" spans="1:25" s="9" customFormat="1" ht="21.3" customHeight="1">
      <c r="A361" s="27" t="s">
        <v>208</v>
      </c>
      <c r="B361" s="28" t="s">
        <v>21</v>
      </c>
      <c r="C361" s="27" t="s">
        <v>2155</v>
      </c>
      <c r="D361" s="27" t="s">
        <v>8559</v>
      </c>
      <c r="E361" s="27" t="s">
        <v>8560</v>
      </c>
      <c r="F361" s="27" t="s">
        <v>2124</v>
      </c>
      <c r="G361" s="101" t="s">
        <v>2157</v>
      </c>
      <c r="H361" s="91">
        <v>43693</v>
      </c>
      <c r="I361" s="73">
        <v>43693</v>
      </c>
      <c r="J361" s="89">
        <v>43693</v>
      </c>
      <c r="K361" s="73">
        <v>34182</v>
      </c>
      <c r="L361" s="27" t="s">
        <v>1957</v>
      </c>
      <c r="M361" s="28" t="s">
        <v>47</v>
      </c>
      <c r="N361" s="112" t="s">
        <v>14</v>
      </c>
      <c r="O361" s="104" t="s">
        <v>52</v>
      </c>
      <c r="P361" s="104" t="s">
        <v>52</v>
      </c>
      <c r="Q361" s="105"/>
      <c r="R361" s="28" t="s">
        <v>645</v>
      </c>
      <c r="S361" s="225">
        <f t="shared" si="5"/>
        <v>56158</v>
      </c>
      <c r="T361" s="2" t="s">
        <v>7695</v>
      </c>
      <c r="U361" s="7" t="s">
        <v>92</v>
      </c>
      <c r="V361" s="162" t="str" cm="1">
        <f t="array" ref="V361">_xlfn.IFS(C361="","",COUNTIF(C361,"ตำแหน่งว่าง*"),"ว่าง",COUNTIF(C361,"&lt;&gt;ตำแหน่งว่าง*"),"คนครอง")</f>
        <v>คนครอง</v>
      </c>
      <c r="W361" s="49" cm="1">
        <f t="array" ref="W361">_xlfn.IFS(COUNTIF(F361,"ผบ.หมู่*"),51,COUNTIF(F361,"รอง สว.*"),43)</f>
        <v>51</v>
      </c>
      <c r="X361" s="1" t="s">
        <v>2156</v>
      </c>
      <c r="Y361" s="1" t="s">
        <v>52</v>
      </c>
    </row>
    <row r="362" spans="1:25" s="9" customFormat="1" ht="21.3" customHeight="1">
      <c r="A362" s="27" t="s">
        <v>208</v>
      </c>
      <c r="B362" s="28" t="s">
        <v>21</v>
      </c>
      <c r="C362" s="27" t="s">
        <v>2158</v>
      </c>
      <c r="D362" s="27" t="s">
        <v>8561</v>
      </c>
      <c r="E362" s="27" t="s">
        <v>8562</v>
      </c>
      <c r="F362" s="27" t="s">
        <v>2124</v>
      </c>
      <c r="G362" s="101" t="s">
        <v>2160</v>
      </c>
      <c r="H362" s="91">
        <v>43693</v>
      </c>
      <c r="I362" s="73">
        <v>43693</v>
      </c>
      <c r="J362" s="89">
        <v>43693</v>
      </c>
      <c r="K362" s="73">
        <v>33091</v>
      </c>
      <c r="L362" s="27" t="s">
        <v>1957</v>
      </c>
      <c r="M362" s="28" t="s">
        <v>57</v>
      </c>
      <c r="N362" s="112" t="s">
        <v>14</v>
      </c>
      <c r="O362" s="104" t="s">
        <v>52</v>
      </c>
      <c r="P362" s="104" t="s">
        <v>52</v>
      </c>
      <c r="Q362" s="105"/>
      <c r="R362" s="28" t="s">
        <v>645</v>
      </c>
      <c r="S362" s="225">
        <f t="shared" si="5"/>
        <v>55062</v>
      </c>
      <c r="T362" s="2" t="s">
        <v>7695</v>
      </c>
      <c r="U362" s="7" t="s">
        <v>92</v>
      </c>
      <c r="V362" s="162" t="str" cm="1">
        <f t="array" ref="V362">_xlfn.IFS(C362="","",COUNTIF(C362,"ตำแหน่งว่าง*"),"ว่าง",COUNTIF(C362,"&lt;&gt;ตำแหน่งว่าง*"),"คนครอง")</f>
        <v>คนครอง</v>
      </c>
      <c r="W362" s="49" cm="1">
        <f t="array" ref="W362">_xlfn.IFS(COUNTIF(F362,"ผบ.หมู่*"),51,COUNTIF(F362,"รอง สว.*"),43)</f>
        <v>51</v>
      </c>
      <c r="X362" s="1" t="s">
        <v>2159</v>
      </c>
      <c r="Y362" s="1" t="s">
        <v>52</v>
      </c>
    </row>
    <row r="363" spans="1:25" s="10" customFormat="1" ht="21.3" customHeight="1">
      <c r="A363" s="27"/>
      <c r="B363" s="28"/>
      <c r="C363" s="30" t="s">
        <v>18</v>
      </c>
      <c r="D363" s="27"/>
      <c r="E363" s="27"/>
      <c r="F363" s="68" t="s">
        <v>2124</v>
      </c>
      <c r="G363" s="121" t="s">
        <v>2162</v>
      </c>
      <c r="H363" s="91" t="s">
        <v>19</v>
      </c>
      <c r="I363" s="73" t="s">
        <v>19</v>
      </c>
      <c r="J363" s="73" t="s">
        <v>19</v>
      </c>
      <c r="K363" s="73" t="s">
        <v>19</v>
      </c>
      <c r="L363" s="2"/>
      <c r="M363" s="1"/>
      <c r="N363" s="113" t="s">
        <v>14</v>
      </c>
      <c r="O363" s="122" t="s">
        <v>52</v>
      </c>
      <c r="P363" s="122" t="s">
        <v>52</v>
      </c>
      <c r="Q363" s="105"/>
      <c r="R363" s="28"/>
      <c r="S363" s="225" t="str">
        <f t="shared" si="5"/>
        <v/>
      </c>
      <c r="T363" s="7" t="s">
        <v>7695</v>
      </c>
      <c r="U363" s="7" t="s">
        <v>92</v>
      </c>
      <c r="V363" s="171" t="str" cm="1">
        <f t="array" ref="V363">_xlfn.IFS(C363="","",COUNTIF(C363,"ตำแหน่งว่าง*"),"ว่าง",COUNTIF(C363,"&lt;&gt;ตำแหน่งว่าง*"),"คนครอง")</f>
        <v>ว่าง</v>
      </c>
      <c r="W363" s="49" cm="1">
        <f t="array" ref="W363">_xlfn.IFS(COUNTIF(F363,"ผบ.หมู่*"),51,COUNTIF(F363,"รอง สว.*"),43)</f>
        <v>51</v>
      </c>
      <c r="X363" s="6" t="s">
        <v>2161</v>
      </c>
      <c r="Y363" s="6" t="s">
        <v>52</v>
      </c>
    </row>
    <row r="364" spans="1:25" s="10" customFormat="1" ht="21.3" customHeight="1">
      <c r="A364" s="27"/>
      <c r="B364" s="28"/>
      <c r="C364" s="30" t="s">
        <v>18</v>
      </c>
      <c r="D364" s="27"/>
      <c r="E364" s="27"/>
      <c r="F364" s="68" t="s">
        <v>2124</v>
      </c>
      <c r="G364" s="121" t="s">
        <v>2164</v>
      </c>
      <c r="H364" s="91" t="s">
        <v>19</v>
      </c>
      <c r="I364" s="73" t="s">
        <v>19</v>
      </c>
      <c r="J364" s="73" t="s">
        <v>19</v>
      </c>
      <c r="K364" s="73" t="s">
        <v>19</v>
      </c>
      <c r="L364" s="2"/>
      <c r="M364" s="1"/>
      <c r="N364" s="113" t="s">
        <v>14</v>
      </c>
      <c r="O364" s="122" t="s">
        <v>52</v>
      </c>
      <c r="P364" s="122" t="s">
        <v>52</v>
      </c>
      <c r="Q364" s="105"/>
      <c r="R364" s="28"/>
      <c r="S364" s="225" t="str">
        <f t="shared" si="5"/>
        <v/>
      </c>
      <c r="T364" s="7" t="s">
        <v>7695</v>
      </c>
      <c r="U364" s="7" t="s">
        <v>92</v>
      </c>
      <c r="V364" s="171" t="str" cm="1">
        <f t="array" ref="V364">_xlfn.IFS(C364="","",COUNTIF(C364,"ตำแหน่งว่าง*"),"ว่าง",COUNTIF(C364,"&lt;&gt;ตำแหน่งว่าง*"),"คนครอง")</f>
        <v>ว่าง</v>
      </c>
      <c r="W364" s="49" cm="1">
        <f t="array" ref="W364">_xlfn.IFS(COUNTIF(F364,"ผบ.หมู่*"),51,COUNTIF(F364,"รอง สว.*"),43)</f>
        <v>51</v>
      </c>
      <c r="X364" s="6" t="s">
        <v>2163</v>
      </c>
      <c r="Y364" s="6" t="s">
        <v>52</v>
      </c>
    </row>
    <row r="365" spans="1:25" s="10" customFormat="1" ht="21.3" customHeight="1">
      <c r="A365" s="27"/>
      <c r="B365" s="28"/>
      <c r="C365" s="30" t="s">
        <v>18</v>
      </c>
      <c r="D365" s="27"/>
      <c r="E365" s="27"/>
      <c r="F365" s="68" t="s">
        <v>2124</v>
      </c>
      <c r="G365" s="121" t="s">
        <v>2166</v>
      </c>
      <c r="H365" s="91" t="s">
        <v>19</v>
      </c>
      <c r="I365" s="73" t="s">
        <v>19</v>
      </c>
      <c r="J365" s="73" t="s">
        <v>19</v>
      </c>
      <c r="K365" s="73" t="s">
        <v>19</v>
      </c>
      <c r="L365" s="2"/>
      <c r="M365" s="1"/>
      <c r="N365" s="113" t="s">
        <v>14</v>
      </c>
      <c r="O365" s="122" t="s">
        <v>52</v>
      </c>
      <c r="P365" s="122" t="s">
        <v>52</v>
      </c>
      <c r="Q365" s="105"/>
      <c r="R365" s="28"/>
      <c r="S365" s="225" t="str">
        <f t="shared" si="5"/>
        <v/>
      </c>
      <c r="T365" s="7" t="s">
        <v>7695</v>
      </c>
      <c r="U365" s="7" t="s">
        <v>92</v>
      </c>
      <c r="V365" s="171" t="str" cm="1">
        <f t="array" ref="V365">_xlfn.IFS(C365="","",COUNTIF(C365,"ตำแหน่งว่าง*"),"ว่าง",COUNTIF(C365,"&lt;&gt;ตำแหน่งว่าง*"),"คนครอง")</f>
        <v>ว่าง</v>
      </c>
      <c r="W365" s="49" cm="1">
        <f t="array" ref="W365">_xlfn.IFS(COUNTIF(F365,"ผบ.หมู่*"),51,COUNTIF(F365,"รอง สว.*"),43)</f>
        <v>51</v>
      </c>
      <c r="X365" s="6" t="s">
        <v>2165</v>
      </c>
      <c r="Y365" s="6" t="s">
        <v>52</v>
      </c>
    </row>
    <row r="366" spans="1:25" s="10" customFormat="1" ht="21.3" customHeight="1">
      <c r="A366" s="27"/>
      <c r="B366" s="28"/>
      <c r="C366" s="30" t="s">
        <v>18</v>
      </c>
      <c r="D366" s="27"/>
      <c r="E366" s="27"/>
      <c r="F366" s="68" t="s">
        <v>2124</v>
      </c>
      <c r="G366" s="121" t="s">
        <v>2168</v>
      </c>
      <c r="H366" s="91" t="s">
        <v>19</v>
      </c>
      <c r="I366" s="73" t="s">
        <v>19</v>
      </c>
      <c r="J366" s="73" t="s">
        <v>19</v>
      </c>
      <c r="K366" s="73" t="s">
        <v>19</v>
      </c>
      <c r="L366" s="2"/>
      <c r="M366" s="1"/>
      <c r="N366" s="113" t="s">
        <v>14</v>
      </c>
      <c r="O366" s="122" t="s">
        <v>52</v>
      </c>
      <c r="P366" s="122" t="s">
        <v>52</v>
      </c>
      <c r="Q366" s="105"/>
      <c r="R366" s="28"/>
      <c r="S366" s="225" t="str">
        <f t="shared" si="5"/>
        <v/>
      </c>
      <c r="T366" s="7" t="s">
        <v>7695</v>
      </c>
      <c r="U366" s="7" t="s">
        <v>92</v>
      </c>
      <c r="V366" s="171" t="str" cm="1">
        <f t="array" ref="V366">_xlfn.IFS(C366="","",COUNTIF(C366,"ตำแหน่งว่าง*"),"ว่าง",COUNTIF(C366,"&lt;&gt;ตำแหน่งว่าง*"),"คนครอง")</f>
        <v>ว่าง</v>
      </c>
      <c r="W366" s="49" cm="1">
        <f t="array" ref="W366">_xlfn.IFS(COUNTIF(F366,"ผบ.หมู่*"),51,COUNTIF(F366,"รอง สว.*"),43)</f>
        <v>51</v>
      </c>
      <c r="X366" s="6" t="s">
        <v>2167</v>
      </c>
      <c r="Y366" s="6" t="s">
        <v>52</v>
      </c>
    </row>
    <row r="367" spans="1:25" s="10" customFormat="1" ht="21.3" customHeight="1">
      <c r="A367" s="27"/>
      <c r="B367" s="28"/>
      <c r="C367" s="30" t="s">
        <v>18</v>
      </c>
      <c r="D367" s="27"/>
      <c r="E367" s="27"/>
      <c r="F367" s="68" t="s">
        <v>2124</v>
      </c>
      <c r="G367" s="121" t="s">
        <v>2170</v>
      </c>
      <c r="H367" s="91" t="s">
        <v>19</v>
      </c>
      <c r="I367" s="73" t="s">
        <v>19</v>
      </c>
      <c r="J367" s="73" t="s">
        <v>19</v>
      </c>
      <c r="K367" s="73" t="s">
        <v>19</v>
      </c>
      <c r="L367" s="2"/>
      <c r="M367" s="1"/>
      <c r="N367" s="113" t="s">
        <v>14</v>
      </c>
      <c r="O367" s="122" t="s">
        <v>52</v>
      </c>
      <c r="P367" s="122" t="s">
        <v>52</v>
      </c>
      <c r="Q367" s="105"/>
      <c r="R367" s="28"/>
      <c r="S367" s="225" t="str">
        <f t="shared" si="5"/>
        <v/>
      </c>
      <c r="T367" s="7" t="s">
        <v>7695</v>
      </c>
      <c r="U367" s="7" t="s">
        <v>92</v>
      </c>
      <c r="V367" s="171" t="str" cm="1">
        <f t="array" ref="V367">_xlfn.IFS(C367="","",COUNTIF(C367,"ตำแหน่งว่าง*"),"ว่าง",COUNTIF(C367,"&lt;&gt;ตำแหน่งว่าง*"),"คนครอง")</f>
        <v>ว่าง</v>
      </c>
      <c r="W367" s="49" cm="1">
        <f t="array" ref="W367">_xlfn.IFS(COUNTIF(F367,"ผบ.หมู่*"),51,COUNTIF(F367,"รอง สว.*"),43)</f>
        <v>51</v>
      </c>
      <c r="X367" s="6" t="s">
        <v>2169</v>
      </c>
      <c r="Y367" s="6" t="s">
        <v>52</v>
      </c>
    </row>
    <row r="368" spans="1:25" s="10" customFormat="1" ht="21.3" customHeight="1">
      <c r="A368" s="27"/>
      <c r="B368" s="28"/>
      <c r="C368" s="30" t="s">
        <v>18</v>
      </c>
      <c r="D368" s="27"/>
      <c r="E368" s="27"/>
      <c r="F368" s="68" t="s">
        <v>2124</v>
      </c>
      <c r="G368" s="121" t="s">
        <v>2172</v>
      </c>
      <c r="H368" s="91" t="s">
        <v>19</v>
      </c>
      <c r="I368" s="73" t="s">
        <v>19</v>
      </c>
      <c r="J368" s="73" t="s">
        <v>19</v>
      </c>
      <c r="K368" s="73" t="s">
        <v>19</v>
      </c>
      <c r="L368" s="2"/>
      <c r="M368" s="1"/>
      <c r="N368" s="113" t="s">
        <v>14</v>
      </c>
      <c r="O368" s="122" t="s">
        <v>52</v>
      </c>
      <c r="P368" s="122" t="s">
        <v>52</v>
      </c>
      <c r="Q368" s="105"/>
      <c r="R368" s="28"/>
      <c r="S368" s="225" t="str">
        <f t="shared" si="5"/>
        <v/>
      </c>
      <c r="T368" s="7" t="s">
        <v>7695</v>
      </c>
      <c r="U368" s="7" t="s">
        <v>92</v>
      </c>
      <c r="V368" s="171" t="str" cm="1">
        <f t="array" ref="V368">_xlfn.IFS(C368="","",COUNTIF(C368,"ตำแหน่งว่าง*"),"ว่าง",COUNTIF(C368,"&lt;&gt;ตำแหน่งว่าง*"),"คนครอง")</f>
        <v>ว่าง</v>
      </c>
      <c r="W368" s="49" cm="1">
        <f t="array" ref="W368">_xlfn.IFS(COUNTIF(F368,"ผบ.หมู่*"),51,COUNTIF(F368,"รอง สว.*"),43)</f>
        <v>51</v>
      </c>
      <c r="X368" s="6" t="s">
        <v>2171</v>
      </c>
      <c r="Y368" s="6" t="s">
        <v>52</v>
      </c>
    </row>
    <row r="369" spans="1:25" s="10" customFormat="1" ht="21.3" customHeight="1">
      <c r="A369" s="27"/>
      <c r="B369" s="28"/>
      <c r="C369" s="30" t="s">
        <v>18</v>
      </c>
      <c r="D369" s="27"/>
      <c r="E369" s="27"/>
      <c r="F369" s="68" t="s">
        <v>2173</v>
      </c>
      <c r="G369" s="121" t="s">
        <v>2175</v>
      </c>
      <c r="H369" s="91" t="s">
        <v>19</v>
      </c>
      <c r="I369" s="73" t="s">
        <v>19</v>
      </c>
      <c r="J369" s="73" t="s">
        <v>19</v>
      </c>
      <c r="K369" s="73" t="s">
        <v>19</v>
      </c>
      <c r="L369" s="2"/>
      <c r="M369" s="1"/>
      <c r="N369" s="113" t="s">
        <v>14</v>
      </c>
      <c r="O369" s="122" t="s">
        <v>27</v>
      </c>
      <c r="P369" s="122"/>
      <c r="Q369" s="105"/>
      <c r="R369" s="28"/>
      <c r="S369" s="225" t="str">
        <f t="shared" si="5"/>
        <v/>
      </c>
      <c r="T369" s="7" t="s">
        <v>7696</v>
      </c>
      <c r="U369" s="7" t="s">
        <v>92</v>
      </c>
      <c r="V369" s="171" t="str" cm="1">
        <f t="array" ref="V369">_xlfn.IFS(C369="","",COUNTIF(C369,"ตำแหน่งว่าง*"),"ว่าง",COUNTIF(C369,"&lt;&gt;ตำแหน่งว่าง*"),"คนครอง")</f>
        <v>ว่าง</v>
      </c>
      <c r="W369" s="49" cm="1">
        <f t="array" ref="W369">_xlfn.IFS(COUNTIF(F369,"ผบ.หมู่*"),51,COUNTIF(F369,"รอง สว.*"),43)</f>
        <v>51</v>
      </c>
      <c r="X369" s="6" t="s">
        <v>2174</v>
      </c>
      <c r="Y369" s="6" t="s">
        <v>27</v>
      </c>
    </row>
    <row r="370" spans="1:25" s="10" customFormat="1" ht="21.3" customHeight="1">
      <c r="A370" s="27"/>
      <c r="B370" s="28"/>
      <c r="C370" s="30" t="s">
        <v>18</v>
      </c>
      <c r="D370" s="27"/>
      <c r="E370" s="27"/>
      <c r="F370" s="68" t="s">
        <v>2173</v>
      </c>
      <c r="G370" s="121" t="s">
        <v>2177</v>
      </c>
      <c r="H370" s="91" t="s">
        <v>19</v>
      </c>
      <c r="I370" s="73" t="s">
        <v>19</v>
      </c>
      <c r="J370" s="73" t="s">
        <v>19</v>
      </c>
      <c r="K370" s="73" t="s">
        <v>19</v>
      </c>
      <c r="L370" s="2"/>
      <c r="M370" s="1"/>
      <c r="N370" s="113" t="s">
        <v>14</v>
      </c>
      <c r="O370" s="122" t="s">
        <v>27</v>
      </c>
      <c r="P370" s="122"/>
      <c r="Q370" s="105"/>
      <c r="R370" s="28"/>
      <c r="S370" s="225" t="str">
        <f t="shared" si="5"/>
        <v/>
      </c>
      <c r="T370" s="7" t="s">
        <v>7696</v>
      </c>
      <c r="U370" s="7" t="s">
        <v>92</v>
      </c>
      <c r="V370" s="171" t="str" cm="1">
        <f t="array" ref="V370">_xlfn.IFS(C370="","",COUNTIF(C370,"ตำแหน่งว่าง*"),"ว่าง",COUNTIF(C370,"&lt;&gt;ตำแหน่งว่าง*"),"คนครอง")</f>
        <v>ว่าง</v>
      </c>
      <c r="W370" s="49" cm="1">
        <f t="array" ref="W370">_xlfn.IFS(COUNTIF(F370,"ผบ.หมู่*"),51,COUNTIF(F370,"รอง สว.*"),43)</f>
        <v>51</v>
      </c>
      <c r="X370" s="6" t="s">
        <v>2176</v>
      </c>
      <c r="Y370" s="6" t="s">
        <v>27</v>
      </c>
    </row>
    <row r="371" spans="1:25" s="9" customFormat="1" ht="21.3" customHeight="1">
      <c r="A371" s="27" t="s">
        <v>182</v>
      </c>
      <c r="B371" s="28" t="s">
        <v>12</v>
      </c>
      <c r="C371" s="27" t="s">
        <v>2178</v>
      </c>
      <c r="D371" s="27" t="s">
        <v>8563</v>
      </c>
      <c r="E371" s="27" t="s">
        <v>8564</v>
      </c>
      <c r="F371" s="27" t="s">
        <v>2173</v>
      </c>
      <c r="G371" s="101" t="s">
        <v>2180</v>
      </c>
      <c r="H371" s="75">
        <v>44636</v>
      </c>
      <c r="I371" s="73">
        <v>44636</v>
      </c>
      <c r="J371" s="73">
        <v>44636</v>
      </c>
      <c r="K371" s="73">
        <v>37574</v>
      </c>
      <c r="L371" s="68" t="s">
        <v>2181</v>
      </c>
      <c r="M371" s="30" t="s">
        <v>17</v>
      </c>
      <c r="N371" s="112" t="s">
        <v>14</v>
      </c>
      <c r="O371" s="104" t="s">
        <v>52</v>
      </c>
      <c r="P371" s="104" t="s">
        <v>52</v>
      </c>
      <c r="Q371" s="105"/>
      <c r="R371" s="28" t="s">
        <v>611</v>
      </c>
      <c r="S371" s="225">
        <f t="shared" si="5"/>
        <v>59810</v>
      </c>
      <c r="T371" s="2" t="s">
        <v>7696</v>
      </c>
      <c r="U371" s="7" t="s">
        <v>92</v>
      </c>
      <c r="V371" s="162" t="str" cm="1">
        <f t="array" ref="V371">_xlfn.IFS(C371="","",COUNTIF(C371,"ตำแหน่งว่าง*"),"ว่าง",COUNTIF(C371,"&lt;&gt;ตำแหน่งว่าง*"),"คนครอง")</f>
        <v>คนครอง</v>
      </c>
      <c r="W371" s="49" cm="1">
        <f t="array" ref="W371">_xlfn.IFS(COUNTIF(F371,"ผบ.หมู่*"),51,COUNTIF(F371,"รอง สว.*"),43)</f>
        <v>51</v>
      </c>
      <c r="X371" s="1" t="s">
        <v>2179</v>
      </c>
      <c r="Y371" s="1" t="s">
        <v>52</v>
      </c>
    </row>
    <row r="372" spans="1:25" s="9" customFormat="1" ht="21.3" customHeight="1">
      <c r="A372" s="192" t="s">
        <v>169</v>
      </c>
      <c r="B372" s="193" t="s">
        <v>12</v>
      </c>
      <c r="C372" s="192" t="s">
        <v>7883</v>
      </c>
      <c r="D372" s="27" t="s">
        <v>8565</v>
      </c>
      <c r="E372" s="27" t="s">
        <v>8566</v>
      </c>
      <c r="F372" s="192" t="s">
        <v>2173</v>
      </c>
      <c r="G372" s="101" t="s">
        <v>2183</v>
      </c>
      <c r="H372" s="73">
        <v>45463</v>
      </c>
      <c r="I372" s="73">
        <v>45463</v>
      </c>
      <c r="J372" s="73">
        <v>45463</v>
      </c>
      <c r="K372" s="73">
        <v>37883</v>
      </c>
      <c r="L372" s="2" t="s">
        <v>82</v>
      </c>
      <c r="M372" s="28"/>
      <c r="N372" s="112" t="s">
        <v>14</v>
      </c>
      <c r="O372" s="104" t="s">
        <v>52</v>
      </c>
      <c r="P372" s="104" t="s">
        <v>52</v>
      </c>
      <c r="Q372" s="105"/>
      <c r="R372" s="28" t="s">
        <v>7961</v>
      </c>
      <c r="S372" s="174">
        <f t="shared" si="5"/>
        <v>59810</v>
      </c>
      <c r="T372" s="2" t="s">
        <v>7696</v>
      </c>
      <c r="U372" s="2" t="s">
        <v>92</v>
      </c>
      <c r="V372" s="162" t="str" cm="1">
        <f t="array" ref="V372">_xlfn.IFS(C372="","",COUNTIF(C372,"ตำแหน่งว่าง*"),"ว่าง",COUNTIF(C372,"&lt;&gt;ตำแหน่งว่าง*"),"คนครอง")</f>
        <v>คนครอง</v>
      </c>
      <c r="W372" s="49" cm="1">
        <f t="array" ref="W372">_xlfn.IFS(COUNTIF(F372,"ผบ.หมู่*"),51,COUNTIF(F372,"รอง สว.*"),43)</f>
        <v>51</v>
      </c>
      <c r="X372" s="1" t="s">
        <v>2182</v>
      </c>
      <c r="Y372" s="1" t="s">
        <v>52</v>
      </c>
    </row>
    <row r="373" spans="1:25" s="14" customFormat="1" ht="21.3" customHeight="1">
      <c r="A373" s="27" t="s">
        <v>182</v>
      </c>
      <c r="B373" s="28" t="s">
        <v>12</v>
      </c>
      <c r="C373" s="27" t="s">
        <v>2184</v>
      </c>
      <c r="D373" s="27" t="s">
        <v>8169</v>
      </c>
      <c r="E373" s="27" t="s">
        <v>8567</v>
      </c>
      <c r="F373" s="27" t="s">
        <v>2173</v>
      </c>
      <c r="G373" s="101" t="s">
        <v>2186</v>
      </c>
      <c r="H373" s="75">
        <v>44636</v>
      </c>
      <c r="I373" s="73">
        <v>44636</v>
      </c>
      <c r="J373" s="73">
        <v>44636</v>
      </c>
      <c r="K373" s="73">
        <v>35459</v>
      </c>
      <c r="L373" s="68" t="s">
        <v>2187</v>
      </c>
      <c r="M373" s="30" t="s">
        <v>64</v>
      </c>
      <c r="N373" s="112" t="s">
        <v>14</v>
      </c>
      <c r="O373" s="104" t="s">
        <v>52</v>
      </c>
      <c r="P373" s="104" t="s">
        <v>52</v>
      </c>
      <c r="Q373" s="105"/>
      <c r="R373" s="28" t="s">
        <v>611</v>
      </c>
      <c r="S373" s="225">
        <f t="shared" si="5"/>
        <v>57619</v>
      </c>
      <c r="T373" s="2" t="s">
        <v>7696</v>
      </c>
      <c r="U373" s="7" t="s">
        <v>92</v>
      </c>
      <c r="V373" s="162" t="str" cm="1">
        <f t="array" ref="V373">_xlfn.IFS(C373="","",COUNTIF(C373,"ตำแหน่งว่าง*"),"ว่าง",COUNTIF(C373,"&lt;&gt;ตำแหน่งว่าง*"),"คนครอง")</f>
        <v>คนครอง</v>
      </c>
      <c r="W373" s="49" cm="1">
        <f t="array" ref="W373">_xlfn.IFS(COUNTIF(F373,"ผบ.หมู่*"),51,COUNTIF(F373,"รอง สว.*"),43)</f>
        <v>51</v>
      </c>
      <c r="X373" s="1" t="s">
        <v>2185</v>
      </c>
      <c r="Y373" s="1" t="s">
        <v>52</v>
      </c>
    </row>
    <row r="374" spans="1:25" s="9" customFormat="1" ht="21.3" customHeight="1">
      <c r="A374" s="27" t="s">
        <v>182</v>
      </c>
      <c r="B374" s="28" t="s">
        <v>21</v>
      </c>
      <c r="C374" s="27" t="s">
        <v>2188</v>
      </c>
      <c r="D374" s="27" t="s">
        <v>8320</v>
      </c>
      <c r="E374" s="27" t="s">
        <v>8568</v>
      </c>
      <c r="F374" s="27" t="s">
        <v>2173</v>
      </c>
      <c r="G374" s="101" t="s">
        <v>2190</v>
      </c>
      <c r="H374" s="75">
        <v>44636</v>
      </c>
      <c r="I374" s="73">
        <v>44636</v>
      </c>
      <c r="J374" s="73">
        <v>44636</v>
      </c>
      <c r="K374" s="73">
        <v>33659</v>
      </c>
      <c r="L374" s="68" t="s">
        <v>7822</v>
      </c>
      <c r="M374" s="30" t="s">
        <v>72</v>
      </c>
      <c r="N374" s="112" t="s">
        <v>14</v>
      </c>
      <c r="O374" s="104" t="s">
        <v>52</v>
      </c>
      <c r="P374" s="104" t="s">
        <v>52</v>
      </c>
      <c r="Q374" s="105"/>
      <c r="R374" s="28" t="s">
        <v>611</v>
      </c>
      <c r="S374" s="225">
        <f t="shared" si="5"/>
        <v>55793</v>
      </c>
      <c r="T374" s="2" t="s">
        <v>7696</v>
      </c>
      <c r="U374" s="7" t="s">
        <v>92</v>
      </c>
      <c r="V374" s="162" t="str" cm="1">
        <f t="array" ref="V374">_xlfn.IFS(C374="","",COUNTIF(C374,"ตำแหน่งว่าง*"),"ว่าง",COUNTIF(C374,"&lt;&gt;ตำแหน่งว่าง*"),"คนครอง")</f>
        <v>คนครอง</v>
      </c>
      <c r="W374" s="49" cm="1">
        <f t="array" ref="W374">_xlfn.IFS(COUNTIF(F374,"ผบ.หมู่*"),51,COUNTIF(F374,"รอง สว.*"),43)</f>
        <v>51</v>
      </c>
      <c r="X374" s="1" t="s">
        <v>2189</v>
      </c>
      <c r="Y374" s="1" t="s">
        <v>52</v>
      </c>
    </row>
    <row r="375" spans="1:25" s="10" customFormat="1" ht="21.3" customHeight="1">
      <c r="A375" s="192" t="s">
        <v>169</v>
      </c>
      <c r="B375" s="193" t="s">
        <v>21</v>
      </c>
      <c r="C375" s="192" t="s">
        <v>7884</v>
      </c>
      <c r="D375" s="27" t="s">
        <v>8061</v>
      </c>
      <c r="E375" s="27" t="s">
        <v>8569</v>
      </c>
      <c r="F375" s="192" t="s">
        <v>2173</v>
      </c>
      <c r="G375" s="101" t="s">
        <v>2192</v>
      </c>
      <c r="H375" s="73">
        <v>45463</v>
      </c>
      <c r="I375" s="73">
        <v>45463</v>
      </c>
      <c r="J375" s="73">
        <v>45463</v>
      </c>
      <c r="K375" s="73">
        <v>35896</v>
      </c>
      <c r="L375" s="2" t="s">
        <v>82</v>
      </c>
      <c r="M375" s="1"/>
      <c r="N375" s="112" t="s">
        <v>14</v>
      </c>
      <c r="O375" s="104" t="s">
        <v>52</v>
      </c>
      <c r="P375" s="104" t="s">
        <v>52</v>
      </c>
      <c r="Q375" s="105"/>
      <c r="R375" s="28" t="s">
        <v>7961</v>
      </c>
      <c r="S375" s="174">
        <f t="shared" si="5"/>
        <v>57984</v>
      </c>
      <c r="T375" s="2" t="s">
        <v>7696</v>
      </c>
      <c r="U375" s="2" t="s">
        <v>92</v>
      </c>
      <c r="V375" s="162" t="str" cm="1">
        <f t="array" ref="V375">_xlfn.IFS(C375="","",COUNTIF(C375,"ตำแหน่งว่าง*"),"ว่าง",COUNTIF(C375,"&lt;&gt;ตำแหน่งว่าง*"),"คนครอง")</f>
        <v>คนครอง</v>
      </c>
      <c r="W375" s="49" cm="1">
        <f t="array" ref="W375">_xlfn.IFS(COUNTIF(F375,"ผบ.หมู่*"),51,COUNTIF(F375,"รอง สว.*"),43)</f>
        <v>51</v>
      </c>
      <c r="X375" s="1" t="s">
        <v>2191</v>
      </c>
      <c r="Y375" s="1" t="s">
        <v>52</v>
      </c>
    </row>
    <row r="376" spans="1:25" s="10" customFormat="1" ht="21.3" customHeight="1">
      <c r="A376" s="27"/>
      <c r="B376" s="28"/>
      <c r="C376" s="30" t="s">
        <v>18</v>
      </c>
      <c r="D376" s="27"/>
      <c r="E376" s="27"/>
      <c r="F376" s="68" t="s">
        <v>2173</v>
      </c>
      <c r="G376" s="121" t="s">
        <v>2194</v>
      </c>
      <c r="H376" s="91" t="s">
        <v>19</v>
      </c>
      <c r="I376" s="73" t="s">
        <v>19</v>
      </c>
      <c r="J376" s="73" t="s">
        <v>19</v>
      </c>
      <c r="K376" s="73" t="s">
        <v>19</v>
      </c>
      <c r="L376" s="2"/>
      <c r="M376" s="1"/>
      <c r="N376" s="113" t="s">
        <v>14</v>
      </c>
      <c r="O376" s="122" t="s">
        <v>52</v>
      </c>
      <c r="P376" s="122" t="s">
        <v>52</v>
      </c>
      <c r="Q376" s="105"/>
      <c r="R376" s="28"/>
      <c r="S376" s="225" t="str">
        <f t="shared" si="5"/>
        <v/>
      </c>
      <c r="T376" s="7" t="s">
        <v>7696</v>
      </c>
      <c r="U376" s="7" t="s">
        <v>92</v>
      </c>
      <c r="V376" s="171" t="str" cm="1">
        <f t="array" ref="V376">_xlfn.IFS(C376="","",COUNTIF(C376,"ตำแหน่งว่าง*"),"ว่าง",COUNTIF(C376,"&lt;&gt;ตำแหน่งว่าง*"),"คนครอง")</f>
        <v>ว่าง</v>
      </c>
      <c r="W376" s="49" cm="1">
        <f t="array" ref="W376">_xlfn.IFS(COUNTIF(F376,"ผบ.หมู่*"),51,COUNTIF(F376,"รอง สว.*"),43)</f>
        <v>51</v>
      </c>
      <c r="X376" s="6" t="s">
        <v>2193</v>
      </c>
      <c r="Y376" s="6" t="s">
        <v>52</v>
      </c>
    </row>
    <row r="377" spans="1:25" s="10" customFormat="1" ht="21.3" customHeight="1">
      <c r="A377" s="27"/>
      <c r="B377" s="28"/>
      <c r="C377" s="30" t="s">
        <v>18</v>
      </c>
      <c r="D377" s="27"/>
      <c r="E377" s="27"/>
      <c r="F377" s="68" t="s">
        <v>2173</v>
      </c>
      <c r="G377" s="121" t="s">
        <v>2196</v>
      </c>
      <c r="H377" s="91" t="s">
        <v>19</v>
      </c>
      <c r="I377" s="73" t="s">
        <v>19</v>
      </c>
      <c r="J377" s="73" t="s">
        <v>19</v>
      </c>
      <c r="K377" s="73" t="s">
        <v>19</v>
      </c>
      <c r="L377" s="2"/>
      <c r="M377" s="1"/>
      <c r="N377" s="113" t="s">
        <v>14</v>
      </c>
      <c r="O377" s="122" t="s">
        <v>52</v>
      </c>
      <c r="P377" s="122" t="s">
        <v>52</v>
      </c>
      <c r="Q377" s="105"/>
      <c r="R377" s="28"/>
      <c r="S377" s="225" t="str">
        <f t="shared" si="5"/>
        <v/>
      </c>
      <c r="T377" s="7" t="s">
        <v>7696</v>
      </c>
      <c r="U377" s="7" t="s">
        <v>92</v>
      </c>
      <c r="V377" s="171" t="str" cm="1">
        <f t="array" ref="V377">_xlfn.IFS(C377="","",COUNTIF(C377,"ตำแหน่งว่าง*"),"ว่าง",COUNTIF(C377,"&lt;&gt;ตำแหน่งว่าง*"),"คนครอง")</f>
        <v>ว่าง</v>
      </c>
      <c r="W377" s="49" cm="1">
        <f t="array" ref="W377">_xlfn.IFS(COUNTIF(F377,"ผบ.หมู่*"),51,COUNTIF(F377,"รอง สว.*"),43)</f>
        <v>51</v>
      </c>
      <c r="X377" s="6" t="s">
        <v>2195</v>
      </c>
      <c r="Y377" s="6" t="s">
        <v>52</v>
      </c>
    </row>
    <row r="378" spans="1:25" s="12" customFormat="1" ht="21.3" customHeight="1">
      <c r="A378" s="27" t="s">
        <v>612</v>
      </c>
      <c r="B378" s="28" t="s">
        <v>12</v>
      </c>
      <c r="C378" s="95" t="s">
        <v>2197</v>
      </c>
      <c r="D378" s="27" t="s">
        <v>8570</v>
      </c>
      <c r="E378" s="27" t="s">
        <v>8571</v>
      </c>
      <c r="F378" s="95" t="s">
        <v>2173</v>
      </c>
      <c r="G378" s="101" t="s">
        <v>2199</v>
      </c>
      <c r="H378" s="91">
        <v>41944</v>
      </c>
      <c r="I378" s="73">
        <v>41944</v>
      </c>
      <c r="J378" s="73">
        <v>41944</v>
      </c>
      <c r="K378" s="73">
        <v>30672</v>
      </c>
      <c r="L378" s="68" t="s">
        <v>2200</v>
      </c>
      <c r="M378" s="1" t="s">
        <v>13</v>
      </c>
      <c r="N378" s="111" t="s">
        <v>14</v>
      </c>
      <c r="O378" s="104" t="s">
        <v>52</v>
      </c>
      <c r="P378" s="104" t="s">
        <v>52</v>
      </c>
      <c r="Q378" s="105"/>
      <c r="R378" s="28" t="s">
        <v>641</v>
      </c>
      <c r="S378" s="225">
        <f t="shared" si="5"/>
        <v>52871</v>
      </c>
      <c r="T378" s="162" t="s">
        <v>7696</v>
      </c>
      <c r="U378" s="7" t="s">
        <v>92</v>
      </c>
      <c r="V378" s="162" t="str" cm="1">
        <f t="array" ref="V378">_xlfn.IFS(C378="","",COUNTIF(C378,"ตำแหน่งว่าง*"),"ว่าง",COUNTIF(C378,"&lt;&gt;ตำแหน่งว่าง*"),"คนครอง")</f>
        <v>คนครอง</v>
      </c>
      <c r="W378" s="49" cm="1">
        <f t="array" ref="W378">_xlfn.IFS(COUNTIF(F378,"ผบ.หมู่*"),51,COUNTIF(F378,"รอง สว.*"),43)</f>
        <v>51</v>
      </c>
      <c r="X378" s="5" t="s">
        <v>2198</v>
      </c>
      <c r="Y378" s="5" t="s">
        <v>52</v>
      </c>
    </row>
    <row r="379" spans="1:25" s="9" customFormat="1" ht="21.3" customHeight="1">
      <c r="A379" s="27" t="s">
        <v>208</v>
      </c>
      <c r="B379" s="28" t="s">
        <v>12</v>
      </c>
      <c r="C379" s="27" t="s">
        <v>2201</v>
      </c>
      <c r="D379" s="27" t="s">
        <v>8125</v>
      </c>
      <c r="E379" s="27" t="s">
        <v>8572</v>
      </c>
      <c r="F379" s="27" t="s">
        <v>2173</v>
      </c>
      <c r="G379" s="101" t="s">
        <v>2203</v>
      </c>
      <c r="H379" s="91">
        <v>43693</v>
      </c>
      <c r="I379" s="73">
        <v>43693</v>
      </c>
      <c r="J379" s="85">
        <v>43693</v>
      </c>
      <c r="K379" s="73">
        <v>34087</v>
      </c>
      <c r="L379" s="27" t="s">
        <v>2204</v>
      </c>
      <c r="M379" s="1" t="s">
        <v>13</v>
      </c>
      <c r="N379" s="112" t="s">
        <v>14</v>
      </c>
      <c r="O379" s="104" t="s">
        <v>52</v>
      </c>
      <c r="P379" s="104" t="s">
        <v>52</v>
      </c>
      <c r="Q379" s="105"/>
      <c r="R379" s="28" t="s">
        <v>645</v>
      </c>
      <c r="S379" s="225">
        <f t="shared" si="5"/>
        <v>56158</v>
      </c>
      <c r="T379" s="2" t="s">
        <v>7696</v>
      </c>
      <c r="U379" s="7" t="s">
        <v>92</v>
      </c>
      <c r="V379" s="162" t="str" cm="1">
        <f t="array" ref="V379">_xlfn.IFS(C379="","",COUNTIF(C379,"ตำแหน่งว่าง*"),"ว่าง",COUNTIF(C379,"&lt;&gt;ตำแหน่งว่าง*"),"คนครอง")</f>
        <v>คนครอง</v>
      </c>
      <c r="W379" s="49" cm="1">
        <f t="array" ref="W379">_xlfn.IFS(COUNTIF(F379,"ผบ.หมู่*"),51,COUNTIF(F379,"รอง สว.*"),43)</f>
        <v>51</v>
      </c>
      <c r="X379" s="1" t="s">
        <v>2202</v>
      </c>
      <c r="Y379" s="1" t="s">
        <v>52</v>
      </c>
    </row>
    <row r="380" spans="1:25" s="9" customFormat="1" ht="21.3" customHeight="1">
      <c r="A380" s="27" t="s">
        <v>208</v>
      </c>
      <c r="B380" s="28" t="s">
        <v>21</v>
      </c>
      <c r="C380" s="27" t="s">
        <v>2205</v>
      </c>
      <c r="D380" s="27" t="s">
        <v>8573</v>
      </c>
      <c r="E380" s="27" t="s">
        <v>7972</v>
      </c>
      <c r="F380" s="27" t="s">
        <v>2173</v>
      </c>
      <c r="G380" s="101" t="s">
        <v>2207</v>
      </c>
      <c r="H380" s="91">
        <v>43693</v>
      </c>
      <c r="I380" s="73">
        <v>43693</v>
      </c>
      <c r="J380" s="85">
        <v>43693</v>
      </c>
      <c r="K380" s="73">
        <v>36566</v>
      </c>
      <c r="L380" s="27" t="s">
        <v>1809</v>
      </c>
      <c r="M380" s="1" t="s">
        <v>17</v>
      </c>
      <c r="N380" s="112" t="s">
        <v>14</v>
      </c>
      <c r="O380" s="104" t="s">
        <v>52</v>
      </c>
      <c r="P380" s="104" t="s">
        <v>52</v>
      </c>
      <c r="Q380" s="105"/>
      <c r="R380" s="28" t="s">
        <v>645</v>
      </c>
      <c r="S380" s="225">
        <f t="shared" si="5"/>
        <v>58715</v>
      </c>
      <c r="T380" s="2" t="s">
        <v>7696</v>
      </c>
      <c r="U380" s="7" t="s">
        <v>92</v>
      </c>
      <c r="V380" s="162" t="str" cm="1">
        <f t="array" ref="V380">_xlfn.IFS(C380="","",COUNTIF(C380,"ตำแหน่งว่าง*"),"ว่าง",COUNTIF(C380,"&lt;&gt;ตำแหน่งว่าง*"),"คนครอง")</f>
        <v>คนครอง</v>
      </c>
      <c r="W380" s="49" cm="1">
        <f t="array" ref="W380">_xlfn.IFS(COUNTIF(F380,"ผบ.หมู่*"),51,COUNTIF(F380,"รอง สว.*"),43)</f>
        <v>51</v>
      </c>
      <c r="X380" s="1" t="s">
        <v>2206</v>
      </c>
      <c r="Y380" s="1" t="s">
        <v>52</v>
      </c>
    </row>
    <row r="381" spans="1:25" s="9" customFormat="1" ht="21.3" customHeight="1">
      <c r="A381" s="27"/>
      <c r="B381" s="28"/>
      <c r="C381" s="30" t="s">
        <v>18</v>
      </c>
      <c r="D381" s="27"/>
      <c r="E381" s="27"/>
      <c r="F381" s="68" t="s">
        <v>2173</v>
      </c>
      <c r="G381" s="121" t="s">
        <v>2209</v>
      </c>
      <c r="H381" s="93"/>
      <c r="I381" s="74"/>
      <c r="J381" s="90"/>
      <c r="K381" s="74"/>
      <c r="L381" s="68"/>
      <c r="M381" s="6"/>
      <c r="N381" s="113" t="s">
        <v>14</v>
      </c>
      <c r="O381" s="122" t="s">
        <v>52</v>
      </c>
      <c r="P381" s="122" t="s">
        <v>52</v>
      </c>
      <c r="Q381" s="106"/>
      <c r="R381" s="30"/>
      <c r="S381" s="225" t="str">
        <f t="shared" si="5"/>
        <v/>
      </c>
      <c r="T381" s="2" t="s">
        <v>7696</v>
      </c>
      <c r="U381" s="7" t="s">
        <v>92</v>
      </c>
      <c r="V381" s="171" t="str" cm="1">
        <f t="array" ref="V381">_xlfn.IFS(C381="","",COUNTIF(C381,"ตำแหน่งว่าง*"),"ว่าง",COUNTIF(C381,"&lt;&gt;ตำแหน่งว่าง*"),"คนครอง")</f>
        <v>ว่าง</v>
      </c>
      <c r="W381" s="49" cm="1">
        <f t="array" ref="W381">_xlfn.IFS(COUNTIF(F381,"ผบ.หมู่*"),51,COUNTIF(F381,"รอง สว.*"),43)</f>
        <v>51</v>
      </c>
      <c r="X381" s="6" t="s">
        <v>2208</v>
      </c>
      <c r="Y381" s="6" t="s">
        <v>52</v>
      </c>
    </row>
    <row r="382" spans="1:25" s="10" customFormat="1" ht="21.3" customHeight="1">
      <c r="A382" s="27"/>
      <c r="B382" s="28"/>
      <c r="C382" s="30" t="s">
        <v>18</v>
      </c>
      <c r="D382" s="27"/>
      <c r="E382" s="27"/>
      <c r="F382" s="68" t="s">
        <v>2173</v>
      </c>
      <c r="G382" s="121" t="s">
        <v>2212</v>
      </c>
      <c r="H382" s="91" t="s">
        <v>19</v>
      </c>
      <c r="I382" s="73" t="s">
        <v>19</v>
      </c>
      <c r="J382" s="73" t="s">
        <v>19</v>
      </c>
      <c r="K382" s="73" t="s">
        <v>19</v>
      </c>
      <c r="L382" s="2"/>
      <c r="M382" s="1"/>
      <c r="N382" s="113" t="s">
        <v>14</v>
      </c>
      <c r="O382" s="122" t="s">
        <v>52</v>
      </c>
      <c r="P382" s="122" t="s">
        <v>52</v>
      </c>
      <c r="Q382" s="105"/>
      <c r="R382" s="28"/>
      <c r="S382" s="225" t="str">
        <f t="shared" si="5"/>
        <v/>
      </c>
      <c r="T382" s="7" t="s">
        <v>7696</v>
      </c>
      <c r="U382" s="7" t="s">
        <v>92</v>
      </c>
      <c r="V382" s="171" t="str" cm="1">
        <f t="array" ref="V382">_xlfn.IFS(C382="","",COUNTIF(C382,"ตำแหน่งว่าง*"),"ว่าง",COUNTIF(C382,"&lt;&gt;ตำแหน่งว่าง*"),"คนครอง")</f>
        <v>ว่าง</v>
      </c>
      <c r="W382" s="49" cm="1">
        <f t="array" ref="W382">_xlfn.IFS(COUNTIF(F382,"ผบ.หมู่*"),51,COUNTIF(F382,"รอง สว.*"),43)</f>
        <v>51</v>
      </c>
      <c r="X382" s="6" t="s">
        <v>2211</v>
      </c>
      <c r="Y382" s="6" t="s">
        <v>52</v>
      </c>
    </row>
    <row r="383" spans="1:25" s="10" customFormat="1" ht="21.3" customHeight="1">
      <c r="A383" s="27"/>
      <c r="B383" s="28"/>
      <c r="C383" s="30" t="s">
        <v>18</v>
      </c>
      <c r="D383" s="27"/>
      <c r="E383" s="27"/>
      <c r="F383" s="68" t="s">
        <v>2173</v>
      </c>
      <c r="G383" s="121" t="s">
        <v>2214</v>
      </c>
      <c r="H383" s="91" t="s">
        <v>19</v>
      </c>
      <c r="I383" s="73" t="s">
        <v>19</v>
      </c>
      <c r="J383" s="73" t="s">
        <v>19</v>
      </c>
      <c r="K383" s="73" t="s">
        <v>19</v>
      </c>
      <c r="L383" s="2"/>
      <c r="M383" s="1"/>
      <c r="N383" s="113" t="s">
        <v>14</v>
      </c>
      <c r="O383" s="122" t="s">
        <v>52</v>
      </c>
      <c r="P383" s="122" t="s">
        <v>52</v>
      </c>
      <c r="Q383" s="105"/>
      <c r="R383" s="28"/>
      <c r="S383" s="225" t="str">
        <f t="shared" si="5"/>
        <v/>
      </c>
      <c r="T383" s="7" t="s">
        <v>7696</v>
      </c>
      <c r="U383" s="7" t="s">
        <v>92</v>
      </c>
      <c r="V383" s="171" t="str" cm="1">
        <f t="array" ref="V383">_xlfn.IFS(C383="","",COUNTIF(C383,"ตำแหน่งว่าง*"),"ว่าง",COUNTIF(C383,"&lt;&gt;ตำแหน่งว่าง*"),"คนครอง")</f>
        <v>ว่าง</v>
      </c>
      <c r="W383" s="49" cm="1">
        <f t="array" ref="W383">_xlfn.IFS(COUNTIF(F383,"ผบ.หมู่*"),51,COUNTIF(F383,"รอง สว.*"),43)</f>
        <v>51</v>
      </c>
      <c r="X383" s="6" t="s">
        <v>2213</v>
      </c>
      <c r="Y383" s="6" t="s">
        <v>52</v>
      </c>
    </row>
    <row r="384" spans="1:25" s="10" customFormat="1" ht="21.3" customHeight="1">
      <c r="A384" s="27"/>
      <c r="B384" s="28"/>
      <c r="C384" s="30" t="s">
        <v>18</v>
      </c>
      <c r="D384" s="27"/>
      <c r="E384" s="27"/>
      <c r="F384" s="68" t="s">
        <v>2173</v>
      </c>
      <c r="G384" s="121" t="s">
        <v>2216</v>
      </c>
      <c r="H384" s="91" t="s">
        <v>19</v>
      </c>
      <c r="I384" s="73" t="s">
        <v>19</v>
      </c>
      <c r="J384" s="73" t="s">
        <v>19</v>
      </c>
      <c r="K384" s="73" t="s">
        <v>19</v>
      </c>
      <c r="L384" s="2"/>
      <c r="M384" s="1"/>
      <c r="N384" s="113" t="s">
        <v>14</v>
      </c>
      <c r="O384" s="122" t="s">
        <v>52</v>
      </c>
      <c r="P384" s="122" t="s">
        <v>52</v>
      </c>
      <c r="Q384" s="105"/>
      <c r="R384" s="28"/>
      <c r="S384" s="225" t="str">
        <f t="shared" si="5"/>
        <v/>
      </c>
      <c r="T384" s="7" t="s">
        <v>7696</v>
      </c>
      <c r="U384" s="7" t="s">
        <v>92</v>
      </c>
      <c r="V384" s="171" t="str" cm="1">
        <f t="array" ref="V384">_xlfn.IFS(C384="","",COUNTIF(C384,"ตำแหน่งว่าง*"),"ว่าง",COUNTIF(C384,"&lt;&gt;ตำแหน่งว่าง*"),"คนครอง")</f>
        <v>ว่าง</v>
      </c>
      <c r="W384" s="49" cm="1">
        <f t="array" ref="W384">_xlfn.IFS(COUNTIF(F384,"ผบ.หมู่*"),51,COUNTIF(F384,"รอง สว.*"),43)</f>
        <v>51</v>
      </c>
      <c r="X384" s="6" t="s">
        <v>2215</v>
      </c>
      <c r="Y384" s="6" t="s">
        <v>52</v>
      </c>
    </row>
    <row r="385" spans="1:25" s="10" customFormat="1" ht="21.3" customHeight="1">
      <c r="A385" s="27"/>
      <c r="B385" s="28"/>
      <c r="C385" s="30" t="s">
        <v>18</v>
      </c>
      <c r="D385" s="27"/>
      <c r="E385" s="27"/>
      <c r="F385" s="68" t="s">
        <v>2173</v>
      </c>
      <c r="G385" s="121" t="s">
        <v>2218</v>
      </c>
      <c r="H385" s="91" t="s">
        <v>19</v>
      </c>
      <c r="I385" s="73" t="s">
        <v>19</v>
      </c>
      <c r="J385" s="73" t="s">
        <v>19</v>
      </c>
      <c r="K385" s="73" t="s">
        <v>19</v>
      </c>
      <c r="L385" s="2"/>
      <c r="M385" s="1"/>
      <c r="N385" s="113" t="s">
        <v>14</v>
      </c>
      <c r="O385" s="122" t="s">
        <v>52</v>
      </c>
      <c r="P385" s="122" t="s">
        <v>52</v>
      </c>
      <c r="Q385" s="105"/>
      <c r="R385" s="28"/>
      <c r="S385" s="225" t="str">
        <f t="shared" si="5"/>
        <v/>
      </c>
      <c r="T385" s="7" t="s">
        <v>7696</v>
      </c>
      <c r="U385" s="7" t="s">
        <v>92</v>
      </c>
      <c r="V385" s="171" t="str" cm="1">
        <f t="array" ref="V385">_xlfn.IFS(C385="","",COUNTIF(C385,"ตำแหน่งว่าง*"),"ว่าง",COUNTIF(C385,"&lt;&gt;ตำแหน่งว่าง*"),"คนครอง")</f>
        <v>ว่าง</v>
      </c>
      <c r="W385" s="49" cm="1">
        <f t="array" ref="W385">_xlfn.IFS(COUNTIF(F385,"ผบ.หมู่*"),51,COUNTIF(F385,"รอง สว.*"),43)</f>
        <v>51</v>
      </c>
      <c r="X385" s="6" t="s">
        <v>2217</v>
      </c>
      <c r="Y385" s="6" t="s">
        <v>52</v>
      </c>
    </row>
    <row r="386" spans="1:25" s="10" customFormat="1" ht="21.3" customHeight="1">
      <c r="A386" s="27"/>
      <c r="B386" s="28"/>
      <c r="C386" s="30" t="s">
        <v>18</v>
      </c>
      <c r="D386" s="27"/>
      <c r="E386" s="27"/>
      <c r="F386" s="68" t="s">
        <v>2173</v>
      </c>
      <c r="G386" s="121" t="s">
        <v>2220</v>
      </c>
      <c r="H386" s="91" t="s">
        <v>19</v>
      </c>
      <c r="I386" s="73" t="s">
        <v>19</v>
      </c>
      <c r="J386" s="73" t="s">
        <v>19</v>
      </c>
      <c r="K386" s="73" t="s">
        <v>19</v>
      </c>
      <c r="L386" s="2"/>
      <c r="M386" s="1"/>
      <c r="N386" s="113" t="s">
        <v>14</v>
      </c>
      <c r="O386" s="122" t="s">
        <v>52</v>
      </c>
      <c r="P386" s="122" t="s">
        <v>52</v>
      </c>
      <c r="Q386" s="105"/>
      <c r="R386" s="28"/>
      <c r="S386" s="225" t="str">
        <f t="shared" ref="S386:S449" si="6">IF(K386&lt;&gt;"",DATE(YEAR(K386)+60+(K386&gt;=DATE(YEAR(K386),10,2)),10,1),"")</f>
        <v/>
      </c>
      <c r="T386" s="7" t="s">
        <v>7696</v>
      </c>
      <c r="U386" s="7" t="s">
        <v>92</v>
      </c>
      <c r="V386" s="171" t="str" cm="1">
        <f t="array" ref="V386">_xlfn.IFS(C386="","",COUNTIF(C386,"ตำแหน่งว่าง*"),"ว่าง",COUNTIF(C386,"&lt;&gt;ตำแหน่งว่าง*"),"คนครอง")</f>
        <v>ว่าง</v>
      </c>
      <c r="W386" s="49" cm="1">
        <f t="array" ref="W386">_xlfn.IFS(COUNTIF(F386,"ผบ.หมู่*"),51,COUNTIF(F386,"รอง สว.*"),43)</f>
        <v>51</v>
      </c>
      <c r="X386" s="6" t="s">
        <v>2219</v>
      </c>
      <c r="Y386" s="6" t="s">
        <v>52</v>
      </c>
    </row>
    <row r="387" spans="1:25" s="10" customFormat="1" ht="21.3" customHeight="1">
      <c r="A387" s="27"/>
      <c r="B387" s="28"/>
      <c r="C387" s="30" t="s">
        <v>18</v>
      </c>
      <c r="D387" s="27"/>
      <c r="E387" s="27"/>
      <c r="F387" s="68" t="s">
        <v>2221</v>
      </c>
      <c r="G387" s="121" t="s">
        <v>2223</v>
      </c>
      <c r="H387" s="91" t="s">
        <v>19</v>
      </c>
      <c r="I387" s="73" t="s">
        <v>19</v>
      </c>
      <c r="J387" s="73" t="s">
        <v>19</v>
      </c>
      <c r="K387" s="73" t="s">
        <v>19</v>
      </c>
      <c r="L387" s="2"/>
      <c r="M387" s="1"/>
      <c r="N387" s="113" t="s">
        <v>14</v>
      </c>
      <c r="O387" s="122" t="s">
        <v>52</v>
      </c>
      <c r="P387" s="122" t="s">
        <v>52</v>
      </c>
      <c r="Q387" s="105"/>
      <c r="R387" s="28"/>
      <c r="S387" s="225" t="str">
        <f t="shared" si="6"/>
        <v/>
      </c>
      <c r="T387" s="7" t="s">
        <v>7697</v>
      </c>
      <c r="U387" s="7" t="s">
        <v>92</v>
      </c>
      <c r="V387" s="171" t="str" cm="1">
        <f t="array" ref="V387">_xlfn.IFS(C387="","",COUNTIF(C387,"ตำแหน่งว่าง*"),"ว่าง",COUNTIF(C387,"&lt;&gt;ตำแหน่งว่าง*"),"คนครอง")</f>
        <v>ว่าง</v>
      </c>
      <c r="W387" s="49" cm="1">
        <f t="array" ref="W387">_xlfn.IFS(COUNTIF(F387,"ผบ.หมู่*"),51,COUNTIF(F387,"รอง สว.*"),43)</f>
        <v>51</v>
      </c>
      <c r="X387" s="6" t="s">
        <v>2222</v>
      </c>
      <c r="Y387" s="6" t="s">
        <v>52</v>
      </c>
    </row>
    <row r="388" spans="1:25" s="10" customFormat="1" ht="21.3" customHeight="1">
      <c r="A388" s="27"/>
      <c r="B388" s="28"/>
      <c r="C388" s="30" t="s">
        <v>18</v>
      </c>
      <c r="D388" s="27"/>
      <c r="E388" s="27"/>
      <c r="F388" s="68" t="s">
        <v>2221</v>
      </c>
      <c r="G388" s="121" t="s">
        <v>2225</v>
      </c>
      <c r="H388" s="91" t="s">
        <v>19</v>
      </c>
      <c r="I388" s="73" t="s">
        <v>19</v>
      </c>
      <c r="J388" s="73" t="s">
        <v>19</v>
      </c>
      <c r="K388" s="73" t="s">
        <v>19</v>
      </c>
      <c r="L388" s="2"/>
      <c r="M388" s="1"/>
      <c r="N388" s="113" t="s">
        <v>14</v>
      </c>
      <c r="O388" s="122" t="s">
        <v>52</v>
      </c>
      <c r="P388" s="122" t="s">
        <v>52</v>
      </c>
      <c r="Q388" s="105"/>
      <c r="R388" s="28"/>
      <c r="S388" s="225" t="str">
        <f t="shared" si="6"/>
        <v/>
      </c>
      <c r="T388" s="7" t="s">
        <v>7697</v>
      </c>
      <c r="U388" s="7" t="s">
        <v>92</v>
      </c>
      <c r="V388" s="171" t="str" cm="1">
        <f t="array" ref="V388">_xlfn.IFS(C388="","",COUNTIF(C388,"ตำแหน่งว่าง*"),"ว่าง",COUNTIF(C388,"&lt;&gt;ตำแหน่งว่าง*"),"คนครอง")</f>
        <v>ว่าง</v>
      </c>
      <c r="W388" s="49" cm="1">
        <f t="array" ref="W388">_xlfn.IFS(COUNTIF(F388,"ผบ.หมู่*"),51,COUNTIF(F388,"รอง สว.*"),43)</f>
        <v>51</v>
      </c>
      <c r="X388" s="6" t="s">
        <v>2224</v>
      </c>
      <c r="Y388" s="6" t="s">
        <v>52</v>
      </c>
    </row>
    <row r="389" spans="1:25" s="10" customFormat="1" ht="21.3" customHeight="1">
      <c r="A389" s="27"/>
      <c r="B389" s="28"/>
      <c r="C389" s="30" t="s">
        <v>18</v>
      </c>
      <c r="D389" s="27"/>
      <c r="E389" s="27"/>
      <c r="F389" s="68" t="s">
        <v>2221</v>
      </c>
      <c r="G389" s="121" t="s">
        <v>2227</v>
      </c>
      <c r="H389" s="91" t="s">
        <v>19</v>
      </c>
      <c r="I389" s="73" t="s">
        <v>19</v>
      </c>
      <c r="J389" s="73" t="s">
        <v>19</v>
      </c>
      <c r="K389" s="73" t="s">
        <v>19</v>
      </c>
      <c r="L389" s="2"/>
      <c r="M389" s="1"/>
      <c r="N389" s="113" t="s">
        <v>14</v>
      </c>
      <c r="O389" s="122" t="s">
        <v>52</v>
      </c>
      <c r="P389" s="122" t="s">
        <v>52</v>
      </c>
      <c r="Q389" s="105"/>
      <c r="R389" s="28"/>
      <c r="S389" s="225" t="str">
        <f t="shared" si="6"/>
        <v/>
      </c>
      <c r="T389" s="7" t="s">
        <v>7697</v>
      </c>
      <c r="U389" s="7" t="s">
        <v>92</v>
      </c>
      <c r="V389" s="171" t="str" cm="1">
        <f t="array" ref="V389">_xlfn.IFS(C389="","",COUNTIF(C389,"ตำแหน่งว่าง*"),"ว่าง",COUNTIF(C389,"&lt;&gt;ตำแหน่งว่าง*"),"คนครอง")</f>
        <v>ว่าง</v>
      </c>
      <c r="W389" s="49" cm="1">
        <f t="array" ref="W389">_xlfn.IFS(COUNTIF(F389,"ผบ.หมู่*"),51,COUNTIF(F389,"รอง สว.*"),43)</f>
        <v>51</v>
      </c>
      <c r="X389" s="6" t="s">
        <v>2226</v>
      </c>
      <c r="Y389" s="6" t="s">
        <v>52</v>
      </c>
    </row>
    <row r="390" spans="1:25" s="10" customFormat="1" ht="21.3" customHeight="1">
      <c r="A390" s="152" t="s">
        <v>62</v>
      </c>
      <c r="B390" s="153"/>
      <c r="C390" s="125"/>
      <c r="D390" s="27"/>
      <c r="E390" s="158"/>
      <c r="F390" s="158"/>
      <c r="G390" s="125"/>
      <c r="H390" s="154" t="s">
        <v>19</v>
      </c>
      <c r="I390" s="126" t="s">
        <v>19</v>
      </c>
      <c r="J390" s="126" t="s">
        <v>19</v>
      </c>
      <c r="K390" s="126" t="s">
        <v>19</v>
      </c>
      <c r="L390" s="203"/>
      <c r="M390" s="128"/>
      <c r="N390" s="125"/>
      <c r="O390" s="125"/>
      <c r="P390" s="125"/>
      <c r="Q390" s="160"/>
      <c r="R390" s="128"/>
      <c r="S390" s="226" t="str">
        <f t="shared" si="6"/>
        <v/>
      </c>
      <c r="T390" s="158"/>
      <c r="U390" s="158"/>
      <c r="V390" s="171" t="str" cm="1">
        <f t="array" ref="V390">_xlfn.IFS(C390="","",COUNTIF(C390,"ตำแหน่งว่าง*"),"ว่าง",COUNTIF(C390,"&lt;&gt;ตำแหน่งว่าง*"),"คนครอง")</f>
        <v/>
      </c>
      <c r="W390" s="125"/>
      <c r="X390" s="125"/>
      <c r="Y390" s="125"/>
    </row>
    <row r="391" spans="1:25" s="10" customFormat="1" ht="21.3" customHeight="1">
      <c r="A391" s="27"/>
      <c r="B391" s="28"/>
      <c r="C391" s="30" t="s">
        <v>18</v>
      </c>
      <c r="D391" s="27"/>
      <c r="E391" s="27"/>
      <c r="F391" s="68" t="s">
        <v>524</v>
      </c>
      <c r="G391" s="121" t="s">
        <v>526</v>
      </c>
      <c r="H391" s="91" t="s">
        <v>19</v>
      </c>
      <c r="I391" s="73" t="s">
        <v>19</v>
      </c>
      <c r="J391" s="73" t="s">
        <v>19</v>
      </c>
      <c r="K391" s="73" t="s">
        <v>19</v>
      </c>
      <c r="L391" s="11"/>
      <c r="M391" s="1"/>
      <c r="N391" s="113" t="s">
        <v>14</v>
      </c>
      <c r="O391" s="122" t="s">
        <v>27</v>
      </c>
      <c r="P391" s="122"/>
      <c r="Q391" s="105"/>
      <c r="R391" s="26"/>
      <c r="S391" s="225" t="str">
        <f t="shared" si="6"/>
        <v/>
      </c>
      <c r="T391" s="7" t="s">
        <v>62</v>
      </c>
      <c r="U391" s="7" t="s">
        <v>62</v>
      </c>
      <c r="V391" s="171" t="str" cm="1">
        <f t="array" ref="V391">_xlfn.IFS(C391="","",COUNTIF(C391,"ตำแหน่งว่าง*"),"ว่าง",COUNTIF(C391,"&lt;&gt;ตำแหน่งว่าง*"),"คนครอง")</f>
        <v>ว่าง</v>
      </c>
      <c r="W391" s="49" cm="1">
        <f t="array" ref="W391">_xlfn.IFS(COUNTIF(F391,"ผบ.หมู่*"),51,COUNTIF(F391,"รอง สว.*"),43)</f>
        <v>51</v>
      </c>
      <c r="X391" s="8" t="s">
        <v>525</v>
      </c>
      <c r="Y391" s="6" t="s">
        <v>27</v>
      </c>
    </row>
    <row r="392" spans="1:25" s="10" customFormat="1" ht="21.3" customHeight="1">
      <c r="A392" s="27"/>
      <c r="B392" s="28"/>
      <c r="C392" s="30" t="s">
        <v>18</v>
      </c>
      <c r="D392" s="27"/>
      <c r="E392" s="27"/>
      <c r="F392" s="68" t="s">
        <v>524</v>
      </c>
      <c r="G392" s="121" t="s">
        <v>528</v>
      </c>
      <c r="H392" s="91" t="s">
        <v>19</v>
      </c>
      <c r="I392" s="73" t="s">
        <v>19</v>
      </c>
      <c r="J392" s="73" t="s">
        <v>19</v>
      </c>
      <c r="K392" s="73" t="s">
        <v>19</v>
      </c>
      <c r="L392" s="11"/>
      <c r="M392" s="1"/>
      <c r="N392" s="113" t="s">
        <v>14</v>
      </c>
      <c r="O392" s="122" t="s">
        <v>27</v>
      </c>
      <c r="P392" s="122"/>
      <c r="Q392" s="105"/>
      <c r="R392" s="26"/>
      <c r="S392" s="225" t="str">
        <f t="shared" si="6"/>
        <v/>
      </c>
      <c r="T392" s="7" t="s">
        <v>62</v>
      </c>
      <c r="U392" s="7" t="s">
        <v>62</v>
      </c>
      <c r="V392" s="171" t="str" cm="1">
        <f t="array" ref="V392">_xlfn.IFS(C392="","",COUNTIF(C392,"ตำแหน่งว่าง*"),"ว่าง",COUNTIF(C392,"&lt;&gt;ตำแหน่งว่าง*"),"คนครอง")</f>
        <v>ว่าง</v>
      </c>
      <c r="W392" s="49" cm="1">
        <f t="array" ref="W392">_xlfn.IFS(COUNTIF(F392,"ผบ.หมู่*"),51,COUNTIF(F392,"รอง สว.*"),43)</f>
        <v>51</v>
      </c>
      <c r="X392" s="8" t="s">
        <v>527</v>
      </c>
      <c r="Y392" s="6" t="s">
        <v>27</v>
      </c>
    </row>
    <row r="393" spans="1:25" s="10" customFormat="1" ht="21.3" customHeight="1">
      <c r="A393" s="27"/>
      <c r="B393" s="28"/>
      <c r="C393" s="30" t="s">
        <v>18</v>
      </c>
      <c r="D393" s="27"/>
      <c r="E393" s="27"/>
      <c r="F393" s="68" t="s">
        <v>524</v>
      </c>
      <c r="G393" s="121" t="s">
        <v>530</v>
      </c>
      <c r="H393" s="91" t="s">
        <v>19</v>
      </c>
      <c r="I393" s="73" t="s">
        <v>19</v>
      </c>
      <c r="J393" s="73" t="s">
        <v>19</v>
      </c>
      <c r="K393" s="73" t="s">
        <v>19</v>
      </c>
      <c r="L393" s="11"/>
      <c r="M393" s="1"/>
      <c r="N393" s="113" t="s">
        <v>14</v>
      </c>
      <c r="O393" s="122" t="s">
        <v>27</v>
      </c>
      <c r="P393" s="122"/>
      <c r="Q393" s="105"/>
      <c r="R393" s="26"/>
      <c r="S393" s="225" t="str">
        <f t="shared" si="6"/>
        <v/>
      </c>
      <c r="T393" s="7" t="s">
        <v>62</v>
      </c>
      <c r="U393" s="7" t="s">
        <v>62</v>
      </c>
      <c r="V393" s="171" t="str" cm="1">
        <f t="array" ref="V393">_xlfn.IFS(C393="","",COUNTIF(C393,"ตำแหน่งว่าง*"),"ว่าง",COUNTIF(C393,"&lt;&gt;ตำแหน่งว่าง*"),"คนครอง")</f>
        <v>ว่าง</v>
      </c>
      <c r="W393" s="49" cm="1">
        <f t="array" ref="W393">_xlfn.IFS(COUNTIF(F393,"ผบ.หมู่*"),51,COUNTIF(F393,"รอง สว.*"),43)</f>
        <v>51</v>
      </c>
      <c r="X393" s="8" t="s">
        <v>529</v>
      </c>
      <c r="Y393" s="6" t="s">
        <v>27</v>
      </c>
    </row>
    <row r="394" spans="1:25" s="9" customFormat="1" ht="21.3" customHeight="1">
      <c r="A394" s="68"/>
      <c r="B394" s="30"/>
      <c r="C394" s="30" t="s">
        <v>18</v>
      </c>
      <c r="D394" s="27"/>
      <c r="E394" s="27"/>
      <c r="F394" s="68" t="s">
        <v>531</v>
      </c>
      <c r="G394" s="121" t="s">
        <v>533</v>
      </c>
      <c r="H394" s="93" t="s">
        <v>19</v>
      </c>
      <c r="I394" s="74" t="s">
        <v>19</v>
      </c>
      <c r="J394" s="74" t="s">
        <v>19</v>
      </c>
      <c r="K394" s="74" t="s">
        <v>19</v>
      </c>
      <c r="L394" s="16"/>
      <c r="M394" s="6"/>
      <c r="N394" s="113" t="s">
        <v>14</v>
      </c>
      <c r="O394" s="122" t="s">
        <v>27</v>
      </c>
      <c r="P394" s="122"/>
      <c r="Q394" s="106"/>
      <c r="R394" s="29"/>
      <c r="S394" s="225" t="str">
        <f t="shared" si="6"/>
        <v/>
      </c>
      <c r="T394" s="2" t="s">
        <v>7698</v>
      </c>
      <c r="U394" s="7" t="s">
        <v>62</v>
      </c>
      <c r="V394" s="171" t="str" cm="1">
        <f t="array" ref="V394">_xlfn.IFS(C394="","",COUNTIF(C394,"ตำแหน่งว่าง*"),"ว่าง",COUNTIF(C394,"&lt;&gt;ตำแหน่งว่าง*"),"คนครอง")</f>
        <v>ว่าง</v>
      </c>
      <c r="W394" s="49" cm="1">
        <f t="array" ref="W394">_xlfn.IFS(COUNTIF(F394,"ผบ.หมู่*"),51,COUNTIF(F394,"รอง สว.*"),43)</f>
        <v>51</v>
      </c>
      <c r="X394" s="8" t="s">
        <v>532</v>
      </c>
      <c r="Y394" s="6" t="s">
        <v>27</v>
      </c>
    </row>
    <row r="395" spans="1:25" s="9" customFormat="1" ht="21.3" customHeight="1">
      <c r="A395" s="27"/>
      <c r="B395" s="28"/>
      <c r="C395" s="30" t="s">
        <v>18</v>
      </c>
      <c r="D395" s="27"/>
      <c r="E395" s="27"/>
      <c r="F395" s="27" t="s">
        <v>531</v>
      </c>
      <c r="G395" s="101" t="s">
        <v>535</v>
      </c>
      <c r="H395" s="75"/>
      <c r="I395" s="73"/>
      <c r="J395" s="73"/>
      <c r="K395" s="73"/>
      <c r="L395" s="11"/>
      <c r="M395" s="1"/>
      <c r="N395" s="112" t="s">
        <v>14</v>
      </c>
      <c r="O395" s="104" t="s">
        <v>27</v>
      </c>
      <c r="P395" s="104"/>
      <c r="Q395" s="105"/>
      <c r="R395" s="26"/>
      <c r="S395" s="225" t="str">
        <f t="shared" si="6"/>
        <v/>
      </c>
      <c r="T395" s="2" t="s">
        <v>7698</v>
      </c>
      <c r="U395" s="7" t="s">
        <v>62</v>
      </c>
      <c r="V395" s="162" t="str" cm="1">
        <f t="array" ref="V395">_xlfn.IFS(C395="","",COUNTIF(C395,"ตำแหน่งว่าง*"),"ว่าง",COUNTIF(C395,"&lt;&gt;ตำแหน่งว่าง*"),"คนครอง")</f>
        <v>ว่าง</v>
      </c>
      <c r="W395" s="49" cm="1">
        <f t="array" ref="W395">_xlfn.IFS(COUNTIF(F395,"ผบ.หมู่*"),51,COUNTIF(F395,"รอง สว.*"),43)</f>
        <v>51</v>
      </c>
      <c r="X395" s="3" t="s">
        <v>534</v>
      </c>
      <c r="Y395" s="1" t="s">
        <v>27</v>
      </c>
    </row>
    <row r="396" spans="1:25" s="9" customFormat="1" ht="21.3" customHeight="1">
      <c r="A396" s="27"/>
      <c r="B396" s="28"/>
      <c r="C396" s="28" t="s">
        <v>18</v>
      </c>
      <c r="D396" s="27"/>
      <c r="E396" s="27"/>
      <c r="F396" s="27" t="s">
        <v>531</v>
      </c>
      <c r="G396" s="101" t="s">
        <v>538</v>
      </c>
      <c r="H396" s="75"/>
      <c r="I396" s="73"/>
      <c r="J396" s="73"/>
      <c r="K396" s="73"/>
      <c r="L396" s="11"/>
      <c r="M396" s="1"/>
      <c r="N396" s="112" t="s">
        <v>14</v>
      </c>
      <c r="O396" s="104" t="s">
        <v>27</v>
      </c>
      <c r="P396" s="104"/>
      <c r="Q396" s="105"/>
      <c r="R396" s="26"/>
      <c r="S396" s="174" t="str">
        <f t="shared" si="6"/>
        <v/>
      </c>
      <c r="T396" s="2" t="s">
        <v>7698</v>
      </c>
      <c r="U396" s="2" t="s">
        <v>62</v>
      </c>
      <c r="V396" s="2" t="str" cm="1">
        <f t="array" ref="V396">_xlfn.IFS(C396="","",COUNTIF(C396,"ตำแหน่งว่าง*"),"ว่าง",COUNTIF(C396,"&lt;&gt;ตำแหน่งว่าง*"),"คนครอง")</f>
        <v>ว่าง</v>
      </c>
      <c r="W396" s="170" cm="1">
        <f t="array" ref="W396">_xlfn.IFS(COUNTIF(F396,"ผบ.หมู่*"),51,COUNTIF(F396,"รอง สว.*"),43)</f>
        <v>51</v>
      </c>
      <c r="X396" s="3" t="s">
        <v>537</v>
      </c>
      <c r="Y396" s="1" t="s">
        <v>27</v>
      </c>
    </row>
    <row r="397" spans="1:25" s="10" customFormat="1" ht="21.3" customHeight="1">
      <c r="A397" s="27" t="s">
        <v>169</v>
      </c>
      <c r="B397" s="28" t="s">
        <v>21</v>
      </c>
      <c r="C397" s="27" t="s">
        <v>539</v>
      </c>
      <c r="D397" s="27" t="s">
        <v>8054</v>
      </c>
      <c r="E397" s="27" t="s">
        <v>8576</v>
      </c>
      <c r="F397" s="27" t="s">
        <v>531</v>
      </c>
      <c r="G397" s="101" t="s">
        <v>541</v>
      </c>
      <c r="H397" s="87">
        <v>45092</v>
      </c>
      <c r="I397" s="73">
        <v>45092</v>
      </c>
      <c r="J397" s="72">
        <v>45092</v>
      </c>
      <c r="K397" s="73">
        <v>34962</v>
      </c>
      <c r="L397" s="34" t="s">
        <v>542</v>
      </c>
      <c r="M397" s="28" t="s">
        <v>50</v>
      </c>
      <c r="N397" s="112" t="s">
        <v>14</v>
      </c>
      <c r="O397" s="104" t="s">
        <v>27</v>
      </c>
      <c r="P397" s="104"/>
      <c r="Q397" s="105"/>
      <c r="R397" s="26" t="s">
        <v>174</v>
      </c>
      <c r="S397" s="225">
        <f t="shared" si="6"/>
        <v>56888</v>
      </c>
      <c r="T397" s="7" t="s">
        <v>7698</v>
      </c>
      <c r="U397" s="7" t="s">
        <v>62</v>
      </c>
      <c r="V397" s="162" t="str" cm="1">
        <f t="array" ref="V397">_xlfn.IFS(C397="","",COUNTIF(C397,"ตำแหน่งว่าง*"),"ว่าง",COUNTIF(C397,"&lt;&gt;ตำแหน่งว่าง*"),"คนครอง")</f>
        <v>คนครอง</v>
      </c>
      <c r="W397" s="49" cm="1">
        <f t="array" ref="W397">_xlfn.IFS(COUNTIF(F397,"ผบ.หมู่*"),51,COUNTIF(F397,"รอง สว.*"),43)</f>
        <v>51</v>
      </c>
      <c r="X397" s="3" t="s">
        <v>540</v>
      </c>
      <c r="Y397" s="1" t="s">
        <v>27</v>
      </c>
    </row>
    <row r="398" spans="1:25" s="10" customFormat="1" ht="21.3" customHeight="1">
      <c r="A398" s="27" t="s">
        <v>169</v>
      </c>
      <c r="B398" s="28" t="s">
        <v>21</v>
      </c>
      <c r="C398" s="27" t="s">
        <v>543</v>
      </c>
      <c r="D398" s="27" t="s">
        <v>8577</v>
      </c>
      <c r="E398" s="27" t="s">
        <v>8578</v>
      </c>
      <c r="F398" s="27" t="s">
        <v>531</v>
      </c>
      <c r="G398" s="101" t="s">
        <v>545</v>
      </c>
      <c r="H398" s="87">
        <v>45092</v>
      </c>
      <c r="I398" s="73">
        <v>45092</v>
      </c>
      <c r="J398" s="72">
        <v>45092</v>
      </c>
      <c r="K398" s="73">
        <v>35475</v>
      </c>
      <c r="L398" s="34" t="s">
        <v>546</v>
      </c>
      <c r="M398" s="28" t="s">
        <v>24</v>
      </c>
      <c r="N398" s="112" t="s">
        <v>14</v>
      </c>
      <c r="O398" s="104" t="s">
        <v>27</v>
      </c>
      <c r="P398" s="104"/>
      <c r="Q398" s="105"/>
      <c r="R398" s="26" t="s">
        <v>174</v>
      </c>
      <c r="S398" s="225">
        <f t="shared" si="6"/>
        <v>57619</v>
      </c>
      <c r="T398" s="7" t="s">
        <v>7698</v>
      </c>
      <c r="U398" s="7" t="s">
        <v>62</v>
      </c>
      <c r="V398" s="162" t="str" cm="1">
        <f t="array" ref="V398">_xlfn.IFS(C398="","",COUNTIF(C398,"ตำแหน่งว่าง*"),"ว่าง",COUNTIF(C398,"&lt;&gt;ตำแหน่งว่าง*"),"คนครอง")</f>
        <v>คนครอง</v>
      </c>
      <c r="W398" s="49" cm="1">
        <f t="array" ref="W398">_xlfn.IFS(COUNTIF(F398,"ผบ.หมู่*"),51,COUNTIF(F398,"รอง สว.*"),43)</f>
        <v>51</v>
      </c>
      <c r="X398" s="3" t="s">
        <v>544</v>
      </c>
      <c r="Y398" s="1" t="s">
        <v>27</v>
      </c>
    </row>
    <row r="399" spans="1:25" s="10" customFormat="1" ht="21.3" customHeight="1">
      <c r="A399" s="27"/>
      <c r="B399" s="28"/>
      <c r="C399" s="30" t="s">
        <v>18</v>
      </c>
      <c r="D399" s="27"/>
      <c r="E399" s="27"/>
      <c r="F399" s="68" t="s">
        <v>531</v>
      </c>
      <c r="G399" s="121" t="s">
        <v>548</v>
      </c>
      <c r="H399" s="91" t="s">
        <v>19</v>
      </c>
      <c r="I399" s="73" t="s">
        <v>19</v>
      </c>
      <c r="J399" s="73" t="s">
        <v>19</v>
      </c>
      <c r="K399" s="73" t="s">
        <v>19</v>
      </c>
      <c r="L399" s="11"/>
      <c r="M399" s="1"/>
      <c r="N399" s="113" t="s">
        <v>14</v>
      </c>
      <c r="O399" s="122" t="s">
        <v>27</v>
      </c>
      <c r="P399" s="122"/>
      <c r="Q399" s="105"/>
      <c r="R399" s="26"/>
      <c r="S399" s="225" t="str">
        <f t="shared" si="6"/>
        <v/>
      </c>
      <c r="T399" s="7" t="s">
        <v>7698</v>
      </c>
      <c r="U399" s="7" t="s">
        <v>62</v>
      </c>
      <c r="V399" s="171" t="str" cm="1">
        <f t="array" ref="V399">_xlfn.IFS(C399="","",COUNTIF(C399,"ตำแหน่งว่าง*"),"ว่าง",COUNTIF(C399,"&lt;&gt;ตำแหน่งว่าง*"),"คนครอง")</f>
        <v>ว่าง</v>
      </c>
      <c r="W399" s="49" cm="1">
        <f t="array" ref="W399">_xlfn.IFS(COUNTIF(F399,"ผบ.หมู่*"),51,COUNTIF(F399,"รอง สว.*"),43)</f>
        <v>51</v>
      </c>
      <c r="X399" s="8" t="s">
        <v>547</v>
      </c>
      <c r="Y399" s="6" t="s">
        <v>27</v>
      </c>
    </row>
    <row r="400" spans="1:25" s="10" customFormat="1" ht="21.3" customHeight="1">
      <c r="A400" s="27"/>
      <c r="B400" s="28"/>
      <c r="C400" s="30" t="s">
        <v>18</v>
      </c>
      <c r="D400" s="27"/>
      <c r="E400" s="27"/>
      <c r="F400" s="68" t="s">
        <v>531</v>
      </c>
      <c r="G400" s="121" t="s">
        <v>550</v>
      </c>
      <c r="H400" s="91" t="s">
        <v>19</v>
      </c>
      <c r="I400" s="73" t="s">
        <v>19</v>
      </c>
      <c r="J400" s="73" t="s">
        <v>19</v>
      </c>
      <c r="K400" s="73" t="s">
        <v>19</v>
      </c>
      <c r="L400" s="11"/>
      <c r="M400" s="1"/>
      <c r="N400" s="113" t="s">
        <v>14</v>
      </c>
      <c r="O400" s="122" t="s">
        <v>27</v>
      </c>
      <c r="P400" s="122"/>
      <c r="Q400" s="105"/>
      <c r="R400" s="26"/>
      <c r="S400" s="225" t="str">
        <f t="shared" si="6"/>
        <v/>
      </c>
      <c r="T400" s="7" t="s">
        <v>7698</v>
      </c>
      <c r="U400" s="7" t="s">
        <v>62</v>
      </c>
      <c r="V400" s="171" t="str" cm="1">
        <f t="array" ref="V400">_xlfn.IFS(C400="","",COUNTIF(C400,"ตำแหน่งว่าง*"),"ว่าง",COUNTIF(C400,"&lt;&gt;ตำแหน่งว่าง*"),"คนครอง")</f>
        <v>ว่าง</v>
      </c>
      <c r="W400" s="49" cm="1">
        <f t="array" ref="W400">_xlfn.IFS(COUNTIF(F400,"ผบ.หมู่*"),51,COUNTIF(F400,"รอง สว.*"),43)</f>
        <v>51</v>
      </c>
      <c r="X400" s="8" t="s">
        <v>549</v>
      </c>
      <c r="Y400" s="6" t="s">
        <v>27</v>
      </c>
    </row>
    <row r="401" spans="1:25" s="10" customFormat="1" ht="21.3" customHeight="1">
      <c r="A401" s="27"/>
      <c r="B401" s="28"/>
      <c r="C401" s="30" t="s">
        <v>18</v>
      </c>
      <c r="D401" s="27"/>
      <c r="E401" s="27"/>
      <c r="F401" s="68" t="s">
        <v>531</v>
      </c>
      <c r="G401" s="121" t="s">
        <v>552</v>
      </c>
      <c r="H401" s="91" t="s">
        <v>19</v>
      </c>
      <c r="I401" s="73" t="s">
        <v>19</v>
      </c>
      <c r="J401" s="73" t="s">
        <v>19</v>
      </c>
      <c r="K401" s="73" t="s">
        <v>19</v>
      </c>
      <c r="L401" s="11"/>
      <c r="M401" s="1"/>
      <c r="N401" s="113" t="s">
        <v>14</v>
      </c>
      <c r="O401" s="122" t="s">
        <v>27</v>
      </c>
      <c r="P401" s="122"/>
      <c r="Q401" s="105"/>
      <c r="R401" s="26"/>
      <c r="S401" s="225" t="str">
        <f t="shared" si="6"/>
        <v/>
      </c>
      <c r="T401" s="7" t="s">
        <v>7698</v>
      </c>
      <c r="U401" s="7" t="s">
        <v>62</v>
      </c>
      <c r="V401" s="171" t="str" cm="1">
        <f t="array" ref="V401">_xlfn.IFS(C401="","",COUNTIF(C401,"ตำแหน่งว่าง*"),"ว่าง",COUNTIF(C401,"&lt;&gt;ตำแหน่งว่าง*"),"คนครอง")</f>
        <v>ว่าง</v>
      </c>
      <c r="W401" s="49" cm="1">
        <f t="array" ref="W401">_xlfn.IFS(COUNTIF(F401,"ผบ.หมู่*"),51,COUNTIF(F401,"รอง สว.*"),43)</f>
        <v>51</v>
      </c>
      <c r="X401" s="8" t="s">
        <v>551</v>
      </c>
      <c r="Y401" s="6" t="s">
        <v>27</v>
      </c>
    </row>
    <row r="402" spans="1:25" s="10" customFormat="1" ht="21.3" customHeight="1">
      <c r="A402" s="27"/>
      <c r="B402" s="28"/>
      <c r="C402" s="30" t="s">
        <v>18</v>
      </c>
      <c r="D402" s="27"/>
      <c r="E402" s="27"/>
      <c r="F402" s="68" t="s">
        <v>531</v>
      </c>
      <c r="G402" s="121" t="s">
        <v>554</v>
      </c>
      <c r="H402" s="91" t="s">
        <v>19</v>
      </c>
      <c r="I402" s="73" t="s">
        <v>19</v>
      </c>
      <c r="J402" s="73" t="s">
        <v>19</v>
      </c>
      <c r="K402" s="73" t="s">
        <v>19</v>
      </c>
      <c r="L402" s="11"/>
      <c r="M402" s="1"/>
      <c r="N402" s="113" t="s">
        <v>14</v>
      </c>
      <c r="O402" s="122" t="s">
        <v>27</v>
      </c>
      <c r="P402" s="122"/>
      <c r="Q402" s="105"/>
      <c r="R402" s="26"/>
      <c r="S402" s="225" t="str">
        <f t="shared" si="6"/>
        <v/>
      </c>
      <c r="T402" s="7" t="s">
        <v>7698</v>
      </c>
      <c r="U402" s="7" t="s">
        <v>62</v>
      </c>
      <c r="V402" s="171" t="str" cm="1">
        <f t="array" ref="V402">_xlfn.IFS(C402="","",COUNTIF(C402,"ตำแหน่งว่าง*"),"ว่าง",COUNTIF(C402,"&lt;&gt;ตำแหน่งว่าง*"),"คนครอง")</f>
        <v>ว่าง</v>
      </c>
      <c r="W402" s="49" cm="1">
        <f t="array" ref="W402">_xlfn.IFS(COUNTIF(F402,"ผบ.หมู่*"),51,COUNTIF(F402,"รอง สว.*"),43)</f>
        <v>51</v>
      </c>
      <c r="X402" s="8" t="s">
        <v>553</v>
      </c>
      <c r="Y402" s="6" t="s">
        <v>27</v>
      </c>
    </row>
    <row r="403" spans="1:25" s="10" customFormat="1" ht="21.3" customHeight="1">
      <c r="A403" s="27"/>
      <c r="B403" s="28"/>
      <c r="C403" s="30" t="s">
        <v>18</v>
      </c>
      <c r="D403" s="27"/>
      <c r="E403" s="27"/>
      <c r="F403" s="68" t="s">
        <v>531</v>
      </c>
      <c r="G403" s="121" t="s">
        <v>556</v>
      </c>
      <c r="H403" s="91" t="s">
        <v>19</v>
      </c>
      <c r="I403" s="73" t="s">
        <v>19</v>
      </c>
      <c r="J403" s="73" t="s">
        <v>19</v>
      </c>
      <c r="K403" s="73" t="s">
        <v>19</v>
      </c>
      <c r="L403" s="11"/>
      <c r="M403" s="1"/>
      <c r="N403" s="113" t="s">
        <v>14</v>
      </c>
      <c r="O403" s="122" t="s">
        <v>27</v>
      </c>
      <c r="P403" s="122"/>
      <c r="Q403" s="105"/>
      <c r="R403" s="26"/>
      <c r="S403" s="225" t="str">
        <f t="shared" si="6"/>
        <v/>
      </c>
      <c r="T403" s="7" t="s">
        <v>7698</v>
      </c>
      <c r="U403" s="7" t="s">
        <v>62</v>
      </c>
      <c r="V403" s="171" t="str" cm="1">
        <f t="array" ref="V403">_xlfn.IFS(C403="","",COUNTIF(C403,"ตำแหน่งว่าง*"),"ว่าง",COUNTIF(C403,"&lt;&gt;ตำแหน่งว่าง*"),"คนครอง")</f>
        <v>ว่าง</v>
      </c>
      <c r="W403" s="49" cm="1">
        <f t="array" ref="W403">_xlfn.IFS(COUNTIF(F403,"ผบ.หมู่*"),51,COUNTIF(F403,"รอง สว.*"),43)</f>
        <v>51</v>
      </c>
      <c r="X403" s="8" t="s">
        <v>555</v>
      </c>
      <c r="Y403" s="6" t="s">
        <v>27</v>
      </c>
    </row>
    <row r="404" spans="1:25" s="10" customFormat="1" ht="21.3" customHeight="1">
      <c r="A404" s="27"/>
      <c r="B404" s="28"/>
      <c r="C404" s="30" t="s">
        <v>18</v>
      </c>
      <c r="D404" s="27"/>
      <c r="E404" s="27"/>
      <c r="F404" s="68" t="s">
        <v>531</v>
      </c>
      <c r="G404" s="121" t="s">
        <v>558</v>
      </c>
      <c r="H404" s="91" t="s">
        <v>19</v>
      </c>
      <c r="I404" s="73" t="s">
        <v>19</v>
      </c>
      <c r="J404" s="73" t="s">
        <v>19</v>
      </c>
      <c r="K404" s="73" t="s">
        <v>19</v>
      </c>
      <c r="L404" s="11"/>
      <c r="M404" s="1"/>
      <c r="N404" s="113" t="s">
        <v>14</v>
      </c>
      <c r="O404" s="122" t="s">
        <v>27</v>
      </c>
      <c r="P404" s="122"/>
      <c r="Q404" s="105"/>
      <c r="R404" s="26"/>
      <c r="S404" s="225" t="str">
        <f t="shared" si="6"/>
        <v/>
      </c>
      <c r="T404" s="7" t="s">
        <v>7698</v>
      </c>
      <c r="U404" s="7" t="s">
        <v>62</v>
      </c>
      <c r="V404" s="171" t="str" cm="1">
        <f t="array" ref="V404">_xlfn.IFS(C404="","",COUNTIF(C404,"ตำแหน่งว่าง*"),"ว่าง",COUNTIF(C404,"&lt;&gt;ตำแหน่งว่าง*"),"คนครอง")</f>
        <v>ว่าง</v>
      </c>
      <c r="W404" s="49" cm="1">
        <f t="array" ref="W404">_xlfn.IFS(COUNTIF(F404,"ผบ.หมู่*"),51,COUNTIF(F404,"รอง สว.*"),43)</f>
        <v>51</v>
      </c>
      <c r="X404" s="8" t="s">
        <v>557</v>
      </c>
      <c r="Y404" s="6" t="s">
        <v>27</v>
      </c>
    </row>
    <row r="405" spans="1:25" s="10" customFormat="1" ht="21.3" customHeight="1">
      <c r="A405" s="27"/>
      <c r="B405" s="28"/>
      <c r="C405" s="30" t="s">
        <v>18</v>
      </c>
      <c r="D405" s="27"/>
      <c r="E405" s="27"/>
      <c r="F405" s="68" t="s">
        <v>531</v>
      </c>
      <c r="G405" s="121" t="s">
        <v>560</v>
      </c>
      <c r="H405" s="91" t="s">
        <v>19</v>
      </c>
      <c r="I405" s="73" t="s">
        <v>19</v>
      </c>
      <c r="J405" s="73" t="s">
        <v>19</v>
      </c>
      <c r="K405" s="73" t="s">
        <v>19</v>
      </c>
      <c r="L405" s="11"/>
      <c r="M405" s="1"/>
      <c r="N405" s="113" t="s">
        <v>14</v>
      </c>
      <c r="O405" s="122" t="s">
        <v>27</v>
      </c>
      <c r="P405" s="122"/>
      <c r="Q405" s="105"/>
      <c r="R405" s="26"/>
      <c r="S405" s="225" t="str">
        <f t="shared" si="6"/>
        <v/>
      </c>
      <c r="T405" s="7" t="s">
        <v>7698</v>
      </c>
      <c r="U405" s="7" t="s">
        <v>62</v>
      </c>
      <c r="V405" s="171" t="str" cm="1">
        <f t="array" ref="V405">_xlfn.IFS(C405="","",COUNTIF(C405,"ตำแหน่งว่าง*"),"ว่าง",COUNTIF(C405,"&lt;&gt;ตำแหน่งว่าง*"),"คนครอง")</f>
        <v>ว่าง</v>
      </c>
      <c r="W405" s="49" cm="1">
        <f t="array" ref="W405">_xlfn.IFS(COUNTIF(F405,"ผบ.หมู่*"),51,COUNTIF(F405,"รอง สว.*"),43)</f>
        <v>51</v>
      </c>
      <c r="X405" s="8" t="s">
        <v>559</v>
      </c>
      <c r="Y405" s="6" t="s">
        <v>27</v>
      </c>
    </row>
    <row r="406" spans="1:25" s="10" customFormat="1" ht="21.3" customHeight="1">
      <c r="A406" s="27"/>
      <c r="B406" s="28"/>
      <c r="C406" s="30" t="s">
        <v>18</v>
      </c>
      <c r="D406" s="27"/>
      <c r="E406" s="27"/>
      <c r="F406" s="68" t="s">
        <v>531</v>
      </c>
      <c r="G406" s="121" t="s">
        <v>562</v>
      </c>
      <c r="H406" s="91" t="s">
        <v>19</v>
      </c>
      <c r="I406" s="73" t="s">
        <v>19</v>
      </c>
      <c r="J406" s="73" t="s">
        <v>19</v>
      </c>
      <c r="K406" s="73" t="s">
        <v>19</v>
      </c>
      <c r="L406" s="11"/>
      <c r="M406" s="1"/>
      <c r="N406" s="113" t="s">
        <v>14</v>
      </c>
      <c r="O406" s="122" t="s">
        <v>27</v>
      </c>
      <c r="P406" s="122"/>
      <c r="Q406" s="105"/>
      <c r="R406" s="26"/>
      <c r="S406" s="225" t="str">
        <f t="shared" si="6"/>
        <v/>
      </c>
      <c r="T406" s="7" t="s">
        <v>7698</v>
      </c>
      <c r="U406" s="7" t="s">
        <v>62</v>
      </c>
      <c r="V406" s="171" t="str" cm="1">
        <f t="array" ref="V406">_xlfn.IFS(C406="","",COUNTIF(C406,"ตำแหน่งว่าง*"),"ว่าง",COUNTIF(C406,"&lt;&gt;ตำแหน่งว่าง*"),"คนครอง")</f>
        <v>ว่าง</v>
      </c>
      <c r="W406" s="49" cm="1">
        <f t="array" ref="W406">_xlfn.IFS(COUNTIF(F406,"ผบ.หมู่*"),51,COUNTIF(F406,"รอง สว.*"),43)</f>
        <v>51</v>
      </c>
      <c r="X406" s="8" t="s">
        <v>561</v>
      </c>
      <c r="Y406" s="6" t="s">
        <v>27</v>
      </c>
    </row>
    <row r="407" spans="1:25" s="10" customFormat="1" ht="21.3" customHeight="1">
      <c r="A407" s="27"/>
      <c r="B407" s="28"/>
      <c r="C407" s="30" t="s">
        <v>18</v>
      </c>
      <c r="D407" s="27"/>
      <c r="E407" s="27"/>
      <c r="F407" s="68" t="s">
        <v>531</v>
      </c>
      <c r="G407" s="121" t="s">
        <v>564</v>
      </c>
      <c r="H407" s="91" t="s">
        <v>19</v>
      </c>
      <c r="I407" s="73" t="s">
        <v>19</v>
      </c>
      <c r="J407" s="73" t="s">
        <v>19</v>
      </c>
      <c r="K407" s="73" t="s">
        <v>19</v>
      </c>
      <c r="L407" s="11"/>
      <c r="M407" s="1"/>
      <c r="N407" s="113" t="s">
        <v>14</v>
      </c>
      <c r="O407" s="122" t="s">
        <v>27</v>
      </c>
      <c r="P407" s="122"/>
      <c r="Q407" s="105"/>
      <c r="R407" s="26"/>
      <c r="S407" s="225" t="str">
        <f t="shared" si="6"/>
        <v/>
      </c>
      <c r="T407" s="7" t="s">
        <v>7698</v>
      </c>
      <c r="U407" s="7" t="s">
        <v>62</v>
      </c>
      <c r="V407" s="171" t="str" cm="1">
        <f t="array" ref="V407">_xlfn.IFS(C407="","",COUNTIF(C407,"ตำแหน่งว่าง*"),"ว่าง",COUNTIF(C407,"&lt;&gt;ตำแหน่งว่าง*"),"คนครอง")</f>
        <v>ว่าง</v>
      </c>
      <c r="W407" s="49" cm="1">
        <f t="array" ref="W407">_xlfn.IFS(COUNTIF(F407,"ผบ.หมู่*"),51,COUNTIF(F407,"รอง สว.*"),43)</f>
        <v>51</v>
      </c>
      <c r="X407" s="8" t="s">
        <v>563</v>
      </c>
      <c r="Y407" s="6" t="s">
        <v>27</v>
      </c>
    </row>
    <row r="408" spans="1:25" s="10" customFormat="1" ht="21.3" customHeight="1">
      <c r="A408" s="27"/>
      <c r="B408" s="28"/>
      <c r="C408" s="30" t="s">
        <v>18</v>
      </c>
      <c r="D408" s="27"/>
      <c r="E408" s="27"/>
      <c r="F408" s="68" t="s">
        <v>531</v>
      </c>
      <c r="G408" s="121" t="s">
        <v>566</v>
      </c>
      <c r="H408" s="91" t="s">
        <v>19</v>
      </c>
      <c r="I408" s="73" t="s">
        <v>19</v>
      </c>
      <c r="J408" s="73" t="s">
        <v>19</v>
      </c>
      <c r="K408" s="73" t="s">
        <v>19</v>
      </c>
      <c r="L408" s="11"/>
      <c r="M408" s="1"/>
      <c r="N408" s="113" t="s">
        <v>14</v>
      </c>
      <c r="O408" s="122" t="s">
        <v>27</v>
      </c>
      <c r="P408" s="122"/>
      <c r="Q408" s="105"/>
      <c r="R408" s="26"/>
      <c r="S408" s="225" t="str">
        <f t="shared" si="6"/>
        <v/>
      </c>
      <c r="T408" s="7" t="s">
        <v>7698</v>
      </c>
      <c r="U408" s="7" t="s">
        <v>62</v>
      </c>
      <c r="V408" s="171" t="str" cm="1">
        <f t="array" ref="V408">_xlfn.IFS(C408="","",COUNTIF(C408,"ตำแหน่งว่าง*"),"ว่าง",COUNTIF(C408,"&lt;&gt;ตำแหน่งว่าง*"),"คนครอง")</f>
        <v>ว่าง</v>
      </c>
      <c r="W408" s="49" cm="1">
        <f t="array" ref="W408">_xlfn.IFS(COUNTIF(F408,"ผบ.หมู่*"),51,COUNTIF(F408,"รอง สว.*"),43)</f>
        <v>51</v>
      </c>
      <c r="X408" s="8" t="s">
        <v>565</v>
      </c>
      <c r="Y408" s="6" t="s">
        <v>27</v>
      </c>
    </row>
    <row r="409" spans="1:25" s="10" customFormat="1" ht="21.3" customHeight="1">
      <c r="A409" s="27"/>
      <c r="B409" s="28"/>
      <c r="C409" s="30" t="s">
        <v>18</v>
      </c>
      <c r="D409" s="27"/>
      <c r="E409" s="27"/>
      <c r="F409" s="68" t="s">
        <v>531</v>
      </c>
      <c r="G409" s="121" t="s">
        <v>568</v>
      </c>
      <c r="H409" s="91" t="s">
        <v>19</v>
      </c>
      <c r="I409" s="73" t="s">
        <v>19</v>
      </c>
      <c r="J409" s="73" t="s">
        <v>19</v>
      </c>
      <c r="K409" s="73" t="s">
        <v>19</v>
      </c>
      <c r="L409" s="11"/>
      <c r="M409" s="1"/>
      <c r="N409" s="113" t="s">
        <v>14</v>
      </c>
      <c r="O409" s="122" t="s">
        <v>27</v>
      </c>
      <c r="P409" s="122"/>
      <c r="Q409" s="105"/>
      <c r="R409" s="26"/>
      <c r="S409" s="225" t="str">
        <f t="shared" si="6"/>
        <v/>
      </c>
      <c r="T409" s="7" t="s">
        <v>7698</v>
      </c>
      <c r="U409" s="7" t="s">
        <v>62</v>
      </c>
      <c r="V409" s="171" t="str" cm="1">
        <f t="array" ref="V409">_xlfn.IFS(C409="","",COUNTIF(C409,"ตำแหน่งว่าง*"),"ว่าง",COUNTIF(C409,"&lt;&gt;ตำแหน่งว่าง*"),"คนครอง")</f>
        <v>ว่าง</v>
      </c>
      <c r="W409" s="49" cm="1">
        <f t="array" ref="W409">_xlfn.IFS(COUNTIF(F409,"ผบ.หมู่*"),51,COUNTIF(F409,"รอง สว.*"),43)</f>
        <v>51</v>
      </c>
      <c r="X409" s="8" t="s">
        <v>567</v>
      </c>
      <c r="Y409" s="6" t="s">
        <v>27</v>
      </c>
    </row>
    <row r="410" spans="1:25" s="10" customFormat="1" ht="21.3" customHeight="1">
      <c r="A410" s="27"/>
      <c r="B410" s="28"/>
      <c r="C410" s="30" t="s">
        <v>18</v>
      </c>
      <c r="D410" s="27"/>
      <c r="E410" s="27"/>
      <c r="F410" s="68" t="s">
        <v>531</v>
      </c>
      <c r="G410" s="121" t="s">
        <v>570</v>
      </c>
      <c r="H410" s="91" t="s">
        <v>19</v>
      </c>
      <c r="I410" s="73" t="s">
        <v>19</v>
      </c>
      <c r="J410" s="73" t="s">
        <v>19</v>
      </c>
      <c r="K410" s="73" t="s">
        <v>19</v>
      </c>
      <c r="L410" s="11"/>
      <c r="M410" s="1"/>
      <c r="N410" s="113" t="s">
        <v>14</v>
      </c>
      <c r="O410" s="122" t="s">
        <v>27</v>
      </c>
      <c r="P410" s="122"/>
      <c r="Q410" s="105"/>
      <c r="R410" s="26"/>
      <c r="S410" s="225" t="str">
        <f t="shared" si="6"/>
        <v/>
      </c>
      <c r="T410" s="7" t="s">
        <v>7698</v>
      </c>
      <c r="U410" s="7" t="s">
        <v>62</v>
      </c>
      <c r="V410" s="171" t="str" cm="1">
        <f t="array" ref="V410">_xlfn.IFS(C410="","",COUNTIF(C410,"ตำแหน่งว่าง*"),"ว่าง",COUNTIF(C410,"&lt;&gt;ตำแหน่งว่าง*"),"คนครอง")</f>
        <v>ว่าง</v>
      </c>
      <c r="W410" s="49" cm="1">
        <f t="array" ref="W410">_xlfn.IFS(COUNTIF(F410,"ผบ.หมู่*"),51,COUNTIF(F410,"รอง สว.*"),43)</f>
        <v>51</v>
      </c>
      <c r="X410" s="8" t="s">
        <v>569</v>
      </c>
      <c r="Y410" s="6" t="s">
        <v>27</v>
      </c>
    </row>
    <row r="411" spans="1:25" s="10" customFormat="1" ht="21.3" customHeight="1">
      <c r="A411" s="27"/>
      <c r="B411" s="28"/>
      <c r="C411" s="30" t="s">
        <v>18</v>
      </c>
      <c r="D411" s="27"/>
      <c r="E411" s="27"/>
      <c r="F411" s="68" t="s">
        <v>531</v>
      </c>
      <c r="G411" s="121" t="s">
        <v>572</v>
      </c>
      <c r="H411" s="91" t="s">
        <v>19</v>
      </c>
      <c r="I411" s="73" t="s">
        <v>19</v>
      </c>
      <c r="J411" s="73" t="s">
        <v>19</v>
      </c>
      <c r="K411" s="73" t="s">
        <v>19</v>
      </c>
      <c r="L411" s="11"/>
      <c r="M411" s="1"/>
      <c r="N411" s="113" t="s">
        <v>14</v>
      </c>
      <c r="O411" s="122" t="s">
        <v>27</v>
      </c>
      <c r="P411" s="122"/>
      <c r="Q411" s="105"/>
      <c r="R411" s="26"/>
      <c r="S411" s="225" t="str">
        <f t="shared" si="6"/>
        <v/>
      </c>
      <c r="T411" s="7" t="s">
        <v>7698</v>
      </c>
      <c r="U411" s="7" t="s">
        <v>62</v>
      </c>
      <c r="V411" s="171" t="str" cm="1">
        <f t="array" ref="V411">_xlfn.IFS(C411="","",COUNTIF(C411,"ตำแหน่งว่าง*"),"ว่าง",COUNTIF(C411,"&lt;&gt;ตำแหน่งว่าง*"),"คนครอง")</f>
        <v>ว่าง</v>
      </c>
      <c r="W411" s="49" cm="1">
        <f t="array" ref="W411">_xlfn.IFS(COUNTIF(F411,"ผบ.หมู่*"),51,COUNTIF(F411,"รอง สว.*"),43)</f>
        <v>51</v>
      </c>
      <c r="X411" s="8" t="s">
        <v>571</v>
      </c>
      <c r="Y411" s="6" t="s">
        <v>27</v>
      </c>
    </row>
    <row r="412" spans="1:25" s="10" customFormat="1" ht="21.3" customHeight="1">
      <c r="A412" s="27"/>
      <c r="B412" s="28"/>
      <c r="C412" s="30" t="s">
        <v>18</v>
      </c>
      <c r="D412" s="27"/>
      <c r="E412" s="27"/>
      <c r="F412" s="68" t="s">
        <v>531</v>
      </c>
      <c r="G412" s="121" t="s">
        <v>574</v>
      </c>
      <c r="H412" s="91" t="s">
        <v>19</v>
      </c>
      <c r="I412" s="73" t="s">
        <v>19</v>
      </c>
      <c r="J412" s="73" t="s">
        <v>19</v>
      </c>
      <c r="K412" s="73" t="s">
        <v>19</v>
      </c>
      <c r="L412" s="11"/>
      <c r="M412" s="1"/>
      <c r="N412" s="113" t="s">
        <v>14</v>
      </c>
      <c r="O412" s="122" t="s">
        <v>27</v>
      </c>
      <c r="P412" s="122"/>
      <c r="Q412" s="105"/>
      <c r="R412" s="26"/>
      <c r="S412" s="225" t="str">
        <f t="shared" si="6"/>
        <v/>
      </c>
      <c r="T412" s="7" t="s">
        <v>7698</v>
      </c>
      <c r="U412" s="7" t="s">
        <v>62</v>
      </c>
      <c r="V412" s="171" t="str" cm="1">
        <f t="array" ref="V412">_xlfn.IFS(C412="","",COUNTIF(C412,"ตำแหน่งว่าง*"),"ว่าง",COUNTIF(C412,"&lt;&gt;ตำแหน่งว่าง*"),"คนครอง")</f>
        <v>ว่าง</v>
      </c>
      <c r="W412" s="49" cm="1">
        <f t="array" ref="W412">_xlfn.IFS(COUNTIF(F412,"ผบ.หมู่*"),51,COUNTIF(F412,"รอง สว.*"),43)</f>
        <v>51</v>
      </c>
      <c r="X412" s="8" t="s">
        <v>573</v>
      </c>
      <c r="Y412" s="6" t="s">
        <v>27</v>
      </c>
    </row>
    <row r="413" spans="1:25" s="10" customFormat="1" ht="21.3" customHeight="1">
      <c r="A413" s="27"/>
      <c r="B413" s="28"/>
      <c r="C413" s="30" t="s">
        <v>18</v>
      </c>
      <c r="D413" s="27"/>
      <c r="E413" s="27"/>
      <c r="F413" s="68" t="s">
        <v>531</v>
      </c>
      <c r="G413" s="121" t="s">
        <v>576</v>
      </c>
      <c r="H413" s="91" t="s">
        <v>19</v>
      </c>
      <c r="I413" s="73" t="s">
        <v>19</v>
      </c>
      <c r="J413" s="73" t="s">
        <v>19</v>
      </c>
      <c r="K413" s="73" t="s">
        <v>19</v>
      </c>
      <c r="L413" s="11"/>
      <c r="M413" s="1"/>
      <c r="N413" s="113" t="s">
        <v>14</v>
      </c>
      <c r="O413" s="122" t="s">
        <v>27</v>
      </c>
      <c r="P413" s="122"/>
      <c r="Q413" s="105"/>
      <c r="R413" s="26"/>
      <c r="S413" s="225" t="str">
        <f t="shared" si="6"/>
        <v/>
      </c>
      <c r="T413" s="7" t="s">
        <v>7698</v>
      </c>
      <c r="U413" s="7" t="s">
        <v>62</v>
      </c>
      <c r="V413" s="171" t="str" cm="1">
        <f t="array" ref="V413">_xlfn.IFS(C413="","",COUNTIF(C413,"ตำแหน่งว่าง*"),"ว่าง",COUNTIF(C413,"&lt;&gt;ตำแหน่งว่าง*"),"คนครอง")</f>
        <v>ว่าง</v>
      </c>
      <c r="W413" s="49" cm="1">
        <f t="array" ref="W413">_xlfn.IFS(COUNTIF(F413,"ผบ.หมู่*"),51,COUNTIF(F413,"รอง สว.*"),43)</f>
        <v>51</v>
      </c>
      <c r="X413" s="8" t="s">
        <v>575</v>
      </c>
      <c r="Y413" s="6" t="s">
        <v>27</v>
      </c>
    </row>
    <row r="414" spans="1:25" s="10" customFormat="1" ht="21.3" customHeight="1">
      <c r="A414" s="27"/>
      <c r="B414" s="28"/>
      <c r="C414" s="30" t="s">
        <v>18</v>
      </c>
      <c r="D414" s="27"/>
      <c r="E414" s="27"/>
      <c r="F414" s="68" t="s">
        <v>531</v>
      </c>
      <c r="G414" s="121" t="s">
        <v>578</v>
      </c>
      <c r="H414" s="91" t="s">
        <v>19</v>
      </c>
      <c r="I414" s="73" t="s">
        <v>19</v>
      </c>
      <c r="J414" s="73" t="s">
        <v>19</v>
      </c>
      <c r="K414" s="73" t="s">
        <v>19</v>
      </c>
      <c r="L414" s="11"/>
      <c r="M414" s="1"/>
      <c r="N414" s="113" t="s">
        <v>14</v>
      </c>
      <c r="O414" s="122" t="s">
        <v>27</v>
      </c>
      <c r="P414" s="122"/>
      <c r="Q414" s="105"/>
      <c r="R414" s="26"/>
      <c r="S414" s="225" t="str">
        <f t="shared" si="6"/>
        <v/>
      </c>
      <c r="T414" s="7" t="s">
        <v>7698</v>
      </c>
      <c r="U414" s="7" t="s">
        <v>62</v>
      </c>
      <c r="V414" s="171" t="str" cm="1">
        <f t="array" ref="V414">_xlfn.IFS(C414="","",COUNTIF(C414,"ตำแหน่งว่าง*"),"ว่าง",COUNTIF(C414,"&lt;&gt;ตำแหน่งว่าง*"),"คนครอง")</f>
        <v>ว่าง</v>
      </c>
      <c r="W414" s="49" cm="1">
        <f t="array" ref="W414">_xlfn.IFS(COUNTIF(F414,"ผบ.หมู่*"),51,COUNTIF(F414,"รอง สว.*"),43)</f>
        <v>51</v>
      </c>
      <c r="X414" s="8" t="s">
        <v>577</v>
      </c>
      <c r="Y414" s="6" t="s">
        <v>27</v>
      </c>
    </row>
    <row r="415" spans="1:25" s="10" customFormat="1" ht="21.3" customHeight="1">
      <c r="A415" s="27"/>
      <c r="B415" s="28"/>
      <c r="C415" s="30" t="s">
        <v>18</v>
      </c>
      <c r="D415" s="27"/>
      <c r="E415" s="27"/>
      <c r="F415" s="68" t="s">
        <v>531</v>
      </c>
      <c r="G415" s="121" t="s">
        <v>580</v>
      </c>
      <c r="H415" s="91" t="s">
        <v>19</v>
      </c>
      <c r="I415" s="73" t="s">
        <v>19</v>
      </c>
      <c r="J415" s="73" t="s">
        <v>19</v>
      </c>
      <c r="K415" s="73" t="s">
        <v>19</v>
      </c>
      <c r="L415" s="11"/>
      <c r="M415" s="1"/>
      <c r="N415" s="113" t="s">
        <v>14</v>
      </c>
      <c r="O415" s="122" t="s">
        <v>27</v>
      </c>
      <c r="P415" s="122"/>
      <c r="Q415" s="105"/>
      <c r="R415" s="26"/>
      <c r="S415" s="225" t="str">
        <f t="shared" si="6"/>
        <v/>
      </c>
      <c r="T415" s="7" t="s">
        <v>7698</v>
      </c>
      <c r="U415" s="7" t="s">
        <v>62</v>
      </c>
      <c r="V415" s="171" t="str" cm="1">
        <f t="array" ref="V415">_xlfn.IFS(C415="","",COUNTIF(C415,"ตำแหน่งว่าง*"),"ว่าง",COUNTIF(C415,"&lt;&gt;ตำแหน่งว่าง*"),"คนครอง")</f>
        <v>ว่าง</v>
      </c>
      <c r="W415" s="49" cm="1">
        <f t="array" ref="W415">_xlfn.IFS(COUNTIF(F415,"ผบ.หมู่*"),51,COUNTIF(F415,"รอง สว.*"),43)</f>
        <v>51</v>
      </c>
      <c r="X415" s="8" t="s">
        <v>579</v>
      </c>
      <c r="Y415" s="6" t="s">
        <v>27</v>
      </c>
    </row>
    <row r="416" spans="1:25" s="10" customFormat="1" ht="21.3" customHeight="1">
      <c r="A416" s="27"/>
      <c r="B416" s="28"/>
      <c r="C416" s="30" t="s">
        <v>18</v>
      </c>
      <c r="D416" s="27"/>
      <c r="E416" s="27"/>
      <c r="F416" s="68" t="s">
        <v>581</v>
      </c>
      <c r="G416" s="121" t="s">
        <v>583</v>
      </c>
      <c r="H416" s="91" t="s">
        <v>19</v>
      </c>
      <c r="I416" s="73" t="s">
        <v>19</v>
      </c>
      <c r="J416" s="73" t="s">
        <v>19</v>
      </c>
      <c r="K416" s="73" t="s">
        <v>19</v>
      </c>
      <c r="L416" s="11"/>
      <c r="M416" s="1"/>
      <c r="N416" s="113" t="s">
        <v>14</v>
      </c>
      <c r="O416" s="122" t="s">
        <v>27</v>
      </c>
      <c r="P416" s="122"/>
      <c r="Q416" s="105"/>
      <c r="R416" s="26"/>
      <c r="S416" s="225" t="str">
        <f t="shared" si="6"/>
        <v/>
      </c>
      <c r="T416" s="7" t="s">
        <v>7699</v>
      </c>
      <c r="U416" s="7" t="s">
        <v>62</v>
      </c>
      <c r="V416" s="171" t="str" cm="1">
        <f t="array" ref="V416">_xlfn.IFS(C416="","",COUNTIF(C416,"ตำแหน่งว่าง*"),"ว่าง",COUNTIF(C416,"&lt;&gt;ตำแหน่งว่าง*"),"คนครอง")</f>
        <v>ว่าง</v>
      </c>
      <c r="W416" s="49" cm="1">
        <f t="array" ref="W416">_xlfn.IFS(COUNTIF(F416,"ผบ.หมู่*"),51,COUNTIF(F416,"รอง สว.*"),43)</f>
        <v>51</v>
      </c>
      <c r="X416" s="8" t="s">
        <v>582</v>
      </c>
      <c r="Y416" s="6" t="s">
        <v>27</v>
      </c>
    </row>
    <row r="417" spans="1:25" s="10" customFormat="1" ht="21.3" customHeight="1">
      <c r="A417" s="27"/>
      <c r="B417" s="28"/>
      <c r="C417" s="30" t="s">
        <v>18</v>
      </c>
      <c r="D417" s="27"/>
      <c r="E417" s="27"/>
      <c r="F417" s="68" t="s">
        <v>581</v>
      </c>
      <c r="G417" s="121" t="s">
        <v>585</v>
      </c>
      <c r="H417" s="91" t="s">
        <v>19</v>
      </c>
      <c r="I417" s="73" t="s">
        <v>19</v>
      </c>
      <c r="J417" s="73" t="s">
        <v>19</v>
      </c>
      <c r="K417" s="73" t="s">
        <v>19</v>
      </c>
      <c r="L417" s="11"/>
      <c r="M417" s="1"/>
      <c r="N417" s="113" t="s">
        <v>14</v>
      </c>
      <c r="O417" s="122" t="s">
        <v>27</v>
      </c>
      <c r="P417" s="122"/>
      <c r="Q417" s="105"/>
      <c r="R417" s="26"/>
      <c r="S417" s="225" t="str">
        <f t="shared" si="6"/>
        <v/>
      </c>
      <c r="T417" s="7" t="s">
        <v>7699</v>
      </c>
      <c r="U417" s="7" t="s">
        <v>62</v>
      </c>
      <c r="V417" s="171" t="str" cm="1">
        <f t="array" ref="V417">_xlfn.IFS(C417="","",COUNTIF(C417,"ตำแหน่งว่าง*"),"ว่าง",COUNTIF(C417,"&lt;&gt;ตำแหน่งว่าง*"),"คนครอง")</f>
        <v>ว่าง</v>
      </c>
      <c r="W417" s="49" cm="1">
        <f t="array" ref="W417">_xlfn.IFS(COUNTIF(F417,"ผบ.หมู่*"),51,COUNTIF(F417,"รอง สว.*"),43)</f>
        <v>51</v>
      </c>
      <c r="X417" s="8" t="s">
        <v>584</v>
      </c>
      <c r="Y417" s="6" t="s">
        <v>27</v>
      </c>
    </row>
    <row r="418" spans="1:25" s="10" customFormat="1" ht="21.3" customHeight="1">
      <c r="A418" s="27"/>
      <c r="B418" s="28"/>
      <c r="C418" s="30" t="s">
        <v>18</v>
      </c>
      <c r="D418" s="27"/>
      <c r="E418" s="27"/>
      <c r="F418" s="68" t="s">
        <v>581</v>
      </c>
      <c r="G418" s="121" t="s">
        <v>587</v>
      </c>
      <c r="H418" s="91" t="s">
        <v>19</v>
      </c>
      <c r="I418" s="73" t="s">
        <v>19</v>
      </c>
      <c r="J418" s="73" t="s">
        <v>19</v>
      </c>
      <c r="K418" s="73" t="s">
        <v>19</v>
      </c>
      <c r="L418" s="11"/>
      <c r="M418" s="1"/>
      <c r="N418" s="113" t="s">
        <v>14</v>
      </c>
      <c r="O418" s="122" t="s">
        <v>27</v>
      </c>
      <c r="P418" s="122"/>
      <c r="Q418" s="105"/>
      <c r="R418" s="26"/>
      <c r="S418" s="225" t="str">
        <f t="shared" si="6"/>
        <v/>
      </c>
      <c r="T418" s="7" t="s">
        <v>7699</v>
      </c>
      <c r="U418" s="7" t="s">
        <v>62</v>
      </c>
      <c r="V418" s="171" t="str" cm="1">
        <f t="array" ref="V418">_xlfn.IFS(C418="","",COUNTIF(C418,"ตำแหน่งว่าง*"),"ว่าง",COUNTIF(C418,"&lt;&gt;ตำแหน่งว่าง*"),"คนครอง")</f>
        <v>ว่าง</v>
      </c>
      <c r="W418" s="49" cm="1">
        <f t="array" ref="W418">_xlfn.IFS(COUNTIF(F418,"ผบ.หมู่*"),51,COUNTIF(F418,"รอง สว.*"),43)</f>
        <v>51</v>
      </c>
      <c r="X418" s="8" t="s">
        <v>586</v>
      </c>
      <c r="Y418" s="6" t="s">
        <v>27</v>
      </c>
    </row>
    <row r="419" spans="1:25" s="12" customFormat="1" ht="21.3" customHeight="1">
      <c r="A419" s="27" t="s">
        <v>157</v>
      </c>
      <c r="B419" s="28" t="s">
        <v>12</v>
      </c>
      <c r="C419" s="95" t="s">
        <v>588</v>
      </c>
      <c r="D419" s="27" t="s">
        <v>8579</v>
      </c>
      <c r="E419" s="27" t="s">
        <v>8580</v>
      </c>
      <c r="F419" s="95" t="s">
        <v>581</v>
      </c>
      <c r="G419" s="101" t="s">
        <v>590</v>
      </c>
      <c r="H419" s="75">
        <v>43235</v>
      </c>
      <c r="I419" s="73">
        <v>34243</v>
      </c>
      <c r="J419" s="73">
        <v>34243</v>
      </c>
      <c r="K419" s="73">
        <v>26696</v>
      </c>
      <c r="L419" s="11" t="s">
        <v>591</v>
      </c>
      <c r="M419" s="1" t="s">
        <v>592</v>
      </c>
      <c r="N419" s="111" t="s">
        <v>14</v>
      </c>
      <c r="O419" s="104" t="s">
        <v>52</v>
      </c>
      <c r="P419" s="104" t="s">
        <v>52</v>
      </c>
      <c r="Q419" s="105"/>
      <c r="R419" s="26" t="s">
        <v>593</v>
      </c>
      <c r="S419" s="225">
        <f t="shared" si="6"/>
        <v>48853</v>
      </c>
      <c r="T419" s="162" t="s">
        <v>7699</v>
      </c>
      <c r="U419" s="7" t="s">
        <v>62</v>
      </c>
      <c r="V419" s="162" t="str" cm="1">
        <f t="array" ref="V419">_xlfn.IFS(C419="","",COUNTIF(C419,"ตำแหน่งว่าง*"),"ว่าง",COUNTIF(C419,"&lt;&gt;ตำแหน่งว่าง*"),"คนครอง")</f>
        <v>คนครอง</v>
      </c>
      <c r="W419" s="49" cm="1">
        <f t="array" ref="W419">_xlfn.IFS(COUNTIF(F419,"ผบ.หมู่*"),51,COUNTIF(F419,"รอง สว.*"),43)</f>
        <v>51</v>
      </c>
      <c r="X419" s="4" t="s">
        <v>589</v>
      </c>
      <c r="Y419" s="5" t="s">
        <v>52</v>
      </c>
    </row>
    <row r="420" spans="1:25" s="9" customFormat="1" ht="21.3" customHeight="1">
      <c r="A420" s="27"/>
      <c r="B420" s="28"/>
      <c r="C420" s="95" t="s">
        <v>18</v>
      </c>
      <c r="D420" s="27"/>
      <c r="E420" s="27"/>
      <c r="F420" s="95" t="s">
        <v>581</v>
      </c>
      <c r="G420" s="101" t="s">
        <v>596</v>
      </c>
      <c r="H420" s="75"/>
      <c r="I420" s="73"/>
      <c r="J420" s="73"/>
      <c r="K420" s="73"/>
      <c r="L420" s="2"/>
      <c r="M420" s="1"/>
      <c r="N420" s="112" t="s">
        <v>14</v>
      </c>
      <c r="O420" s="104" t="s">
        <v>52</v>
      </c>
      <c r="P420" s="104" t="s">
        <v>52</v>
      </c>
      <c r="Q420" s="105"/>
      <c r="R420" s="28"/>
      <c r="S420" s="225" t="str">
        <f t="shared" si="6"/>
        <v/>
      </c>
      <c r="T420" s="2" t="s">
        <v>7699</v>
      </c>
      <c r="U420" s="7" t="s">
        <v>62</v>
      </c>
      <c r="V420" s="162" t="str" cm="1">
        <f t="array" ref="V420">_xlfn.IFS(C420="","",COUNTIF(C420,"ตำแหน่งว่าง*"),"ว่าง",COUNTIF(C420,"&lt;&gt;ตำแหน่งว่าง*"),"คนครอง")</f>
        <v>ว่าง</v>
      </c>
      <c r="W420" s="49" cm="1">
        <f t="array" ref="W420">_xlfn.IFS(COUNTIF(F420,"ผบ.หมู่*"),51,COUNTIF(F420,"รอง สว.*"),43)</f>
        <v>51</v>
      </c>
      <c r="X420" s="3" t="s">
        <v>595</v>
      </c>
      <c r="Y420" s="1" t="s">
        <v>52</v>
      </c>
    </row>
    <row r="421" spans="1:25" s="9" customFormat="1" ht="21.3" customHeight="1">
      <c r="A421" s="192" t="s">
        <v>169</v>
      </c>
      <c r="B421" s="193" t="s">
        <v>21</v>
      </c>
      <c r="C421" s="192" t="s">
        <v>7885</v>
      </c>
      <c r="D421" s="27" t="s">
        <v>8581</v>
      </c>
      <c r="E421" s="27" t="s">
        <v>8582</v>
      </c>
      <c r="F421" s="192" t="s">
        <v>581</v>
      </c>
      <c r="G421" s="101" t="s">
        <v>598</v>
      </c>
      <c r="H421" s="73">
        <v>45463</v>
      </c>
      <c r="I421" s="73">
        <v>45463</v>
      </c>
      <c r="J421" s="73">
        <v>45463</v>
      </c>
      <c r="K421" s="73">
        <v>36218</v>
      </c>
      <c r="L421" s="2" t="s">
        <v>82</v>
      </c>
      <c r="M421" s="1"/>
      <c r="N421" s="112" t="s">
        <v>14</v>
      </c>
      <c r="O421" s="104" t="s">
        <v>52</v>
      </c>
      <c r="P421" s="104" t="s">
        <v>52</v>
      </c>
      <c r="Q421" s="105"/>
      <c r="R421" s="28" t="s">
        <v>7961</v>
      </c>
      <c r="S421" s="174">
        <f t="shared" si="6"/>
        <v>58349</v>
      </c>
      <c r="T421" s="2" t="s">
        <v>7699</v>
      </c>
      <c r="U421" s="2" t="s">
        <v>62</v>
      </c>
      <c r="V421" s="162" t="str" cm="1">
        <f t="array" ref="V421">_xlfn.IFS(C421="","",COUNTIF(C421,"ตำแหน่งว่าง*"),"ว่าง",COUNTIF(C421,"&lt;&gt;ตำแหน่งว่าง*"),"คนครอง")</f>
        <v>คนครอง</v>
      </c>
      <c r="W421" s="49" cm="1">
        <f t="array" ref="W421">_xlfn.IFS(COUNTIF(F421,"ผบ.หมู่*"),51,COUNTIF(F421,"รอง สว.*"),43)</f>
        <v>51</v>
      </c>
      <c r="X421" s="3" t="s">
        <v>597</v>
      </c>
      <c r="Y421" s="1" t="s">
        <v>52</v>
      </c>
    </row>
    <row r="422" spans="1:25" s="9" customFormat="1" ht="21.3" customHeight="1">
      <c r="A422" s="27" t="s">
        <v>26</v>
      </c>
      <c r="B422" s="28" t="s">
        <v>12</v>
      </c>
      <c r="C422" s="27" t="s">
        <v>599</v>
      </c>
      <c r="D422" s="27" t="s">
        <v>8583</v>
      </c>
      <c r="E422" s="27" t="s">
        <v>8584</v>
      </c>
      <c r="F422" s="27" t="s">
        <v>594</v>
      </c>
      <c r="G422" s="101" t="s">
        <v>601</v>
      </c>
      <c r="H422" s="75">
        <v>43921</v>
      </c>
      <c r="I422" s="73">
        <v>43921</v>
      </c>
      <c r="J422" s="73">
        <v>32905</v>
      </c>
      <c r="K422" s="73">
        <v>24735</v>
      </c>
      <c r="L422" s="11" t="s">
        <v>602</v>
      </c>
      <c r="M422" s="1" t="s">
        <v>61</v>
      </c>
      <c r="N422" s="112" t="s">
        <v>14</v>
      </c>
      <c r="O422" s="104" t="s">
        <v>52</v>
      </c>
      <c r="P422" s="104" t="s">
        <v>52</v>
      </c>
      <c r="Q422" s="105"/>
      <c r="R422" s="26" t="s">
        <v>603</v>
      </c>
      <c r="S422" s="225">
        <f t="shared" si="6"/>
        <v>46661</v>
      </c>
      <c r="T422" s="2" t="s">
        <v>7699</v>
      </c>
      <c r="U422" s="7" t="s">
        <v>62</v>
      </c>
      <c r="V422" s="162" t="str" cm="1">
        <f t="array" ref="V422">_xlfn.IFS(C422="","",COUNTIF(C422,"ตำแหน่งว่าง*"),"ว่าง",COUNTIF(C422,"&lt;&gt;ตำแหน่งว่าง*"),"คนครอง")</f>
        <v>คนครอง</v>
      </c>
      <c r="W422" s="49" cm="1">
        <f t="array" ref="W422">_xlfn.IFS(COUNTIF(F422,"ผบ.หมู่*"),51,COUNTIF(F422,"รอง สว.*"),43)</f>
        <v>43</v>
      </c>
      <c r="X422" s="3" t="s">
        <v>600</v>
      </c>
      <c r="Y422" s="1" t="s">
        <v>52</v>
      </c>
    </row>
    <row r="423" spans="1:25" s="12" customFormat="1" ht="21.3" customHeight="1">
      <c r="A423" s="95" t="s">
        <v>157</v>
      </c>
      <c r="B423" s="31" t="s">
        <v>21</v>
      </c>
      <c r="C423" s="95" t="s">
        <v>604</v>
      </c>
      <c r="D423" s="27" t="s">
        <v>8294</v>
      </c>
      <c r="E423" s="27" t="s">
        <v>8585</v>
      </c>
      <c r="F423" s="95" t="s">
        <v>581</v>
      </c>
      <c r="G423" s="101" t="s">
        <v>606</v>
      </c>
      <c r="H423" s="92">
        <v>44599</v>
      </c>
      <c r="I423" s="76">
        <v>44599</v>
      </c>
      <c r="J423" s="76">
        <v>40814</v>
      </c>
      <c r="K423" s="76">
        <v>30739</v>
      </c>
      <c r="L423" s="17"/>
      <c r="M423" s="5" t="s">
        <v>46</v>
      </c>
      <c r="N423" s="111" t="s">
        <v>14</v>
      </c>
      <c r="O423" s="104" t="s">
        <v>52</v>
      </c>
      <c r="P423" s="104" t="s">
        <v>52</v>
      </c>
      <c r="Q423" s="108"/>
      <c r="R423" s="135" t="s">
        <v>607</v>
      </c>
      <c r="S423" s="225">
        <f t="shared" si="6"/>
        <v>52871</v>
      </c>
      <c r="T423" s="162" t="s">
        <v>7699</v>
      </c>
      <c r="U423" s="7" t="s">
        <v>62</v>
      </c>
      <c r="V423" s="162" t="str" cm="1">
        <f t="array" ref="V423">_xlfn.IFS(C423="","",COUNTIF(C423,"ตำแหน่งว่าง*"),"ว่าง",COUNTIF(C423,"&lt;&gt;ตำแหน่งว่าง*"),"คนครอง")</f>
        <v>คนครอง</v>
      </c>
      <c r="W423" s="49" cm="1">
        <f t="array" ref="W423">_xlfn.IFS(COUNTIF(F423,"ผบ.หมู่*"),51,COUNTIF(F423,"รอง สว.*"),43)</f>
        <v>51</v>
      </c>
      <c r="X423" s="4" t="s">
        <v>605</v>
      </c>
      <c r="Y423" s="5" t="s">
        <v>52</v>
      </c>
    </row>
    <row r="424" spans="1:25" s="12" customFormat="1" ht="21.3" customHeight="1">
      <c r="A424" s="27" t="s">
        <v>182</v>
      </c>
      <c r="B424" s="31" t="s">
        <v>12</v>
      </c>
      <c r="C424" s="95" t="s">
        <v>608</v>
      </c>
      <c r="D424" s="27" t="s">
        <v>8251</v>
      </c>
      <c r="E424" s="27" t="s">
        <v>8586</v>
      </c>
      <c r="F424" s="95" t="s">
        <v>581</v>
      </c>
      <c r="G424" s="101" t="s">
        <v>610</v>
      </c>
      <c r="H424" s="75">
        <v>44636</v>
      </c>
      <c r="I424" s="76">
        <v>44636</v>
      </c>
      <c r="J424" s="76">
        <v>44636</v>
      </c>
      <c r="K424" s="76">
        <v>35685</v>
      </c>
      <c r="L424" s="17" t="s">
        <v>82</v>
      </c>
      <c r="M424" s="5" t="s">
        <v>77</v>
      </c>
      <c r="N424" s="111" t="s">
        <v>14</v>
      </c>
      <c r="O424" s="104" t="s">
        <v>52</v>
      </c>
      <c r="P424" s="104" t="s">
        <v>52</v>
      </c>
      <c r="Q424" s="108"/>
      <c r="R424" s="135" t="s">
        <v>611</v>
      </c>
      <c r="S424" s="225">
        <f t="shared" si="6"/>
        <v>57619</v>
      </c>
      <c r="T424" s="162" t="s">
        <v>7699</v>
      </c>
      <c r="U424" s="7" t="s">
        <v>62</v>
      </c>
      <c r="V424" s="162" t="str" cm="1">
        <f t="array" ref="V424">_xlfn.IFS(C424="","",COUNTIF(C424,"ตำแหน่งว่าง*"),"ว่าง",COUNTIF(C424,"&lt;&gt;ตำแหน่งว่าง*"),"คนครอง")</f>
        <v>คนครอง</v>
      </c>
      <c r="W424" s="49" cm="1">
        <f t="array" ref="W424">_xlfn.IFS(COUNTIF(F424,"ผบ.หมู่*"),51,COUNTIF(F424,"รอง สว.*"),43)</f>
        <v>51</v>
      </c>
      <c r="X424" s="4" t="s">
        <v>609</v>
      </c>
      <c r="Y424" s="5" t="s">
        <v>52</v>
      </c>
    </row>
    <row r="425" spans="1:25" s="12" customFormat="1" ht="21.3" customHeight="1">
      <c r="A425" s="192" t="s">
        <v>169</v>
      </c>
      <c r="B425" s="193" t="s">
        <v>21</v>
      </c>
      <c r="C425" s="192" t="s">
        <v>7886</v>
      </c>
      <c r="D425" s="27" t="s">
        <v>8061</v>
      </c>
      <c r="E425" s="27" t="s">
        <v>8587</v>
      </c>
      <c r="F425" s="192" t="s">
        <v>581</v>
      </c>
      <c r="G425" s="101" t="s">
        <v>615</v>
      </c>
      <c r="H425" s="73">
        <v>45463</v>
      </c>
      <c r="I425" s="73">
        <v>45463</v>
      </c>
      <c r="J425" s="73">
        <v>45463</v>
      </c>
      <c r="K425" s="73">
        <v>35020</v>
      </c>
      <c r="L425" s="2" t="s">
        <v>82</v>
      </c>
      <c r="M425" s="1"/>
      <c r="N425" s="112" t="s">
        <v>14</v>
      </c>
      <c r="O425" s="104" t="s">
        <v>52</v>
      </c>
      <c r="P425" s="104" t="s">
        <v>52</v>
      </c>
      <c r="Q425" s="105"/>
      <c r="R425" s="28" t="s">
        <v>7961</v>
      </c>
      <c r="S425" s="174">
        <f t="shared" si="6"/>
        <v>57254</v>
      </c>
      <c r="T425" s="2" t="s">
        <v>7699</v>
      </c>
      <c r="U425" s="2" t="s">
        <v>62</v>
      </c>
      <c r="V425" s="162" t="str" cm="1">
        <f t="array" ref="V425">_xlfn.IFS(C425="","",COUNTIF(C425,"ตำแหน่งว่าง*"),"ว่าง",COUNTIF(C425,"&lt;&gt;ตำแหน่งว่าง*"),"คนครอง")</f>
        <v>คนครอง</v>
      </c>
      <c r="W425" s="49" cm="1">
        <f t="array" ref="W425">_xlfn.IFS(COUNTIF(F425,"ผบ.หมู่*"),51,COUNTIF(F425,"รอง สว.*"),43)</f>
        <v>51</v>
      </c>
      <c r="X425" s="3" t="s">
        <v>614</v>
      </c>
      <c r="Y425" s="1" t="s">
        <v>52</v>
      </c>
    </row>
    <row r="426" spans="1:25" s="12" customFormat="1" ht="21.3" customHeight="1">
      <c r="A426" s="27" t="s">
        <v>157</v>
      </c>
      <c r="B426" s="31" t="s">
        <v>21</v>
      </c>
      <c r="C426" s="95" t="s">
        <v>618</v>
      </c>
      <c r="D426" s="27" t="s">
        <v>8588</v>
      </c>
      <c r="E426" s="27" t="s">
        <v>8589</v>
      </c>
      <c r="F426" s="95" t="s">
        <v>581</v>
      </c>
      <c r="G426" s="101" t="s">
        <v>620</v>
      </c>
      <c r="H426" s="75">
        <v>44243</v>
      </c>
      <c r="I426" s="73">
        <v>41214</v>
      </c>
      <c r="J426" s="73">
        <v>41214</v>
      </c>
      <c r="K426" s="73">
        <v>32875</v>
      </c>
      <c r="L426" s="11" t="s">
        <v>621</v>
      </c>
      <c r="M426" s="1" t="s">
        <v>592</v>
      </c>
      <c r="N426" s="111" t="s">
        <v>14</v>
      </c>
      <c r="O426" s="104" t="s">
        <v>52</v>
      </c>
      <c r="P426" s="104" t="s">
        <v>52</v>
      </c>
      <c r="Q426" s="108"/>
      <c r="R426" s="31" t="s">
        <v>617</v>
      </c>
      <c r="S426" s="225">
        <f t="shared" si="6"/>
        <v>55062</v>
      </c>
      <c r="T426" s="162" t="s">
        <v>7699</v>
      </c>
      <c r="U426" s="7" t="s">
        <v>62</v>
      </c>
      <c r="V426" s="162" t="str" cm="1">
        <f t="array" ref="V426">_xlfn.IFS(C426="","",COUNTIF(C426,"ตำแหน่งว่าง*"),"ว่าง",COUNTIF(C426,"&lt;&gt;ตำแหน่งว่าง*"),"คนครอง")</f>
        <v>คนครอง</v>
      </c>
      <c r="W426" s="49" cm="1">
        <f t="array" ref="W426">_xlfn.IFS(COUNTIF(F426,"ผบ.หมู่*"),51,COUNTIF(F426,"รอง สว.*"),43)</f>
        <v>51</v>
      </c>
      <c r="X426" s="4" t="s">
        <v>619</v>
      </c>
      <c r="Y426" s="5" t="s">
        <v>52</v>
      </c>
    </row>
    <row r="427" spans="1:25" s="41" customFormat="1" ht="21.3" customHeight="1">
      <c r="A427" s="27" t="s">
        <v>182</v>
      </c>
      <c r="B427" s="28" t="s">
        <v>21</v>
      </c>
      <c r="C427" s="27" t="s">
        <v>10786</v>
      </c>
      <c r="D427" s="27" t="s">
        <v>10787</v>
      </c>
      <c r="E427" s="27" t="s">
        <v>10788</v>
      </c>
      <c r="F427" s="27" t="s">
        <v>581</v>
      </c>
      <c r="G427" s="101" t="s">
        <v>623</v>
      </c>
      <c r="H427" s="75">
        <v>45768</v>
      </c>
      <c r="I427" s="75" t="s">
        <v>7609</v>
      </c>
      <c r="J427" s="75" t="s">
        <v>7609</v>
      </c>
      <c r="K427" s="75">
        <v>33283</v>
      </c>
      <c r="L427" s="34" t="s">
        <v>7609</v>
      </c>
      <c r="M427" s="28" t="s">
        <v>7609</v>
      </c>
      <c r="N427" s="112" t="s">
        <v>14</v>
      </c>
      <c r="O427" s="104" t="s">
        <v>52</v>
      </c>
      <c r="P427" s="104" t="s">
        <v>52</v>
      </c>
      <c r="Q427" s="105"/>
      <c r="R427" s="26" t="s">
        <v>10804</v>
      </c>
      <c r="S427" s="174">
        <f t="shared" si="6"/>
        <v>55427</v>
      </c>
      <c r="T427" s="27" t="s">
        <v>7699</v>
      </c>
      <c r="U427" s="2" t="s">
        <v>62</v>
      </c>
      <c r="V427" s="203" t="str" cm="1">
        <f t="array" ref="V427">_xlfn.IFS(C427="","",COUNTIF(C427,"ตำแหน่งว่าง*"),"ว่าง",COUNTIF(C427,"&lt;&gt;ตำแหน่งว่าง*"),"คนครอง")</f>
        <v>คนครอง</v>
      </c>
      <c r="W427" s="170" cm="1">
        <f t="array" ref="W427">_xlfn.IFS(COUNTIF(F427,"ผบ.หมู่*"),51,COUNTIF(F427,"รอง สว.*"),43)</f>
        <v>51</v>
      </c>
      <c r="X427" s="26" t="s">
        <v>622</v>
      </c>
      <c r="Y427" s="28" t="s">
        <v>52</v>
      </c>
    </row>
    <row r="428" spans="1:25" s="9" customFormat="1" ht="21.3" customHeight="1">
      <c r="A428" s="27"/>
      <c r="B428" s="28"/>
      <c r="C428" s="27" t="s">
        <v>18</v>
      </c>
      <c r="D428" s="27"/>
      <c r="E428" s="27"/>
      <c r="F428" s="27" t="s">
        <v>581</v>
      </c>
      <c r="G428" s="101" t="s">
        <v>625</v>
      </c>
      <c r="H428" s="75"/>
      <c r="I428" s="73"/>
      <c r="J428" s="73"/>
      <c r="K428" s="73"/>
      <c r="L428" s="11"/>
      <c r="M428" s="1"/>
      <c r="N428" s="112" t="s">
        <v>14</v>
      </c>
      <c r="O428" s="104" t="s">
        <v>52</v>
      </c>
      <c r="P428" s="104" t="s">
        <v>52</v>
      </c>
      <c r="Q428" s="105"/>
      <c r="R428" s="26"/>
      <c r="S428" s="225" t="str">
        <f t="shared" si="6"/>
        <v/>
      </c>
      <c r="T428" s="2" t="s">
        <v>7699</v>
      </c>
      <c r="U428" s="7" t="s">
        <v>62</v>
      </c>
      <c r="V428" s="162" t="str" cm="1">
        <f t="array" ref="V428">_xlfn.IFS(C428="","",COUNTIF(C428,"ตำแหน่งว่าง*"),"ว่าง",COUNTIF(C428,"&lt;&gt;ตำแหน่งว่าง*"),"คนครอง")</f>
        <v>ว่าง</v>
      </c>
      <c r="W428" s="49" cm="1">
        <f t="array" ref="W428">_xlfn.IFS(COUNTIF(F428,"ผบ.หมู่*"),51,COUNTIF(F428,"รอง สว.*"),43)</f>
        <v>51</v>
      </c>
      <c r="X428" s="3" t="s">
        <v>624</v>
      </c>
      <c r="Y428" s="1" t="s">
        <v>52</v>
      </c>
    </row>
    <row r="429" spans="1:25" s="9" customFormat="1" ht="21.3" customHeight="1">
      <c r="A429" s="27" t="s">
        <v>182</v>
      </c>
      <c r="B429" s="28" t="s">
        <v>12</v>
      </c>
      <c r="C429" s="27" t="s">
        <v>10767</v>
      </c>
      <c r="D429" s="27" t="s">
        <v>10768</v>
      </c>
      <c r="E429" s="27" t="s">
        <v>10769</v>
      </c>
      <c r="F429" s="27" t="s">
        <v>581</v>
      </c>
      <c r="G429" s="101" t="s">
        <v>628</v>
      </c>
      <c r="H429" s="75">
        <v>45768</v>
      </c>
      <c r="I429" s="73" t="s">
        <v>7609</v>
      </c>
      <c r="J429" s="73" t="s">
        <v>7609</v>
      </c>
      <c r="K429" s="73">
        <v>33705</v>
      </c>
      <c r="L429" s="11" t="s">
        <v>7609</v>
      </c>
      <c r="M429" s="1" t="s">
        <v>7609</v>
      </c>
      <c r="N429" s="112" t="s">
        <v>14</v>
      </c>
      <c r="O429" s="104" t="s">
        <v>52</v>
      </c>
      <c r="P429" s="104" t="s">
        <v>52</v>
      </c>
      <c r="Q429" s="105"/>
      <c r="R429" s="26" t="s">
        <v>10804</v>
      </c>
      <c r="S429" s="174">
        <f t="shared" si="6"/>
        <v>55793</v>
      </c>
      <c r="T429" s="2" t="s">
        <v>7699</v>
      </c>
      <c r="U429" s="2" t="s">
        <v>62</v>
      </c>
      <c r="V429" s="203" t="str" cm="1">
        <f t="array" ref="V429">_xlfn.IFS(C429="","",COUNTIF(C429,"ตำแหน่งว่าง*"),"ว่าง",COUNTIF(C429,"&lt;&gt;ตำแหน่งว่าง*"),"คนครอง")</f>
        <v>คนครอง</v>
      </c>
      <c r="W429" s="170" cm="1">
        <f t="array" ref="W429">_xlfn.IFS(COUNTIF(F429,"ผบ.หมู่*"),51,COUNTIF(F429,"รอง สว.*"),43)</f>
        <v>51</v>
      </c>
      <c r="X429" s="3" t="s">
        <v>627</v>
      </c>
      <c r="Y429" s="1" t="s">
        <v>52</v>
      </c>
    </row>
    <row r="430" spans="1:25" s="12" customFormat="1" ht="21.3" customHeight="1">
      <c r="A430" s="27" t="s">
        <v>182</v>
      </c>
      <c r="B430" s="31" t="s">
        <v>21</v>
      </c>
      <c r="C430" s="95" t="s">
        <v>629</v>
      </c>
      <c r="D430" s="27" t="s">
        <v>8590</v>
      </c>
      <c r="E430" s="27" t="s">
        <v>8591</v>
      </c>
      <c r="F430" s="95" t="s">
        <v>581</v>
      </c>
      <c r="G430" s="101" t="s">
        <v>631</v>
      </c>
      <c r="H430" s="75">
        <v>44636</v>
      </c>
      <c r="I430" s="76">
        <v>44636</v>
      </c>
      <c r="J430" s="76">
        <v>44636</v>
      </c>
      <c r="K430" s="76">
        <v>37577</v>
      </c>
      <c r="L430" s="17" t="s">
        <v>82</v>
      </c>
      <c r="M430" s="5" t="s">
        <v>91</v>
      </c>
      <c r="N430" s="111" t="s">
        <v>14</v>
      </c>
      <c r="O430" s="104" t="s">
        <v>52</v>
      </c>
      <c r="P430" s="104" t="s">
        <v>52</v>
      </c>
      <c r="Q430" s="108"/>
      <c r="R430" s="135" t="s">
        <v>611</v>
      </c>
      <c r="S430" s="225">
        <f t="shared" si="6"/>
        <v>59810</v>
      </c>
      <c r="T430" s="162" t="s">
        <v>7699</v>
      </c>
      <c r="U430" s="7" t="s">
        <v>62</v>
      </c>
      <c r="V430" s="162" t="str" cm="1">
        <f t="array" ref="V430">_xlfn.IFS(C430="","",COUNTIF(C430,"ตำแหน่งว่าง*"),"ว่าง",COUNTIF(C430,"&lt;&gt;ตำแหน่งว่าง*"),"คนครอง")</f>
        <v>คนครอง</v>
      </c>
      <c r="W430" s="49" cm="1">
        <f t="array" ref="W430">_xlfn.IFS(COUNTIF(F430,"ผบ.หมู่*"),51,COUNTIF(F430,"รอง สว.*"),43)</f>
        <v>51</v>
      </c>
      <c r="X430" s="4" t="s">
        <v>630</v>
      </c>
      <c r="Y430" s="5" t="s">
        <v>52</v>
      </c>
    </row>
    <row r="431" spans="1:25" s="9" customFormat="1" ht="21.3" customHeight="1">
      <c r="A431" s="27"/>
      <c r="B431" s="28"/>
      <c r="C431" s="95" t="s">
        <v>18</v>
      </c>
      <c r="D431" s="27"/>
      <c r="E431" s="27"/>
      <c r="F431" s="95" t="s">
        <v>581</v>
      </c>
      <c r="G431" s="101" t="s">
        <v>633</v>
      </c>
      <c r="H431" s="75"/>
      <c r="I431" s="73"/>
      <c r="J431" s="73"/>
      <c r="K431" s="73"/>
      <c r="L431" s="11"/>
      <c r="M431" s="1"/>
      <c r="N431" s="112" t="s">
        <v>14</v>
      </c>
      <c r="O431" s="104" t="s">
        <v>52</v>
      </c>
      <c r="P431" s="104" t="s">
        <v>52</v>
      </c>
      <c r="Q431" s="105"/>
      <c r="R431" s="26"/>
      <c r="S431" s="225" t="str">
        <f t="shared" si="6"/>
        <v/>
      </c>
      <c r="T431" s="2" t="s">
        <v>7699</v>
      </c>
      <c r="U431" s="7" t="s">
        <v>62</v>
      </c>
      <c r="V431" s="162" t="str" cm="1">
        <f t="array" ref="V431">_xlfn.IFS(C431="","",COUNTIF(C431,"ตำแหน่งว่าง*"),"ว่าง",COUNTIF(C431,"&lt;&gt;ตำแหน่งว่าง*"),"คนครอง")</f>
        <v>ว่าง</v>
      </c>
      <c r="W431" s="49" cm="1">
        <f t="array" ref="W431">_xlfn.IFS(COUNTIF(F431,"ผบ.หมู่*"),51,COUNTIF(F431,"รอง สว.*"),43)</f>
        <v>51</v>
      </c>
      <c r="X431" s="3" t="s">
        <v>632</v>
      </c>
      <c r="Y431" s="1" t="s">
        <v>52</v>
      </c>
    </row>
    <row r="432" spans="1:25" s="54" customFormat="1" ht="21.3" customHeight="1">
      <c r="A432" s="68"/>
      <c r="B432" s="30"/>
      <c r="C432" s="30" t="s">
        <v>18</v>
      </c>
      <c r="D432" s="27"/>
      <c r="E432" s="27"/>
      <c r="F432" s="68" t="s">
        <v>581</v>
      </c>
      <c r="G432" s="121" t="s">
        <v>635</v>
      </c>
      <c r="H432" s="80" t="s">
        <v>19</v>
      </c>
      <c r="I432" s="74" t="s">
        <v>19</v>
      </c>
      <c r="J432" s="74" t="s">
        <v>19</v>
      </c>
      <c r="K432" s="74" t="s">
        <v>19</v>
      </c>
      <c r="L432" s="16"/>
      <c r="M432" s="6"/>
      <c r="N432" s="113" t="s">
        <v>14</v>
      </c>
      <c r="O432" s="122" t="s">
        <v>52</v>
      </c>
      <c r="P432" s="122" t="s">
        <v>52</v>
      </c>
      <c r="Q432" s="106"/>
      <c r="R432" s="30"/>
      <c r="S432" s="225" t="str">
        <f t="shared" si="6"/>
        <v/>
      </c>
      <c r="T432" s="163" t="s">
        <v>7699</v>
      </c>
      <c r="U432" s="7" t="s">
        <v>62</v>
      </c>
      <c r="V432" s="171" t="str" cm="1">
        <f t="array" ref="V432">_xlfn.IFS(C432="","",COUNTIF(C432,"ตำแหน่งว่าง*"),"ว่าง",COUNTIF(C432,"&lt;&gt;ตำแหน่งว่าง*"),"คนครอง")</f>
        <v>ว่าง</v>
      </c>
      <c r="W432" s="49" cm="1">
        <f t="array" ref="W432">_xlfn.IFS(COUNTIF(F432,"ผบ.หมู่*"),51,COUNTIF(F432,"รอง สว.*"),43)</f>
        <v>51</v>
      </c>
      <c r="X432" s="8" t="s">
        <v>634</v>
      </c>
      <c r="Y432" s="6" t="s">
        <v>52</v>
      </c>
    </row>
    <row r="433" spans="1:25" s="9" customFormat="1" ht="21.3" customHeight="1">
      <c r="A433" s="68"/>
      <c r="B433" s="30"/>
      <c r="C433" s="30" t="s">
        <v>18</v>
      </c>
      <c r="D433" s="27"/>
      <c r="E433" s="27"/>
      <c r="F433" s="68" t="s">
        <v>581</v>
      </c>
      <c r="G433" s="121" t="s">
        <v>637</v>
      </c>
      <c r="H433" s="80" t="s">
        <v>19</v>
      </c>
      <c r="I433" s="74" t="s">
        <v>19</v>
      </c>
      <c r="J433" s="74" t="s">
        <v>19</v>
      </c>
      <c r="K433" s="74" t="s">
        <v>19</v>
      </c>
      <c r="L433" s="16"/>
      <c r="M433" s="6"/>
      <c r="N433" s="113" t="s">
        <v>14</v>
      </c>
      <c r="O433" s="122" t="s">
        <v>52</v>
      </c>
      <c r="P433" s="122" t="s">
        <v>52</v>
      </c>
      <c r="Q433" s="106"/>
      <c r="R433" s="29"/>
      <c r="S433" s="225" t="str">
        <f t="shared" si="6"/>
        <v/>
      </c>
      <c r="T433" s="2" t="s">
        <v>7699</v>
      </c>
      <c r="U433" s="7" t="s">
        <v>62</v>
      </c>
      <c r="V433" s="171" t="str" cm="1">
        <f t="array" ref="V433">_xlfn.IFS(C433="","",COUNTIF(C433,"ตำแหน่งว่าง*"),"ว่าง",COUNTIF(C433,"&lt;&gt;ตำแหน่งว่าง*"),"คนครอง")</f>
        <v>ว่าง</v>
      </c>
      <c r="W433" s="49" cm="1">
        <f t="array" ref="W433">_xlfn.IFS(COUNTIF(F433,"ผบ.หมู่*"),51,COUNTIF(F433,"รอง สว.*"),43)</f>
        <v>51</v>
      </c>
      <c r="X433" s="8" t="s">
        <v>636</v>
      </c>
      <c r="Y433" s="6" t="s">
        <v>52</v>
      </c>
    </row>
    <row r="434" spans="1:25" s="9" customFormat="1" ht="21.3" customHeight="1">
      <c r="A434" s="68"/>
      <c r="B434" s="30"/>
      <c r="C434" s="68" t="s">
        <v>18</v>
      </c>
      <c r="D434" s="27"/>
      <c r="E434" s="27"/>
      <c r="F434" s="68" t="s">
        <v>581</v>
      </c>
      <c r="G434" s="121" t="s">
        <v>639</v>
      </c>
      <c r="H434" s="80"/>
      <c r="I434" s="74"/>
      <c r="J434" s="74"/>
      <c r="K434" s="74"/>
      <c r="L434" s="16"/>
      <c r="M434" s="6"/>
      <c r="N434" s="113" t="s">
        <v>14</v>
      </c>
      <c r="O434" s="122" t="s">
        <v>52</v>
      </c>
      <c r="P434" s="122" t="s">
        <v>52</v>
      </c>
      <c r="Q434" s="106"/>
      <c r="R434" s="29"/>
      <c r="S434" s="225" t="str">
        <f t="shared" si="6"/>
        <v/>
      </c>
      <c r="T434" s="2" t="s">
        <v>7699</v>
      </c>
      <c r="U434" s="7" t="s">
        <v>62</v>
      </c>
      <c r="V434" s="171" t="str" cm="1">
        <f t="array" ref="V434">_xlfn.IFS(C434="","",COUNTIF(C434,"ตำแหน่งว่าง*"),"ว่าง",COUNTIF(C434,"&lt;&gt;ตำแหน่งว่าง*"),"คนครอง")</f>
        <v>ว่าง</v>
      </c>
      <c r="W434" s="49" cm="1">
        <f t="array" ref="W434">_xlfn.IFS(COUNTIF(F434,"ผบ.หมู่*"),51,COUNTIF(F434,"รอง สว.*"),43)</f>
        <v>51</v>
      </c>
      <c r="X434" s="3" t="s">
        <v>638</v>
      </c>
      <c r="Y434" s="1" t="s">
        <v>52</v>
      </c>
    </row>
    <row r="435" spans="1:25" s="12" customFormat="1" ht="21.3" customHeight="1">
      <c r="A435" s="95"/>
      <c r="B435" s="31"/>
      <c r="C435" s="30" t="s">
        <v>18</v>
      </c>
      <c r="D435" s="27"/>
      <c r="E435" s="27"/>
      <c r="F435" s="68" t="s">
        <v>581</v>
      </c>
      <c r="G435" s="121" t="s">
        <v>643</v>
      </c>
      <c r="H435" s="80"/>
      <c r="I435" s="74"/>
      <c r="J435" s="74"/>
      <c r="K435" s="74"/>
      <c r="L435" s="16"/>
      <c r="M435" s="6"/>
      <c r="N435" s="113" t="s">
        <v>14</v>
      </c>
      <c r="O435" s="122" t="s">
        <v>52</v>
      </c>
      <c r="P435" s="122" t="s">
        <v>52</v>
      </c>
      <c r="Q435" s="106"/>
      <c r="R435" s="29"/>
      <c r="S435" s="225" t="str">
        <f t="shared" si="6"/>
        <v/>
      </c>
      <c r="T435" s="162" t="s">
        <v>7699</v>
      </c>
      <c r="U435" s="7" t="s">
        <v>62</v>
      </c>
      <c r="V435" s="171" t="str" cm="1">
        <f t="array" ref="V435">_xlfn.IFS(C435="","",COUNTIF(C435,"ตำแหน่งว่าง*"),"ว่าง",COUNTIF(C435,"&lt;&gt;ตำแหน่งว่าง*"),"คนครอง")</f>
        <v>ว่าง</v>
      </c>
      <c r="W435" s="49" cm="1">
        <f t="array" ref="W435">_xlfn.IFS(COUNTIF(F435,"ผบ.หมู่*"),51,COUNTIF(F435,"รอง สว.*"),43)</f>
        <v>51</v>
      </c>
      <c r="X435" s="8" t="s">
        <v>642</v>
      </c>
      <c r="Y435" s="6" t="s">
        <v>52</v>
      </c>
    </row>
    <row r="436" spans="1:25" s="9" customFormat="1" ht="21.3" customHeight="1">
      <c r="A436" s="27" t="s">
        <v>612</v>
      </c>
      <c r="B436" s="28" t="s">
        <v>21</v>
      </c>
      <c r="C436" s="27" t="s">
        <v>646</v>
      </c>
      <c r="D436" s="27" t="s">
        <v>8071</v>
      </c>
      <c r="E436" s="27" t="s">
        <v>8592</v>
      </c>
      <c r="F436" s="27" t="s">
        <v>581</v>
      </c>
      <c r="G436" s="101" t="s">
        <v>648</v>
      </c>
      <c r="H436" s="75">
        <v>44243</v>
      </c>
      <c r="I436" s="73">
        <v>42384</v>
      </c>
      <c r="J436" s="73">
        <v>42384</v>
      </c>
      <c r="K436" s="73">
        <v>31792</v>
      </c>
      <c r="L436" s="11" t="s">
        <v>649</v>
      </c>
      <c r="M436" s="1" t="s">
        <v>46</v>
      </c>
      <c r="N436" s="112" t="s">
        <v>14</v>
      </c>
      <c r="O436" s="104" t="s">
        <v>52</v>
      </c>
      <c r="P436" s="104" t="s">
        <v>52</v>
      </c>
      <c r="Q436" s="105"/>
      <c r="R436" s="26" t="s">
        <v>617</v>
      </c>
      <c r="S436" s="225">
        <f t="shared" si="6"/>
        <v>53966</v>
      </c>
      <c r="T436" s="2" t="s">
        <v>7699</v>
      </c>
      <c r="U436" s="7" t="s">
        <v>62</v>
      </c>
      <c r="V436" s="162" t="str" cm="1">
        <f t="array" ref="V436">_xlfn.IFS(C436="","",COUNTIF(C436,"ตำแหน่งว่าง*"),"ว่าง",COUNTIF(C436,"&lt;&gt;ตำแหน่งว่าง*"),"คนครอง")</f>
        <v>คนครอง</v>
      </c>
      <c r="W436" s="49" cm="1">
        <f t="array" ref="W436">_xlfn.IFS(COUNTIF(F436,"ผบ.หมู่*"),51,COUNTIF(F436,"รอง สว.*"),43)</f>
        <v>51</v>
      </c>
      <c r="X436" s="3" t="s">
        <v>647</v>
      </c>
      <c r="Y436" s="1" t="s">
        <v>52</v>
      </c>
    </row>
    <row r="437" spans="1:25" s="9" customFormat="1" ht="21.3" customHeight="1">
      <c r="A437" s="95"/>
      <c r="B437" s="28"/>
      <c r="C437" s="30" t="s">
        <v>18</v>
      </c>
      <c r="D437" s="27"/>
      <c r="E437" s="27"/>
      <c r="F437" s="68" t="s">
        <v>581</v>
      </c>
      <c r="G437" s="121" t="s">
        <v>651</v>
      </c>
      <c r="H437" s="80"/>
      <c r="I437" s="74"/>
      <c r="J437" s="74"/>
      <c r="K437" s="74"/>
      <c r="L437" s="16"/>
      <c r="M437" s="6"/>
      <c r="N437" s="113" t="s">
        <v>14</v>
      </c>
      <c r="O437" s="122" t="s">
        <v>52</v>
      </c>
      <c r="P437" s="122" t="s">
        <v>52</v>
      </c>
      <c r="Q437" s="106"/>
      <c r="R437" s="29"/>
      <c r="S437" s="225" t="str">
        <f t="shared" si="6"/>
        <v/>
      </c>
      <c r="T437" s="2" t="s">
        <v>7699</v>
      </c>
      <c r="U437" s="7" t="s">
        <v>62</v>
      </c>
      <c r="V437" s="171" t="str" cm="1">
        <f t="array" ref="V437">_xlfn.IFS(C437="","",COUNTIF(C437,"ตำแหน่งว่าง*"),"ว่าง",COUNTIF(C437,"&lt;&gt;ตำแหน่งว่าง*"),"คนครอง")</f>
        <v>ว่าง</v>
      </c>
      <c r="W437" s="49" cm="1">
        <f t="array" ref="W437">_xlfn.IFS(COUNTIF(F437,"ผบ.หมู่*"),51,COUNTIF(F437,"รอง สว.*"),43)</f>
        <v>51</v>
      </c>
      <c r="X437" s="8" t="s">
        <v>650</v>
      </c>
      <c r="Y437" s="6" t="s">
        <v>52</v>
      </c>
    </row>
    <row r="438" spans="1:25" s="9" customFormat="1" ht="21.3" customHeight="1">
      <c r="A438" s="95"/>
      <c r="B438" s="28"/>
      <c r="C438" s="30" t="s">
        <v>18</v>
      </c>
      <c r="D438" s="27"/>
      <c r="E438" s="27"/>
      <c r="F438" s="68" t="s">
        <v>581</v>
      </c>
      <c r="G438" s="121" t="s">
        <v>654</v>
      </c>
      <c r="H438" s="80"/>
      <c r="I438" s="74"/>
      <c r="J438" s="74"/>
      <c r="K438" s="74"/>
      <c r="L438" s="16"/>
      <c r="M438" s="6"/>
      <c r="N438" s="113" t="s">
        <v>14</v>
      </c>
      <c r="O438" s="122" t="s">
        <v>52</v>
      </c>
      <c r="P438" s="122" t="s">
        <v>52</v>
      </c>
      <c r="Q438" s="106"/>
      <c r="R438" s="29"/>
      <c r="S438" s="225" t="str">
        <f t="shared" si="6"/>
        <v/>
      </c>
      <c r="T438" s="2" t="s">
        <v>7699</v>
      </c>
      <c r="U438" s="7" t="s">
        <v>62</v>
      </c>
      <c r="V438" s="171" t="str" cm="1">
        <f t="array" ref="V438">_xlfn.IFS(C438="","",COUNTIF(C438,"ตำแหน่งว่าง*"),"ว่าง",COUNTIF(C438,"&lt;&gt;ตำแหน่งว่าง*"),"คนครอง")</f>
        <v>ว่าง</v>
      </c>
      <c r="W438" s="49" cm="1">
        <f t="array" ref="W438">_xlfn.IFS(COUNTIF(F438,"ผบ.หมู่*"),51,COUNTIF(F438,"รอง สว.*"),43)</f>
        <v>51</v>
      </c>
      <c r="X438" s="8" t="s">
        <v>653</v>
      </c>
      <c r="Y438" s="6" t="s">
        <v>52</v>
      </c>
    </row>
    <row r="439" spans="1:25" s="12" customFormat="1" ht="21.3" customHeight="1">
      <c r="A439" s="27" t="s">
        <v>60</v>
      </c>
      <c r="B439" s="31" t="s">
        <v>21</v>
      </c>
      <c r="C439" s="95" t="s">
        <v>655</v>
      </c>
      <c r="D439" s="27" t="s">
        <v>8593</v>
      </c>
      <c r="E439" s="27" t="s">
        <v>8594</v>
      </c>
      <c r="F439" s="95" t="s">
        <v>594</v>
      </c>
      <c r="G439" s="101" t="s">
        <v>657</v>
      </c>
      <c r="H439" s="75">
        <v>44243</v>
      </c>
      <c r="I439" s="73">
        <v>37165</v>
      </c>
      <c r="J439" s="73">
        <v>37165</v>
      </c>
      <c r="K439" s="73">
        <v>26310</v>
      </c>
      <c r="L439" s="11" t="s">
        <v>658</v>
      </c>
      <c r="M439" s="1" t="s">
        <v>592</v>
      </c>
      <c r="N439" s="111" t="s">
        <v>14</v>
      </c>
      <c r="O439" s="104" t="s">
        <v>52</v>
      </c>
      <c r="P439" s="104" t="s">
        <v>52</v>
      </c>
      <c r="Q439" s="108"/>
      <c r="R439" s="135" t="s">
        <v>617</v>
      </c>
      <c r="S439" s="225">
        <f t="shared" si="6"/>
        <v>48488</v>
      </c>
      <c r="T439" s="162" t="s">
        <v>7699</v>
      </c>
      <c r="U439" s="7" t="s">
        <v>62</v>
      </c>
      <c r="V439" s="162" t="str" cm="1">
        <f t="array" ref="V439">_xlfn.IFS(C439="","",COUNTIF(C439,"ตำแหน่งว่าง*"),"ว่าง",COUNTIF(C439,"&lt;&gt;ตำแหน่งว่าง*"),"คนครอง")</f>
        <v>คนครอง</v>
      </c>
      <c r="W439" s="49" cm="1">
        <f t="array" ref="W439">_xlfn.IFS(COUNTIF(F439,"ผบ.หมู่*"),51,COUNTIF(F439,"รอง สว.*"),43)</f>
        <v>43</v>
      </c>
      <c r="X439" s="4" t="s">
        <v>656</v>
      </c>
      <c r="Y439" s="5" t="s">
        <v>52</v>
      </c>
    </row>
    <row r="440" spans="1:25" s="9" customFormat="1" ht="21.3" customHeight="1">
      <c r="A440" s="27" t="s">
        <v>157</v>
      </c>
      <c r="B440" s="28" t="s">
        <v>21</v>
      </c>
      <c r="C440" s="27" t="s">
        <v>659</v>
      </c>
      <c r="D440" s="27" t="s">
        <v>8327</v>
      </c>
      <c r="E440" s="27" t="s">
        <v>8595</v>
      </c>
      <c r="F440" s="27" t="s">
        <v>581</v>
      </c>
      <c r="G440" s="101" t="s">
        <v>661</v>
      </c>
      <c r="H440" s="91">
        <v>44599</v>
      </c>
      <c r="I440" s="73">
        <v>41214</v>
      </c>
      <c r="J440" s="73">
        <v>41214</v>
      </c>
      <c r="K440" s="73">
        <v>29523</v>
      </c>
      <c r="L440" s="34" t="s">
        <v>662</v>
      </c>
      <c r="M440" s="28" t="s">
        <v>57</v>
      </c>
      <c r="N440" s="112" t="s">
        <v>14</v>
      </c>
      <c r="O440" s="104" t="s">
        <v>52</v>
      </c>
      <c r="P440" s="104" t="s">
        <v>52</v>
      </c>
      <c r="Q440" s="105"/>
      <c r="R440" s="26" t="s">
        <v>607</v>
      </c>
      <c r="S440" s="225">
        <f t="shared" si="6"/>
        <v>51775</v>
      </c>
      <c r="T440" s="2" t="s">
        <v>7699</v>
      </c>
      <c r="U440" s="7" t="s">
        <v>62</v>
      </c>
      <c r="V440" s="162" t="str" cm="1">
        <f t="array" ref="V440">_xlfn.IFS(C440="","",COUNTIF(C440,"ตำแหน่งว่าง*"),"ว่าง",COUNTIF(C440,"&lt;&gt;ตำแหน่งว่าง*"),"คนครอง")</f>
        <v>คนครอง</v>
      </c>
      <c r="W440" s="49" cm="1">
        <f t="array" ref="W440">_xlfn.IFS(COUNTIF(F440,"ผบ.หมู่*"),51,COUNTIF(F440,"รอง สว.*"),43)</f>
        <v>51</v>
      </c>
      <c r="X440" s="3" t="s">
        <v>660</v>
      </c>
      <c r="Y440" s="1" t="s">
        <v>52</v>
      </c>
    </row>
    <row r="441" spans="1:25" s="10" customFormat="1" ht="21.3" customHeight="1">
      <c r="A441" s="27" t="s">
        <v>612</v>
      </c>
      <c r="B441" s="28" t="s">
        <v>21</v>
      </c>
      <c r="C441" s="95" t="s">
        <v>663</v>
      </c>
      <c r="D441" s="27" t="s">
        <v>8596</v>
      </c>
      <c r="E441" s="27" t="s">
        <v>8597</v>
      </c>
      <c r="F441" s="27" t="s">
        <v>581</v>
      </c>
      <c r="G441" s="101" t="s">
        <v>665</v>
      </c>
      <c r="H441" s="91">
        <v>44599</v>
      </c>
      <c r="I441" s="73">
        <v>42125</v>
      </c>
      <c r="J441" s="73">
        <v>42125</v>
      </c>
      <c r="K441" s="73">
        <v>34969</v>
      </c>
      <c r="L441" s="19" t="s">
        <v>666</v>
      </c>
      <c r="M441" s="3" t="s">
        <v>80</v>
      </c>
      <c r="N441" s="112" t="s">
        <v>14</v>
      </c>
      <c r="O441" s="104" t="s">
        <v>52</v>
      </c>
      <c r="P441" s="104" t="s">
        <v>52</v>
      </c>
      <c r="Q441" s="105"/>
      <c r="R441" s="26" t="s">
        <v>607</v>
      </c>
      <c r="S441" s="225">
        <f t="shared" si="6"/>
        <v>56888</v>
      </c>
      <c r="T441" s="7" t="s">
        <v>7699</v>
      </c>
      <c r="U441" s="7" t="s">
        <v>62</v>
      </c>
      <c r="V441" s="162" t="str" cm="1">
        <f t="array" ref="V441">_xlfn.IFS(C441="","",COUNTIF(C441,"ตำแหน่งว่าง*"),"ว่าง",COUNTIF(C441,"&lt;&gt;ตำแหน่งว่าง*"),"คนครอง")</f>
        <v>คนครอง</v>
      </c>
      <c r="W441" s="49" cm="1">
        <f t="array" ref="W441">_xlfn.IFS(COUNTIF(F441,"ผบ.หมู่*"),51,COUNTIF(F441,"รอง สว.*"),43)</f>
        <v>51</v>
      </c>
      <c r="X441" s="3" t="s">
        <v>664</v>
      </c>
      <c r="Y441" s="1" t="s">
        <v>52</v>
      </c>
    </row>
    <row r="442" spans="1:25" s="10" customFormat="1" ht="21.3" customHeight="1">
      <c r="A442" s="27" t="s">
        <v>208</v>
      </c>
      <c r="B442" s="28" t="s">
        <v>21</v>
      </c>
      <c r="C442" s="95" t="s">
        <v>667</v>
      </c>
      <c r="D442" s="27" t="s">
        <v>8353</v>
      </c>
      <c r="E442" s="27" t="s">
        <v>8598</v>
      </c>
      <c r="F442" s="95" t="s">
        <v>581</v>
      </c>
      <c r="G442" s="101" t="s">
        <v>669</v>
      </c>
      <c r="H442" s="91">
        <v>44599</v>
      </c>
      <c r="I442" s="75">
        <v>43132</v>
      </c>
      <c r="J442" s="75">
        <v>43132</v>
      </c>
      <c r="K442" s="75">
        <v>30931</v>
      </c>
      <c r="L442" s="34" t="s">
        <v>670</v>
      </c>
      <c r="M442" s="28" t="s">
        <v>77</v>
      </c>
      <c r="N442" s="111" t="s">
        <v>14</v>
      </c>
      <c r="O442" s="104" t="s">
        <v>52</v>
      </c>
      <c r="P442" s="104" t="s">
        <v>52</v>
      </c>
      <c r="Q442" s="105"/>
      <c r="R442" s="26" t="s">
        <v>607</v>
      </c>
      <c r="S442" s="225">
        <f t="shared" si="6"/>
        <v>52871</v>
      </c>
      <c r="T442" s="7" t="s">
        <v>7699</v>
      </c>
      <c r="U442" s="7" t="s">
        <v>62</v>
      </c>
      <c r="V442" s="162" t="str" cm="1">
        <f t="array" ref="V442">_xlfn.IFS(C442="","",COUNTIF(C442,"ตำแหน่งว่าง*"),"ว่าง",COUNTIF(C442,"&lt;&gt;ตำแหน่งว่าง*"),"คนครอง")</f>
        <v>คนครอง</v>
      </c>
      <c r="W442" s="49" cm="1">
        <f t="array" ref="W442">_xlfn.IFS(COUNTIF(F442,"ผบ.หมู่*"),51,COUNTIF(F442,"รอง สว.*"),43)</f>
        <v>51</v>
      </c>
      <c r="X442" s="4" t="s">
        <v>668</v>
      </c>
      <c r="Y442" s="5" t="s">
        <v>52</v>
      </c>
    </row>
    <row r="443" spans="1:25" s="10" customFormat="1" ht="21.3" customHeight="1">
      <c r="A443" s="27" t="s">
        <v>612</v>
      </c>
      <c r="B443" s="28" t="s">
        <v>21</v>
      </c>
      <c r="C443" s="27" t="s">
        <v>671</v>
      </c>
      <c r="D443" s="27" t="s">
        <v>8188</v>
      </c>
      <c r="E443" s="27" t="s">
        <v>8599</v>
      </c>
      <c r="F443" s="27" t="s">
        <v>581</v>
      </c>
      <c r="G443" s="101" t="s">
        <v>673</v>
      </c>
      <c r="H443" s="91">
        <v>44599</v>
      </c>
      <c r="I443" s="75">
        <v>41155</v>
      </c>
      <c r="J443" s="75">
        <v>41155</v>
      </c>
      <c r="K443" s="75">
        <v>29475</v>
      </c>
      <c r="L443" s="34" t="s">
        <v>4907</v>
      </c>
      <c r="M443" s="28" t="s">
        <v>592</v>
      </c>
      <c r="N443" s="112" t="s">
        <v>14</v>
      </c>
      <c r="O443" s="104" t="s">
        <v>52</v>
      </c>
      <c r="P443" s="104" t="s">
        <v>52</v>
      </c>
      <c r="Q443" s="105"/>
      <c r="R443" s="26" t="s">
        <v>607</v>
      </c>
      <c r="S443" s="225">
        <f t="shared" si="6"/>
        <v>51410</v>
      </c>
      <c r="T443" s="7" t="s">
        <v>7699</v>
      </c>
      <c r="U443" s="7" t="s">
        <v>62</v>
      </c>
      <c r="V443" s="162" t="str" cm="1">
        <f t="array" ref="V443">_xlfn.IFS(C443="","",COUNTIF(C443,"ตำแหน่งว่าง*"),"ว่าง",COUNTIF(C443,"&lt;&gt;ตำแหน่งว่าง*"),"คนครอง")</f>
        <v>คนครอง</v>
      </c>
      <c r="W443" s="49" cm="1">
        <f t="array" ref="W443">_xlfn.IFS(COUNTIF(F443,"ผบ.หมู่*"),51,COUNTIF(F443,"รอง สว.*"),43)</f>
        <v>51</v>
      </c>
      <c r="X443" s="3" t="s">
        <v>672</v>
      </c>
      <c r="Y443" s="1" t="s">
        <v>52</v>
      </c>
    </row>
    <row r="444" spans="1:25" s="10" customFormat="1" ht="21.3" customHeight="1">
      <c r="A444" s="27" t="s">
        <v>208</v>
      </c>
      <c r="B444" s="28" t="s">
        <v>21</v>
      </c>
      <c r="C444" s="27" t="s">
        <v>674</v>
      </c>
      <c r="D444" s="27" t="s">
        <v>8600</v>
      </c>
      <c r="E444" s="27" t="s">
        <v>8601</v>
      </c>
      <c r="F444" s="27" t="s">
        <v>581</v>
      </c>
      <c r="G444" s="101" t="s">
        <v>676</v>
      </c>
      <c r="H444" s="91">
        <v>44999</v>
      </c>
      <c r="I444" s="75">
        <v>43132</v>
      </c>
      <c r="J444" s="75">
        <v>43132</v>
      </c>
      <c r="K444" s="75">
        <v>33791</v>
      </c>
      <c r="L444" s="34" t="s">
        <v>662</v>
      </c>
      <c r="M444" s="28" t="s">
        <v>16</v>
      </c>
      <c r="N444" s="112" t="s">
        <v>14</v>
      </c>
      <c r="O444" s="104" t="s">
        <v>52</v>
      </c>
      <c r="P444" s="104" t="s">
        <v>52</v>
      </c>
      <c r="Q444" s="105"/>
      <c r="R444" s="26" t="s">
        <v>74</v>
      </c>
      <c r="S444" s="225">
        <f t="shared" si="6"/>
        <v>55793</v>
      </c>
      <c r="T444" s="7" t="s">
        <v>7699</v>
      </c>
      <c r="U444" s="7" t="s">
        <v>62</v>
      </c>
      <c r="V444" s="162" t="str" cm="1">
        <f t="array" ref="V444">_xlfn.IFS(C444="","",COUNTIF(C444,"ตำแหน่งว่าง*"),"ว่าง",COUNTIF(C444,"&lt;&gt;ตำแหน่งว่าง*"),"คนครอง")</f>
        <v>คนครอง</v>
      </c>
      <c r="W444" s="49" cm="1">
        <f t="array" ref="W444">_xlfn.IFS(COUNTIF(F444,"ผบ.หมู่*"),51,COUNTIF(F444,"รอง สว.*"),43)</f>
        <v>51</v>
      </c>
      <c r="X444" s="3" t="s">
        <v>675</v>
      </c>
      <c r="Y444" s="1" t="s">
        <v>52</v>
      </c>
    </row>
    <row r="445" spans="1:25" s="10" customFormat="1" ht="21.3" customHeight="1">
      <c r="A445" s="27" t="s">
        <v>612</v>
      </c>
      <c r="B445" s="28" t="s">
        <v>21</v>
      </c>
      <c r="C445" s="27" t="s">
        <v>677</v>
      </c>
      <c r="D445" s="27" t="s">
        <v>8048</v>
      </c>
      <c r="E445" s="27" t="s">
        <v>8602</v>
      </c>
      <c r="F445" s="27" t="s">
        <v>581</v>
      </c>
      <c r="G445" s="101" t="s">
        <v>679</v>
      </c>
      <c r="H445" s="75">
        <v>44999</v>
      </c>
      <c r="I445" s="73">
        <v>42416</v>
      </c>
      <c r="J445" s="73">
        <v>42416</v>
      </c>
      <c r="K445" s="73">
        <v>30124</v>
      </c>
      <c r="L445" s="11" t="s">
        <v>82</v>
      </c>
      <c r="M445" s="1" t="s">
        <v>23</v>
      </c>
      <c r="N445" s="112" t="s">
        <v>14</v>
      </c>
      <c r="O445" s="104" t="s">
        <v>52</v>
      </c>
      <c r="P445" s="104" t="s">
        <v>52</v>
      </c>
      <c r="Q445" s="105"/>
      <c r="R445" s="28" t="s">
        <v>74</v>
      </c>
      <c r="S445" s="225">
        <f t="shared" si="6"/>
        <v>52140</v>
      </c>
      <c r="T445" s="7" t="s">
        <v>7699</v>
      </c>
      <c r="U445" s="7" t="s">
        <v>62</v>
      </c>
      <c r="V445" s="162" t="str" cm="1">
        <f t="array" ref="V445">_xlfn.IFS(C445="","",COUNTIF(C445,"ตำแหน่งว่าง*"),"ว่าง",COUNTIF(C445,"&lt;&gt;ตำแหน่งว่าง*"),"คนครอง")</f>
        <v>คนครอง</v>
      </c>
      <c r="W445" s="49" cm="1">
        <f t="array" ref="W445">_xlfn.IFS(COUNTIF(F445,"ผบ.หมู่*"),51,COUNTIF(F445,"รอง สว.*"),43)</f>
        <v>51</v>
      </c>
      <c r="X445" s="3" t="s">
        <v>678</v>
      </c>
      <c r="Y445" s="1" t="s">
        <v>52</v>
      </c>
    </row>
    <row r="446" spans="1:25" s="10" customFormat="1" ht="21.3" customHeight="1">
      <c r="A446" s="27" t="s">
        <v>612</v>
      </c>
      <c r="B446" s="28" t="s">
        <v>21</v>
      </c>
      <c r="C446" s="27" t="s">
        <v>680</v>
      </c>
      <c r="D446" s="27" t="s">
        <v>8337</v>
      </c>
      <c r="E446" s="27" t="s">
        <v>8603</v>
      </c>
      <c r="F446" s="27" t="s">
        <v>581</v>
      </c>
      <c r="G446" s="101" t="s">
        <v>682</v>
      </c>
      <c r="H446" s="91">
        <v>44999</v>
      </c>
      <c r="I446" s="75">
        <v>42416</v>
      </c>
      <c r="J446" s="75">
        <v>42416</v>
      </c>
      <c r="K446" s="75">
        <v>32562</v>
      </c>
      <c r="L446" s="34" t="s">
        <v>683</v>
      </c>
      <c r="M446" s="28" t="s">
        <v>47</v>
      </c>
      <c r="N446" s="112" t="s">
        <v>14</v>
      </c>
      <c r="O446" s="104" t="s">
        <v>52</v>
      </c>
      <c r="P446" s="104" t="s">
        <v>52</v>
      </c>
      <c r="Q446" s="105"/>
      <c r="R446" s="26" t="s">
        <v>74</v>
      </c>
      <c r="S446" s="225">
        <f t="shared" si="6"/>
        <v>54697</v>
      </c>
      <c r="T446" s="7" t="s">
        <v>7699</v>
      </c>
      <c r="U446" s="7" t="s">
        <v>62</v>
      </c>
      <c r="V446" s="162" t="str" cm="1">
        <f t="array" ref="V446">_xlfn.IFS(C446="","",COUNTIF(C446,"ตำแหน่งว่าง*"),"ว่าง",COUNTIF(C446,"&lt;&gt;ตำแหน่งว่าง*"),"คนครอง")</f>
        <v>คนครอง</v>
      </c>
      <c r="W446" s="49" cm="1">
        <f t="array" ref="W446">_xlfn.IFS(COUNTIF(F446,"ผบ.หมู่*"),51,COUNTIF(F446,"รอง สว.*"),43)</f>
        <v>51</v>
      </c>
      <c r="X446" s="3" t="s">
        <v>681</v>
      </c>
      <c r="Y446" s="1" t="s">
        <v>52</v>
      </c>
    </row>
    <row r="447" spans="1:25" s="9" customFormat="1" ht="21.3" customHeight="1">
      <c r="A447" s="27" t="s">
        <v>157</v>
      </c>
      <c r="B447" s="28" t="s">
        <v>12</v>
      </c>
      <c r="C447" s="27" t="s">
        <v>684</v>
      </c>
      <c r="D447" s="27" t="s">
        <v>8604</v>
      </c>
      <c r="E447" s="27" t="s">
        <v>8605</v>
      </c>
      <c r="F447" s="27" t="s">
        <v>581</v>
      </c>
      <c r="G447" s="101" t="s">
        <v>686</v>
      </c>
      <c r="H447" s="75">
        <v>43871</v>
      </c>
      <c r="I447" s="73">
        <v>41214</v>
      </c>
      <c r="J447" s="73">
        <v>41214</v>
      </c>
      <c r="K447" s="73">
        <v>32163</v>
      </c>
      <c r="L447" s="11" t="s">
        <v>687</v>
      </c>
      <c r="M447" s="1" t="s">
        <v>91</v>
      </c>
      <c r="N447" s="112" t="s">
        <v>14</v>
      </c>
      <c r="O447" s="104" t="s">
        <v>52</v>
      </c>
      <c r="P447" s="104" t="s">
        <v>52</v>
      </c>
      <c r="Q447" s="105"/>
      <c r="R447" s="26" t="s">
        <v>688</v>
      </c>
      <c r="S447" s="225">
        <f t="shared" si="6"/>
        <v>54332</v>
      </c>
      <c r="T447" s="2" t="s">
        <v>7699</v>
      </c>
      <c r="U447" s="7" t="s">
        <v>62</v>
      </c>
      <c r="V447" s="162" t="str" cm="1">
        <f t="array" ref="V447">_xlfn.IFS(C447="","",COUNTIF(C447,"ตำแหน่งว่าง*"),"ว่าง",COUNTIF(C447,"&lt;&gt;ตำแหน่งว่าง*"),"คนครอง")</f>
        <v>คนครอง</v>
      </c>
      <c r="W447" s="49" cm="1">
        <f t="array" ref="W447">_xlfn.IFS(COUNTIF(F447,"ผบ.หมู่*"),51,COUNTIF(F447,"รอง สว.*"),43)</f>
        <v>51</v>
      </c>
      <c r="X447" s="3" t="s">
        <v>685</v>
      </c>
      <c r="Y447" s="1" t="s">
        <v>52</v>
      </c>
    </row>
    <row r="448" spans="1:25" s="10" customFormat="1" ht="21.3" customHeight="1">
      <c r="A448" s="68"/>
      <c r="B448" s="30"/>
      <c r="C448" s="30" t="s">
        <v>18</v>
      </c>
      <c r="D448" s="27"/>
      <c r="E448" s="27"/>
      <c r="F448" s="68" t="s">
        <v>581</v>
      </c>
      <c r="G448" s="121" t="s">
        <v>690</v>
      </c>
      <c r="H448" s="93" t="s">
        <v>19</v>
      </c>
      <c r="I448" s="74" t="s">
        <v>19</v>
      </c>
      <c r="J448" s="74" t="s">
        <v>19</v>
      </c>
      <c r="K448" s="74" t="s">
        <v>19</v>
      </c>
      <c r="L448" s="16"/>
      <c r="M448" s="6"/>
      <c r="N448" s="113" t="s">
        <v>14</v>
      </c>
      <c r="O448" s="122" t="s">
        <v>52</v>
      </c>
      <c r="P448" s="122" t="s">
        <v>52</v>
      </c>
      <c r="Q448" s="106"/>
      <c r="R448" s="29"/>
      <c r="S448" s="225" t="str">
        <f t="shared" si="6"/>
        <v/>
      </c>
      <c r="T448" s="7" t="s">
        <v>7699</v>
      </c>
      <c r="U448" s="7" t="s">
        <v>62</v>
      </c>
      <c r="V448" s="171" t="str" cm="1">
        <f t="array" ref="V448">_xlfn.IFS(C448="","",COUNTIF(C448,"ตำแหน่งว่าง*"),"ว่าง",COUNTIF(C448,"&lt;&gt;ตำแหน่งว่าง*"),"คนครอง")</f>
        <v>ว่าง</v>
      </c>
      <c r="W448" s="49" cm="1">
        <f t="array" ref="W448">_xlfn.IFS(COUNTIF(F448,"ผบ.หมู่*"),51,COUNTIF(F448,"รอง สว.*"),43)</f>
        <v>51</v>
      </c>
      <c r="X448" s="8" t="s">
        <v>689</v>
      </c>
      <c r="Y448" s="6" t="s">
        <v>52</v>
      </c>
    </row>
    <row r="449" spans="1:25" s="10" customFormat="1" ht="21.3" customHeight="1">
      <c r="A449" s="27"/>
      <c r="B449" s="28"/>
      <c r="C449" s="30" t="s">
        <v>18</v>
      </c>
      <c r="D449" s="27"/>
      <c r="E449" s="27"/>
      <c r="F449" s="68" t="s">
        <v>581</v>
      </c>
      <c r="G449" s="121" t="s">
        <v>692</v>
      </c>
      <c r="H449" s="91" t="s">
        <v>19</v>
      </c>
      <c r="I449" s="73" t="s">
        <v>19</v>
      </c>
      <c r="J449" s="73" t="s">
        <v>19</v>
      </c>
      <c r="K449" s="73" t="s">
        <v>19</v>
      </c>
      <c r="L449" s="11"/>
      <c r="M449" s="1"/>
      <c r="N449" s="113" t="s">
        <v>14</v>
      </c>
      <c r="O449" s="122" t="s">
        <v>52</v>
      </c>
      <c r="P449" s="122" t="s">
        <v>52</v>
      </c>
      <c r="Q449" s="105"/>
      <c r="R449" s="26"/>
      <c r="S449" s="225" t="str">
        <f t="shared" si="6"/>
        <v/>
      </c>
      <c r="T449" s="7" t="s">
        <v>7699</v>
      </c>
      <c r="U449" s="7" t="s">
        <v>62</v>
      </c>
      <c r="V449" s="171" t="str" cm="1">
        <f t="array" ref="V449">_xlfn.IFS(C449="","",COUNTIF(C449,"ตำแหน่งว่าง*"),"ว่าง",COUNTIF(C449,"&lt;&gt;ตำแหน่งว่าง*"),"คนครอง")</f>
        <v>ว่าง</v>
      </c>
      <c r="W449" s="49" cm="1">
        <f t="array" ref="W449">_xlfn.IFS(COUNTIF(F449,"ผบ.หมู่*"),51,COUNTIF(F449,"รอง สว.*"),43)</f>
        <v>51</v>
      </c>
      <c r="X449" s="8" t="s">
        <v>691</v>
      </c>
      <c r="Y449" s="6" t="s">
        <v>52</v>
      </c>
    </row>
    <row r="450" spans="1:25" s="10" customFormat="1" ht="21.3" customHeight="1">
      <c r="A450" s="27"/>
      <c r="B450" s="28"/>
      <c r="C450" s="30" t="s">
        <v>18</v>
      </c>
      <c r="D450" s="27"/>
      <c r="E450" s="27"/>
      <c r="F450" s="68" t="s">
        <v>581</v>
      </c>
      <c r="G450" s="121" t="s">
        <v>694</v>
      </c>
      <c r="H450" s="91" t="s">
        <v>19</v>
      </c>
      <c r="I450" s="73" t="s">
        <v>19</v>
      </c>
      <c r="J450" s="73" t="s">
        <v>19</v>
      </c>
      <c r="K450" s="73" t="s">
        <v>19</v>
      </c>
      <c r="L450" s="11"/>
      <c r="M450" s="1"/>
      <c r="N450" s="113" t="s">
        <v>14</v>
      </c>
      <c r="O450" s="122" t="s">
        <v>52</v>
      </c>
      <c r="P450" s="122" t="s">
        <v>52</v>
      </c>
      <c r="Q450" s="105"/>
      <c r="R450" s="26"/>
      <c r="S450" s="225" t="str">
        <f t="shared" ref="S450:S513" si="7">IF(K450&lt;&gt;"",DATE(YEAR(K450)+60+(K450&gt;=DATE(YEAR(K450),10,2)),10,1),"")</f>
        <v/>
      </c>
      <c r="T450" s="7" t="s">
        <v>7699</v>
      </c>
      <c r="U450" s="7" t="s">
        <v>62</v>
      </c>
      <c r="V450" s="171" t="str" cm="1">
        <f t="array" ref="V450">_xlfn.IFS(C450="","",COUNTIF(C450,"ตำแหน่งว่าง*"),"ว่าง",COUNTIF(C450,"&lt;&gt;ตำแหน่งว่าง*"),"คนครอง")</f>
        <v>ว่าง</v>
      </c>
      <c r="W450" s="49" cm="1">
        <f t="array" ref="W450">_xlfn.IFS(COUNTIF(F450,"ผบ.หมู่*"),51,COUNTIF(F450,"รอง สว.*"),43)</f>
        <v>51</v>
      </c>
      <c r="X450" s="8" t="s">
        <v>693</v>
      </c>
      <c r="Y450" s="6" t="s">
        <v>52</v>
      </c>
    </row>
    <row r="451" spans="1:25" s="10" customFormat="1" ht="21.3" customHeight="1">
      <c r="A451" s="27"/>
      <c r="B451" s="28"/>
      <c r="C451" s="30" t="s">
        <v>18</v>
      </c>
      <c r="D451" s="27"/>
      <c r="E451" s="27"/>
      <c r="F451" s="68" t="s">
        <v>581</v>
      </c>
      <c r="G451" s="121" t="s">
        <v>696</v>
      </c>
      <c r="H451" s="91" t="s">
        <v>19</v>
      </c>
      <c r="I451" s="73" t="s">
        <v>19</v>
      </c>
      <c r="J451" s="73" t="s">
        <v>19</v>
      </c>
      <c r="K451" s="73" t="s">
        <v>19</v>
      </c>
      <c r="L451" s="11"/>
      <c r="M451" s="1"/>
      <c r="N451" s="113" t="s">
        <v>14</v>
      </c>
      <c r="O451" s="122" t="s">
        <v>52</v>
      </c>
      <c r="P451" s="122" t="s">
        <v>52</v>
      </c>
      <c r="Q451" s="105"/>
      <c r="R451" s="26"/>
      <c r="S451" s="225" t="str">
        <f t="shared" si="7"/>
        <v/>
      </c>
      <c r="T451" s="7" t="s">
        <v>7699</v>
      </c>
      <c r="U451" s="7" t="s">
        <v>62</v>
      </c>
      <c r="V451" s="171" t="str" cm="1">
        <f t="array" ref="V451">_xlfn.IFS(C451="","",COUNTIF(C451,"ตำแหน่งว่าง*"),"ว่าง",COUNTIF(C451,"&lt;&gt;ตำแหน่งว่าง*"),"คนครอง")</f>
        <v>ว่าง</v>
      </c>
      <c r="W451" s="49" cm="1">
        <f t="array" ref="W451">_xlfn.IFS(COUNTIF(F451,"ผบ.หมู่*"),51,COUNTIF(F451,"รอง สว.*"),43)</f>
        <v>51</v>
      </c>
      <c r="X451" s="8" t="s">
        <v>695</v>
      </c>
      <c r="Y451" s="6" t="s">
        <v>52</v>
      </c>
    </row>
    <row r="452" spans="1:25" s="12" customFormat="1" ht="21.3" customHeight="1">
      <c r="A452" s="27"/>
      <c r="B452" s="28"/>
      <c r="C452" s="30" t="s">
        <v>18</v>
      </c>
      <c r="D452" s="27"/>
      <c r="E452" s="27"/>
      <c r="F452" s="68" t="s">
        <v>697</v>
      </c>
      <c r="G452" s="121" t="s">
        <v>699</v>
      </c>
      <c r="H452" s="91" t="s">
        <v>19</v>
      </c>
      <c r="I452" s="73" t="s">
        <v>19</v>
      </c>
      <c r="J452" s="73" t="s">
        <v>19</v>
      </c>
      <c r="K452" s="73" t="s">
        <v>19</v>
      </c>
      <c r="L452" s="11"/>
      <c r="M452" s="1"/>
      <c r="N452" s="113" t="s">
        <v>14</v>
      </c>
      <c r="O452" s="122" t="s">
        <v>27</v>
      </c>
      <c r="P452" s="122"/>
      <c r="Q452" s="105"/>
      <c r="R452" s="26"/>
      <c r="S452" s="225" t="str">
        <f t="shared" si="7"/>
        <v/>
      </c>
      <c r="T452" s="162" t="s">
        <v>7700</v>
      </c>
      <c r="U452" s="7" t="s">
        <v>62</v>
      </c>
      <c r="V452" s="171" t="str" cm="1">
        <f t="array" ref="V452">_xlfn.IFS(C452="","",COUNTIF(C452,"ตำแหน่งว่าง*"),"ว่าง",COUNTIF(C452,"&lt;&gt;ตำแหน่งว่าง*"),"คนครอง")</f>
        <v>ว่าง</v>
      </c>
      <c r="W452" s="49" cm="1">
        <f t="array" ref="W452">_xlfn.IFS(COUNTIF(F452,"ผบ.หมู่*"),51,COUNTIF(F452,"รอง สว.*"),43)</f>
        <v>51</v>
      </c>
      <c r="X452" s="8" t="s">
        <v>698</v>
      </c>
      <c r="Y452" s="6" t="s">
        <v>27</v>
      </c>
    </row>
    <row r="453" spans="1:25" s="10" customFormat="1" ht="21.3" customHeight="1">
      <c r="A453" s="68"/>
      <c r="B453" s="30"/>
      <c r="C453" s="30" t="s">
        <v>18</v>
      </c>
      <c r="D453" s="27"/>
      <c r="E453" s="27"/>
      <c r="F453" s="68" t="s">
        <v>697</v>
      </c>
      <c r="G453" s="121" t="s">
        <v>701</v>
      </c>
      <c r="H453" s="93" t="s">
        <v>19</v>
      </c>
      <c r="I453" s="74" t="s">
        <v>19</v>
      </c>
      <c r="J453" s="74" t="s">
        <v>19</v>
      </c>
      <c r="K453" s="74" t="s">
        <v>19</v>
      </c>
      <c r="L453" s="16"/>
      <c r="M453" s="6"/>
      <c r="N453" s="113" t="s">
        <v>14</v>
      </c>
      <c r="O453" s="122" t="s">
        <v>27</v>
      </c>
      <c r="P453" s="122"/>
      <c r="Q453" s="106"/>
      <c r="R453" s="29"/>
      <c r="S453" s="225" t="str">
        <f t="shared" si="7"/>
        <v/>
      </c>
      <c r="T453" s="7" t="s">
        <v>7700</v>
      </c>
      <c r="U453" s="7" t="s">
        <v>62</v>
      </c>
      <c r="V453" s="171" t="str" cm="1">
        <f t="array" ref="V453">_xlfn.IFS(C453="","",COUNTIF(C453,"ตำแหน่งว่าง*"),"ว่าง",COUNTIF(C453,"&lt;&gt;ตำแหน่งว่าง*"),"คนครอง")</f>
        <v>ว่าง</v>
      </c>
      <c r="W453" s="49" cm="1">
        <f t="array" ref="W453">_xlfn.IFS(COUNTIF(F453,"ผบ.หมู่*"),51,COUNTIF(F453,"รอง สว.*"),43)</f>
        <v>51</v>
      </c>
      <c r="X453" s="8" t="s">
        <v>700</v>
      </c>
      <c r="Y453" s="6" t="s">
        <v>27</v>
      </c>
    </row>
    <row r="454" spans="1:25" s="10" customFormat="1" ht="21.3" customHeight="1">
      <c r="A454" s="27"/>
      <c r="B454" s="28"/>
      <c r="C454" s="30" t="s">
        <v>18</v>
      </c>
      <c r="D454" s="27"/>
      <c r="E454" s="27"/>
      <c r="F454" s="68" t="s">
        <v>697</v>
      </c>
      <c r="G454" s="121" t="s">
        <v>703</v>
      </c>
      <c r="H454" s="91" t="s">
        <v>19</v>
      </c>
      <c r="I454" s="73" t="s">
        <v>19</v>
      </c>
      <c r="J454" s="73" t="s">
        <v>19</v>
      </c>
      <c r="K454" s="73" t="s">
        <v>19</v>
      </c>
      <c r="L454" s="11"/>
      <c r="M454" s="1"/>
      <c r="N454" s="113" t="s">
        <v>14</v>
      </c>
      <c r="O454" s="122" t="s">
        <v>27</v>
      </c>
      <c r="P454" s="122"/>
      <c r="Q454" s="105"/>
      <c r="R454" s="26"/>
      <c r="S454" s="225" t="str">
        <f t="shared" si="7"/>
        <v/>
      </c>
      <c r="T454" s="7" t="s">
        <v>7700</v>
      </c>
      <c r="U454" s="7" t="s">
        <v>62</v>
      </c>
      <c r="V454" s="171" t="str" cm="1">
        <f t="array" ref="V454">_xlfn.IFS(C454="","",COUNTIF(C454,"ตำแหน่งว่าง*"),"ว่าง",COUNTIF(C454,"&lt;&gt;ตำแหน่งว่าง*"),"คนครอง")</f>
        <v>ว่าง</v>
      </c>
      <c r="W454" s="49" cm="1">
        <f t="array" ref="W454">_xlfn.IFS(COUNTIF(F454,"ผบ.หมู่*"),51,COUNTIF(F454,"รอง สว.*"),43)</f>
        <v>51</v>
      </c>
      <c r="X454" s="8" t="s">
        <v>702</v>
      </c>
      <c r="Y454" s="6" t="s">
        <v>27</v>
      </c>
    </row>
    <row r="455" spans="1:25" s="9" customFormat="1" ht="21.3" customHeight="1">
      <c r="A455" s="27" t="s">
        <v>157</v>
      </c>
      <c r="B455" s="28" t="s">
        <v>21</v>
      </c>
      <c r="C455" s="27" t="s">
        <v>704</v>
      </c>
      <c r="D455" s="27" t="s">
        <v>8606</v>
      </c>
      <c r="E455" s="27" t="s">
        <v>8004</v>
      </c>
      <c r="F455" s="27" t="s">
        <v>697</v>
      </c>
      <c r="G455" s="101" t="s">
        <v>706</v>
      </c>
      <c r="H455" s="91">
        <v>41760</v>
      </c>
      <c r="I455" s="73">
        <v>40084</v>
      </c>
      <c r="J455" s="73">
        <v>40084</v>
      </c>
      <c r="K455" s="73">
        <v>28708</v>
      </c>
      <c r="L455" s="11" t="s">
        <v>707</v>
      </c>
      <c r="M455" s="1" t="s">
        <v>592</v>
      </c>
      <c r="N455" s="112" t="s">
        <v>14</v>
      </c>
      <c r="O455" s="104" t="s">
        <v>52</v>
      </c>
      <c r="P455" s="104" t="s">
        <v>52</v>
      </c>
      <c r="Q455" s="105"/>
      <c r="R455" s="26" t="s">
        <v>708</v>
      </c>
      <c r="S455" s="225">
        <f t="shared" si="7"/>
        <v>50679</v>
      </c>
      <c r="T455" s="2" t="s">
        <v>7700</v>
      </c>
      <c r="U455" s="7" t="s">
        <v>62</v>
      </c>
      <c r="V455" s="162" t="str" cm="1">
        <f t="array" ref="V455">_xlfn.IFS(C455="","",COUNTIF(C455,"ตำแหน่งว่าง*"),"ว่าง",COUNTIF(C455,"&lt;&gt;ตำแหน่งว่าง*"),"คนครอง")</f>
        <v>คนครอง</v>
      </c>
      <c r="W455" s="49" cm="1">
        <f t="array" ref="W455">_xlfn.IFS(COUNTIF(F455,"ผบ.หมู่*"),51,COUNTIF(F455,"รอง สว.*"),43)</f>
        <v>51</v>
      </c>
      <c r="X455" s="3" t="s">
        <v>705</v>
      </c>
      <c r="Y455" s="1" t="s">
        <v>52</v>
      </c>
    </row>
    <row r="456" spans="1:25" s="9" customFormat="1" ht="21.3" customHeight="1">
      <c r="A456" s="27" t="s">
        <v>612</v>
      </c>
      <c r="B456" s="28" t="s">
        <v>12</v>
      </c>
      <c r="C456" s="27" t="s">
        <v>709</v>
      </c>
      <c r="D456" s="27" t="s">
        <v>8607</v>
      </c>
      <c r="E456" s="27" t="s">
        <v>8010</v>
      </c>
      <c r="F456" s="27" t="s">
        <v>697</v>
      </c>
      <c r="G456" s="101" t="s">
        <v>711</v>
      </c>
      <c r="H456" s="75">
        <v>43646</v>
      </c>
      <c r="I456" s="73">
        <v>43646</v>
      </c>
      <c r="J456" s="73">
        <v>41944</v>
      </c>
      <c r="K456" s="73">
        <v>30834</v>
      </c>
      <c r="L456" s="11" t="s">
        <v>712</v>
      </c>
      <c r="M456" s="1" t="s">
        <v>120</v>
      </c>
      <c r="N456" s="112" t="s">
        <v>14</v>
      </c>
      <c r="O456" s="104" t="s">
        <v>52</v>
      </c>
      <c r="P456" s="104" t="s">
        <v>52</v>
      </c>
      <c r="Q456" s="105"/>
      <c r="R456" s="28" t="s">
        <v>713</v>
      </c>
      <c r="S456" s="225">
        <f t="shared" si="7"/>
        <v>52871</v>
      </c>
      <c r="T456" s="2" t="s">
        <v>7700</v>
      </c>
      <c r="U456" s="7" t="s">
        <v>62</v>
      </c>
      <c r="V456" s="162" t="str" cm="1">
        <f t="array" ref="V456">_xlfn.IFS(C456="","",COUNTIF(C456,"ตำแหน่งว่าง*"),"ว่าง",COUNTIF(C456,"&lt;&gt;ตำแหน่งว่าง*"),"คนครอง")</f>
        <v>คนครอง</v>
      </c>
      <c r="W456" s="49" cm="1">
        <f t="array" ref="W456">_xlfn.IFS(COUNTIF(F456,"ผบ.หมู่*"),51,COUNTIF(F456,"รอง สว.*"),43)</f>
        <v>51</v>
      </c>
      <c r="X456" s="3" t="s">
        <v>710</v>
      </c>
      <c r="Y456" s="1" t="s">
        <v>52</v>
      </c>
    </row>
    <row r="457" spans="1:25" s="9" customFormat="1" ht="21.3" customHeight="1">
      <c r="A457" s="27" t="s">
        <v>157</v>
      </c>
      <c r="B457" s="28" t="s">
        <v>21</v>
      </c>
      <c r="C457" s="27" t="s">
        <v>714</v>
      </c>
      <c r="D457" s="27" t="s">
        <v>8608</v>
      </c>
      <c r="E457" s="27" t="s">
        <v>8609</v>
      </c>
      <c r="F457" s="27" t="s">
        <v>697</v>
      </c>
      <c r="G457" s="101" t="s">
        <v>716</v>
      </c>
      <c r="H457" s="75">
        <v>42940</v>
      </c>
      <c r="I457" s="73">
        <v>42940</v>
      </c>
      <c r="J457" s="73">
        <v>41214</v>
      </c>
      <c r="K457" s="73">
        <v>30817</v>
      </c>
      <c r="L457" s="11" t="s">
        <v>717</v>
      </c>
      <c r="M457" s="1" t="s">
        <v>47</v>
      </c>
      <c r="N457" s="112" t="s">
        <v>14</v>
      </c>
      <c r="O457" s="104" t="s">
        <v>52</v>
      </c>
      <c r="P457" s="104" t="s">
        <v>52</v>
      </c>
      <c r="Q457" s="105"/>
      <c r="R457" s="26" t="s">
        <v>718</v>
      </c>
      <c r="S457" s="225">
        <f t="shared" si="7"/>
        <v>52871</v>
      </c>
      <c r="T457" s="2" t="s">
        <v>7700</v>
      </c>
      <c r="U457" s="7" t="s">
        <v>62</v>
      </c>
      <c r="V457" s="162" t="str" cm="1">
        <f t="array" ref="V457">_xlfn.IFS(C457="","",COUNTIF(C457,"ตำแหน่งว่าง*"),"ว่าง",COUNTIF(C457,"&lt;&gt;ตำแหน่งว่าง*"),"คนครอง")</f>
        <v>คนครอง</v>
      </c>
      <c r="W457" s="49" cm="1">
        <f t="array" ref="W457">_xlfn.IFS(COUNTIF(F457,"ผบ.หมู่*"),51,COUNTIF(F457,"รอง สว.*"),43)</f>
        <v>51</v>
      </c>
      <c r="X457" s="3" t="s">
        <v>715</v>
      </c>
      <c r="Y457" s="1" t="s">
        <v>52</v>
      </c>
    </row>
    <row r="458" spans="1:25" s="9" customFormat="1" ht="21.3" customHeight="1">
      <c r="A458" s="27" t="s">
        <v>157</v>
      </c>
      <c r="B458" s="28" t="s">
        <v>21</v>
      </c>
      <c r="C458" s="27" t="s">
        <v>719</v>
      </c>
      <c r="D458" s="27" t="s">
        <v>8610</v>
      </c>
      <c r="E458" s="27" t="s">
        <v>8611</v>
      </c>
      <c r="F458" s="27" t="s">
        <v>697</v>
      </c>
      <c r="G458" s="101" t="s">
        <v>721</v>
      </c>
      <c r="H458" s="75">
        <v>43871</v>
      </c>
      <c r="I458" s="73">
        <v>43871</v>
      </c>
      <c r="J458" s="73">
        <v>41214</v>
      </c>
      <c r="K458" s="73">
        <v>28593</v>
      </c>
      <c r="L458" s="11" t="s">
        <v>722</v>
      </c>
      <c r="M458" s="1" t="s">
        <v>80</v>
      </c>
      <c r="N458" s="112" t="s">
        <v>14</v>
      </c>
      <c r="O458" s="104" t="s">
        <v>52</v>
      </c>
      <c r="P458" s="104" t="s">
        <v>52</v>
      </c>
      <c r="Q458" s="105"/>
      <c r="R458" s="26" t="s">
        <v>688</v>
      </c>
      <c r="S458" s="225">
        <f t="shared" si="7"/>
        <v>50679</v>
      </c>
      <c r="T458" s="2" t="s">
        <v>7700</v>
      </c>
      <c r="U458" s="7" t="s">
        <v>62</v>
      </c>
      <c r="V458" s="162" t="str" cm="1">
        <f t="array" ref="V458">_xlfn.IFS(C458="","",COUNTIF(C458,"ตำแหน่งว่าง*"),"ว่าง",COUNTIF(C458,"&lt;&gt;ตำแหน่งว่าง*"),"คนครอง")</f>
        <v>คนครอง</v>
      </c>
      <c r="W458" s="49" cm="1">
        <f t="array" ref="W458">_xlfn.IFS(COUNTIF(F458,"ผบ.หมู่*"),51,COUNTIF(F458,"รอง สว.*"),43)</f>
        <v>51</v>
      </c>
      <c r="X458" s="3" t="s">
        <v>720</v>
      </c>
      <c r="Y458" s="1" t="s">
        <v>52</v>
      </c>
    </row>
    <row r="459" spans="1:25" s="9" customFormat="1" ht="21.3" customHeight="1">
      <c r="A459" s="27" t="s">
        <v>157</v>
      </c>
      <c r="B459" s="28" t="s">
        <v>21</v>
      </c>
      <c r="C459" s="27" t="s">
        <v>723</v>
      </c>
      <c r="D459" s="27" t="s">
        <v>8612</v>
      </c>
      <c r="E459" s="27" t="s">
        <v>8613</v>
      </c>
      <c r="F459" s="27" t="s">
        <v>697</v>
      </c>
      <c r="G459" s="101" t="s">
        <v>725</v>
      </c>
      <c r="H459" s="75">
        <v>42940</v>
      </c>
      <c r="I459" s="73">
        <v>42940</v>
      </c>
      <c r="J459" s="73">
        <v>41214</v>
      </c>
      <c r="K459" s="73">
        <v>30586</v>
      </c>
      <c r="L459" s="11" t="s">
        <v>82</v>
      </c>
      <c r="M459" s="1" t="s">
        <v>57</v>
      </c>
      <c r="N459" s="112" t="s">
        <v>14</v>
      </c>
      <c r="O459" s="104" t="s">
        <v>52</v>
      </c>
      <c r="P459" s="104" t="s">
        <v>52</v>
      </c>
      <c r="Q459" s="105"/>
      <c r="R459" s="26" t="s">
        <v>726</v>
      </c>
      <c r="S459" s="225">
        <f t="shared" si="7"/>
        <v>52505</v>
      </c>
      <c r="T459" s="2" t="s">
        <v>7700</v>
      </c>
      <c r="U459" s="7" t="s">
        <v>62</v>
      </c>
      <c r="V459" s="162" t="str" cm="1">
        <f t="array" ref="V459">_xlfn.IFS(C459="","",COUNTIF(C459,"ตำแหน่งว่าง*"),"ว่าง",COUNTIF(C459,"&lt;&gt;ตำแหน่งว่าง*"),"คนครอง")</f>
        <v>คนครอง</v>
      </c>
      <c r="W459" s="49" cm="1">
        <f t="array" ref="W459">_xlfn.IFS(COUNTIF(F459,"ผบ.หมู่*"),51,COUNTIF(F459,"รอง สว.*"),43)</f>
        <v>51</v>
      </c>
      <c r="X459" s="3" t="s">
        <v>724</v>
      </c>
      <c r="Y459" s="1" t="s">
        <v>52</v>
      </c>
    </row>
    <row r="460" spans="1:25" s="9" customFormat="1" ht="21.3" customHeight="1">
      <c r="A460" s="27" t="s">
        <v>157</v>
      </c>
      <c r="B460" s="28" t="s">
        <v>21</v>
      </c>
      <c r="C460" s="27" t="s">
        <v>727</v>
      </c>
      <c r="D460" s="27" t="s">
        <v>8614</v>
      </c>
      <c r="E460" s="27" t="s">
        <v>8150</v>
      </c>
      <c r="F460" s="27" t="s">
        <v>697</v>
      </c>
      <c r="G460" s="101" t="s">
        <v>729</v>
      </c>
      <c r="H460" s="91">
        <v>44243</v>
      </c>
      <c r="I460" s="73">
        <v>44243</v>
      </c>
      <c r="J460" s="73">
        <v>41214</v>
      </c>
      <c r="K460" s="73">
        <v>30643</v>
      </c>
      <c r="L460" s="11" t="s">
        <v>82</v>
      </c>
      <c r="M460" s="1" t="s">
        <v>89</v>
      </c>
      <c r="N460" s="112" t="s">
        <v>14</v>
      </c>
      <c r="O460" s="104" t="s">
        <v>52</v>
      </c>
      <c r="P460" s="104" t="s">
        <v>52</v>
      </c>
      <c r="Q460" s="105"/>
      <c r="R460" s="28" t="s">
        <v>617</v>
      </c>
      <c r="S460" s="225">
        <f t="shared" si="7"/>
        <v>52871</v>
      </c>
      <c r="T460" s="2" t="s">
        <v>7700</v>
      </c>
      <c r="U460" s="7" t="s">
        <v>62</v>
      </c>
      <c r="V460" s="162" t="str" cm="1">
        <f t="array" ref="V460">_xlfn.IFS(C460="","",COUNTIF(C460,"ตำแหน่งว่าง*"),"ว่าง",COUNTIF(C460,"&lt;&gt;ตำแหน่งว่าง*"),"คนครอง")</f>
        <v>คนครอง</v>
      </c>
      <c r="W460" s="49" cm="1">
        <f t="array" ref="W460">_xlfn.IFS(COUNTIF(F460,"ผบ.หมู่*"),51,COUNTIF(F460,"รอง สว.*"),43)</f>
        <v>51</v>
      </c>
      <c r="X460" s="3" t="s">
        <v>728</v>
      </c>
      <c r="Y460" s="1" t="s">
        <v>52</v>
      </c>
    </row>
    <row r="461" spans="1:25" s="9" customFormat="1" ht="21.3" customHeight="1">
      <c r="A461" s="95" t="s">
        <v>208</v>
      </c>
      <c r="B461" s="28" t="s">
        <v>21</v>
      </c>
      <c r="C461" s="27" t="s">
        <v>730</v>
      </c>
      <c r="D461" s="27" t="s">
        <v>8615</v>
      </c>
      <c r="E461" s="27" t="s">
        <v>8616</v>
      </c>
      <c r="F461" s="27" t="s">
        <v>697</v>
      </c>
      <c r="G461" s="101" t="s">
        <v>732</v>
      </c>
      <c r="H461" s="75">
        <v>43693</v>
      </c>
      <c r="I461" s="73">
        <v>43693</v>
      </c>
      <c r="J461" s="73">
        <v>43693</v>
      </c>
      <c r="K461" s="73">
        <v>34435</v>
      </c>
      <c r="L461" s="11" t="s">
        <v>733</v>
      </c>
      <c r="M461" s="1" t="s">
        <v>78</v>
      </c>
      <c r="N461" s="112" t="s">
        <v>14</v>
      </c>
      <c r="O461" s="104" t="s">
        <v>52</v>
      </c>
      <c r="P461" s="104" t="s">
        <v>52</v>
      </c>
      <c r="Q461" s="105"/>
      <c r="R461" s="26" t="s">
        <v>645</v>
      </c>
      <c r="S461" s="225">
        <f t="shared" si="7"/>
        <v>56523</v>
      </c>
      <c r="T461" s="2" t="s">
        <v>7700</v>
      </c>
      <c r="U461" s="7" t="s">
        <v>62</v>
      </c>
      <c r="V461" s="162" t="str" cm="1">
        <f t="array" ref="V461">_xlfn.IFS(C461="","",COUNTIF(C461,"ตำแหน่งว่าง*"),"ว่าง",COUNTIF(C461,"&lt;&gt;ตำแหน่งว่าง*"),"คนครอง")</f>
        <v>คนครอง</v>
      </c>
      <c r="W461" s="49" cm="1">
        <f t="array" ref="W461">_xlfn.IFS(COUNTIF(F461,"ผบ.หมู่*"),51,COUNTIF(F461,"รอง สว.*"),43)</f>
        <v>51</v>
      </c>
      <c r="X461" s="3" t="s">
        <v>731</v>
      </c>
      <c r="Y461" s="1" t="s">
        <v>52</v>
      </c>
    </row>
    <row r="462" spans="1:25" s="9" customFormat="1" ht="21.3" customHeight="1">
      <c r="A462" s="95"/>
      <c r="B462" s="28"/>
      <c r="C462" s="30" t="s">
        <v>18</v>
      </c>
      <c r="D462" s="27"/>
      <c r="E462" s="27"/>
      <c r="F462" s="68" t="s">
        <v>697</v>
      </c>
      <c r="G462" s="121" t="s">
        <v>735</v>
      </c>
      <c r="H462" s="80"/>
      <c r="I462" s="74"/>
      <c r="J462" s="74"/>
      <c r="K462" s="74"/>
      <c r="L462" s="16"/>
      <c r="M462" s="6"/>
      <c r="N462" s="113" t="s">
        <v>14</v>
      </c>
      <c r="O462" s="122" t="s">
        <v>52</v>
      </c>
      <c r="P462" s="122" t="s">
        <v>52</v>
      </c>
      <c r="Q462" s="106"/>
      <c r="R462" s="29"/>
      <c r="S462" s="225" t="str">
        <f t="shared" si="7"/>
        <v/>
      </c>
      <c r="T462" s="2" t="s">
        <v>7700</v>
      </c>
      <c r="U462" s="7" t="s">
        <v>62</v>
      </c>
      <c r="V462" s="171" t="str" cm="1">
        <f t="array" ref="V462">_xlfn.IFS(C462="","",COUNTIF(C462,"ตำแหน่งว่าง*"),"ว่าง",COUNTIF(C462,"&lt;&gt;ตำแหน่งว่าง*"),"คนครอง")</f>
        <v>ว่าง</v>
      </c>
      <c r="W462" s="49" cm="1">
        <f t="array" ref="W462">_xlfn.IFS(COUNTIF(F462,"ผบ.หมู่*"),51,COUNTIF(F462,"รอง สว.*"),43)</f>
        <v>51</v>
      </c>
      <c r="X462" s="8" t="s">
        <v>734</v>
      </c>
      <c r="Y462" s="6" t="s">
        <v>52</v>
      </c>
    </row>
    <row r="463" spans="1:25" s="9" customFormat="1" ht="21.3" customHeight="1">
      <c r="A463" s="27" t="s">
        <v>612</v>
      </c>
      <c r="B463" s="28" t="s">
        <v>12</v>
      </c>
      <c r="C463" s="27" t="s">
        <v>10813</v>
      </c>
      <c r="D463" s="27" t="s">
        <v>10814</v>
      </c>
      <c r="E463" s="27" t="s">
        <v>10718</v>
      </c>
      <c r="F463" s="27" t="s">
        <v>697</v>
      </c>
      <c r="G463" s="101" t="s">
        <v>737</v>
      </c>
      <c r="H463" s="75">
        <v>45768</v>
      </c>
      <c r="I463" s="73" t="s">
        <v>7609</v>
      </c>
      <c r="J463" s="73" t="s">
        <v>7609</v>
      </c>
      <c r="K463" s="73">
        <v>31826</v>
      </c>
      <c r="L463" s="11" t="s">
        <v>82</v>
      </c>
      <c r="M463" s="1" t="s">
        <v>7609</v>
      </c>
      <c r="N463" s="112" t="s">
        <v>14</v>
      </c>
      <c r="O463" s="104" t="s">
        <v>52</v>
      </c>
      <c r="P463" s="104" t="s">
        <v>52</v>
      </c>
      <c r="Q463" s="105"/>
      <c r="R463" s="26" t="s">
        <v>10804</v>
      </c>
      <c r="S463" s="174">
        <f t="shared" si="7"/>
        <v>53966</v>
      </c>
      <c r="T463" s="2" t="s">
        <v>7700</v>
      </c>
      <c r="U463" s="2" t="s">
        <v>62</v>
      </c>
      <c r="V463" s="203" t="str" cm="1">
        <f t="array" ref="V463">_xlfn.IFS(C463="","",COUNTIF(C463,"ตำแหน่งว่าง*"),"ว่าง",COUNTIF(C463,"&lt;&gt;ตำแหน่งว่าง*"),"คนครอง")</f>
        <v>คนครอง</v>
      </c>
      <c r="W463" s="170" cm="1">
        <f t="array" ref="W463">_xlfn.IFS(COUNTIF(F463,"ผบ.หมู่*"),51,COUNTIF(F463,"รอง สว.*"),43)</f>
        <v>51</v>
      </c>
      <c r="X463" s="3" t="s">
        <v>736</v>
      </c>
      <c r="Y463" s="1" t="s">
        <v>52</v>
      </c>
    </row>
    <row r="464" spans="1:25" s="9" customFormat="1" ht="21.3" customHeight="1">
      <c r="A464" s="27" t="s">
        <v>612</v>
      </c>
      <c r="B464" s="28" t="s">
        <v>12</v>
      </c>
      <c r="C464" s="27" t="s">
        <v>7734</v>
      </c>
      <c r="D464" s="27" t="s">
        <v>8233</v>
      </c>
      <c r="E464" s="27" t="s">
        <v>8617</v>
      </c>
      <c r="F464" s="27" t="s">
        <v>697</v>
      </c>
      <c r="G464" s="101" t="s">
        <v>739</v>
      </c>
      <c r="H464" s="91">
        <v>45322</v>
      </c>
      <c r="I464" s="73">
        <v>42087</v>
      </c>
      <c r="J464" s="73">
        <v>42087</v>
      </c>
      <c r="K464" s="73">
        <v>34042</v>
      </c>
      <c r="L464" s="11" t="s">
        <v>7735</v>
      </c>
      <c r="M464" s="1" t="s">
        <v>46</v>
      </c>
      <c r="N464" s="112" t="s">
        <v>14</v>
      </c>
      <c r="O464" s="104" t="s">
        <v>52</v>
      </c>
      <c r="P464" s="104" t="s">
        <v>52</v>
      </c>
      <c r="Q464" s="105"/>
      <c r="R464" s="30" t="s">
        <v>7708</v>
      </c>
      <c r="S464" s="225">
        <f t="shared" si="7"/>
        <v>56158</v>
      </c>
      <c r="T464" s="2" t="s">
        <v>7700</v>
      </c>
      <c r="U464" s="7" t="s">
        <v>62</v>
      </c>
      <c r="V464" s="162" t="str" cm="1">
        <f t="array" ref="V464">_xlfn.IFS(C464="","",COUNTIF(C464,"ตำแหน่งว่าง*"),"ว่าง",COUNTIF(C464,"&lt;&gt;ตำแหน่งว่าง*"),"คนครอง")</f>
        <v>คนครอง</v>
      </c>
      <c r="W464" s="49" cm="1">
        <f t="array" ref="W464">_xlfn.IFS(COUNTIF(F464,"ผบ.หมู่*"),51,COUNTIF(F464,"รอง สว.*"),43)</f>
        <v>51</v>
      </c>
      <c r="X464" s="3" t="s">
        <v>738</v>
      </c>
      <c r="Y464" s="1" t="s">
        <v>52</v>
      </c>
    </row>
    <row r="465" spans="1:25" s="12" customFormat="1" ht="21.3" customHeight="1">
      <c r="A465" s="27" t="s">
        <v>182</v>
      </c>
      <c r="B465" s="31" t="s">
        <v>12</v>
      </c>
      <c r="C465" s="95" t="s">
        <v>740</v>
      </c>
      <c r="D465" s="27" t="s">
        <v>8244</v>
      </c>
      <c r="E465" s="27" t="s">
        <v>8618</v>
      </c>
      <c r="F465" s="95" t="s">
        <v>697</v>
      </c>
      <c r="G465" s="101" t="s">
        <v>742</v>
      </c>
      <c r="H465" s="75">
        <v>44636</v>
      </c>
      <c r="I465" s="76">
        <v>44636</v>
      </c>
      <c r="J465" s="76">
        <v>44636</v>
      </c>
      <c r="K465" s="76">
        <v>32202</v>
      </c>
      <c r="L465" s="17" t="s">
        <v>82</v>
      </c>
      <c r="M465" s="5" t="s">
        <v>24</v>
      </c>
      <c r="N465" s="111" t="s">
        <v>14</v>
      </c>
      <c r="O465" s="104" t="s">
        <v>52</v>
      </c>
      <c r="P465" s="104" t="s">
        <v>52</v>
      </c>
      <c r="Q465" s="108"/>
      <c r="R465" s="135" t="s">
        <v>611</v>
      </c>
      <c r="S465" s="225">
        <f t="shared" si="7"/>
        <v>54332</v>
      </c>
      <c r="T465" s="162" t="s">
        <v>7700</v>
      </c>
      <c r="U465" s="7" t="s">
        <v>62</v>
      </c>
      <c r="V465" s="162" t="str" cm="1">
        <f t="array" ref="V465">_xlfn.IFS(C465="","",COUNTIF(C465,"ตำแหน่งว่าง*"),"ว่าง",COUNTIF(C465,"&lt;&gt;ตำแหน่งว่าง*"),"คนครอง")</f>
        <v>คนครอง</v>
      </c>
      <c r="W465" s="49" cm="1">
        <f t="array" ref="W465">_xlfn.IFS(COUNTIF(F465,"ผบ.หมู่*"),51,COUNTIF(F465,"รอง สว.*"),43)</f>
        <v>51</v>
      </c>
      <c r="X465" s="4" t="s">
        <v>741</v>
      </c>
      <c r="Y465" s="5" t="s">
        <v>52</v>
      </c>
    </row>
    <row r="466" spans="1:25" s="12" customFormat="1" ht="21.3" customHeight="1">
      <c r="A466" s="27" t="s">
        <v>182</v>
      </c>
      <c r="B466" s="31" t="s">
        <v>12</v>
      </c>
      <c r="C466" s="95" t="s">
        <v>743</v>
      </c>
      <c r="D466" s="27" t="s">
        <v>8619</v>
      </c>
      <c r="E466" s="27" t="s">
        <v>8620</v>
      </c>
      <c r="F466" s="95" t="s">
        <v>697</v>
      </c>
      <c r="G466" s="101" t="s">
        <v>745</v>
      </c>
      <c r="H466" s="75">
        <v>44636</v>
      </c>
      <c r="I466" s="76">
        <v>44636</v>
      </c>
      <c r="J466" s="76">
        <v>44636</v>
      </c>
      <c r="K466" s="76">
        <v>37416</v>
      </c>
      <c r="L466" s="17" t="s">
        <v>82</v>
      </c>
      <c r="M466" s="5" t="s">
        <v>13</v>
      </c>
      <c r="N466" s="111" t="s">
        <v>14</v>
      </c>
      <c r="O466" s="104" t="s">
        <v>52</v>
      </c>
      <c r="P466" s="104" t="s">
        <v>52</v>
      </c>
      <c r="Q466" s="108"/>
      <c r="R466" s="135" t="s">
        <v>611</v>
      </c>
      <c r="S466" s="225">
        <f t="shared" si="7"/>
        <v>59445</v>
      </c>
      <c r="T466" s="162" t="s">
        <v>7700</v>
      </c>
      <c r="U466" s="7" t="s">
        <v>62</v>
      </c>
      <c r="V466" s="162" t="str" cm="1">
        <f t="array" ref="V466">_xlfn.IFS(C466="","",COUNTIF(C466,"ตำแหน่งว่าง*"),"ว่าง",COUNTIF(C466,"&lt;&gt;ตำแหน่งว่าง*"),"คนครอง")</f>
        <v>คนครอง</v>
      </c>
      <c r="W466" s="49" cm="1">
        <f t="array" ref="W466">_xlfn.IFS(COUNTIF(F466,"ผบ.หมู่*"),51,COUNTIF(F466,"รอง สว.*"),43)</f>
        <v>51</v>
      </c>
      <c r="X466" s="4" t="s">
        <v>744</v>
      </c>
      <c r="Y466" s="5" t="s">
        <v>52</v>
      </c>
    </row>
    <row r="467" spans="1:25" s="12" customFormat="1" ht="21.3" customHeight="1">
      <c r="A467" s="27" t="s">
        <v>182</v>
      </c>
      <c r="B467" s="31" t="s">
        <v>21</v>
      </c>
      <c r="C467" s="95" t="s">
        <v>746</v>
      </c>
      <c r="D467" s="27" t="s">
        <v>8181</v>
      </c>
      <c r="E467" s="27" t="s">
        <v>8621</v>
      </c>
      <c r="F467" s="95" t="s">
        <v>697</v>
      </c>
      <c r="G467" s="101" t="s">
        <v>748</v>
      </c>
      <c r="H467" s="75">
        <v>44636</v>
      </c>
      <c r="I467" s="76">
        <v>44636</v>
      </c>
      <c r="J467" s="76">
        <v>44636</v>
      </c>
      <c r="K467" s="76">
        <v>34660</v>
      </c>
      <c r="L467" s="17" t="s">
        <v>82</v>
      </c>
      <c r="M467" s="5" t="s">
        <v>77</v>
      </c>
      <c r="N467" s="111" t="s">
        <v>14</v>
      </c>
      <c r="O467" s="104" t="s">
        <v>52</v>
      </c>
      <c r="P467" s="104" t="s">
        <v>52</v>
      </c>
      <c r="Q467" s="108"/>
      <c r="R467" s="135" t="s">
        <v>611</v>
      </c>
      <c r="S467" s="225">
        <f t="shared" si="7"/>
        <v>56888</v>
      </c>
      <c r="T467" s="162" t="s">
        <v>7700</v>
      </c>
      <c r="U467" s="7" t="s">
        <v>62</v>
      </c>
      <c r="V467" s="162" t="str" cm="1">
        <f t="array" ref="V467">_xlfn.IFS(C467="","",COUNTIF(C467,"ตำแหน่งว่าง*"),"ว่าง",COUNTIF(C467,"&lt;&gt;ตำแหน่งว่าง*"),"คนครอง")</f>
        <v>คนครอง</v>
      </c>
      <c r="W467" s="49" cm="1">
        <f t="array" ref="W467">_xlfn.IFS(COUNTIF(F467,"ผบ.หมู่*"),51,COUNTIF(F467,"รอง สว.*"),43)</f>
        <v>51</v>
      </c>
      <c r="X467" s="4" t="s">
        <v>747</v>
      </c>
      <c r="Y467" s="5" t="s">
        <v>52</v>
      </c>
    </row>
    <row r="468" spans="1:25" s="12" customFormat="1" ht="21.3" customHeight="1">
      <c r="A468" s="27" t="s">
        <v>182</v>
      </c>
      <c r="B468" s="31" t="s">
        <v>21</v>
      </c>
      <c r="C468" s="95" t="s">
        <v>749</v>
      </c>
      <c r="D468" s="27" t="s">
        <v>8622</v>
      </c>
      <c r="E468" s="27" t="s">
        <v>8623</v>
      </c>
      <c r="F468" s="95" t="s">
        <v>697</v>
      </c>
      <c r="G468" s="101" t="s">
        <v>751</v>
      </c>
      <c r="H468" s="75">
        <v>44636</v>
      </c>
      <c r="I468" s="76">
        <v>44636</v>
      </c>
      <c r="J468" s="76">
        <v>44636</v>
      </c>
      <c r="K468" s="76">
        <v>32380</v>
      </c>
      <c r="L468" s="17" t="s">
        <v>82</v>
      </c>
      <c r="M468" s="5" t="s">
        <v>47</v>
      </c>
      <c r="N468" s="111" t="s">
        <v>14</v>
      </c>
      <c r="O468" s="104" t="s">
        <v>52</v>
      </c>
      <c r="P468" s="104" t="s">
        <v>52</v>
      </c>
      <c r="Q468" s="108"/>
      <c r="R468" s="135" t="s">
        <v>611</v>
      </c>
      <c r="S468" s="225">
        <f t="shared" si="7"/>
        <v>54332</v>
      </c>
      <c r="T468" s="162" t="s">
        <v>7700</v>
      </c>
      <c r="U468" s="7" t="s">
        <v>62</v>
      </c>
      <c r="V468" s="162" t="str" cm="1">
        <f t="array" ref="V468">_xlfn.IFS(C468="","",COUNTIF(C468,"ตำแหน่งว่าง*"),"ว่าง",COUNTIF(C468,"&lt;&gt;ตำแหน่งว่าง*"),"คนครอง")</f>
        <v>คนครอง</v>
      </c>
      <c r="W468" s="49" cm="1">
        <f t="array" ref="W468">_xlfn.IFS(COUNTIF(F468,"ผบ.หมู่*"),51,COUNTIF(F468,"รอง สว.*"),43)</f>
        <v>51</v>
      </c>
      <c r="X468" s="4" t="s">
        <v>750</v>
      </c>
      <c r="Y468" s="5" t="s">
        <v>52</v>
      </c>
    </row>
    <row r="469" spans="1:25" s="9" customFormat="1" ht="21.3" customHeight="1">
      <c r="A469" s="27" t="s">
        <v>157</v>
      </c>
      <c r="B469" s="28" t="s">
        <v>21</v>
      </c>
      <c r="C469" s="27" t="s">
        <v>752</v>
      </c>
      <c r="D469" s="27" t="s">
        <v>8257</v>
      </c>
      <c r="E469" s="27" t="s">
        <v>8624</v>
      </c>
      <c r="F469" s="27" t="s">
        <v>697</v>
      </c>
      <c r="G469" s="101" t="s">
        <v>754</v>
      </c>
      <c r="H469" s="91">
        <v>44599</v>
      </c>
      <c r="I469" s="73">
        <v>41159</v>
      </c>
      <c r="J469" s="73">
        <v>41159</v>
      </c>
      <c r="K469" s="73">
        <v>30818</v>
      </c>
      <c r="L469" s="11" t="s">
        <v>7810</v>
      </c>
      <c r="M469" s="1" t="s">
        <v>53</v>
      </c>
      <c r="N469" s="112" t="s">
        <v>14</v>
      </c>
      <c r="O469" s="104" t="s">
        <v>52</v>
      </c>
      <c r="P469" s="104" t="s">
        <v>52</v>
      </c>
      <c r="Q469" s="105"/>
      <c r="R469" s="26" t="s">
        <v>607</v>
      </c>
      <c r="S469" s="225">
        <f t="shared" si="7"/>
        <v>52871</v>
      </c>
      <c r="T469" s="2" t="s">
        <v>7700</v>
      </c>
      <c r="U469" s="7" t="s">
        <v>62</v>
      </c>
      <c r="V469" s="162" t="str" cm="1">
        <f t="array" ref="V469">_xlfn.IFS(C469="","",COUNTIF(C469,"ตำแหน่งว่าง*"),"ว่าง",COUNTIF(C469,"&lt;&gt;ตำแหน่งว่าง*"),"คนครอง")</f>
        <v>คนครอง</v>
      </c>
      <c r="W469" s="49" cm="1">
        <f t="array" ref="W469">_xlfn.IFS(COUNTIF(F469,"ผบ.หมู่*"),51,COUNTIF(F469,"รอง สว.*"),43)</f>
        <v>51</v>
      </c>
      <c r="X469" s="3" t="s">
        <v>753</v>
      </c>
      <c r="Y469" s="1" t="s">
        <v>52</v>
      </c>
    </row>
    <row r="470" spans="1:25" s="10" customFormat="1" ht="21.3" customHeight="1">
      <c r="A470" s="27"/>
      <c r="B470" s="28"/>
      <c r="C470" s="27" t="s">
        <v>18</v>
      </c>
      <c r="D470" s="27"/>
      <c r="E470" s="27"/>
      <c r="F470" s="27" t="s">
        <v>697</v>
      </c>
      <c r="G470" s="101" t="s">
        <v>757</v>
      </c>
      <c r="H470" s="75"/>
      <c r="I470" s="73"/>
      <c r="J470" s="73"/>
      <c r="K470" s="73"/>
      <c r="L470" s="11"/>
      <c r="M470" s="1"/>
      <c r="N470" s="112" t="s">
        <v>14</v>
      </c>
      <c r="O470" s="104" t="s">
        <v>52</v>
      </c>
      <c r="P470" s="104" t="s">
        <v>52</v>
      </c>
      <c r="Q470" s="105"/>
      <c r="R470" s="28"/>
      <c r="S470" s="174" t="str">
        <f t="shared" si="7"/>
        <v/>
      </c>
      <c r="T470" s="2" t="s">
        <v>7700</v>
      </c>
      <c r="U470" s="2" t="s">
        <v>62</v>
      </c>
      <c r="V470" s="2" t="str" cm="1">
        <f t="array" ref="V470">_xlfn.IFS(C470="","",COUNTIF(C470,"ตำแหน่งว่าง*"),"ว่าง",COUNTIF(C470,"&lt;&gt;ตำแหน่งว่าง*"),"คนครอง")</f>
        <v>ว่าง</v>
      </c>
      <c r="W470" s="170" cm="1">
        <f t="array" ref="W470">_xlfn.IFS(COUNTIF(F470,"ผบ.หมู่*"),51,COUNTIF(F470,"รอง สว.*"),43)</f>
        <v>51</v>
      </c>
      <c r="X470" s="3" t="s">
        <v>756</v>
      </c>
      <c r="Y470" s="1" t="s">
        <v>52</v>
      </c>
    </row>
    <row r="471" spans="1:25" s="10" customFormat="1" ht="21.3" customHeight="1">
      <c r="A471" s="27" t="s">
        <v>612</v>
      </c>
      <c r="B471" s="28" t="s">
        <v>21</v>
      </c>
      <c r="C471" s="27" t="s">
        <v>758</v>
      </c>
      <c r="D471" s="27" t="s">
        <v>8626</v>
      </c>
      <c r="E471" s="27" t="s">
        <v>8627</v>
      </c>
      <c r="F471" s="27" t="s">
        <v>697</v>
      </c>
      <c r="G471" s="101" t="s">
        <v>760</v>
      </c>
      <c r="H471" s="91">
        <v>44999</v>
      </c>
      <c r="I471" s="75">
        <v>42416</v>
      </c>
      <c r="J471" s="75">
        <v>42416</v>
      </c>
      <c r="K471" s="75">
        <v>32352</v>
      </c>
      <c r="L471" s="34" t="s">
        <v>761</v>
      </c>
      <c r="M471" s="28" t="s">
        <v>28</v>
      </c>
      <c r="N471" s="112" t="s">
        <v>14</v>
      </c>
      <c r="O471" s="104" t="s">
        <v>52</v>
      </c>
      <c r="P471" s="104" t="s">
        <v>52</v>
      </c>
      <c r="Q471" s="105"/>
      <c r="R471" s="26" t="s">
        <v>74</v>
      </c>
      <c r="S471" s="225">
        <f t="shared" si="7"/>
        <v>54332</v>
      </c>
      <c r="T471" s="7" t="s">
        <v>7700</v>
      </c>
      <c r="U471" s="7" t="s">
        <v>62</v>
      </c>
      <c r="V471" s="162" t="str" cm="1">
        <f t="array" ref="V471">_xlfn.IFS(C471="","",COUNTIF(C471,"ตำแหน่งว่าง*"),"ว่าง",COUNTIF(C471,"&lt;&gt;ตำแหน่งว่าง*"),"คนครอง")</f>
        <v>คนครอง</v>
      </c>
      <c r="W471" s="49" cm="1">
        <f t="array" ref="W471">_xlfn.IFS(COUNTIF(F471,"ผบ.หมู่*"),51,COUNTIF(F471,"รอง สว.*"),43)</f>
        <v>51</v>
      </c>
      <c r="X471" s="26" t="s">
        <v>759</v>
      </c>
      <c r="Y471" s="28" t="s">
        <v>52</v>
      </c>
    </row>
    <row r="472" spans="1:25" s="10" customFormat="1" ht="21.3" customHeight="1">
      <c r="A472" s="27" t="s">
        <v>157</v>
      </c>
      <c r="B472" s="28" t="s">
        <v>21</v>
      </c>
      <c r="C472" s="27" t="s">
        <v>762</v>
      </c>
      <c r="D472" s="27" t="s">
        <v>8628</v>
      </c>
      <c r="E472" s="27" t="s">
        <v>8629</v>
      </c>
      <c r="F472" s="27" t="s">
        <v>697</v>
      </c>
      <c r="G472" s="101" t="s">
        <v>764</v>
      </c>
      <c r="H472" s="91">
        <v>44999</v>
      </c>
      <c r="I472" s="75">
        <v>40814</v>
      </c>
      <c r="J472" s="75">
        <v>40814</v>
      </c>
      <c r="K472" s="75">
        <v>31598</v>
      </c>
      <c r="L472" s="34" t="s">
        <v>662</v>
      </c>
      <c r="M472" s="28" t="s">
        <v>163</v>
      </c>
      <c r="N472" s="112" t="s">
        <v>14</v>
      </c>
      <c r="O472" s="104" t="s">
        <v>52</v>
      </c>
      <c r="P472" s="104" t="s">
        <v>52</v>
      </c>
      <c r="Q472" s="105"/>
      <c r="R472" s="26" t="s">
        <v>74</v>
      </c>
      <c r="S472" s="225">
        <f t="shared" si="7"/>
        <v>53601</v>
      </c>
      <c r="T472" s="7" t="s">
        <v>7700</v>
      </c>
      <c r="U472" s="7" t="s">
        <v>62</v>
      </c>
      <c r="V472" s="162" t="str" cm="1">
        <f t="array" ref="V472">_xlfn.IFS(C472="","",COUNTIF(C472,"ตำแหน่งว่าง*"),"ว่าง",COUNTIF(C472,"&lt;&gt;ตำแหน่งว่าง*"),"คนครอง")</f>
        <v>คนครอง</v>
      </c>
      <c r="W472" s="49" cm="1">
        <f t="array" ref="W472">_xlfn.IFS(COUNTIF(F472,"ผบ.หมู่*"),51,COUNTIF(F472,"รอง สว.*"),43)</f>
        <v>51</v>
      </c>
      <c r="X472" s="3" t="s">
        <v>763</v>
      </c>
      <c r="Y472" s="1" t="s">
        <v>52</v>
      </c>
    </row>
    <row r="473" spans="1:25" s="10" customFormat="1" ht="21.3" customHeight="1">
      <c r="A473" s="27" t="s">
        <v>612</v>
      </c>
      <c r="B473" s="28" t="s">
        <v>21</v>
      </c>
      <c r="C473" s="27" t="s">
        <v>765</v>
      </c>
      <c r="D473" s="27" t="s">
        <v>8241</v>
      </c>
      <c r="E473" s="27" t="s">
        <v>8630</v>
      </c>
      <c r="F473" s="27" t="s">
        <v>697</v>
      </c>
      <c r="G473" s="101" t="s">
        <v>767</v>
      </c>
      <c r="H473" s="91">
        <v>44999</v>
      </c>
      <c r="I473" s="75">
        <v>42416</v>
      </c>
      <c r="J473" s="75">
        <v>42416</v>
      </c>
      <c r="K473" s="75">
        <v>32498</v>
      </c>
      <c r="L473" s="34" t="s">
        <v>768</v>
      </c>
      <c r="M473" s="28" t="s">
        <v>163</v>
      </c>
      <c r="N473" s="112" t="s">
        <v>14</v>
      </c>
      <c r="O473" s="104" t="s">
        <v>52</v>
      </c>
      <c r="P473" s="104" t="s">
        <v>52</v>
      </c>
      <c r="Q473" s="105"/>
      <c r="R473" s="26" t="s">
        <v>74</v>
      </c>
      <c r="S473" s="225">
        <f t="shared" si="7"/>
        <v>54697</v>
      </c>
      <c r="T473" s="7" t="s">
        <v>7700</v>
      </c>
      <c r="U473" s="7" t="s">
        <v>62</v>
      </c>
      <c r="V473" s="162" t="str" cm="1">
        <f t="array" ref="V473">_xlfn.IFS(C473="","",COUNTIF(C473,"ตำแหน่งว่าง*"),"ว่าง",COUNTIF(C473,"&lt;&gt;ตำแหน่งว่าง*"),"คนครอง")</f>
        <v>คนครอง</v>
      </c>
      <c r="W473" s="49" cm="1">
        <f t="array" ref="W473">_xlfn.IFS(COUNTIF(F473,"ผบ.หมู่*"),51,COUNTIF(F473,"รอง สว.*"),43)</f>
        <v>51</v>
      </c>
      <c r="X473" s="3" t="s">
        <v>766</v>
      </c>
      <c r="Y473" s="1" t="s">
        <v>52</v>
      </c>
    </row>
    <row r="474" spans="1:25" s="10" customFormat="1" ht="21.3" customHeight="1">
      <c r="A474" s="27" t="s">
        <v>612</v>
      </c>
      <c r="B474" s="28" t="s">
        <v>12</v>
      </c>
      <c r="C474" s="27" t="s">
        <v>769</v>
      </c>
      <c r="D474" s="27" t="s">
        <v>8631</v>
      </c>
      <c r="E474" s="27" t="s">
        <v>8632</v>
      </c>
      <c r="F474" s="27" t="s">
        <v>697</v>
      </c>
      <c r="G474" s="101" t="s">
        <v>771</v>
      </c>
      <c r="H474" s="91">
        <v>44999</v>
      </c>
      <c r="I474" s="75">
        <v>42309</v>
      </c>
      <c r="J474" s="75">
        <v>42309</v>
      </c>
      <c r="K474" s="75">
        <v>34138</v>
      </c>
      <c r="L474" s="34" t="s">
        <v>772</v>
      </c>
      <c r="M474" s="28" t="s">
        <v>163</v>
      </c>
      <c r="N474" s="112" t="s">
        <v>14</v>
      </c>
      <c r="O474" s="104" t="s">
        <v>52</v>
      </c>
      <c r="P474" s="104" t="s">
        <v>52</v>
      </c>
      <c r="Q474" s="105"/>
      <c r="R474" s="26" t="s">
        <v>74</v>
      </c>
      <c r="S474" s="225">
        <f t="shared" si="7"/>
        <v>56158</v>
      </c>
      <c r="T474" s="7" t="s">
        <v>7700</v>
      </c>
      <c r="U474" s="7" t="s">
        <v>62</v>
      </c>
      <c r="V474" s="162" t="str" cm="1">
        <f t="array" ref="V474">_xlfn.IFS(C474="","",COUNTIF(C474,"ตำแหน่งว่าง*"),"ว่าง",COUNTIF(C474,"&lt;&gt;ตำแหน่งว่าง*"),"คนครอง")</f>
        <v>คนครอง</v>
      </c>
      <c r="W474" s="49" cm="1">
        <f t="array" ref="W474">_xlfn.IFS(COUNTIF(F474,"ผบ.หมู่*"),51,COUNTIF(F474,"รอง สว.*"),43)</f>
        <v>51</v>
      </c>
      <c r="X474" s="3" t="s">
        <v>770</v>
      </c>
      <c r="Y474" s="1" t="s">
        <v>52</v>
      </c>
    </row>
    <row r="475" spans="1:25" s="10" customFormat="1" ht="21.3" customHeight="1">
      <c r="A475" s="27" t="s">
        <v>612</v>
      </c>
      <c r="B475" s="28" t="s">
        <v>21</v>
      </c>
      <c r="C475" s="27" t="s">
        <v>10729</v>
      </c>
      <c r="D475" s="27" t="s">
        <v>10730</v>
      </c>
      <c r="E475" s="27" t="s">
        <v>10731</v>
      </c>
      <c r="F475" s="27" t="s">
        <v>697</v>
      </c>
      <c r="G475" s="101" t="s">
        <v>774</v>
      </c>
      <c r="H475" s="91">
        <v>45768</v>
      </c>
      <c r="I475" s="75" t="s">
        <v>7609</v>
      </c>
      <c r="J475" s="75" t="s">
        <v>7609</v>
      </c>
      <c r="K475" s="75">
        <v>33943</v>
      </c>
      <c r="L475" s="34" t="s">
        <v>7733</v>
      </c>
      <c r="M475" s="28" t="s">
        <v>7609</v>
      </c>
      <c r="N475" s="112" t="s">
        <v>14</v>
      </c>
      <c r="O475" s="104" t="s">
        <v>52</v>
      </c>
      <c r="P475" s="104" t="s">
        <v>52</v>
      </c>
      <c r="Q475" s="105"/>
      <c r="R475" s="26" t="s">
        <v>10804</v>
      </c>
      <c r="S475" s="174">
        <f t="shared" si="7"/>
        <v>56158</v>
      </c>
      <c r="T475" s="2" t="s">
        <v>7700</v>
      </c>
      <c r="U475" s="2" t="s">
        <v>62</v>
      </c>
      <c r="V475" s="203" t="str" cm="1">
        <f t="array" ref="V475">_xlfn.IFS(C475="","",COUNTIF(C475,"ตำแหน่งว่าง*"),"ว่าง",COUNTIF(C475,"&lt;&gt;ตำแหน่งว่าง*"),"คนครอง")</f>
        <v>คนครอง</v>
      </c>
      <c r="W475" s="170" cm="1">
        <f t="array" ref="W475">_xlfn.IFS(COUNTIF(F475,"ผบ.หมู่*"),51,COUNTIF(F475,"รอง สว.*"),43)</f>
        <v>51</v>
      </c>
      <c r="X475" s="3" t="s">
        <v>773</v>
      </c>
      <c r="Y475" s="1" t="s">
        <v>52</v>
      </c>
    </row>
    <row r="476" spans="1:25" s="10" customFormat="1" ht="21.3" customHeight="1">
      <c r="A476" s="27"/>
      <c r="B476" s="28"/>
      <c r="C476" s="30" t="s">
        <v>18</v>
      </c>
      <c r="D476" s="27"/>
      <c r="E476" s="27"/>
      <c r="F476" s="68" t="s">
        <v>697</v>
      </c>
      <c r="G476" s="121" t="s">
        <v>776</v>
      </c>
      <c r="H476" s="91" t="s">
        <v>19</v>
      </c>
      <c r="I476" s="73" t="s">
        <v>19</v>
      </c>
      <c r="J476" s="73" t="s">
        <v>19</v>
      </c>
      <c r="K476" s="73" t="s">
        <v>19</v>
      </c>
      <c r="L476" s="11"/>
      <c r="M476" s="1"/>
      <c r="N476" s="113" t="s">
        <v>14</v>
      </c>
      <c r="O476" s="122" t="s">
        <v>52</v>
      </c>
      <c r="P476" s="122" t="s">
        <v>52</v>
      </c>
      <c r="Q476" s="105"/>
      <c r="R476" s="26"/>
      <c r="S476" s="225" t="str">
        <f t="shared" si="7"/>
        <v/>
      </c>
      <c r="T476" s="7" t="s">
        <v>7700</v>
      </c>
      <c r="U476" s="7" t="s">
        <v>62</v>
      </c>
      <c r="V476" s="171" t="str" cm="1">
        <f t="array" ref="V476">_xlfn.IFS(C476="","",COUNTIF(C476,"ตำแหน่งว่าง*"),"ว่าง",COUNTIF(C476,"&lt;&gt;ตำแหน่งว่าง*"),"คนครอง")</f>
        <v>ว่าง</v>
      </c>
      <c r="W476" s="49" cm="1">
        <f t="array" ref="W476">_xlfn.IFS(COUNTIF(F476,"ผบ.หมู่*"),51,COUNTIF(F476,"รอง สว.*"),43)</f>
        <v>51</v>
      </c>
      <c r="X476" s="8" t="s">
        <v>775</v>
      </c>
      <c r="Y476" s="6" t="s">
        <v>52</v>
      </c>
    </row>
    <row r="477" spans="1:25" s="10" customFormat="1" ht="21.3" customHeight="1">
      <c r="A477" s="27"/>
      <c r="B477" s="30"/>
      <c r="C477" s="30" t="s">
        <v>18</v>
      </c>
      <c r="D477" s="27"/>
      <c r="E477" s="27"/>
      <c r="F477" s="68" t="s">
        <v>697</v>
      </c>
      <c r="G477" s="121" t="s">
        <v>778</v>
      </c>
      <c r="H477" s="91" t="s">
        <v>19</v>
      </c>
      <c r="I477" s="73" t="s">
        <v>19</v>
      </c>
      <c r="J477" s="73" t="s">
        <v>19</v>
      </c>
      <c r="K477" s="73" t="s">
        <v>19</v>
      </c>
      <c r="L477" s="11"/>
      <c r="M477" s="1"/>
      <c r="N477" s="113" t="s">
        <v>14</v>
      </c>
      <c r="O477" s="122" t="s">
        <v>52</v>
      </c>
      <c r="P477" s="122" t="s">
        <v>52</v>
      </c>
      <c r="Q477" s="106"/>
      <c r="R477" s="29"/>
      <c r="S477" s="225" t="str">
        <f t="shared" si="7"/>
        <v/>
      </c>
      <c r="T477" s="7" t="s">
        <v>7700</v>
      </c>
      <c r="U477" s="7" t="s">
        <v>62</v>
      </c>
      <c r="V477" s="171" t="str" cm="1">
        <f t="array" ref="V477">_xlfn.IFS(C477="","",COUNTIF(C477,"ตำแหน่งว่าง*"),"ว่าง",COUNTIF(C477,"&lt;&gt;ตำแหน่งว่าง*"),"คนครอง")</f>
        <v>ว่าง</v>
      </c>
      <c r="W477" s="49" cm="1">
        <f t="array" ref="W477">_xlfn.IFS(COUNTIF(F477,"ผบ.หมู่*"),51,COUNTIF(F477,"รอง สว.*"),43)</f>
        <v>51</v>
      </c>
      <c r="X477" s="8" t="s">
        <v>777</v>
      </c>
      <c r="Y477" s="6" t="s">
        <v>52</v>
      </c>
    </row>
    <row r="478" spans="1:25" s="10" customFormat="1" ht="21.3" customHeight="1">
      <c r="A478" s="27" t="s">
        <v>208</v>
      </c>
      <c r="B478" s="28" t="s">
        <v>12</v>
      </c>
      <c r="C478" s="68" t="s">
        <v>183</v>
      </c>
      <c r="D478" s="27" t="s">
        <v>8378</v>
      </c>
      <c r="E478" s="27" t="s">
        <v>8379</v>
      </c>
      <c r="F478" s="68" t="s">
        <v>697</v>
      </c>
      <c r="G478" s="121" t="s">
        <v>780</v>
      </c>
      <c r="H478" s="91">
        <v>45768</v>
      </c>
      <c r="I478" s="73">
        <v>43132</v>
      </c>
      <c r="J478" s="73">
        <v>43132</v>
      </c>
      <c r="K478" s="73">
        <v>34002</v>
      </c>
      <c r="L478" s="11" t="s">
        <v>82</v>
      </c>
      <c r="M478" s="1" t="s">
        <v>75</v>
      </c>
      <c r="N478" s="113" t="s">
        <v>14</v>
      </c>
      <c r="O478" s="122" t="s">
        <v>52</v>
      </c>
      <c r="P478" s="122" t="s">
        <v>52</v>
      </c>
      <c r="Q478" s="105"/>
      <c r="R478" s="26" t="s">
        <v>10804</v>
      </c>
      <c r="S478" s="225">
        <f t="shared" si="7"/>
        <v>56158</v>
      </c>
      <c r="T478" s="7" t="s">
        <v>7700</v>
      </c>
      <c r="U478" s="7" t="s">
        <v>62</v>
      </c>
      <c r="V478" s="171" t="str" cm="1">
        <f t="array" ref="V478">_xlfn.IFS(C478="","",COUNTIF(C478,"ตำแหน่งว่าง*"),"ว่าง",COUNTIF(C478,"&lt;&gt;ตำแหน่งว่าง*"),"คนครอง")</f>
        <v>คนครอง</v>
      </c>
      <c r="W478" s="49" cm="1">
        <f t="array" ref="W478">_xlfn.IFS(COUNTIF(F478,"ผบ.หมู่*"),51,COUNTIF(F478,"รอง สว.*"),43)</f>
        <v>51</v>
      </c>
      <c r="X478" s="8" t="s">
        <v>779</v>
      </c>
      <c r="Y478" s="6" t="s">
        <v>52</v>
      </c>
    </row>
    <row r="479" spans="1:25" s="10" customFormat="1" ht="21.3" customHeight="1">
      <c r="A479" s="27"/>
      <c r="B479" s="28"/>
      <c r="C479" s="30" t="s">
        <v>18</v>
      </c>
      <c r="D479" s="27"/>
      <c r="E479" s="27"/>
      <c r="F479" s="68" t="s">
        <v>697</v>
      </c>
      <c r="G479" s="121" t="s">
        <v>782</v>
      </c>
      <c r="H479" s="91" t="s">
        <v>19</v>
      </c>
      <c r="I479" s="73" t="s">
        <v>19</v>
      </c>
      <c r="J479" s="73" t="s">
        <v>19</v>
      </c>
      <c r="K479" s="73" t="s">
        <v>19</v>
      </c>
      <c r="L479" s="11"/>
      <c r="M479" s="1"/>
      <c r="N479" s="113" t="s">
        <v>14</v>
      </c>
      <c r="O479" s="122" t="s">
        <v>52</v>
      </c>
      <c r="P479" s="122" t="s">
        <v>52</v>
      </c>
      <c r="Q479" s="105"/>
      <c r="R479" s="26"/>
      <c r="S479" s="225" t="str">
        <f t="shared" si="7"/>
        <v/>
      </c>
      <c r="T479" s="7" t="s">
        <v>7700</v>
      </c>
      <c r="U479" s="7" t="s">
        <v>62</v>
      </c>
      <c r="V479" s="171" t="str" cm="1">
        <f t="array" ref="V479">_xlfn.IFS(C479="","",COUNTIF(C479,"ตำแหน่งว่าง*"),"ว่าง",COUNTIF(C479,"&lt;&gt;ตำแหน่งว่าง*"),"คนครอง")</f>
        <v>ว่าง</v>
      </c>
      <c r="W479" s="49" cm="1">
        <f t="array" ref="W479">_xlfn.IFS(COUNTIF(F479,"ผบ.หมู่*"),51,COUNTIF(F479,"รอง สว.*"),43)</f>
        <v>51</v>
      </c>
      <c r="X479" s="8" t="s">
        <v>781</v>
      </c>
      <c r="Y479" s="6" t="s">
        <v>52</v>
      </c>
    </row>
    <row r="480" spans="1:25" s="10" customFormat="1" ht="21.3" customHeight="1">
      <c r="A480" s="27"/>
      <c r="B480" s="28"/>
      <c r="C480" s="30" t="s">
        <v>18</v>
      </c>
      <c r="D480" s="27"/>
      <c r="E480" s="27"/>
      <c r="F480" s="68" t="s">
        <v>697</v>
      </c>
      <c r="G480" s="121" t="s">
        <v>784</v>
      </c>
      <c r="H480" s="91" t="s">
        <v>19</v>
      </c>
      <c r="I480" s="73" t="s">
        <v>19</v>
      </c>
      <c r="J480" s="73" t="s">
        <v>19</v>
      </c>
      <c r="K480" s="73" t="s">
        <v>19</v>
      </c>
      <c r="L480" s="11"/>
      <c r="M480" s="1"/>
      <c r="N480" s="113" t="s">
        <v>14</v>
      </c>
      <c r="O480" s="122" t="s">
        <v>52</v>
      </c>
      <c r="P480" s="122" t="s">
        <v>52</v>
      </c>
      <c r="Q480" s="105"/>
      <c r="R480" s="26"/>
      <c r="S480" s="225" t="str">
        <f t="shared" si="7"/>
        <v/>
      </c>
      <c r="T480" s="7" t="s">
        <v>7700</v>
      </c>
      <c r="U480" s="7" t="s">
        <v>62</v>
      </c>
      <c r="V480" s="171" t="str" cm="1">
        <f t="array" ref="V480">_xlfn.IFS(C480="","",COUNTIF(C480,"ตำแหน่งว่าง*"),"ว่าง",COUNTIF(C480,"&lt;&gt;ตำแหน่งว่าง*"),"คนครอง")</f>
        <v>ว่าง</v>
      </c>
      <c r="W480" s="49" cm="1">
        <f t="array" ref="W480">_xlfn.IFS(COUNTIF(F480,"ผบ.หมู่*"),51,COUNTIF(F480,"รอง สว.*"),43)</f>
        <v>51</v>
      </c>
      <c r="X480" s="8" t="s">
        <v>783</v>
      </c>
      <c r="Y480" s="6" t="s">
        <v>52</v>
      </c>
    </row>
    <row r="481" spans="1:25" s="10" customFormat="1" ht="21.3" customHeight="1">
      <c r="A481" s="27"/>
      <c r="B481" s="28"/>
      <c r="C481" s="30" t="s">
        <v>18</v>
      </c>
      <c r="D481" s="27"/>
      <c r="E481" s="27"/>
      <c r="F481" s="68" t="s">
        <v>697</v>
      </c>
      <c r="G481" s="121" t="s">
        <v>786</v>
      </c>
      <c r="H481" s="91" t="s">
        <v>19</v>
      </c>
      <c r="I481" s="73" t="s">
        <v>19</v>
      </c>
      <c r="J481" s="73" t="s">
        <v>19</v>
      </c>
      <c r="K481" s="73" t="s">
        <v>19</v>
      </c>
      <c r="L481" s="11"/>
      <c r="M481" s="1"/>
      <c r="N481" s="113" t="s">
        <v>14</v>
      </c>
      <c r="O481" s="122" t="s">
        <v>52</v>
      </c>
      <c r="P481" s="122" t="s">
        <v>52</v>
      </c>
      <c r="Q481" s="105"/>
      <c r="R481" s="26"/>
      <c r="S481" s="225" t="str">
        <f t="shared" si="7"/>
        <v/>
      </c>
      <c r="T481" s="7" t="s">
        <v>7700</v>
      </c>
      <c r="U481" s="7" t="s">
        <v>62</v>
      </c>
      <c r="V481" s="171" t="str" cm="1">
        <f t="array" ref="V481">_xlfn.IFS(C481="","",COUNTIF(C481,"ตำแหน่งว่าง*"),"ว่าง",COUNTIF(C481,"&lt;&gt;ตำแหน่งว่าง*"),"คนครอง")</f>
        <v>ว่าง</v>
      </c>
      <c r="W481" s="49" cm="1">
        <f t="array" ref="W481">_xlfn.IFS(COUNTIF(F481,"ผบ.หมู่*"),51,COUNTIF(F481,"รอง สว.*"),43)</f>
        <v>51</v>
      </c>
      <c r="X481" s="8" t="s">
        <v>785</v>
      </c>
      <c r="Y481" s="6" t="s">
        <v>52</v>
      </c>
    </row>
    <row r="482" spans="1:25" s="10" customFormat="1" ht="21.3" customHeight="1">
      <c r="A482" s="27"/>
      <c r="B482" s="28"/>
      <c r="C482" s="30" t="s">
        <v>18</v>
      </c>
      <c r="D482" s="27"/>
      <c r="E482" s="27"/>
      <c r="F482" s="68" t="s">
        <v>787</v>
      </c>
      <c r="G482" s="121" t="s">
        <v>789</v>
      </c>
      <c r="H482" s="91" t="s">
        <v>19</v>
      </c>
      <c r="I482" s="73" t="s">
        <v>19</v>
      </c>
      <c r="J482" s="73" t="s">
        <v>19</v>
      </c>
      <c r="K482" s="73" t="s">
        <v>19</v>
      </c>
      <c r="L482" s="11"/>
      <c r="M482" s="1"/>
      <c r="N482" s="113" t="s">
        <v>14</v>
      </c>
      <c r="O482" s="122" t="s">
        <v>27</v>
      </c>
      <c r="P482" s="122"/>
      <c r="Q482" s="105"/>
      <c r="R482" s="26"/>
      <c r="S482" s="225" t="str">
        <f t="shared" si="7"/>
        <v/>
      </c>
      <c r="T482" s="7" t="s">
        <v>7701</v>
      </c>
      <c r="U482" s="7" t="s">
        <v>62</v>
      </c>
      <c r="V482" s="171" t="str" cm="1">
        <f t="array" ref="V482">_xlfn.IFS(C482="","",COUNTIF(C482,"ตำแหน่งว่าง*"),"ว่าง",COUNTIF(C482,"&lt;&gt;ตำแหน่งว่าง*"),"คนครอง")</f>
        <v>ว่าง</v>
      </c>
      <c r="W482" s="49" cm="1">
        <f t="array" ref="W482">_xlfn.IFS(COUNTIF(F482,"ผบ.หมู่*"),51,COUNTIF(F482,"รอง สว.*"),43)</f>
        <v>51</v>
      </c>
      <c r="X482" s="8" t="s">
        <v>788</v>
      </c>
      <c r="Y482" s="6" t="s">
        <v>27</v>
      </c>
    </row>
    <row r="483" spans="1:25" s="10" customFormat="1" ht="21.3" customHeight="1">
      <c r="A483" s="27"/>
      <c r="B483" s="28"/>
      <c r="C483" s="30" t="s">
        <v>18</v>
      </c>
      <c r="D483" s="27"/>
      <c r="E483" s="27"/>
      <c r="F483" s="68" t="s">
        <v>787</v>
      </c>
      <c r="G483" s="121" t="s">
        <v>791</v>
      </c>
      <c r="H483" s="91" t="s">
        <v>19</v>
      </c>
      <c r="I483" s="73" t="s">
        <v>19</v>
      </c>
      <c r="J483" s="73" t="s">
        <v>19</v>
      </c>
      <c r="K483" s="73" t="s">
        <v>19</v>
      </c>
      <c r="L483" s="11"/>
      <c r="M483" s="1"/>
      <c r="N483" s="113" t="s">
        <v>14</v>
      </c>
      <c r="O483" s="122" t="s">
        <v>27</v>
      </c>
      <c r="P483" s="122"/>
      <c r="Q483" s="105"/>
      <c r="R483" s="26"/>
      <c r="S483" s="225" t="str">
        <f t="shared" si="7"/>
        <v/>
      </c>
      <c r="T483" s="7" t="s">
        <v>7701</v>
      </c>
      <c r="U483" s="7" t="s">
        <v>62</v>
      </c>
      <c r="V483" s="171" t="str" cm="1">
        <f t="array" ref="V483">_xlfn.IFS(C483="","",COUNTIF(C483,"ตำแหน่งว่าง*"),"ว่าง",COUNTIF(C483,"&lt;&gt;ตำแหน่งว่าง*"),"คนครอง")</f>
        <v>ว่าง</v>
      </c>
      <c r="W483" s="49" cm="1">
        <f t="array" ref="W483">_xlfn.IFS(COUNTIF(F483,"ผบ.หมู่*"),51,COUNTIF(F483,"รอง สว.*"),43)</f>
        <v>51</v>
      </c>
      <c r="X483" s="8" t="s">
        <v>790</v>
      </c>
      <c r="Y483" s="6" t="s">
        <v>27</v>
      </c>
    </row>
    <row r="484" spans="1:25" s="10" customFormat="1" ht="21.3" customHeight="1">
      <c r="A484" s="27"/>
      <c r="B484" s="28"/>
      <c r="C484" s="30" t="s">
        <v>18</v>
      </c>
      <c r="D484" s="27"/>
      <c r="E484" s="27"/>
      <c r="F484" s="68" t="s">
        <v>787</v>
      </c>
      <c r="G484" s="121" t="s">
        <v>793</v>
      </c>
      <c r="H484" s="91" t="s">
        <v>19</v>
      </c>
      <c r="I484" s="73" t="s">
        <v>19</v>
      </c>
      <c r="J484" s="73" t="s">
        <v>19</v>
      </c>
      <c r="K484" s="73" t="s">
        <v>19</v>
      </c>
      <c r="L484" s="11"/>
      <c r="M484" s="1"/>
      <c r="N484" s="113" t="s">
        <v>14</v>
      </c>
      <c r="O484" s="122" t="s">
        <v>27</v>
      </c>
      <c r="P484" s="122"/>
      <c r="Q484" s="105"/>
      <c r="R484" s="26"/>
      <c r="S484" s="225" t="str">
        <f t="shared" si="7"/>
        <v/>
      </c>
      <c r="T484" s="7" t="s">
        <v>7701</v>
      </c>
      <c r="U484" s="7" t="s">
        <v>62</v>
      </c>
      <c r="V484" s="171" t="str" cm="1">
        <f t="array" ref="V484">_xlfn.IFS(C484="","",COUNTIF(C484,"ตำแหน่งว่าง*"),"ว่าง",COUNTIF(C484,"&lt;&gt;ตำแหน่งว่าง*"),"คนครอง")</f>
        <v>ว่าง</v>
      </c>
      <c r="W484" s="49" cm="1">
        <f t="array" ref="W484">_xlfn.IFS(COUNTIF(F484,"ผบ.หมู่*"),51,COUNTIF(F484,"รอง สว.*"),43)</f>
        <v>51</v>
      </c>
      <c r="X484" s="8" t="s">
        <v>792</v>
      </c>
      <c r="Y484" s="6" t="s">
        <v>27</v>
      </c>
    </row>
    <row r="485" spans="1:25" s="9" customFormat="1" ht="21.3" customHeight="1">
      <c r="A485" s="27" t="s">
        <v>157</v>
      </c>
      <c r="B485" s="28" t="s">
        <v>12</v>
      </c>
      <c r="C485" s="27" t="s">
        <v>794</v>
      </c>
      <c r="D485" s="27" t="s">
        <v>8633</v>
      </c>
      <c r="E485" s="27" t="s">
        <v>8634</v>
      </c>
      <c r="F485" s="27" t="s">
        <v>787</v>
      </c>
      <c r="G485" s="101" t="s">
        <v>796</v>
      </c>
      <c r="H485" s="91">
        <v>42940</v>
      </c>
      <c r="I485" s="73">
        <v>42940</v>
      </c>
      <c r="J485" s="73">
        <v>41214</v>
      </c>
      <c r="K485" s="73">
        <v>30695</v>
      </c>
      <c r="L485" s="11" t="s">
        <v>797</v>
      </c>
      <c r="M485" s="1" t="s">
        <v>95</v>
      </c>
      <c r="N485" s="112" t="s">
        <v>14</v>
      </c>
      <c r="O485" s="104" t="s">
        <v>52</v>
      </c>
      <c r="P485" s="104" t="s">
        <v>52</v>
      </c>
      <c r="Q485" s="105"/>
      <c r="R485" s="26" t="s">
        <v>726</v>
      </c>
      <c r="S485" s="225">
        <f t="shared" si="7"/>
        <v>52871</v>
      </c>
      <c r="T485" s="2" t="s">
        <v>7701</v>
      </c>
      <c r="U485" s="7" t="s">
        <v>62</v>
      </c>
      <c r="V485" s="162" t="str" cm="1">
        <f t="array" ref="V485">_xlfn.IFS(C485="","",COUNTIF(C485,"ตำแหน่งว่าง*"),"ว่าง",COUNTIF(C485,"&lt;&gt;ตำแหน่งว่าง*"),"คนครอง")</f>
        <v>คนครอง</v>
      </c>
      <c r="W485" s="49" cm="1">
        <f t="array" ref="W485">_xlfn.IFS(COUNTIF(F485,"ผบ.หมู่*"),51,COUNTIF(F485,"รอง สว.*"),43)</f>
        <v>51</v>
      </c>
      <c r="X485" s="3" t="s">
        <v>795</v>
      </c>
      <c r="Y485" s="1" t="s">
        <v>52</v>
      </c>
    </row>
    <row r="486" spans="1:25" s="12" customFormat="1" ht="21.3" customHeight="1">
      <c r="A486" s="27" t="s">
        <v>182</v>
      </c>
      <c r="B486" s="28" t="s">
        <v>12</v>
      </c>
      <c r="C486" s="27" t="s">
        <v>536</v>
      </c>
      <c r="D486" s="27" t="s">
        <v>8574</v>
      </c>
      <c r="E486" s="27" t="s">
        <v>8575</v>
      </c>
      <c r="F486" s="27" t="s">
        <v>787</v>
      </c>
      <c r="G486" s="101" t="s">
        <v>799</v>
      </c>
      <c r="H486" s="91">
        <v>45768</v>
      </c>
      <c r="I486" s="73">
        <v>43868</v>
      </c>
      <c r="J486" s="73">
        <v>43864</v>
      </c>
      <c r="K486" s="73">
        <v>34716</v>
      </c>
      <c r="L486" s="11" t="s">
        <v>82</v>
      </c>
      <c r="M486" s="1" t="s">
        <v>75</v>
      </c>
      <c r="N486" s="112" t="s">
        <v>14</v>
      </c>
      <c r="O486" s="104" t="s">
        <v>52</v>
      </c>
      <c r="P486" s="104" t="s">
        <v>52</v>
      </c>
      <c r="Q486" s="105"/>
      <c r="R486" s="26" t="s">
        <v>10707</v>
      </c>
      <c r="S486" s="174">
        <f t="shared" si="7"/>
        <v>56888</v>
      </c>
      <c r="T486" s="2" t="s">
        <v>7701</v>
      </c>
      <c r="U486" s="2" t="s">
        <v>62</v>
      </c>
      <c r="V486" s="203" t="str" cm="1">
        <f t="array" ref="V486">_xlfn.IFS(C486="","",COUNTIF(C486,"ตำแหน่งว่าง*"),"ว่าง",COUNTIF(C486,"&lt;&gt;ตำแหน่งว่าง*"),"คนครอง")</f>
        <v>คนครอง</v>
      </c>
      <c r="W486" s="170" cm="1">
        <f t="array" ref="W486">_xlfn.IFS(COUNTIF(F486,"ผบ.หมู่*"),51,COUNTIF(F486,"รอง สว.*"),43)</f>
        <v>51</v>
      </c>
      <c r="X486" s="3" t="s">
        <v>798</v>
      </c>
      <c r="Y486" s="1" t="s">
        <v>52</v>
      </c>
    </row>
    <row r="487" spans="1:25" s="9" customFormat="1" ht="21.3" customHeight="1">
      <c r="A487" s="27" t="s">
        <v>157</v>
      </c>
      <c r="B487" s="28" t="s">
        <v>12</v>
      </c>
      <c r="C487" s="27" t="s">
        <v>801</v>
      </c>
      <c r="D487" s="27" t="s">
        <v>8635</v>
      </c>
      <c r="E487" s="27" t="s">
        <v>8108</v>
      </c>
      <c r="F487" s="27" t="s">
        <v>787</v>
      </c>
      <c r="G487" s="101" t="s">
        <v>803</v>
      </c>
      <c r="H487" s="91">
        <v>42604</v>
      </c>
      <c r="I487" s="73">
        <v>42604</v>
      </c>
      <c r="J487" s="73">
        <v>37755</v>
      </c>
      <c r="K487" s="73">
        <v>30479</v>
      </c>
      <c r="L487" s="11" t="s">
        <v>804</v>
      </c>
      <c r="M487" s="1" t="s">
        <v>46</v>
      </c>
      <c r="N487" s="112" t="s">
        <v>14</v>
      </c>
      <c r="O487" s="104" t="s">
        <v>52</v>
      </c>
      <c r="P487" s="104" t="s">
        <v>52</v>
      </c>
      <c r="Q487" s="105"/>
      <c r="R487" s="26" t="s">
        <v>76</v>
      </c>
      <c r="S487" s="225">
        <f t="shared" si="7"/>
        <v>52505</v>
      </c>
      <c r="T487" s="2" t="s">
        <v>7701</v>
      </c>
      <c r="U487" s="7" t="s">
        <v>62</v>
      </c>
      <c r="V487" s="162" t="str" cm="1">
        <f t="array" ref="V487">_xlfn.IFS(C487="","",COUNTIF(C487,"ตำแหน่งว่าง*"),"ว่าง",COUNTIF(C487,"&lt;&gt;ตำแหน่งว่าง*"),"คนครอง")</f>
        <v>คนครอง</v>
      </c>
      <c r="W487" s="49" cm="1">
        <f t="array" ref="W487">_xlfn.IFS(COUNTIF(F487,"ผบ.หมู่*"),51,COUNTIF(F487,"รอง สว.*"),43)</f>
        <v>51</v>
      </c>
      <c r="X487" s="3" t="s">
        <v>802</v>
      </c>
      <c r="Y487" s="1" t="s">
        <v>52</v>
      </c>
    </row>
    <row r="488" spans="1:25" s="12" customFormat="1" ht="21.3" customHeight="1">
      <c r="A488" s="27" t="s">
        <v>208</v>
      </c>
      <c r="B488" s="28" t="s">
        <v>21</v>
      </c>
      <c r="C488" s="27" t="s">
        <v>7753</v>
      </c>
      <c r="D488" s="27" t="s">
        <v>8636</v>
      </c>
      <c r="E488" s="27" t="s">
        <v>8637</v>
      </c>
      <c r="F488" s="27" t="s">
        <v>787</v>
      </c>
      <c r="G488" s="101" t="s">
        <v>806</v>
      </c>
      <c r="H488" s="91">
        <v>45322</v>
      </c>
      <c r="I488" s="73">
        <v>43132</v>
      </c>
      <c r="J488" s="73">
        <v>43132</v>
      </c>
      <c r="K488" s="73">
        <v>34445</v>
      </c>
      <c r="L488" s="11" t="s">
        <v>7739</v>
      </c>
      <c r="M488" s="1" t="s">
        <v>39</v>
      </c>
      <c r="N488" s="112" t="s">
        <v>14</v>
      </c>
      <c r="O488" s="104" t="s">
        <v>52</v>
      </c>
      <c r="P488" s="104" t="s">
        <v>52</v>
      </c>
      <c r="Q488" s="105"/>
      <c r="R488" s="29" t="s">
        <v>7708</v>
      </c>
      <c r="S488" s="225">
        <f t="shared" si="7"/>
        <v>56523</v>
      </c>
      <c r="T488" s="162" t="s">
        <v>7701</v>
      </c>
      <c r="U488" s="7" t="s">
        <v>62</v>
      </c>
      <c r="V488" s="162" t="str" cm="1">
        <f t="array" ref="V488">_xlfn.IFS(C488="","",COUNTIF(C488,"ตำแหน่งว่าง*"),"ว่าง",COUNTIF(C488,"&lt;&gt;ตำแหน่งว่าง*"),"คนครอง")</f>
        <v>คนครอง</v>
      </c>
      <c r="W488" s="49" cm="1">
        <f t="array" ref="W488">_xlfn.IFS(COUNTIF(F488,"ผบ.หมู่*"),51,COUNTIF(F488,"รอง สว.*"),43)</f>
        <v>51</v>
      </c>
      <c r="X488" s="3" t="s">
        <v>805</v>
      </c>
      <c r="Y488" s="1" t="s">
        <v>52</v>
      </c>
    </row>
    <row r="489" spans="1:25" s="12" customFormat="1" ht="21.3" customHeight="1">
      <c r="A489" s="27" t="s">
        <v>182</v>
      </c>
      <c r="B489" s="28" t="s">
        <v>21</v>
      </c>
      <c r="C489" s="27" t="s">
        <v>10777</v>
      </c>
      <c r="D489" s="27" t="s">
        <v>10778</v>
      </c>
      <c r="E489" s="27" t="s">
        <v>10779</v>
      </c>
      <c r="F489" s="27" t="s">
        <v>787</v>
      </c>
      <c r="G489" s="101" t="s">
        <v>808</v>
      </c>
      <c r="H489" s="75">
        <v>45768</v>
      </c>
      <c r="I489" s="73" t="s">
        <v>7609</v>
      </c>
      <c r="J489" s="73" t="s">
        <v>7609</v>
      </c>
      <c r="K489" s="73">
        <v>36158</v>
      </c>
      <c r="L489" s="11" t="s">
        <v>7609</v>
      </c>
      <c r="M489" s="1" t="s">
        <v>7609</v>
      </c>
      <c r="N489" s="112" t="s">
        <v>14</v>
      </c>
      <c r="O489" s="104" t="s">
        <v>52</v>
      </c>
      <c r="P489" s="104" t="s">
        <v>52</v>
      </c>
      <c r="Q489" s="105"/>
      <c r="R489" s="26" t="s">
        <v>10804</v>
      </c>
      <c r="S489" s="174">
        <f t="shared" si="7"/>
        <v>58349</v>
      </c>
      <c r="T489" s="2" t="s">
        <v>7701</v>
      </c>
      <c r="U489" s="2" t="s">
        <v>62</v>
      </c>
      <c r="V489" s="2" t="str" cm="1">
        <f t="array" ref="V489">_xlfn.IFS(C489="","",COUNTIF(C489,"ตำแหน่งว่าง*"),"ว่าง",COUNTIF(C489,"&lt;&gt;ตำแหน่งว่าง*"),"คนครอง")</f>
        <v>คนครอง</v>
      </c>
      <c r="W489" s="170" cm="1">
        <f t="array" ref="W489">_xlfn.IFS(COUNTIF(F489,"ผบ.หมู่*"),51,COUNTIF(F489,"รอง สว.*"),43)</f>
        <v>51</v>
      </c>
      <c r="X489" s="3" t="s">
        <v>807</v>
      </c>
      <c r="Y489" s="1" t="s">
        <v>52</v>
      </c>
    </row>
    <row r="490" spans="1:25" s="12" customFormat="1" ht="21.3" customHeight="1">
      <c r="A490" s="27" t="s">
        <v>182</v>
      </c>
      <c r="B490" s="31" t="s">
        <v>21</v>
      </c>
      <c r="C490" s="95" t="s">
        <v>809</v>
      </c>
      <c r="D490" s="27" t="s">
        <v>8025</v>
      </c>
      <c r="E490" s="27" t="s">
        <v>8638</v>
      </c>
      <c r="F490" s="95" t="s">
        <v>787</v>
      </c>
      <c r="G490" s="101" t="s">
        <v>811</v>
      </c>
      <c r="H490" s="75">
        <v>44636</v>
      </c>
      <c r="I490" s="76">
        <v>44636</v>
      </c>
      <c r="J490" s="76">
        <v>44636</v>
      </c>
      <c r="K490" s="76">
        <v>31950</v>
      </c>
      <c r="L490" s="17" t="s">
        <v>82</v>
      </c>
      <c r="M490" s="5" t="s">
        <v>56</v>
      </c>
      <c r="N490" s="111" t="s">
        <v>14</v>
      </c>
      <c r="O490" s="104" t="s">
        <v>52</v>
      </c>
      <c r="P490" s="104" t="s">
        <v>52</v>
      </c>
      <c r="Q490" s="108"/>
      <c r="R490" s="135" t="s">
        <v>611</v>
      </c>
      <c r="S490" s="225">
        <f t="shared" si="7"/>
        <v>53966</v>
      </c>
      <c r="T490" s="162" t="s">
        <v>7701</v>
      </c>
      <c r="U490" s="7" t="s">
        <v>62</v>
      </c>
      <c r="V490" s="162" t="str" cm="1">
        <f t="array" ref="V490">_xlfn.IFS(C490="","",COUNTIF(C490,"ตำแหน่งว่าง*"),"ว่าง",COUNTIF(C490,"&lt;&gt;ตำแหน่งว่าง*"),"คนครอง")</f>
        <v>คนครอง</v>
      </c>
      <c r="W490" s="49" cm="1">
        <f t="array" ref="W490">_xlfn.IFS(COUNTIF(F490,"ผบ.หมู่*"),51,COUNTIF(F490,"รอง สว.*"),43)</f>
        <v>51</v>
      </c>
      <c r="X490" s="4" t="s">
        <v>810</v>
      </c>
      <c r="Y490" s="5" t="s">
        <v>52</v>
      </c>
    </row>
    <row r="491" spans="1:25" s="12" customFormat="1" ht="21.3" customHeight="1">
      <c r="A491" s="27" t="s">
        <v>182</v>
      </c>
      <c r="B491" s="31" t="s">
        <v>21</v>
      </c>
      <c r="C491" s="95" t="s">
        <v>812</v>
      </c>
      <c r="D491" s="27" t="s">
        <v>8639</v>
      </c>
      <c r="E491" s="27" t="s">
        <v>8640</v>
      </c>
      <c r="F491" s="95" t="s">
        <v>787</v>
      </c>
      <c r="G491" s="101" t="s">
        <v>814</v>
      </c>
      <c r="H491" s="75">
        <v>44636</v>
      </c>
      <c r="I491" s="76">
        <v>44636</v>
      </c>
      <c r="J491" s="76">
        <v>44636</v>
      </c>
      <c r="K491" s="76">
        <v>37341</v>
      </c>
      <c r="L491" s="17" t="s">
        <v>82</v>
      </c>
      <c r="M491" s="5" t="s">
        <v>36</v>
      </c>
      <c r="N491" s="111" t="s">
        <v>14</v>
      </c>
      <c r="O491" s="104" t="s">
        <v>52</v>
      </c>
      <c r="P491" s="104" t="s">
        <v>52</v>
      </c>
      <c r="Q491" s="108"/>
      <c r="R491" s="135" t="s">
        <v>611</v>
      </c>
      <c r="S491" s="225">
        <f t="shared" si="7"/>
        <v>59445</v>
      </c>
      <c r="T491" s="162" t="s">
        <v>7701</v>
      </c>
      <c r="U491" s="7" t="s">
        <v>62</v>
      </c>
      <c r="V491" s="162" t="str" cm="1">
        <f t="array" ref="V491">_xlfn.IFS(C491="","",COUNTIF(C491,"ตำแหน่งว่าง*"),"ว่าง",COUNTIF(C491,"&lt;&gt;ตำแหน่งว่าง*"),"คนครอง")</f>
        <v>คนครอง</v>
      </c>
      <c r="W491" s="49" cm="1">
        <f t="array" ref="W491">_xlfn.IFS(COUNTIF(F491,"ผบ.หมู่*"),51,COUNTIF(F491,"รอง สว.*"),43)</f>
        <v>51</v>
      </c>
      <c r="X491" s="4" t="s">
        <v>813</v>
      </c>
      <c r="Y491" s="5" t="s">
        <v>52</v>
      </c>
    </row>
    <row r="492" spans="1:25" s="9" customFormat="1" ht="21.3" customHeight="1">
      <c r="A492" s="27" t="s">
        <v>157</v>
      </c>
      <c r="B492" s="28" t="s">
        <v>21</v>
      </c>
      <c r="C492" s="27" t="s">
        <v>815</v>
      </c>
      <c r="D492" s="27" t="s">
        <v>8641</v>
      </c>
      <c r="E492" s="27" t="s">
        <v>8642</v>
      </c>
      <c r="F492" s="27" t="s">
        <v>787</v>
      </c>
      <c r="G492" s="101" t="s">
        <v>817</v>
      </c>
      <c r="H492" s="91">
        <v>40063</v>
      </c>
      <c r="I492" s="73">
        <v>40063</v>
      </c>
      <c r="J492" s="73">
        <v>34729</v>
      </c>
      <c r="K492" s="73">
        <v>27303</v>
      </c>
      <c r="L492" s="11" t="s">
        <v>818</v>
      </c>
      <c r="M492" s="1" t="s">
        <v>104</v>
      </c>
      <c r="N492" s="112" t="s">
        <v>14</v>
      </c>
      <c r="O492" s="104" t="s">
        <v>52</v>
      </c>
      <c r="P492" s="104" t="s">
        <v>52</v>
      </c>
      <c r="Q492" s="105"/>
      <c r="R492" s="26" t="s">
        <v>603</v>
      </c>
      <c r="S492" s="225">
        <f t="shared" si="7"/>
        <v>49218</v>
      </c>
      <c r="T492" s="2" t="s">
        <v>7701</v>
      </c>
      <c r="U492" s="7" t="s">
        <v>62</v>
      </c>
      <c r="V492" s="162" t="str" cm="1">
        <f t="array" ref="V492">_xlfn.IFS(C492="","",COUNTIF(C492,"ตำแหน่งว่าง*"),"ว่าง",COUNTIF(C492,"&lt;&gt;ตำแหน่งว่าง*"),"คนครอง")</f>
        <v>คนครอง</v>
      </c>
      <c r="W492" s="49" cm="1">
        <f t="array" ref="W492">_xlfn.IFS(COUNTIF(F492,"ผบ.หมู่*"),51,COUNTIF(F492,"รอง สว.*"),43)</f>
        <v>51</v>
      </c>
      <c r="X492" s="3" t="s">
        <v>816</v>
      </c>
      <c r="Y492" s="1" t="s">
        <v>52</v>
      </c>
    </row>
    <row r="493" spans="1:25" s="12" customFormat="1" ht="21.3" customHeight="1">
      <c r="A493" s="27" t="s">
        <v>182</v>
      </c>
      <c r="B493" s="31" t="s">
        <v>12</v>
      </c>
      <c r="C493" s="95" t="s">
        <v>819</v>
      </c>
      <c r="D493" s="27" t="s">
        <v>8462</v>
      </c>
      <c r="E493" s="27" t="s">
        <v>8643</v>
      </c>
      <c r="F493" s="95" t="s">
        <v>787</v>
      </c>
      <c r="G493" s="101" t="s">
        <v>821</v>
      </c>
      <c r="H493" s="75">
        <v>44636</v>
      </c>
      <c r="I493" s="76">
        <v>44636</v>
      </c>
      <c r="J493" s="76">
        <v>44636</v>
      </c>
      <c r="K493" s="76">
        <v>34209</v>
      </c>
      <c r="L493" s="17" t="s">
        <v>82</v>
      </c>
      <c r="M493" s="5" t="s">
        <v>13</v>
      </c>
      <c r="N493" s="111" t="s">
        <v>14</v>
      </c>
      <c r="O493" s="104" t="s">
        <v>52</v>
      </c>
      <c r="P493" s="104" t="s">
        <v>52</v>
      </c>
      <c r="Q493" s="108"/>
      <c r="R493" s="135" t="s">
        <v>611</v>
      </c>
      <c r="S493" s="225">
        <f t="shared" si="7"/>
        <v>56158</v>
      </c>
      <c r="T493" s="162" t="s">
        <v>7701</v>
      </c>
      <c r="U493" s="7" t="s">
        <v>62</v>
      </c>
      <c r="V493" s="162" t="str" cm="1">
        <f t="array" ref="V493">_xlfn.IFS(C493="","",COUNTIF(C493,"ตำแหน่งว่าง*"),"ว่าง",COUNTIF(C493,"&lt;&gt;ตำแหน่งว่าง*"),"คนครอง")</f>
        <v>คนครอง</v>
      </c>
      <c r="W493" s="49" cm="1">
        <f t="array" ref="W493">_xlfn.IFS(COUNTIF(F493,"ผบ.หมู่*"),51,COUNTIF(F493,"รอง สว.*"),43)</f>
        <v>51</v>
      </c>
      <c r="X493" s="4" t="s">
        <v>820</v>
      </c>
      <c r="Y493" s="5" t="s">
        <v>52</v>
      </c>
    </row>
    <row r="494" spans="1:25" s="12" customFormat="1" ht="21.3" customHeight="1">
      <c r="A494" s="27" t="s">
        <v>182</v>
      </c>
      <c r="B494" s="31" t="s">
        <v>12</v>
      </c>
      <c r="C494" s="95" t="s">
        <v>822</v>
      </c>
      <c r="D494" s="27" t="s">
        <v>8644</v>
      </c>
      <c r="E494" s="27" t="s">
        <v>8213</v>
      </c>
      <c r="F494" s="95" t="s">
        <v>787</v>
      </c>
      <c r="G494" s="101" t="s">
        <v>824</v>
      </c>
      <c r="H494" s="75">
        <v>44636</v>
      </c>
      <c r="I494" s="76">
        <v>44636</v>
      </c>
      <c r="J494" s="76">
        <v>44636</v>
      </c>
      <c r="K494" s="76">
        <v>35651</v>
      </c>
      <c r="L494" s="17" t="s">
        <v>82</v>
      </c>
      <c r="M494" s="5" t="s">
        <v>127</v>
      </c>
      <c r="N494" s="111" t="s">
        <v>14</v>
      </c>
      <c r="O494" s="104" t="s">
        <v>52</v>
      </c>
      <c r="P494" s="104" t="s">
        <v>52</v>
      </c>
      <c r="Q494" s="108"/>
      <c r="R494" s="135" t="s">
        <v>611</v>
      </c>
      <c r="S494" s="225">
        <f t="shared" si="7"/>
        <v>57619</v>
      </c>
      <c r="T494" s="162" t="s">
        <v>7701</v>
      </c>
      <c r="U494" s="7" t="s">
        <v>62</v>
      </c>
      <c r="V494" s="162" t="str" cm="1">
        <f t="array" ref="V494">_xlfn.IFS(C494="","",COUNTIF(C494,"ตำแหน่งว่าง*"),"ว่าง",COUNTIF(C494,"&lt;&gt;ตำแหน่งว่าง*"),"คนครอง")</f>
        <v>คนครอง</v>
      </c>
      <c r="W494" s="49" cm="1">
        <f t="array" ref="W494">_xlfn.IFS(COUNTIF(F494,"ผบ.หมู่*"),51,COUNTIF(F494,"รอง สว.*"),43)</f>
        <v>51</v>
      </c>
      <c r="X494" s="4" t="s">
        <v>823</v>
      </c>
      <c r="Y494" s="5" t="s">
        <v>52</v>
      </c>
    </row>
    <row r="495" spans="1:25" s="12" customFormat="1" ht="21.3" customHeight="1">
      <c r="A495" s="27" t="s">
        <v>182</v>
      </c>
      <c r="B495" s="31" t="s">
        <v>12</v>
      </c>
      <c r="C495" s="95" t="s">
        <v>825</v>
      </c>
      <c r="D495" s="27" t="s">
        <v>8135</v>
      </c>
      <c r="E495" s="27" t="s">
        <v>8645</v>
      </c>
      <c r="F495" s="95" t="s">
        <v>787</v>
      </c>
      <c r="G495" s="101" t="s">
        <v>827</v>
      </c>
      <c r="H495" s="75">
        <v>44636</v>
      </c>
      <c r="I495" s="76">
        <v>44636</v>
      </c>
      <c r="J495" s="76">
        <v>44636</v>
      </c>
      <c r="K495" s="76">
        <v>34173</v>
      </c>
      <c r="L495" s="17" t="s">
        <v>82</v>
      </c>
      <c r="M495" s="5" t="s">
        <v>13</v>
      </c>
      <c r="N495" s="111" t="s">
        <v>14</v>
      </c>
      <c r="O495" s="104" t="s">
        <v>52</v>
      </c>
      <c r="P495" s="104" t="s">
        <v>52</v>
      </c>
      <c r="Q495" s="108"/>
      <c r="R495" s="135" t="s">
        <v>611</v>
      </c>
      <c r="S495" s="225">
        <f t="shared" si="7"/>
        <v>56158</v>
      </c>
      <c r="T495" s="162" t="s">
        <v>7701</v>
      </c>
      <c r="U495" s="7" t="s">
        <v>62</v>
      </c>
      <c r="V495" s="162" t="str" cm="1">
        <f t="array" ref="V495">_xlfn.IFS(C495="","",COUNTIF(C495,"ตำแหน่งว่าง*"),"ว่าง",COUNTIF(C495,"&lt;&gt;ตำแหน่งว่าง*"),"คนครอง")</f>
        <v>คนครอง</v>
      </c>
      <c r="W495" s="49" cm="1">
        <f t="array" ref="W495">_xlfn.IFS(COUNTIF(F495,"ผบ.หมู่*"),51,COUNTIF(F495,"รอง สว.*"),43)</f>
        <v>51</v>
      </c>
      <c r="X495" s="4" t="s">
        <v>826</v>
      </c>
      <c r="Y495" s="5" t="s">
        <v>52</v>
      </c>
    </row>
    <row r="496" spans="1:25" s="12" customFormat="1" ht="21.3" customHeight="1">
      <c r="A496" s="27" t="s">
        <v>182</v>
      </c>
      <c r="B496" s="31" t="s">
        <v>12</v>
      </c>
      <c r="C496" s="95" t="s">
        <v>828</v>
      </c>
      <c r="D496" s="27" t="s">
        <v>7976</v>
      </c>
      <c r="E496" s="27" t="s">
        <v>8646</v>
      </c>
      <c r="F496" s="95" t="s">
        <v>787</v>
      </c>
      <c r="G496" s="101" t="s">
        <v>830</v>
      </c>
      <c r="H496" s="75">
        <v>44636</v>
      </c>
      <c r="I496" s="76">
        <v>44636</v>
      </c>
      <c r="J496" s="76">
        <v>44636</v>
      </c>
      <c r="K496" s="76">
        <v>31726</v>
      </c>
      <c r="L496" s="17" t="s">
        <v>82</v>
      </c>
      <c r="M496" s="5" t="s">
        <v>38</v>
      </c>
      <c r="N496" s="111" t="s">
        <v>14</v>
      </c>
      <c r="O496" s="104" t="s">
        <v>52</v>
      </c>
      <c r="P496" s="104" t="s">
        <v>52</v>
      </c>
      <c r="Q496" s="108"/>
      <c r="R496" s="135" t="s">
        <v>611</v>
      </c>
      <c r="S496" s="225">
        <f t="shared" si="7"/>
        <v>53966</v>
      </c>
      <c r="T496" s="162" t="s">
        <v>7701</v>
      </c>
      <c r="U496" s="7" t="s">
        <v>62</v>
      </c>
      <c r="V496" s="162" t="str" cm="1">
        <f t="array" ref="V496">_xlfn.IFS(C496="","",COUNTIF(C496,"ตำแหน่งว่าง*"),"ว่าง",COUNTIF(C496,"&lt;&gt;ตำแหน่งว่าง*"),"คนครอง")</f>
        <v>คนครอง</v>
      </c>
      <c r="W496" s="49" cm="1">
        <f t="array" ref="W496">_xlfn.IFS(COUNTIF(F496,"ผบ.หมู่*"),51,COUNTIF(F496,"รอง สว.*"),43)</f>
        <v>51</v>
      </c>
      <c r="X496" s="4" t="s">
        <v>829</v>
      </c>
      <c r="Y496" s="5" t="s">
        <v>52</v>
      </c>
    </row>
    <row r="497" spans="1:25" s="10" customFormat="1" ht="21.3" customHeight="1">
      <c r="A497" s="27" t="s">
        <v>208</v>
      </c>
      <c r="B497" s="28" t="s">
        <v>12</v>
      </c>
      <c r="C497" s="27" t="s">
        <v>831</v>
      </c>
      <c r="D497" s="27" t="s">
        <v>8647</v>
      </c>
      <c r="E497" s="27" t="s">
        <v>8648</v>
      </c>
      <c r="F497" s="95" t="s">
        <v>787</v>
      </c>
      <c r="G497" s="101" t="s">
        <v>833</v>
      </c>
      <c r="H497" s="91">
        <v>44599</v>
      </c>
      <c r="I497" s="73">
        <v>43191</v>
      </c>
      <c r="J497" s="73">
        <v>43191</v>
      </c>
      <c r="K497" s="73">
        <v>33811</v>
      </c>
      <c r="L497" s="11" t="s">
        <v>82</v>
      </c>
      <c r="M497" s="1" t="s">
        <v>124</v>
      </c>
      <c r="N497" s="111" t="s">
        <v>14</v>
      </c>
      <c r="O497" s="104" t="s">
        <v>52</v>
      </c>
      <c r="P497" s="104" t="s">
        <v>52</v>
      </c>
      <c r="Q497" s="105"/>
      <c r="R497" s="26" t="s">
        <v>607</v>
      </c>
      <c r="S497" s="225">
        <f t="shared" si="7"/>
        <v>55793</v>
      </c>
      <c r="T497" s="7" t="s">
        <v>7701</v>
      </c>
      <c r="U497" s="7" t="s">
        <v>62</v>
      </c>
      <c r="V497" s="162" t="str" cm="1">
        <f t="array" ref="V497">_xlfn.IFS(C497="","",COUNTIF(C497,"ตำแหน่งว่าง*"),"ว่าง",COUNTIF(C497,"&lt;&gt;ตำแหน่งว่าง*"),"คนครอง")</f>
        <v>คนครอง</v>
      </c>
      <c r="W497" s="49" cm="1">
        <f t="array" ref="W497">_xlfn.IFS(COUNTIF(F497,"ผบ.หมู่*"),51,COUNTIF(F497,"รอง สว.*"),43)</f>
        <v>51</v>
      </c>
      <c r="X497" s="4" t="s">
        <v>832</v>
      </c>
      <c r="Y497" s="5" t="s">
        <v>52</v>
      </c>
    </row>
    <row r="498" spans="1:25" s="9" customFormat="1" ht="21.3" customHeight="1">
      <c r="A498" s="27" t="s">
        <v>157</v>
      </c>
      <c r="B498" s="28" t="s">
        <v>12</v>
      </c>
      <c r="C498" s="27" t="s">
        <v>834</v>
      </c>
      <c r="D498" s="27" t="s">
        <v>8649</v>
      </c>
      <c r="E498" s="27" t="s">
        <v>8650</v>
      </c>
      <c r="F498" s="27" t="s">
        <v>787</v>
      </c>
      <c r="G498" s="101" t="s">
        <v>836</v>
      </c>
      <c r="H498" s="91">
        <v>40063</v>
      </c>
      <c r="I498" s="73">
        <v>40063</v>
      </c>
      <c r="J498" s="73">
        <v>37316</v>
      </c>
      <c r="K498" s="73">
        <v>29446</v>
      </c>
      <c r="L498" s="11" t="s">
        <v>837</v>
      </c>
      <c r="M498" s="1" t="s">
        <v>53</v>
      </c>
      <c r="N498" s="112" t="s">
        <v>14</v>
      </c>
      <c r="O498" s="104" t="s">
        <v>52</v>
      </c>
      <c r="P498" s="104" t="s">
        <v>52</v>
      </c>
      <c r="Q498" s="105"/>
      <c r="R498" s="26" t="s">
        <v>603</v>
      </c>
      <c r="S498" s="225">
        <f t="shared" si="7"/>
        <v>51410</v>
      </c>
      <c r="T498" s="2" t="s">
        <v>7701</v>
      </c>
      <c r="U498" s="7" t="s">
        <v>62</v>
      </c>
      <c r="V498" s="162" t="str" cm="1">
        <f t="array" ref="V498">_xlfn.IFS(C498="","",COUNTIF(C498,"ตำแหน่งว่าง*"),"ว่าง",COUNTIF(C498,"&lt;&gt;ตำแหน่งว่าง*"),"คนครอง")</f>
        <v>คนครอง</v>
      </c>
      <c r="W498" s="49" cm="1">
        <f t="array" ref="W498">_xlfn.IFS(COUNTIF(F498,"ผบ.หมู่*"),51,COUNTIF(F498,"รอง สว.*"),43)</f>
        <v>51</v>
      </c>
      <c r="X498" s="3" t="s">
        <v>835</v>
      </c>
      <c r="Y498" s="1" t="s">
        <v>52</v>
      </c>
    </row>
    <row r="499" spans="1:25" s="35" customFormat="1" ht="21.3" customHeight="1">
      <c r="A499" s="192" t="s">
        <v>169</v>
      </c>
      <c r="B499" s="193" t="s">
        <v>21</v>
      </c>
      <c r="C499" s="192" t="s">
        <v>7887</v>
      </c>
      <c r="D499" s="27" t="s">
        <v>8194</v>
      </c>
      <c r="E499" s="27" t="s">
        <v>8161</v>
      </c>
      <c r="F499" s="192" t="s">
        <v>787</v>
      </c>
      <c r="G499" s="101" t="s">
        <v>839</v>
      </c>
      <c r="H499" s="73">
        <v>45463</v>
      </c>
      <c r="I499" s="73">
        <v>45463</v>
      </c>
      <c r="J499" s="73">
        <v>45463</v>
      </c>
      <c r="K499" s="73">
        <v>37229</v>
      </c>
      <c r="L499" s="2" t="s">
        <v>82</v>
      </c>
      <c r="M499" s="1"/>
      <c r="N499" s="112" t="s">
        <v>14</v>
      </c>
      <c r="O499" s="104" t="s">
        <v>52</v>
      </c>
      <c r="P499" s="104" t="s">
        <v>52</v>
      </c>
      <c r="Q499" s="105"/>
      <c r="R499" s="28" t="s">
        <v>7961</v>
      </c>
      <c r="S499" s="174">
        <f t="shared" si="7"/>
        <v>59445</v>
      </c>
      <c r="T499" s="2" t="s">
        <v>7701</v>
      </c>
      <c r="U499" s="2" t="s">
        <v>62</v>
      </c>
      <c r="V499" s="162" t="str" cm="1">
        <f t="array" ref="V499">_xlfn.IFS(C499="","",COUNTIF(C499,"ตำแหน่งว่าง*"),"ว่าง",COUNTIF(C499,"&lt;&gt;ตำแหน่งว่าง*"),"คนครอง")</f>
        <v>คนครอง</v>
      </c>
      <c r="W499" s="49" cm="1">
        <f t="array" ref="W499">_xlfn.IFS(COUNTIF(F499,"ผบ.หมู่*"),51,COUNTIF(F499,"รอง สว.*"),43)</f>
        <v>51</v>
      </c>
      <c r="X499" s="3" t="s">
        <v>838</v>
      </c>
      <c r="Y499" s="1" t="s">
        <v>52</v>
      </c>
    </row>
    <row r="500" spans="1:25" s="35" customFormat="1" ht="21.3" customHeight="1">
      <c r="A500" s="95" t="s">
        <v>208</v>
      </c>
      <c r="B500" s="28" t="s">
        <v>21</v>
      </c>
      <c r="C500" s="95" t="s">
        <v>840</v>
      </c>
      <c r="D500" s="27" t="s">
        <v>8651</v>
      </c>
      <c r="E500" s="27" t="s">
        <v>8652</v>
      </c>
      <c r="F500" s="95" t="s">
        <v>787</v>
      </c>
      <c r="G500" s="101" t="s">
        <v>842</v>
      </c>
      <c r="H500" s="91">
        <v>43693</v>
      </c>
      <c r="I500" s="73">
        <v>43693</v>
      </c>
      <c r="J500" s="73">
        <v>43693</v>
      </c>
      <c r="K500" s="73">
        <v>35479</v>
      </c>
      <c r="L500" s="11" t="s">
        <v>644</v>
      </c>
      <c r="M500" s="1" t="s">
        <v>33</v>
      </c>
      <c r="N500" s="111" t="s">
        <v>14</v>
      </c>
      <c r="O500" s="104" t="s">
        <v>52</v>
      </c>
      <c r="P500" s="104" t="s">
        <v>52</v>
      </c>
      <c r="Q500" s="105"/>
      <c r="R500" s="26" t="s">
        <v>645</v>
      </c>
      <c r="S500" s="225">
        <f t="shared" si="7"/>
        <v>57619</v>
      </c>
      <c r="T500" s="164" t="s">
        <v>7701</v>
      </c>
      <c r="U500" s="7" t="s">
        <v>62</v>
      </c>
      <c r="V500" s="162" t="str" cm="1">
        <f t="array" ref="V500">_xlfn.IFS(C500="","",COUNTIF(C500,"ตำแหน่งว่าง*"),"ว่าง",COUNTIF(C500,"&lt;&gt;ตำแหน่งว่าง*"),"คนครอง")</f>
        <v>คนครอง</v>
      </c>
      <c r="W500" s="49" cm="1">
        <f t="array" ref="W500">_xlfn.IFS(COUNTIF(F500,"ผบ.หมู่*"),51,COUNTIF(F500,"รอง สว.*"),43)</f>
        <v>51</v>
      </c>
      <c r="X500" s="4" t="s">
        <v>841</v>
      </c>
      <c r="Y500" s="5" t="s">
        <v>52</v>
      </c>
    </row>
    <row r="501" spans="1:25" s="35" customFormat="1" ht="21.3" customHeight="1">
      <c r="A501" s="95" t="s">
        <v>208</v>
      </c>
      <c r="B501" s="28" t="s">
        <v>21</v>
      </c>
      <c r="C501" s="95" t="s">
        <v>843</v>
      </c>
      <c r="D501" s="27" t="s">
        <v>8653</v>
      </c>
      <c r="E501" s="27" t="s">
        <v>8654</v>
      </c>
      <c r="F501" s="95" t="s">
        <v>787</v>
      </c>
      <c r="G501" s="101" t="s">
        <v>845</v>
      </c>
      <c r="H501" s="91">
        <v>43693</v>
      </c>
      <c r="I501" s="73">
        <v>43693</v>
      </c>
      <c r="J501" s="73">
        <v>43693</v>
      </c>
      <c r="K501" s="73">
        <v>34939</v>
      </c>
      <c r="L501" s="11" t="s">
        <v>846</v>
      </c>
      <c r="M501" s="1" t="s">
        <v>47</v>
      </c>
      <c r="N501" s="111" t="s">
        <v>14</v>
      </c>
      <c r="O501" s="104" t="s">
        <v>52</v>
      </c>
      <c r="P501" s="104" t="s">
        <v>52</v>
      </c>
      <c r="Q501" s="105"/>
      <c r="R501" s="26" t="s">
        <v>645</v>
      </c>
      <c r="S501" s="225">
        <f t="shared" si="7"/>
        <v>56888</v>
      </c>
      <c r="T501" s="164" t="s">
        <v>7701</v>
      </c>
      <c r="U501" s="7" t="s">
        <v>62</v>
      </c>
      <c r="V501" s="162" t="str" cm="1">
        <f t="array" ref="V501">_xlfn.IFS(C501="","",COUNTIF(C501,"ตำแหน่งว่าง*"),"ว่าง",COUNTIF(C501,"&lt;&gt;ตำแหน่งว่าง*"),"คนครอง")</f>
        <v>คนครอง</v>
      </c>
      <c r="W501" s="49" cm="1">
        <f t="array" ref="W501">_xlfn.IFS(COUNTIF(F501,"ผบ.หมู่*"),51,COUNTIF(F501,"รอง สว.*"),43)</f>
        <v>51</v>
      </c>
      <c r="X501" s="4" t="s">
        <v>844</v>
      </c>
      <c r="Y501" s="5" t="s">
        <v>52</v>
      </c>
    </row>
    <row r="502" spans="1:25" s="35" customFormat="1" ht="21.3" customHeight="1">
      <c r="A502" s="95" t="s">
        <v>208</v>
      </c>
      <c r="B502" s="28" t="s">
        <v>21</v>
      </c>
      <c r="C502" s="95" t="s">
        <v>847</v>
      </c>
      <c r="D502" s="27" t="s">
        <v>8542</v>
      </c>
      <c r="E502" s="27" t="s">
        <v>8655</v>
      </c>
      <c r="F502" s="95" t="s">
        <v>787</v>
      </c>
      <c r="G502" s="101" t="s">
        <v>849</v>
      </c>
      <c r="H502" s="91">
        <v>43693</v>
      </c>
      <c r="I502" s="73">
        <v>43693</v>
      </c>
      <c r="J502" s="73">
        <v>43693</v>
      </c>
      <c r="K502" s="73">
        <v>36851</v>
      </c>
      <c r="L502" s="11" t="s">
        <v>644</v>
      </c>
      <c r="M502" s="1" t="s">
        <v>163</v>
      </c>
      <c r="N502" s="111" t="s">
        <v>14</v>
      </c>
      <c r="O502" s="104" t="s">
        <v>52</v>
      </c>
      <c r="P502" s="104" t="s">
        <v>52</v>
      </c>
      <c r="Q502" s="105"/>
      <c r="R502" s="26" t="s">
        <v>645</v>
      </c>
      <c r="S502" s="225">
        <f t="shared" si="7"/>
        <v>59080</v>
      </c>
      <c r="T502" s="164" t="s">
        <v>7701</v>
      </c>
      <c r="U502" s="7" t="s">
        <v>62</v>
      </c>
      <c r="V502" s="162" t="str" cm="1">
        <f t="array" ref="V502">_xlfn.IFS(C502="","",COUNTIF(C502,"ตำแหน่งว่าง*"),"ว่าง",COUNTIF(C502,"&lt;&gt;ตำแหน่งว่าง*"),"คนครอง")</f>
        <v>คนครอง</v>
      </c>
      <c r="W502" s="49" cm="1">
        <f t="array" ref="W502">_xlfn.IFS(COUNTIF(F502,"ผบ.หมู่*"),51,COUNTIF(F502,"รอง สว.*"),43)</f>
        <v>51</v>
      </c>
      <c r="X502" s="4" t="s">
        <v>848</v>
      </c>
      <c r="Y502" s="5" t="s">
        <v>52</v>
      </c>
    </row>
    <row r="503" spans="1:25" s="9" customFormat="1" ht="21.3" customHeight="1">
      <c r="A503" s="68"/>
      <c r="B503" s="30"/>
      <c r="C503" s="68" t="s">
        <v>18</v>
      </c>
      <c r="D503" s="27"/>
      <c r="E503" s="27"/>
      <c r="F503" s="68" t="s">
        <v>787</v>
      </c>
      <c r="G503" s="121" t="s">
        <v>851</v>
      </c>
      <c r="H503" s="93"/>
      <c r="I503" s="74"/>
      <c r="J503" s="74"/>
      <c r="K503" s="74"/>
      <c r="L503" s="7"/>
      <c r="M503" s="6"/>
      <c r="N503" s="113" t="s">
        <v>14</v>
      </c>
      <c r="O503" s="122" t="s">
        <v>52</v>
      </c>
      <c r="P503" s="122" t="s">
        <v>52</v>
      </c>
      <c r="Q503" s="106"/>
      <c r="R503" s="29"/>
      <c r="S503" s="225" t="str">
        <f t="shared" si="7"/>
        <v/>
      </c>
      <c r="T503" s="2" t="s">
        <v>7701</v>
      </c>
      <c r="U503" s="7" t="s">
        <v>62</v>
      </c>
      <c r="V503" s="171" t="str" cm="1">
        <f t="array" ref="V503">_xlfn.IFS(C503="","",COUNTIF(C503,"ตำแหน่งว่าง*"),"ว่าง",COUNTIF(C503,"&lt;&gt;ตำแหน่งว่าง*"),"คนครอง")</f>
        <v>ว่าง</v>
      </c>
      <c r="W503" s="49" cm="1">
        <f t="array" ref="W503">_xlfn.IFS(COUNTIF(F503,"ผบ.หมู่*"),51,COUNTIF(F503,"รอง สว.*"),43)</f>
        <v>51</v>
      </c>
      <c r="X503" s="3" t="s">
        <v>850</v>
      </c>
      <c r="Y503" s="1" t="s">
        <v>52</v>
      </c>
    </row>
    <row r="504" spans="1:25" s="9" customFormat="1" ht="21.3" customHeight="1">
      <c r="A504" s="96"/>
      <c r="B504" s="98"/>
      <c r="C504" s="96" t="s">
        <v>18</v>
      </c>
      <c r="D504" s="27"/>
      <c r="E504" s="27"/>
      <c r="F504" s="96" t="s">
        <v>787</v>
      </c>
      <c r="G504" s="176" t="s">
        <v>853</v>
      </c>
      <c r="H504" s="99"/>
      <c r="I504" s="177"/>
      <c r="J504" s="177"/>
      <c r="K504" s="177"/>
      <c r="L504" s="178"/>
      <c r="M504" s="179"/>
      <c r="N504" s="222" t="s">
        <v>14</v>
      </c>
      <c r="O504" s="100" t="s">
        <v>52</v>
      </c>
      <c r="P504" s="100" t="s">
        <v>52</v>
      </c>
      <c r="Q504" s="228"/>
      <c r="R504" s="97"/>
      <c r="S504" s="225" t="str">
        <f t="shared" si="7"/>
        <v/>
      </c>
      <c r="T504" s="2" t="s">
        <v>7701</v>
      </c>
      <c r="U504" s="7" t="s">
        <v>62</v>
      </c>
      <c r="V504" s="171" t="str" cm="1">
        <f t="array" ref="V504">_xlfn.IFS(C504="","",COUNTIF(C504,"ตำแหน่งว่าง*"),"ว่าง",COUNTIF(C504,"&lt;&gt;ตำแหน่งว่าง*"),"คนครอง")</f>
        <v>ว่าง</v>
      </c>
      <c r="W504" s="49" cm="1">
        <f t="array" ref="W504">_xlfn.IFS(COUNTIF(F504,"ผบ.หมู่*"),51,COUNTIF(F504,"รอง สว.*"),43)</f>
        <v>51</v>
      </c>
      <c r="X504" s="3" t="s">
        <v>852</v>
      </c>
      <c r="Y504" s="1" t="s">
        <v>52</v>
      </c>
    </row>
    <row r="505" spans="1:25" s="9" customFormat="1" ht="21.3" customHeight="1">
      <c r="A505" s="27" t="s">
        <v>612</v>
      </c>
      <c r="B505" s="28" t="s">
        <v>21</v>
      </c>
      <c r="C505" s="27" t="s">
        <v>854</v>
      </c>
      <c r="D505" s="27" t="s">
        <v>8118</v>
      </c>
      <c r="E505" s="27" t="s">
        <v>8656</v>
      </c>
      <c r="F505" s="27" t="s">
        <v>787</v>
      </c>
      <c r="G505" s="101" t="s">
        <v>856</v>
      </c>
      <c r="H505" s="91">
        <v>41944</v>
      </c>
      <c r="I505" s="73">
        <v>41944</v>
      </c>
      <c r="J505" s="73">
        <v>41944</v>
      </c>
      <c r="K505" s="73">
        <v>30152</v>
      </c>
      <c r="L505" s="11" t="s">
        <v>857</v>
      </c>
      <c r="M505" s="1" t="s">
        <v>78</v>
      </c>
      <c r="N505" s="112" t="s">
        <v>14</v>
      </c>
      <c r="O505" s="104" t="s">
        <v>52</v>
      </c>
      <c r="P505" s="104" t="s">
        <v>52</v>
      </c>
      <c r="Q505" s="105"/>
      <c r="R505" s="26" t="s">
        <v>641</v>
      </c>
      <c r="S505" s="225">
        <f t="shared" si="7"/>
        <v>52140</v>
      </c>
      <c r="T505" s="2" t="s">
        <v>7701</v>
      </c>
      <c r="U505" s="7" t="s">
        <v>62</v>
      </c>
      <c r="V505" s="162" t="str" cm="1">
        <f t="array" ref="V505">_xlfn.IFS(C505="","",COUNTIF(C505,"ตำแหน่งว่าง*"),"ว่าง",COUNTIF(C505,"&lt;&gt;ตำแหน่งว่าง*"),"คนครอง")</f>
        <v>คนครอง</v>
      </c>
      <c r="W505" s="49" cm="1">
        <f t="array" ref="W505">_xlfn.IFS(COUNTIF(F505,"ผบ.หมู่*"),51,COUNTIF(F505,"รอง สว.*"),43)</f>
        <v>51</v>
      </c>
      <c r="X505" s="3" t="s">
        <v>855</v>
      </c>
      <c r="Y505" s="1" t="s">
        <v>52</v>
      </c>
    </row>
    <row r="506" spans="1:25" s="10" customFormat="1" ht="21.3" customHeight="1">
      <c r="A506" s="65" t="s">
        <v>169</v>
      </c>
      <c r="B506" s="66" t="s">
        <v>12</v>
      </c>
      <c r="C506" s="65" t="s">
        <v>858</v>
      </c>
      <c r="D506" s="27" t="s">
        <v>8657</v>
      </c>
      <c r="E506" s="27" t="s">
        <v>8658</v>
      </c>
      <c r="F506" s="65" t="s">
        <v>787</v>
      </c>
      <c r="G506" s="101" t="s">
        <v>860</v>
      </c>
      <c r="H506" s="81">
        <v>44986</v>
      </c>
      <c r="I506" s="77">
        <v>44986</v>
      </c>
      <c r="J506" s="77">
        <v>44986</v>
      </c>
      <c r="K506" s="77">
        <v>35047</v>
      </c>
      <c r="L506" s="63" t="s">
        <v>82</v>
      </c>
      <c r="M506" s="61" t="s">
        <v>57</v>
      </c>
      <c r="N506" s="114" t="s">
        <v>14</v>
      </c>
      <c r="O506" s="104" t="s">
        <v>52</v>
      </c>
      <c r="P506" s="104" t="s">
        <v>52</v>
      </c>
      <c r="Q506" s="107"/>
      <c r="R506" s="66" t="s">
        <v>861</v>
      </c>
      <c r="S506" s="225">
        <f t="shared" si="7"/>
        <v>57254</v>
      </c>
      <c r="T506" s="7" t="s">
        <v>7701</v>
      </c>
      <c r="U506" s="7" t="s">
        <v>62</v>
      </c>
      <c r="V506" s="162" t="str" cm="1">
        <f t="array" ref="V506">_xlfn.IFS(C506="","",COUNTIF(C506,"ตำแหน่งว่าง*"),"ว่าง",COUNTIF(C506,"&lt;&gt;ตำแหน่งว่าง*"),"คนครอง")</f>
        <v>คนครอง</v>
      </c>
      <c r="W506" s="49" cm="1">
        <f t="array" ref="W506">_xlfn.IFS(COUNTIF(F506,"ผบ.หมู่*"),51,COUNTIF(F506,"รอง สว.*"),43)</f>
        <v>51</v>
      </c>
      <c r="X506" s="62" t="s">
        <v>859</v>
      </c>
      <c r="Y506" s="61" t="s">
        <v>52</v>
      </c>
    </row>
    <row r="507" spans="1:25" s="9" customFormat="1" ht="21.3" customHeight="1">
      <c r="A507" s="27" t="s">
        <v>612</v>
      </c>
      <c r="B507" s="28" t="s">
        <v>21</v>
      </c>
      <c r="C507" s="27" t="s">
        <v>862</v>
      </c>
      <c r="D507" s="27" t="s">
        <v>8659</v>
      </c>
      <c r="E507" s="27" t="s">
        <v>8660</v>
      </c>
      <c r="F507" s="27" t="s">
        <v>787</v>
      </c>
      <c r="G507" s="101" t="s">
        <v>864</v>
      </c>
      <c r="H507" s="91">
        <v>41944</v>
      </c>
      <c r="I507" s="73">
        <v>41944</v>
      </c>
      <c r="J507" s="73">
        <v>41944</v>
      </c>
      <c r="K507" s="73">
        <v>32494</v>
      </c>
      <c r="L507" s="11" t="s">
        <v>865</v>
      </c>
      <c r="M507" s="1" t="s">
        <v>72</v>
      </c>
      <c r="N507" s="112" t="s">
        <v>14</v>
      </c>
      <c r="O507" s="104" t="s">
        <v>52</v>
      </c>
      <c r="P507" s="104" t="s">
        <v>52</v>
      </c>
      <c r="Q507" s="105"/>
      <c r="R507" s="26" t="s">
        <v>641</v>
      </c>
      <c r="S507" s="225">
        <f t="shared" si="7"/>
        <v>54697</v>
      </c>
      <c r="T507" s="2" t="s">
        <v>7701</v>
      </c>
      <c r="U507" s="7" t="s">
        <v>62</v>
      </c>
      <c r="V507" s="162" t="str" cm="1">
        <f t="array" ref="V507">_xlfn.IFS(C507="","",COUNTIF(C507,"ตำแหน่งว่าง*"),"ว่าง",COUNTIF(C507,"&lt;&gt;ตำแหน่งว่าง*"),"คนครอง")</f>
        <v>คนครอง</v>
      </c>
      <c r="W507" s="49" cm="1">
        <f t="array" ref="W507">_xlfn.IFS(COUNTIF(F507,"ผบ.หมู่*"),51,COUNTIF(F507,"รอง สว.*"),43)</f>
        <v>51</v>
      </c>
      <c r="X507" s="3" t="s">
        <v>863</v>
      </c>
      <c r="Y507" s="1" t="s">
        <v>52</v>
      </c>
    </row>
    <row r="508" spans="1:25" s="10" customFormat="1" ht="21.3" customHeight="1">
      <c r="A508" s="65" t="s">
        <v>169</v>
      </c>
      <c r="B508" s="66" t="s">
        <v>12</v>
      </c>
      <c r="C508" s="65" t="s">
        <v>866</v>
      </c>
      <c r="D508" s="27" t="s">
        <v>8661</v>
      </c>
      <c r="E508" s="27" t="s">
        <v>8662</v>
      </c>
      <c r="F508" s="65" t="s">
        <v>787</v>
      </c>
      <c r="G508" s="101" t="s">
        <v>868</v>
      </c>
      <c r="H508" s="81">
        <v>44986</v>
      </c>
      <c r="I508" s="77">
        <v>44986</v>
      </c>
      <c r="J508" s="77">
        <v>44986</v>
      </c>
      <c r="K508" s="77">
        <v>37618</v>
      </c>
      <c r="L508" s="63" t="s">
        <v>82</v>
      </c>
      <c r="M508" s="61" t="s">
        <v>77</v>
      </c>
      <c r="N508" s="114" t="s">
        <v>14</v>
      </c>
      <c r="O508" s="104" t="s">
        <v>52</v>
      </c>
      <c r="P508" s="104" t="s">
        <v>52</v>
      </c>
      <c r="Q508" s="107"/>
      <c r="R508" s="66" t="s">
        <v>861</v>
      </c>
      <c r="S508" s="225">
        <f t="shared" si="7"/>
        <v>59810</v>
      </c>
      <c r="T508" s="7" t="s">
        <v>7701</v>
      </c>
      <c r="U508" s="7" t="s">
        <v>62</v>
      </c>
      <c r="V508" s="162" t="str" cm="1">
        <f t="array" ref="V508">_xlfn.IFS(C508="","",COUNTIF(C508,"ตำแหน่งว่าง*"),"ว่าง",COUNTIF(C508,"&lt;&gt;ตำแหน่งว่าง*"),"คนครอง")</f>
        <v>คนครอง</v>
      </c>
      <c r="W508" s="49" cm="1">
        <f t="array" ref="W508">_xlfn.IFS(COUNTIF(F508,"ผบ.หมู่*"),51,COUNTIF(F508,"รอง สว.*"),43)</f>
        <v>51</v>
      </c>
      <c r="X508" s="62" t="s">
        <v>867</v>
      </c>
      <c r="Y508" s="61" t="s">
        <v>52</v>
      </c>
    </row>
    <row r="509" spans="1:25" s="9" customFormat="1" ht="21.3" customHeight="1">
      <c r="A509" s="27" t="s">
        <v>612</v>
      </c>
      <c r="B509" s="28" t="s">
        <v>21</v>
      </c>
      <c r="C509" s="27" t="s">
        <v>869</v>
      </c>
      <c r="D509" s="27" t="s">
        <v>8070</v>
      </c>
      <c r="E509" s="27" t="s">
        <v>8663</v>
      </c>
      <c r="F509" s="27" t="s">
        <v>787</v>
      </c>
      <c r="G509" s="101" t="s">
        <v>871</v>
      </c>
      <c r="H509" s="91">
        <v>41944</v>
      </c>
      <c r="I509" s="73">
        <v>41944</v>
      </c>
      <c r="J509" s="73">
        <v>41944</v>
      </c>
      <c r="K509" s="73">
        <v>33694</v>
      </c>
      <c r="L509" s="11" t="s">
        <v>872</v>
      </c>
      <c r="M509" s="1" t="s">
        <v>22</v>
      </c>
      <c r="N509" s="112" t="s">
        <v>14</v>
      </c>
      <c r="O509" s="104" t="s">
        <v>52</v>
      </c>
      <c r="P509" s="104" t="s">
        <v>52</v>
      </c>
      <c r="Q509" s="105"/>
      <c r="R509" s="26" t="s">
        <v>641</v>
      </c>
      <c r="S509" s="225">
        <f t="shared" si="7"/>
        <v>55793</v>
      </c>
      <c r="T509" s="2" t="s">
        <v>7701</v>
      </c>
      <c r="U509" s="7" t="s">
        <v>62</v>
      </c>
      <c r="V509" s="162" t="str" cm="1">
        <f t="array" ref="V509">_xlfn.IFS(C509="","",COUNTIF(C509,"ตำแหน่งว่าง*"),"ว่าง",COUNTIF(C509,"&lt;&gt;ตำแหน่งว่าง*"),"คนครอง")</f>
        <v>คนครอง</v>
      </c>
      <c r="W509" s="49" cm="1">
        <f t="array" ref="W509">_xlfn.IFS(COUNTIF(F509,"ผบ.หมู่*"),51,COUNTIF(F509,"รอง สว.*"),43)</f>
        <v>51</v>
      </c>
      <c r="X509" s="3" t="s">
        <v>870</v>
      </c>
      <c r="Y509" s="1" t="s">
        <v>52</v>
      </c>
    </row>
    <row r="510" spans="1:25" s="10" customFormat="1" ht="21.3" customHeight="1">
      <c r="A510" s="27" t="s">
        <v>157</v>
      </c>
      <c r="B510" s="28" t="s">
        <v>21</v>
      </c>
      <c r="C510" s="27" t="s">
        <v>873</v>
      </c>
      <c r="D510" s="27" t="s">
        <v>8664</v>
      </c>
      <c r="E510" s="27" t="s">
        <v>8665</v>
      </c>
      <c r="F510" s="27" t="s">
        <v>787</v>
      </c>
      <c r="G510" s="101" t="s">
        <v>875</v>
      </c>
      <c r="H510" s="91">
        <v>44243</v>
      </c>
      <c r="I510" s="73">
        <v>44243</v>
      </c>
      <c r="J510" s="73">
        <v>40339</v>
      </c>
      <c r="K510" s="73">
        <v>31272</v>
      </c>
      <c r="L510" s="11" t="s">
        <v>876</v>
      </c>
      <c r="M510" s="1" t="s">
        <v>93</v>
      </c>
      <c r="N510" s="112" t="s">
        <v>14</v>
      </c>
      <c r="O510" s="104" t="s">
        <v>52</v>
      </c>
      <c r="P510" s="104" t="s">
        <v>52</v>
      </c>
      <c r="Q510" s="105"/>
      <c r="R510" s="26" t="s">
        <v>74</v>
      </c>
      <c r="S510" s="225">
        <f t="shared" si="7"/>
        <v>53236</v>
      </c>
      <c r="T510" s="7" t="s">
        <v>7701</v>
      </c>
      <c r="U510" s="7" t="s">
        <v>62</v>
      </c>
      <c r="V510" s="162" t="str" cm="1">
        <f t="array" ref="V510">_xlfn.IFS(C510="","",COUNTIF(C510,"ตำแหน่งว่าง*"),"ว่าง",COUNTIF(C510,"&lt;&gt;ตำแหน่งว่าง*"),"คนครอง")</f>
        <v>คนครอง</v>
      </c>
      <c r="W510" s="49" cm="1">
        <f t="array" ref="W510">_xlfn.IFS(COUNTIF(F510,"ผบ.หมู่*"),51,COUNTIF(F510,"รอง สว.*"),43)</f>
        <v>51</v>
      </c>
      <c r="X510" s="3" t="s">
        <v>874</v>
      </c>
      <c r="Y510" s="1" t="s">
        <v>52</v>
      </c>
    </row>
    <row r="511" spans="1:25" s="10" customFormat="1" ht="21.3" customHeight="1">
      <c r="A511" s="27" t="s">
        <v>208</v>
      </c>
      <c r="B511" s="28" t="s">
        <v>21</v>
      </c>
      <c r="C511" s="27" t="s">
        <v>652</v>
      </c>
      <c r="D511" s="27" t="s">
        <v>8666</v>
      </c>
      <c r="E511" s="27" t="s">
        <v>8041</v>
      </c>
      <c r="F511" s="27" t="s">
        <v>787</v>
      </c>
      <c r="G511" s="101" t="s">
        <v>878</v>
      </c>
      <c r="H511" s="91">
        <v>45322</v>
      </c>
      <c r="I511" s="73">
        <v>43693</v>
      </c>
      <c r="J511" s="73">
        <v>43693</v>
      </c>
      <c r="K511" s="73">
        <v>33814</v>
      </c>
      <c r="L511" s="11" t="s">
        <v>644</v>
      </c>
      <c r="M511" s="1" t="s">
        <v>50</v>
      </c>
      <c r="N511" s="112" t="s">
        <v>14</v>
      </c>
      <c r="O511" s="104" t="s">
        <v>52</v>
      </c>
      <c r="P511" s="104" t="s">
        <v>52</v>
      </c>
      <c r="Q511" s="105"/>
      <c r="R511" s="26" t="s">
        <v>7774</v>
      </c>
      <c r="S511" s="225">
        <f t="shared" si="7"/>
        <v>55793</v>
      </c>
      <c r="T511" s="7" t="s">
        <v>7701</v>
      </c>
      <c r="U511" s="7" t="s">
        <v>62</v>
      </c>
      <c r="V511" s="162" t="str" cm="1">
        <f t="array" ref="V511">_xlfn.IFS(C511="","",COUNTIF(C511,"ตำแหน่งว่าง*"),"ว่าง",COUNTIF(C511,"&lt;&gt;ตำแหน่งว่าง*"),"คนครอง")</f>
        <v>คนครอง</v>
      </c>
      <c r="W511" s="49" cm="1">
        <f t="array" ref="W511">_xlfn.IFS(COUNTIF(F511,"ผบ.หมู่*"),51,COUNTIF(F511,"รอง สว.*"),43)</f>
        <v>51</v>
      </c>
      <c r="X511" s="3" t="s">
        <v>877</v>
      </c>
      <c r="Y511" s="1" t="s">
        <v>52</v>
      </c>
    </row>
    <row r="512" spans="1:25" s="10" customFormat="1" ht="21.3" customHeight="1">
      <c r="A512" s="192" t="s">
        <v>169</v>
      </c>
      <c r="B512" s="193" t="s">
        <v>21</v>
      </c>
      <c r="C512" s="192" t="s">
        <v>7888</v>
      </c>
      <c r="D512" s="27" t="s">
        <v>8331</v>
      </c>
      <c r="E512" s="27" t="s">
        <v>8667</v>
      </c>
      <c r="F512" s="192" t="s">
        <v>787</v>
      </c>
      <c r="G512" s="101" t="s">
        <v>880</v>
      </c>
      <c r="H512" s="73">
        <v>45463</v>
      </c>
      <c r="I512" s="73">
        <v>45463</v>
      </c>
      <c r="J512" s="73">
        <v>45463</v>
      </c>
      <c r="K512" s="73">
        <v>35096</v>
      </c>
      <c r="L512" s="2" t="s">
        <v>82</v>
      </c>
      <c r="M512" s="1"/>
      <c r="N512" s="112" t="s">
        <v>14</v>
      </c>
      <c r="O512" s="104" t="s">
        <v>52</v>
      </c>
      <c r="P512" s="104" t="s">
        <v>52</v>
      </c>
      <c r="Q512" s="105"/>
      <c r="R512" s="28" t="s">
        <v>7961</v>
      </c>
      <c r="S512" s="174">
        <f t="shared" si="7"/>
        <v>57254</v>
      </c>
      <c r="T512" s="2" t="s">
        <v>7701</v>
      </c>
      <c r="U512" s="2" t="s">
        <v>62</v>
      </c>
      <c r="V512" s="162" t="str" cm="1">
        <f t="array" ref="V512">_xlfn.IFS(C512="","",COUNTIF(C512,"ตำแหน่งว่าง*"),"ว่าง",COUNTIF(C512,"&lt;&gt;ตำแหน่งว่าง*"),"คนครอง")</f>
        <v>คนครอง</v>
      </c>
      <c r="W512" s="49" cm="1">
        <f t="array" ref="W512">_xlfn.IFS(COUNTIF(F512,"ผบ.หมู่*"),51,COUNTIF(F512,"รอง สว.*"),43)</f>
        <v>51</v>
      </c>
      <c r="X512" s="3" t="s">
        <v>879</v>
      </c>
      <c r="Y512" s="1" t="s">
        <v>52</v>
      </c>
    </row>
    <row r="513" spans="1:25" s="10" customFormat="1" ht="21.3" customHeight="1">
      <c r="A513" s="192" t="s">
        <v>169</v>
      </c>
      <c r="B513" s="193" t="s">
        <v>21</v>
      </c>
      <c r="C513" s="192" t="s">
        <v>7889</v>
      </c>
      <c r="D513" s="27" t="s">
        <v>8668</v>
      </c>
      <c r="E513" s="27" t="s">
        <v>8669</v>
      </c>
      <c r="F513" s="192" t="s">
        <v>787</v>
      </c>
      <c r="G513" s="101" t="s">
        <v>882</v>
      </c>
      <c r="H513" s="73">
        <v>45463</v>
      </c>
      <c r="I513" s="73">
        <v>45463</v>
      </c>
      <c r="J513" s="73">
        <v>45463</v>
      </c>
      <c r="K513" s="73">
        <v>35587</v>
      </c>
      <c r="L513" s="2" t="s">
        <v>82</v>
      </c>
      <c r="M513" s="1"/>
      <c r="N513" s="112" t="s">
        <v>14</v>
      </c>
      <c r="O513" s="104" t="s">
        <v>52</v>
      </c>
      <c r="P513" s="104" t="s">
        <v>52</v>
      </c>
      <c r="Q513" s="105"/>
      <c r="R513" s="28" t="s">
        <v>7961</v>
      </c>
      <c r="S513" s="174">
        <f t="shared" si="7"/>
        <v>57619</v>
      </c>
      <c r="T513" s="2" t="s">
        <v>7701</v>
      </c>
      <c r="U513" s="2" t="s">
        <v>62</v>
      </c>
      <c r="V513" s="162" t="str" cm="1">
        <f t="array" ref="V513">_xlfn.IFS(C513="","",COUNTIF(C513,"ตำแหน่งว่าง*"),"ว่าง",COUNTIF(C513,"&lt;&gt;ตำแหน่งว่าง*"),"คนครอง")</f>
        <v>คนครอง</v>
      </c>
      <c r="W513" s="49" cm="1">
        <f t="array" ref="W513">_xlfn.IFS(COUNTIF(F513,"ผบ.หมู่*"),51,COUNTIF(F513,"รอง สว.*"),43)</f>
        <v>51</v>
      </c>
      <c r="X513" s="3" t="s">
        <v>881</v>
      </c>
      <c r="Y513" s="1" t="s">
        <v>52</v>
      </c>
    </row>
    <row r="514" spans="1:25" s="10" customFormat="1" ht="21.3" customHeight="1">
      <c r="A514" s="27"/>
      <c r="B514" s="28"/>
      <c r="C514" s="30" t="s">
        <v>18</v>
      </c>
      <c r="D514" s="27"/>
      <c r="E514" s="27"/>
      <c r="F514" s="68" t="s">
        <v>787</v>
      </c>
      <c r="G514" s="121" t="s">
        <v>884</v>
      </c>
      <c r="H514" s="91" t="s">
        <v>19</v>
      </c>
      <c r="I514" s="73" t="s">
        <v>19</v>
      </c>
      <c r="J514" s="73" t="s">
        <v>19</v>
      </c>
      <c r="K514" s="73" t="s">
        <v>19</v>
      </c>
      <c r="L514" s="11"/>
      <c r="M514" s="1"/>
      <c r="N514" s="113" t="s">
        <v>14</v>
      </c>
      <c r="O514" s="122" t="s">
        <v>52</v>
      </c>
      <c r="P514" s="122" t="s">
        <v>52</v>
      </c>
      <c r="Q514" s="105"/>
      <c r="R514" s="26"/>
      <c r="S514" s="225" t="str">
        <f t="shared" ref="S514:S577" si="8">IF(K514&lt;&gt;"",DATE(YEAR(K514)+60+(K514&gt;=DATE(YEAR(K514),10,2)),10,1),"")</f>
        <v/>
      </c>
      <c r="T514" s="7" t="s">
        <v>7701</v>
      </c>
      <c r="U514" s="7" t="s">
        <v>62</v>
      </c>
      <c r="V514" s="171" t="str" cm="1">
        <f t="array" ref="V514">_xlfn.IFS(C514="","",COUNTIF(C514,"ตำแหน่งว่าง*"),"ว่าง",COUNTIF(C514,"&lt;&gt;ตำแหน่งว่าง*"),"คนครอง")</f>
        <v>ว่าง</v>
      </c>
      <c r="W514" s="49" cm="1">
        <f t="array" ref="W514">_xlfn.IFS(COUNTIF(F514,"ผบ.หมู่*"),51,COUNTIF(F514,"รอง สว.*"),43)</f>
        <v>51</v>
      </c>
      <c r="X514" s="8" t="s">
        <v>883</v>
      </c>
      <c r="Y514" s="6" t="s">
        <v>52</v>
      </c>
    </row>
    <row r="515" spans="1:25" s="36" customFormat="1" ht="21.3" customHeight="1">
      <c r="A515" s="134"/>
      <c r="B515" s="135"/>
      <c r="C515" s="135" t="s">
        <v>18</v>
      </c>
      <c r="D515" s="27"/>
      <c r="E515" s="27"/>
      <c r="F515" s="136" t="s">
        <v>885</v>
      </c>
      <c r="G515" s="101" t="s">
        <v>887</v>
      </c>
      <c r="H515" s="91"/>
      <c r="I515" s="73"/>
      <c r="J515" s="73"/>
      <c r="K515" s="73"/>
      <c r="L515" s="19"/>
      <c r="M515" s="3"/>
      <c r="N515" s="115" t="s">
        <v>14</v>
      </c>
      <c r="O515" s="104" t="s">
        <v>27</v>
      </c>
      <c r="P515" s="104"/>
      <c r="Q515" s="108"/>
      <c r="R515" s="135"/>
      <c r="S515" s="225" t="str">
        <f t="shared" si="8"/>
        <v/>
      </c>
      <c r="T515" s="165" t="s">
        <v>7702</v>
      </c>
      <c r="U515" s="7" t="s">
        <v>62</v>
      </c>
      <c r="V515" s="162" t="str" cm="1">
        <f t="array" ref="V515">_xlfn.IFS(C515="","",COUNTIF(C515,"ตำแหน่งว่าง*"),"ว่าง",COUNTIF(C515,"&lt;&gt;ตำแหน่งว่าง*"),"คนครอง")</f>
        <v>ว่าง</v>
      </c>
      <c r="W515" s="49" cm="1">
        <f t="array" ref="W515">_xlfn.IFS(COUNTIF(F515,"ผบ.หมู่*"),51,COUNTIF(F515,"รอง สว.*"),43)</f>
        <v>51</v>
      </c>
      <c r="X515" s="4" t="s">
        <v>886</v>
      </c>
      <c r="Y515" s="4" t="s">
        <v>27</v>
      </c>
    </row>
    <row r="516" spans="1:25" s="36" customFormat="1" ht="21.3" customHeight="1">
      <c r="A516" s="134"/>
      <c r="B516" s="26"/>
      <c r="C516" s="27" t="s">
        <v>18</v>
      </c>
      <c r="D516" s="27"/>
      <c r="E516" s="27"/>
      <c r="F516" s="134" t="s">
        <v>885</v>
      </c>
      <c r="G516" s="101" t="s">
        <v>889</v>
      </c>
      <c r="H516" s="91"/>
      <c r="I516" s="73"/>
      <c r="J516" s="73"/>
      <c r="K516" s="73"/>
      <c r="L516" s="19"/>
      <c r="M516" s="3"/>
      <c r="N516" s="116" t="s">
        <v>14</v>
      </c>
      <c r="O516" s="104" t="s">
        <v>27</v>
      </c>
      <c r="P516" s="104"/>
      <c r="Q516" s="105"/>
      <c r="R516" s="26"/>
      <c r="S516" s="174" t="str">
        <f t="shared" si="8"/>
        <v/>
      </c>
      <c r="T516" s="15" t="s">
        <v>7702</v>
      </c>
      <c r="U516" s="2" t="s">
        <v>62</v>
      </c>
      <c r="V516" s="2" t="str" cm="1">
        <f t="array" ref="V516">_xlfn.IFS(C516="","",COUNTIF(C516,"ตำแหน่งว่าง*"),"ว่าง",COUNTIF(C516,"&lt;&gt;ตำแหน่งว่าง*"),"คนครอง")</f>
        <v>ว่าง</v>
      </c>
      <c r="W516" s="170" cm="1">
        <f t="array" ref="W516">_xlfn.IFS(COUNTIF(F516,"ผบ.หมู่*"),51,COUNTIF(F516,"รอง สว.*"),43)</f>
        <v>51</v>
      </c>
      <c r="X516" s="3" t="s">
        <v>888</v>
      </c>
      <c r="Y516" s="3" t="s">
        <v>27</v>
      </c>
    </row>
    <row r="517" spans="1:25" s="37" customFormat="1" ht="21.3" customHeight="1">
      <c r="A517" s="134"/>
      <c r="B517" s="29"/>
      <c r="C517" s="30" t="s">
        <v>18</v>
      </c>
      <c r="D517" s="27"/>
      <c r="E517" s="27"/>
      <c r="F517" s="94" t="s">
        <v>885</v>
      </c>
      <c r="G517" s="121" t="s">
        <v>891</v>
      </c>
      <c r="H517" s="91" t="s">
        <v>19</v>
      </c>
      <c r="I517" s="73" t="s">
        <v>19</v>
      </c>
      <c r="J517" s="73" t="s">
        <v>19</v>
      </c>
      <c r="K517" s="73" t="s">
        <v>19</v>
      </c>
      <c r="L517" s="19"/>
      <c r="M517" s="3"/>
      <c r="N517" s="172" t="s">
        <v>14</v>
      </c>
      <c r="O517" s="122" t="s">
        <v>27</v>
      </c>
      <c r="P517" s="122"/>
      <c r="Q517" s="106"/>
      <c r="R517" s="29"/>
      <c r="S517" s="225" t="str">
        <f t="shared" si="8"/>
        <v/>
      </c>
      <c r="T517" s="166" t="s">
        <v>7702</v>
      </c>
      <c r="U517" s="7" t="s">
        <v>62</v>
      </c>
      <c r="V517" s="171" t="str" cm="1">
        <f t="array" ref="V517">_xlfn.IFS(C517="","",COUNTIF(C517,"ตำแหน่งว่าง*"),"ว่าง",COUNTIF(C517,"&lt;&gt;ตำแหน่งว่าง*"),"คนครอง")</f>
        <v>ว่าง</v>
      </c>
      <c r="W517" s="49" cm="1">
        <f t="array" ref="W517">_xlfn.IFS(COUNTIF(F517,"ผบ.หมู่*"),51,COUNTIF(F517,"รอง สว.*"),43)</f>
        <v>51</v>
      </c>
      <c r="X517" s="8" t="s">
        <v>890</v>
      </c>
      <c r="Y517" s="8" t="s">
        <v>27</v>
      </c>
    </row>
    <row r="518" spans="1:25" s="36" customFormat="1" ht="21.3" customHeight="1">
      <c r="A518" s="134" t="s">
        <v>208</v>
      </c>
      <c r="B518" s="26" t="s">
        <v>21</v>
      </c>
      <c r="C518" s="27" t="s">
        <v>7770</v>
      </c>
      <c r="D518" s="27" t="s">
        <v>8672</v>
      </c>
      <c r="E518" s="27" t="s">
        <v>8673</v>
      </c>
      <c r="F518" s="134" t="s">
        <v>885</v>
      </c>
      <c r="G518" s="101" t="s">
        <v>893</v>
      </c>
      <c r="H518" s="91">
        <v>45322</v>
      </c>
      <c r="I518" s="73">
        <v>43693</v>
      </c>
      <c r="J518" s="73">
        <v>43693</v>
      </c>
      <c r="K518" s="73">
        <v>31568</v>
      </c>
      <c r="L518" s="19" t="s">
        <v>2210</v>
      </c>
      <c r="M518" s="3" t="s">
        <v>89</v>
      </c>
      <c r="N518" s="116" t="s">
        <v>14</v>
      </c>
      <c r="O518" s="104" t="s">
        <v>52</v>
      </c>
      <c r="P518" s="104" t="s">
        <v>52</v>
      </c>
      <c r="Q518" s="105"/>
      <c r="R518" s="29" t="s">
        <v>7708</v>
      </c>
      <c r="S518" s="225">
        <f t="shared" si="8"/>
        <v>53601</v>
      </c>
      <c r="T518" s="165" t="s">
        <v>7702</v>
      </c>
      <c r="U518" s="7" t="s">
        <v>62</v>
      </c>
      <c r="V518" s="162" t="str" cm="1">
        <f t="array" ref="V518">_xlfn.IFS(C518="","",COUNTIF(C518,"ตำแหน่งว่าง*"),"ว่าง",COUNTIF(C518,"&lt;&gt;ตำแหน่งว่าง*"),"คนครอง")</f>
        <v>คนครอง</v>
      </c>
      <c r="W518" s="49" cm="1">
        <f t="array" ref="W518">_xlfn.IFS(COUNTIF(F518,"ผบ.หมู่*"),51,COUNTIF(F518,"รอง สว.*"),43)</f>
        <v>51</v>
      </c>
      <c r="X518" s="3" t="s">
        <v>892</v>
      </c>
      <c r="Y518" s="3" t="s">
        <v>52</v>
      </c>
    </row>
    <row r="519" spans="1:25" s="38" customFormat="1" ht="21.3" customHeight="1">
      <c r="A519" s="192" t="s">
        <v>169</v>
      </c>
      <c r="B519" s="194" t="s">
        <v>21</v>
      </c>
      <c r="C519" s="192" t="s">
        <v>7890</v>
      </c>
      <c r="D519" s="27" t="s">
        <v>8674</v>
      </c>
      <c r="E519" s="27" t="s">
        <v>8675</v>
      </c>
      <c r="F519" s="195" t="s">
        <v>885</v>
      </c>
      <c r="G519" s="101" t="s">
        <v>895</v>
      </c>
      <c r="H519" s="73">
        <v>45463</v>
      </c>
      <c r="I519" s="73">
        <v>45463</v>
      </c>
      <c r="J519" s="73">
        <v>45463</v>
      </c>
      <c r="K519" s="73">
        <v>35978</v>
      </c>
      <c r="L519" s="2" t="s">
        <v>82</v>
      </c>
      <c r="M519" s="3"/>
      <c r="N519" s="116" t="s">
        <v>14</v>
      </c>
      <c r="O519" s="104" t="s">
        <v>52</v>
      </c>
      <c r="P519" s="104" t="s">
        <v>52</v>
      </c>
      <c r="Q519" s="105"/>
      <c r="R519" s="28" t="s">
        <v>7961</v>
      </c>
      <c r="S519" s="174">
        <f t="shared" si="8"/>
        <v>57984</v>
      </c>
      <c r="T519" s="15" t="s">
        <v>7702</v>
      </c>
      <c r="U519" s="2" t="s">
        <v>62</v>
      </c>
      <c r="V519" s="162" t="str" cm="1">
        <f t="array" ref="V519">_xlfn.IFS(C519="","",COUNTIF(C519,"ตำแหน่งว่าง*"),"ว่าง",COUNTIF(C519,"&lt;&gt;ตำแหน่งว่าง*"),"คนครอง")</f>
        <v>คนครอง</v>
      </c>
      <c r="W519" s="49" cm="1">
        <f t="array" ref="W519">_xlfn.IFS(COUNTIF(F519,"ผบ.หมู่*"),51,COUNTIF(F519,"รอง สว.*"),43)</f>
        <v>51</v>
      </c>
      <c r="X519" s="3" t="s">
        <v>894</v>
      </c>
      <c r="Y519" s="3" t="s">
        <v>52</v>
      </c>
    </row>
    <row r="520" spans="1:25" s="38" customFormat="1" ht="21.3" customHeight="1">
      <c r="A520" s="136" t="s">
        <v>208</v>
      </c>
      <c r="B520" s="26" t="s">
        <v>12</v>
      </c>
      <c r="C520" s="134" t="s">
        <v>896</v>
      </c>
      <c r="D520" s="27" t="s">
        <v>8676</v>
      </c>
      <c r="E520" s="27" t="s">
        <v>8677</v>
      </c>
      <c r="F520" s="134" t="s">
        <v>885</v>
      </c>
      <c r="G520" s="101" t="s">
        <v>898</v>
      </c>
      <c r="H520" s="91">
        <v>43640</v>
      </c>
      <c r="I520" s="73">
        <v>43640</v>
      </c>
      <c r="J520" s="73">
        <v>43640</v>
      </c>
      <c r="K520" s="73">
        <v>36319</v>
      </c>
      <c r="L520" s="19" t="s">
        <v>82</v>
      </c>
      <c r="M520" s="3" t="s">
        <v>78</v>
      </c>
      <c r="N520" s="116" t="s">
        <v>14</v>
      </c>
      <c r="O520" s="104" t="s">
        <v>52</v>
      </c>
      <c r="P520" s="104" t="s">
        <v>52</v>
      </c>
      <c r="Q520" s="105"/>
      <c r="R520" s="26" t="s">
        <v>899</v>
      </c>
      <c r="S520" s="225">
        <f t="shared" si="8"/>
        <v>58349</v>
      </c>
      <c r="T520" s="15" t="s">
        <v>7702</v>
      </c>
      <c r="U520" s="7" t="s">
        <v>62</v>
      </c>
      <c r="V520" s="162" t="str" cm="1">
        <f t="array" ref="V520">_xlfn.IFS(C520="","",COUNTIF(C520,"ตำแหน่งว่าง*"),"ว่าง",COUNTIF(C520,"&lt;&gt;ตำแหน่งว่าง*"),"คนครอง")</f>
        <v>คนครอง</v>
      </c>
      <c r="W520" s="49" cm="1">
        <f t="array" ref="W520">_xlfn.IFS(COUNTIF(F520,"ผบ.หมู่*"),51,COUNTIF(F520,"รอง สว.*"),43)</f>
        <v>51</v>
      </c>
      <c r="X520" s="3" t="s">
        <v>897</v>
      </c>
      <c r="Y520" s="3" t="s">
        <v>52</v>
      </c>
    </row>
    <row r="521" spans="1:25" s="38" customFormat="1" ht="21.3" customHeight="1">
      <c r="A521" s="136" t="s">
        <v>208</v>
      </c>
      <c r="B521" s="26" t="s">
        <v>12</v>
      </c>
      <c r="C521" s="134" t="s">
        <v>900</v>
      </c>
      <c r="D521" s="27" t="s">
        <v>8678</v>
      </c>
      <c r="E521" s="27" t="s">
        <v>8679</v>
      </c>
      <c r="F521" s="134" t="s">
        <v>885</v>
      </c>
      <c r="G521" s="101" t="s">
        <v>902</v>
      </c>
      <c r="H521" s="91">
        <v>43678</v>
      </c>
      <c r="I521" s="73">
        <v>43678</v>
      </c>
      <c r="J521" s="73">
        <v>43678</v>
      </c>
      <c r="K521" s="73">
        <v>35807</v>
      </c>
      <c r="L521" s="19" t="s">
        <v>82</v>
      </c>
      <c r="M521" s="3" t="s">
        <v>23</v>
      </c>
      <c r="N521" s="116" t="s">
        <v>14</v>
      </c>
      <c r="O521" s="104" t="s">
        <v>52</v>
      </c>
      <c r="P521" s="104" t="s">
        <v>52</v>
      </c>
      <c r="Q521" s="105"/>
      <c r="R521" s="26" t="s">
        <v>903</v>
      </c>
      <c r="S521" s="225">
        <f t="shared" si="8"/>
        <v>57984</v>
      </c>
      <c r="T521" s="15" t="s">
        <v>7702</v>
      </c>
      <c r="U521" s="7" t="s">
        <v>62</v>
      </c>
      <c r="V521" s="162" t="str" cm="1">
        <f t="array" ref="V521">_xlfn.IFS(C521="","",COUNTIF(C521,"ตำแหน่งว่าง*"),"ว่าง",COUNTIF(C521,"&lt;&gt;ตำแหน่งว่าง*"),"คนครอง")</f>
        <v>คนครอง</v>
      </c>
      <c r="W521" s="49" cm="1">
        <f t="array" ref="W521">_xlfn.IFS(COUNTIF(F521,"ผบ.หมู่*"),51,COUNTIF(F521,"รอง สว.*"),43)</f>
        <v>51</v>
      </c>
      <c r="X521" s="3" t="s">
        <v>901</v>
      </c>
      <c r="Y521" s="3" t="s">
        <v>52</v>
      </c>
    </row>
    <row r="522" spans="1:25" s="36" customFormat="1" ht="21.3" customHeight="1">
      <c r="A522" s="134"/>
      <c r="B522" s="26"/>
      <c r="C522" s="95" t="s">
        <v>18</v>
      </c>
      <c r="D522" s="27"/>
      <c r="E522" s="27"/>
      <c r="F522" s="134" t="s">
        <v>885</v>
      </c>
      <c r="G522" s="101" t="s">
        <v>905</v>
      </c>
      <c r="H522" s="91"/>
      <c r="I522" s="73"/>
      <c r="J522" s="73"/>
      <c r="K522" s="73"/>
      <c r="L522" s="19"/>
      <c r="M522" s="3"/>
      <c r="N522" s="115" t="s">
        <v>14</v>
      </c>
      <c r="O522" s="104" t="s">
        <v>52</v>
      </c>
      <c r="P522" s="104" t="s">
        <v>52</v>
      </c>
      <c r="Q522" s="105"/>
      <c r="R522" s="26"/>
      <c r="S522" s="225" t="str">
        <f t="shared" si="8"/>
        <v/>
      </c>
      <c r="T522" s="165" t="s">
        <v>7702</v>
      </c>
      <c r="U522" s="7" t="s">
        <v>62</v>
      </c>
      <c r="V522" s="162" t="str" cm="1">
        <f t="array" ref="V522">_xlfn.IFS(C522="","",COUNTIF(C522,"ตำแหน่งว่าง*"),"ว่าง",COUNTIF(C522,"&lt;&gt;ตำแหน่งว่าง*"),"คนครอง")</f>
        <v>ว่าง</v>
      </c>
      <c r="W522" s="49" cm="1">
        <f t="array" ref="W522">_xlfn.IFS(COUNTIF(F522,"ผบ.หมู่*"),51,COUNTIF(F522,"รอง สว.*"),43)</f>
        <v>51</v>
      </c>
      <c r="X522" s="4" t="s">
        <v>904</v>
      </c>
      <c r="Y522" s="4" t="s">
        <v>52</v>
      </c>
    </row>
    <row r="523" spans="1:25" s="38" customFormat="1" ht="21.3" customHeight="1">
      <c r="A523" s="134" t="s">
        <v>182</v>
      </c>
      <c r="B523" s="26" t="s">
        <v>12</v>
      </c>
      <c r="C523" s="27" t="s">
        <v>10706</v>
      </c>
      <c r="D523" s="27" t="s">
        <v>8670</v>
      </c>
      <c r="E523" s="27" t="s">
        <v>8671</v>
      </c>
      <c r="F523" s="134" t="s">
        <v>885</v>
      </c>
      <c r="G523" s="101" t="s">
        <v>907</v>
      </c>
      <c r="H523" s="91">
        <v>45768</v>
      </c>
      <c r="I523" s="73">
        <v>44137</v>
      </c>
      <c r="J523" s="73">
        <v>44137</v>
      </c>
      <c r="K523" s="73">
        <v>34722</v>
      </c>
      <c r="L523" s="19" t="s">
        <v>82</v>
      </c>
      <c r="M523" s="3" t="s">
        <v>7797</v>
      </c>
      <c r="N523" s="116" t="s">
        <v>14</v>
      </c>
      <c r="O523" s="104" t="s">
        <v>52</v>
      </c>
      <c r="P523" s="104" t="s">
        <v>52</v>
      </c>
      <c r="Q523" s="105"/>
      <c r="R523" s="26" t="s">
        <v>10707</v>
      </c>
      <c r="S523" s="174">
        <f t="shared" si="8"/>
        <v>56888</v>
      </c>
      <c r="T523" s="15" t="s">
        <v>7702</v>
      </c>
      <c r="U523" s="2" t="s">
        <v>62</v>
      </c>
      <c r="V523" s="2" t="str" cm="1">
        <f t="array" ref="V523">_xlfn.IFS(C523="","",COUNTIF(C523,"ตำแหน่งว่าง*"),"ว่าง",COUNTIF(C523,"&lt;&gt;ตำแหน่งว่าง*"),"คนครอง")</f>
        <v>คนครอง</v>
      </c>
      <c r="W523" s="170" cm="1">
        <f t="array" ref="W523">_xlfn.IFS(COUNTIF(F523,"ผบ.หมู่*"),51,COUNTIF(F523,"รอง สว.*"),43)</f>
        <v>51</v>
      </c>
      <c r="X523" s="3" t="s">
        <v>906</v>
      </c>
      <c r="Y523" s="3" t="s">
        <v>52</v>
      </c>
    </row>
    <row r="524" spans="1:25" s="38" customFormat="1" ht="21.3" customHeight="1">
      <c r="A524" s="136"/>
      <c r="B524" s="26"/>
      <c r="C524" s="30" t="s">
        <v>18</v>
      </c>
      <c r="D524" s="27"/>
      <c r="E524" s="27"/>
      <c r="F524" s="134" t="s">
        <v>885</v>
      </c>
      <c r="G524" s="101" t="s">
        <v>909</v>
      </c>
      <c r="H524" s="91"/>
      <c r="I524" s="73"/>
      <c r="J524" s="73"/>
      <c r="K524" s="73"/>
      <c r="L524" s="19"/>
      <c r="M524" s="3"/>
      <c r="N524" s="116" t="s">
        <v>14</v>
      </c>
      <c r="O524" s="104" t="s">
        <v>52</v>
      </c>
      <c r="P524" s="104" t="s">
        <v>52</v>
      </c>
      <c r="Q524" s="105"/>
      <c r="R524" s="26"/>
      <c r="S524" s="225" t="str">
        <f t="shared" si="8"/>
        <v/>
      </c>
      <c r="T524" s="15" t="s">
        <v>7702</v>
      </c>
      <c r="U524" s="7" t="s">
        <v>62</v>
      </c>
      <c r="V524" s="162" t="str" cm="1">
        <f t="array" ref="V524">_xlfn.IFS(C524="","",COUNTIF(C524,"ตำแหน่งว่าง*"),"ว่าง",COUNTIF(C524,"&lt;&gt;ตำแหน่งว่าง*"),"คนครอง")</f>
        <v>ว่าง</v>
      </c>
      <c r="W524" s="49" cm="1">
        <f t="array" ref="W524">_xlfn.IFS(COUNTIF(F524,"ผบ.หมู่*"),51,COUNTIF(F524,"รอง สว.*"),43)</f>
        <v>51</v>
      </c>
      <c r="X524" s="3" t="s">
        <v>908</v>
      </c>
      <c r="Y524" s="3" t="s">
        <v>52</v>
      </c>
    </row>
    <row r="525" spans="1:25" s="38" customFormat="1" ht="21.3" customHeight="1">
      <c r="A525" s="134" t="s">
        <v>157</v>
      </c>
      <c r="B525" s="26" t="s">
        <v>21</v>
      </c>
      <c r="C525" s="134" t="s">
        <v>910</v>
      </c>
      <c r="D525" s="27" t="s">
        <v>8348</v>
      </c>
      <c r="E525" s="27" t="s">
        <v>8680</v>
      </c>
      <c r="F525" s="134" t="s">
        <v>885</v>
      </c>
      <c r="G525" s="101" t="s">
        <v>912</v>
      </c>
      <c r="H525" s="91">
        <v>40063</v>
      </c>
      <c r="I525" s="73">
        <v>40063</v>
      </c>
      <c r="J525" s="73">
        <v>34729</v>
      </c>
      <c r="K525" s="73">
        <v>27315</v>
      </c>
      <c r="L525" s="19" t="s">
        <v>913</v>
      </c>
      <c r="M525" s="3" t="s">
        <v>592</v>
      </c>
      <c r="N525" s="116" t="s">
        <v>14</v>
      </c>
      <c r="O525" s="104" t="s">
        <v>52</v>
      </c>
      <c r="P525" s="104" t="s">
        <v>52</v>
      </c>
      <c r="Q525" s="105"/>
      <c r="R525" s="26" t="s">
        <v>603</v>
      </c>
      <c r="S525" s="225">
        <f t="shared" si="8"/>
        <v>49583</v>
      </c>
      <c r="T525" s="15" t="s">
        <v>7702</v>
      </c>
      <c r="U525" s="7" t="s">
        <v>62</v>
      </c>
      <c r="V525" s="162" t="str" cm="1">
        <f t="array" ref="V525">_xlfn.IFS(C525="","",COUNTIF(C525,"ตำแหน่งว่าง*"),"ว่าง",COUNTIF(C525,"&lt;&gt;ตำแหน่งว่าง*"),"คนครอง")</f>
        <v>คนครอง</v>
      </c>
      <c r="W525" s="49" cm="1">
        <f t="array" ref="W525">_xlfn.IFS(COUNTIF(F525,"ผบ.หมู่*"),51,COUNTIF(F525,"รอง สว.*"),43)</f>
        <v>51</v>
      </c>
      <c r="X525" s="3" t="s">
        <v>911</v>
      </c>
      <c r="Y525" s="3" t="s">
        <v>52</v>
      </c>
    </row>
    <row r="526" spans="1:25" s="38" customFormat="1" ht="21.3" customHeight="1">
      <c r="A526" s="134" t="s">
        <v>157</v>
      </c>
      <c r="B526" s="26" t="s">
        <v>21</v>
      </c>
      <c r="C526" s="134" t="s">
        <v>914</v>
      </c>
      <c r="D526" s="27" t="s">
        <v>8681</v>
      </c>
      <c r="E526" s="27" t="s">
        <v>8682</v>
      </c>
      <c r="F526" s="134" t="s">
        <v>885</v>
      </c>
      <c r="G526" s="101" t="s">
        <v>916</v>
      </c>
      <c r="H526" s="91">
        <v>40063</v>
      </c>
      <c r="I526" s="73">
        <v>40063</v>
      </c>
      <c r="J526" s="73">
        <v>37119</v>
      </c>
      <c r="K526" s="73">
        <v>29047</v>
      </c>
      <c r="L526" s="19" t="s">
        <v>917</v>
      </c>
      <c r="M526" s="3" t="s">
        <v>592</v>
      </c>
      <c r="N526" s="116" t="s">
        <v>14</v>
      </c>
      <c r="O526" s="104" t="s">
        <v>52</v>
      </c>
      <c r="P526" s="104" t="s">
        <v>52</v>
      </c>
      <c r="Q526" s="105"/>
      <c r="R526" s="26" t="s">
        <v>603</v>
      </c>
      <c r="S526" s="225">
        <f t="shared" si="8"/>
        <v>51044</v>
      </c>
      <c r="T526" s="15" t="s">
        <v>7702</v>
      </c>
      <c r="U526" s="7" t="s">
        <v>62</v>
      </c>
      <c r="V526" s="162" t="str" cm="1">
        <f t="array" ref="V526">_xlfn.IFS(C526="","",COUNTIF(C526,"ตำแหน่งว่าง*"),"ว่าง",COUNTIF(C526,"&lt;&gt;ตำแหน่งว่าง*"),"คนครอง")</f>
        <v>คนครอง</v>
      </c>
      <c r="W526" s="49" cm="1">
        <f t="array" ref="W526">_xlfn.IFS(COUNTIF(F526,"ผบ.หมู่*"),51,COUNTIF(F526,"รอง สว.*"),43)</f>
        <v>51</v>
      </c>
      <c r="X526" s="3" t="s">
        <v>915</v>
      </c>
      <c r="Y526" s="3" t="s">
        <v>52</v>
      </c>
    </row>
    <row r="527" spans="1:25" s="38" customFormat="1" ht="21.3" customHeight="1">
      <c r="A527" s="27" t="s">
        <v>612</v>
      </c>
      <c r="B527" s="28" t="s">
        <v>21</v>
      </c>
      <c r="C527" s="27" t="s">
        <v>7751</v>
      </c>
      <c r="D527" s="27" t="s">
        <v>8025</v>
      </c>
      <c r="E527" s="27" t="s">
        <v>8683</v>
      </c>
      <c r="F527" s="134" t="s">
        <v>885</v>
      </c>
      <c r="G527" s="101" t="s">
        <v>919</v>
      </c>
      <c r="H527" s="91">
        <v>45322</v>
      </c>
      <c r="I527" s="73">
        <v>42416</v>
      </c>
      <c r="J527" s="73">
        <v>42416</v>
      </c>
      <c r="K527" s="73">
        <v>34031</v>
      </c>
      <c r="L527" s="11" t="s">
        <v>7752</v>
      </c>
      <c r="M527" s="1" t="s">
        <v>592</v>
      </c>
      <c r="N527" s="116" t="s">
        <v>14</v>
      </c>
      <c r="O527" s="104" t="s">
        <v>52</v>
      </c>
      <c r="P527" s="104" t="s">
        <v>52</v>
      </c>
      <c r="Q527" s="105"/>
      <c r="R527" s="30" t="s">
        <v>7708</v>
      </c>
      <c r="S527" s="225">
        <f t="shared" si="8"/>
        <v>56158</v>
      </c>
      <c r="T527" s="15" t="s">
        <v>7702</v>
      </c>
      <c r="U527" s="7" t="s">
        <v>62</v>
      </c>
      <c r="V527" s="162" t="str" cm="1">
        <f t="array" ref="V527">_xlfn.IFS(C527="","",COUNTIF(C527,"ตำแหน่งว่าง*"),"ว่าง",COUNTIF(C527,"&lt;&gt;ตำแหน่งว่าง*"),"คนครอง")</f>
        <v>คนครอง</v>
      </c>
      <c r="W527" s="49" cm="1">
        <f t="array" ref="W527">_xlfn.IFS(COUNTIF(F527,"ผบ.หมู่*"),51,COUNTIF(F527,"รอง สว.*"),43)</f>
        <v>51</v>
      </c>
      <c r="X527" s="3" t="s">
        <v>918</v>
      </c>
      <c r="Y527" s="3" t="s">
        <v>52</v>
      </c>
    </row>
    <row r="528" spans="1:25" s="38" customFormat="1" ht="21.3" customHeight="1">
      <c r="A528" s="134" t="s">
        <v>157</v>
      </c>
      <c r="B528" s="26" t="s">
        <v>12</v>
      </c>
      <c r="C528" s="134" t="s">
        <v>920</v>
      </c>
      <c r="D528" s="27" t="s">
        <v>8684</v>
      </c>
      <c r="E528" s="27" t="s">
        <v>8685</v>
      </c>
      <c r="F528" s="134" t="s">
        <v>885</v>
      </c>
      <c r="G528" s="101" t="s">
        <v>922</v>
      </c>
      <c r="H528" s="91">
        <v>43220</v>
      </c>
      <c r="I528" s="73">
        <v>43235</v>
      </c>
      <c r="J528" s="73">
        <v>38037</v>
      </c>
      <c r="K528" s="73">
        <v>27756</v>
      </c>
      <c r="L528" s="19" t="s">
        <v>923</v>
      </c>
      <c r="M528" s="3" t="s">
        <v>592</v>
      </c>
      <c r="N528" s="116" t="s">
        <v>14</v>
      </c>
      <c r="O528" s="104" t="s">
        <v>52</v>
      </c>
      <c r="P528" s="104" t="s">
        <v>52</v>
      </c>
      <c r="Q528" s="105"/>
      <c r="R528" s="26" t="s">
        <v>924</v>
      </c>
      <c r="S528" s="225">
        <f t="shared" si="8"/>
        <v>49949</v>
      </c>
      <c r="T528" s="15" t="s">
        <v>7702</v>
      </c>
      <c r="U528" s="7" t="s">
        <v>62</v>
      </c>
      <c r="V528" s="162" t="str" cm="1">
        <f t="array" ref="V528">_xlfn.IFS(C528="","",COUNTIF(C528,"ตำแหน่งว่าง*"),"ว่าง",COUNTIF(C528,"&lt;&gt;ตำแหน่งว่าง*"),"คนครอง")</f>
        <v>คนครอง</v>
      </c>
      <c r="W528" s="49" cm="1">
        <f t="array" ref="W528">_xlfn.IFS(COUNTIF(F528,"ผบ.หมู่*"),51,COUNTIF(F528,"รอง สว.*"),43)</f>
        <v>51</v>
      </c>
      <c r="X528" s="3" t="s">
        <v>921</v>
      </c>
      <c r="Y528" s="3" t="s">
        <v>52</v>
      </c>
    </row>
    <row r="529" spans="1:25" s="36" customFormat="1" ht="21.3" customHeight="1">
      <c r="A529" s="134" t="s">
        <v>157</v>
      </c>
      <c r="B529" s="26" t="s">
        <v>12</v>
      </c>
      <c r="C529" s="136" t="s">
        <v>925</v>
      </c>
      <c r="D529" s="27" t="s">
        <v>8686</v>
      </c>
      <c r="E529" s="27" t="s">
        <v>8687</v>
      </c>
      <c r="F529" s="134" t="s">
        <v>885</v>
      </c>
      <c r="G529" s="101" t="s">
        <v>927</v>
      </c>
      <c r="H529" s="91">
        <v>40063</v>
      </c>
      <c r="I529" s="73">
        <v>40063</v>
      </c>
      <c r="J529" s="73">
        <v>35825</v>
      </c>
      <c r="K529" s="73">
        <v>27299</v>
      </c>
      <c r="L529" s="19" t="s">
        <v>928</v>
      </c>
      <c r="M529" s="3" t="s">
        <v>38</v>
      </c>
      <c r="N529" s="115" t="s">
        <v>14</v>
      </c>
      <c r="O529" s="104" t="s">
        <v>52</v>
      </c>
      <c r="P529" s="104" t="s">
        <v>52</v>
      </c>
      <c r="Q529" s="105"/>
      <c r="R529" s="26" t="s">
        <v>603</v>
      </c>
      <c r="S529" s="225">
        <f t="shared" si="8"/>
        <v>49218</v>
      </c>
      <c r="T529" s="165" t="s">
        <v>7702</v>
      </c>
      <c r="U529" s="7" t="s">
        <v>62</v>
      </c>
      <c r="V529" s="162" t="str" cm="1">
        <f t="array" ref="V529">_xlfn.IFS(C529="","",COUNTIF(C529,"ตำแหน่งว่าง*"),"ว่าง",COUNTIF(C529,"&lt;&gt;ตำแหน่งว่าง*"),"คนครอง")</f>
        <v>คนครอง</v>
      </c>
      <c r="W529" s="49" cm="1">
        <f t="array" ref="W529">_xlfn.IFS(COUNTIF(F529,"ผบ.หมู่*"),51,COUNTIF(F529,"รอง สว.*"),43)</f>
        <v>51</v>
      </c>
      <c r="X529" s="4" t="s">
        <v>926</v>
      </c>
      <c r="Y529" s="4" t="s">
        <v>52</v>
      </c>
    </row>
    <row r="530" spans="1:25" s="38" customFormat="1" ht="21.3" customHeight="1">
      <c r="A530" s="136"/>
      <c r="B530" s="26"/>
      <c r="C530" s="29" t="s">
        <v>18</v>
      </c>
      <c r="D530" s="27"/>
      <c r="E530" s="27"/>
      <c r="F530" s="134" t="s">
        <v>885</v>
      </c>
      <c r="G530" s="101" t="s">
        <v>930</v>
      </c>
      <c r="H530" s="91"/>
      <c r="I530" s="73"/>
      <c r="J530" s="73"/>
      <c r="K530" s="73"/>
      <c r="L530" s="19"/>
      <c r="M530" s="3"/>
      <c r="N530" s="116" t="s">
        <v>14</v>
      </c>
      <c r="O530" s="104" t="s">
        <v>52</v>
      </c>
      <c r="P530" s="104" t="s">
        <v>52</v>
      </c>
      <c r="Q530" s="105"/>
      <c r="R530" s="26"/>
      <c r="S530" s="225" t="str">
        <f t="shared" si="8"/>
        <v/>
      </c>
      <c r="T530" s="15" t="s">
        <v>7702</v>
      </c>
      <c r="U530" s="7" t="s">
        <v>62</v>
      </c>
      <c r="V530" s="162" t="str" cm="1">
        <f t="array" ref="V530">_xlfn.IFS(C530="","",COUNTIF(C530,"ตำแหน่งว่าง*"),"ว่าง",COUNTIF(C530,"&lt;&gt;ตำแหน่งว่าง*"),"คนครอง")</f>
        <v>ว่าง</v>
      </c>
      <c r="W530" s="49" cm="1">
        <f t="array" ref="W530">_xlfn.IFS(COUNTIF(F530,"ผบ.หมู่*"),51,COUNTIF(F530,"รอง สว.*"),43)</f>
        <v>51</v>
      </c>
      <c r="X530" s="3" t="s">
        <v>929</v>
      </c>
      <c r="Y530" s="3" t="s">
        <v>52</v>
      </c>
    </row>
    <row r="531" spans="1:25" s="38" customFormat="1" ht="21.3" customHeight="1">
      <c r="A531" s="195" t="s">
        <v>169</v>
      </c>
      <c r="B531" s="194" t="s">
        <v>21</v>
      </c>
      <c r="C531" s="192" t="s">
        <v>7891</v>
      </c>
      <c r="D531" s="27" t="s">
        <v>8688</v>
      </c>
      <c r="E531" s="27" t="s">
        <v>8689</v>
      </c>
      <c r="F531" s="195" t="s">
        <v>885</v>
      </c>
      <c r="G531" s="101" t="s">
        <v>932</v>
      </c>
      <c r="H531" s="73">
        <v>45463</v>
      </c>
      <c r="I531" s="73">
        <v>45463</v>
      </c>
      <c r="J531" s="73">
        <v>45463</v>
      </c>
      <c r="K531" s="73">
        <v>35128</v>
      </c>
      <c r="L531" s="2" t="s">
        <v>82</v>
      </c>
      <c r="M531" s="3"/>
      <c r="N531" s="116" t="s">
        <v>14</v>
      </c>
      <c r="O531" s="104" t="s">
        <v>52</v>
      </c>
      <c r="P531" s="104" t="s">
        <v>52</v>
      </c>
      <c r="Q531" s="105"/>
      <c r="R531" s="28" t="s">
        <v>7961</v>
      </c>
      <c r="S531" s="174">
        <f t="shared" si="8"/>
        <v>57254</v>
      </c>
      <c r="T531" s="15" t="s">
        <v>7702</v>
      </c>
      <c r="U531" s="2" t="s">
        <v>62</v>
      </c>
      <c r="V531" s="162" t="str" cm="1">
        <f t="array" ref="V531">_xlfn.IFS(C531="","",COUNTIF(C531,"ตำแหน่งว่าง*"),"ว่าง",COUNTIF(C531,"&lt;&gt;ตำแหน่งว่าง*"),"คนครอง")</f>
        <v>คนครอง</v>
      </c>
      <c r="W531" s="49" cm="1">
        <f t="array" ref="W531">_xlfn.IFS(COUNTIF(F531,"ผบ.หมู่*"),51,COUNTIF(F531,"รอง สว.*"),43)</f>
        <v>51</v>
      </c>
      <c r="X531" s="3" t="s">
        <v>931</v>
      </c>
      <c r="Y531" s="3" t="s">
        <v>52</v>
      </c>
    </row>
    <row r="532" spans="1:25" s="36" customFormat="1" ht="21.3" customHeight="1">
      <c r="A532" s="94"/>
      <c r="B532" s="29"/>
      <c r="C532" s="30" t="s">
        <v>18</v>
      </c>
      <c r="D532" s="27"/>
      <c r="E532" s="27"/>
      <c r="F532" s="94" t="s">
        <v>885</v>
      </c>
      <c r="G532" s="121" t="s">
        <v>934</v>
      </c>
      <c r="H532" s="80"/>
      <c r="I532" s="74"/>
      <c r="J532" s="74"/>
      <c r="K532" s="74"/>
      <c r="L532" s="44"/>
      <c r="M532" s="8"/>
      <c r="N532" s="172" t="s">
        <v>14</v>
      </c>
      <c r="O532" s="122" t="s">
        <v>52</v>
      </c>
      <c r="P532" s="122" t="s">
        <v>52</v>
      </c>
      <c r="Q532" s="106"/>
      <c r="R532" s="29"/>
      <c r="S532" s="225" t="str">
        <f t="shared" si="8"/>
        <v/>
      </c>
      <c r="T532" s="165" t="s">
        <v>7702</v>
      </c>
      <c r="U532" s="7" t="s">
        <v>62</v>
      </c>
      <c r="V532" s="171" t="str" cm="1">
        <f t="array" ref="V532">_xlfn.IFS(C532="","",COUNTIF(C532,"ตำแหน่งว่าง*"),"ว่าง",COUNTIF(C532,"&lt;&gt;ตำแหน่งว่าง*"),"คนครอง")</f>
        <v>ว่าง</v>
      </c>
      <c r="W532" s="49" cm="1">
        <f t="array" ref="W532">_xlfn.IFS(COUNTIF(F532,"ผบ.หมู่*"),51,COUNTIF(F532,"รอง สว.*"),43)</f>
        <v>51</v>
      </c>
      <c r="X532" s="4" t="s">
        <v>933</v>
      </c>
      <c r="Y532" s="4" t="s">
        <v>52</v>
      </c>
    </row>
    <row r="533" spans="1:25" s="38" customFormat="1" ht="21.3" customHeight="1">
      <c r="A533" s="134" t="s">
        <v>157</v>
      </c>
      <c r="B533" s="26" t="s">
        <v>21</v>
      </c>
      <c r="C533" s="134" t="s">
        <v>935</v>
      </c>
      <c r="D533" s="27" t="s">
        <v>7971</v>
      </c>
      <c r="E533" s="27" t="s">
        <v>8690</v>
      </c>
      <c r="F533" s="134" t="s">
        <v>885</v>
      </c>
      <c r="G533" s="101" t="s">
        <v>937</v>
      </c>
      <c r="H533" s="91">
        <v>44243</v>
      </c>
      <c r="I533" s="73">
        <v>44243</v>
      </c>
      <c r="J533" s="73">
        <v>39717</v>
      </c>
      <c r="K533" s="73">
        <v>30616</v>
      </c>
      <c r="L533" s="19" t="s">
        <v>68</v>
      </c>
      <c r="M533" s="3" t="s">
        <v>57</v>
      </c>
      <c r="N533" s="116" t="s">
        <v>14</v>
      </c>
      <c r="O533" s="104" t="s">
        <v>52</v>
      </c>
      <c r="P533" s="104" t="s">
        <v>52</v>
      </c>
      <c r="Q533" s="105"/>
      <c r="R533" s="26" t="s">
        <v>617</v>
      </c>
      <c r="S533" s="225">
        <f t="shared" si="8"/>
        <v>52871</v>
      </c>
      <c r="T533" s="15" t="s">
        <v>7702</v>
      </c>
      <c r="U533" s="7" t="s">
        <v>62</v>
      </c>
      <c r="V533" s="162" t="str" cm="1">
        <f t="array" ref="V533">_xlfn.IFS(C533="","",COUNTIF(C533,"ตำแหน่งว่าง*"),"ว่าง",COUNTIF(C533,"&lt;&gt;ตำแหน่งว่าง*"),"คนครอง")</f>
        <v>คนครอง</v>
      </c>
      <c r="W533" s="49" cm="1">
        <f t="array" ref="W533">_xlfn.IFS(COUNTIF(F533,"ผบ.หมู่*"),51,COUNTIF(F533,"รอง สว.*"),43)</f>
        <v>51</v>
      </c>
      <c r="X533" s="3" t="s">
        <v>936</v>
      </c>
      <c r="Y533" s="3" t="s">
        <v>52</v>
      </c>
    </row>
    <row r="534" spans="1:25" s="36" customFormat="1" ht="21.3" customHeight="1">
      <c r="A534" s="94"/>
      <c r="B534" s="29"/>
      <c r="C534" s="30" t="s">
        <v>18</v>
      </c>
      <c r="D534" s="27"/>
      <c r="E534" s="27"/>
      <c r="F534" s="94" t="s">
        <v>885</v>
      </c>
      <c r="G534" s="121" t="s">
        <v>939</v>
      </c>
      <c r="H534" s="80"/>
      <c r="I534" s="74"/>
      <c r="J534" s="74"/>
      <c r="K534" s="74"/>
      <c r="L534" s="44"/>
      <c r="M534" s="8"/>
      <c r="N534" s="172" t="s">
        <v>14</v>
      </c>
      <c r="O534" s="122" t="s">
        <v>52</v>
      </c>
      <c r="P534" s="122" t="s">
        <v>52</v>
      </c>
      <c r="Q534" s="106"/>
      <c r="R534" s="29"/>
      <c r="S534" s="225" t="str">
        <f t="shared" si="8"/>
        <v/>
      </c>
      <c r="T534" s="165" t="s">
        <v>7702</v>
      </c>
      <c r="U534" s="7" t="s">
        <v>62</v>
      </c>
      <c r="V534" s="171" t="str" cm="1">
        <f t="array" ref="V534">_xlfn.IFS(C534="","",COUNTIF(C534,"ตำแหน่งว่าง*"),"ว่าง",COUNTIF(C534,"&lt;&gt;ตำแหน่งว่าง*"),"คนครอง")</f>
        <v>ว่าง</v>
      </c>
      <c r="W534" s="49" cm="1">
        <f t="array" ref="W534">_xlfn.IFS(COUNTIF(F534,"ผบ.หมู่*"),51,COUNTIF(F534,"รอง สว.*"),43)</f>
        <v>51</v>
      </c>
      <c r="X534" s="4" t="s">
        <v>938</v>
      </c>
      <c r="Y534" s="4" t="s">
        <v>52</v>
      </c>
    </row>
    <row r="535" spans="1:25" s="36" customFormat="1" ht="21.3" customHeight="1">
      <c r="A535" s="27" t="s">
        <v>182</v>
      </c>
      <c r="B535" s="135" t="s">
        <v>21</v>
      </c>
      <c r="C535" s="95" t="s">
        <v>940</v>
      </c>
      <c r="D535" s="27" t="s">
        <v>8691</v>
      </c>
      <c r="E535" s="27" t="s">
        <v>8692</v>
      </c>
      <c r="F535" s="136" t="s">
        <v>885</v>
      </c>
      <c r="G535" s="101" t="s">
        <v>942</v>
      </c>
      <c r="H535" s="75">
        <v>44636</v>
      </c>
      <c r="I535" s="76">
        <v>44636</v>
      </c>
      <c r="J535" s="76">
        <v>44636</v>
      </c>
      <c r="K535" s="76">
        <v>35601</v>
      </c>
      <c r="L535" s="46" t="s">
        <v>82</v>
      </c>
      <c r="M535" s="4" t="s">
        <v>84</v>
      </c>
      <c r="N535" s="115" t="s">
        <v>14</v>
      </c>
      <c r="O535" s="104" t="s">
        <v>52</v>
      </c>
      <c r="P535" s="104" t="s">
        <v>52</v>
      </c>
      <c r="Q535" s="108"/>
      <c r="R535" s="135" t="s">
        <v>611</v>
      </c>
      <c r="S535" s="225">
        <f t="shared" si="8"/>
        <v>57619</v>
      </c>
      <c r="T535" s="165" t="s">
        <v>7702</v>
      </c>
      <c r="U535" s="7" t="s">
        <v>62</v>
      </c>
      <c r="V535" s="162" t="str" cm="1">
        <f t="array" ref="V535">_xlfn.IFS(C535="","",COUNTIF(C535,"ตำแหน่งว่าง*"),"ว่าง",COUNTIF(C535,"&lt;&gt;ตำแหน่งว่าง*"),"คนครอง")</f>
        <v>คนครอง</v>
      </c>
      <c r="W535" s="49" cm="1">
        <f t="array" ref="W535">_xlfn.IFS(COUNTIF(F535,"ผบ.หมู่*"),51,COUNTIF(F535,"รอง สว.*"),43)</f>
        <v>51</v>
      </c>
      <c r="X535" s="4" t="s">
        <v>941</v>
      </c>
      <c r="Y535" s="4" t="s">
        <v>52</v>
      </c>
    </row>
    <row r="536" spans="1:25" s="37" customFormat="1" ht="21.3" customHeight="1">
      <c r="A536" s="65" t="s">
        <v>169</v>
      </c>
      <c r="B536" s="66" t="s">
        <v>12</v>
      </c>
      <c r="C536" s="65" t="s">
        <v>943</v>
      </c>
      <c r="D536" s="27" t="s">
        <v>8693</v>
      </c>
      <c r="E536" s="27" t="s">
        <v>8694</v>
      </c>
      <c r="F536" s="137" t="s">
        <v>885</v>
      </c>
      <c r="G536" s="101" t="s">
        <v>945</v>
      </c>
      <c r="H536" s="81">
        <v>44986</v>
      </c>
      <c r="I536" s="77">
        <v>44986</v>
      </c>
      <c r="J536" s="77">
        <v>44986</v>
      </c>
      <c r="K536" s="77">
        <v>32478</v>
      </c>
      <c r="L536" s="64" t="s">
        <v>82</v>
      </c>
      <c r="M536" s="62" t="s">
        <v>17</v>
      </c>
      <c r="N536" s="117" t="s">
        <v>14</v>
      </c>
      <c r="O536" s="104" t="s">
        <v>52</v>
      </c>
      <c r="P536" s="104" t="s">
        <v>52</v>
      </c>
      <c r="Q536" s="107"/>
      <c r="R536" s="66" t="s">
        <v>861</v>
      </c>
      <c r="S536" s="225">
        <f t="shared" si="8"/>
        <v>54697</v>
      </c>
      <c r="T536" s="166" t="s">
        <v>7702</v>
      </c>
      <c r="U536" s="7" t="s">
        <v>62</v>
      </c>
      <c r="V536" s="162" t="str" cm="1">
        <f t="array" ref="V536">_xlfn.IFS(C536="","",COUNTIF(C536,"ตำแหน่งว่าง*"),"ว่าง",COUNTIF(C536,"&lt;&gt;ตำแหน่งว่าง*"),"คนครอง")</f>
        <v>คนครอง</v>
      </c>
      <c r="W536" s="49" cm="1">
        <f t="array" ref="W536">_xlfn.IFS(COUNTIF(F536,"ผบ.หมู่*"),51,COUNTIF(F536,"รอง สว.*"),43)</f>
        <v>51</v>
      </c>
      <c r="X536" s="62" t="s">
        <v>944</v>
      </c>
      <c r="Y536" s="62" t="s">
        <v>52</v>
      </c>
    </row>
    <row r="537" spans="1:25" s="37" customFormat="1" ht="21.3" customHeight="1">
      <c r="A537" s="65" t="s">
        <v>169</v>
      </c>
      <c r="B537" s="66" t="s">
        <v>12</v>
      </c>
      <c r="C537" s="65" t="s">
        <v>946</v>
      </c>
      <c r="D537" s="27" t="s">
        <v>8103</v>
      </c>
      <c r="E537" s="27" t="s">
        <v>8695</v>
      </c>
      <c r="F537" s="137" t="s">
        <v>885</v>
      </c>
      <c r="G537" s="101" t="s">
        <v>948</v>
      </c>
      <c r="H537" s="81">
        <v>44986</v>
      </c>
      <c r="I537" s="77">
        <v>44986</v>
      </c>
      <c r="J537" s="77">
        <v>44986</v>
      </c>
      <c r="K537" s="77">
        <v>33054</v>
      </c>
      <c r="L537" s="64" t="s">
        <v>82</v>
      </c>
      <c r="M537" s="62" t="s">
        <v>46</v>
      </c>
      <c r="N537" s="117" t="s">
        <v>14</v>
      </c>
      <c r="O537" s="104" t="s">
        <v>52</v>
      </c>
      <c r="P537" s="104" t="s">
        <v>52</v>
      </c>
      <c r="Q537" s="107"/>
      <c r="R537" s="66" t="s">
        <v>861</v>
      </c>
      <c r="S537" s="225">
        <f t="shared" si="8"/>
        <v>55062</v>
      </c>
      <c r="T537" s="166" t="s">
        <v>7702</v>
      </c>
      <c r="U537" s="7" t="s">
        <v>62</v>
      </c>
      <c r="V537" s="162" t="str" cm="1">
        <f t="array" ref="V537">_xlfn.IFS(C537="","",COUNTIF(C537,"ตำแหน่งว่าง*"),"ว่าง",COUNTIF(C537,"&lt;&gt;ตำแหน่งว่าง*"),"คนครอง")</f>
        <v>คนครอง</v>
      </c>
      <c r="W537" s="49" cm="1">
        <f t="array" ref="W537">_xlfn.IFS(COUNTIF(F537,"ผบ.หมู่*"),51,COUNTIF(F537,"รอง สว.*"),43)</f>
        <v>51</v>
      </c>
      <c r="X537" s="62" t="s">
        <v>947</v>
      </c>
      <c r="Y537" s="62" t="s">
        <v>52</v>
      </c>
    </row>
    <row r="538" spans="1:25" s="37" customFormat="1" ht="21.3" customHeight="1">
      <c r="A538" s="65" t="s">
        <v>169</v>
      </c>
      <c r="B538" s="66" t="s">
        <v>12</v>
      </c>
      <c r="C538" s="65" t="s">
        <v>949</v>
      </c>
      <c r="D538" s="27" t="s">
        <v>8696</v>
      </c>
      <c r="E538" s="27" t="s">
        <v>8697</v>
      </c>
      <c r="F538" s="137" t="s">
        <v>885</v>
      </c>
      <c r="G538" s="101" t="s">
        <v>951</v>
      </c>
      <c r="H538" s="81">
        <v>44986</v>
      </c>
      <c r="I538" s="77">
        <v>44986</v>
      </c>
      <c r="J538" s="77">
        <v>44986</v>
      </c>
      <c r="K538" s="77">
        <v>32294</v>
      </c>
      <c r="L538" s="64" t="s">
        <v>112</v>
      </c>
      <c r="M538" s="62" t="s">
        <v>16</v>
      </c>
      <c r="N538" s="117" t="s">
        <v>14</v>
      </c>
      <c r="O538" s="104" t="s">
        <v>52</v>
      </c>
      <c r="P538" s="104" t="s">
        <v>52</v>
      </c>
      <c r="Q538" s="107"/>
      <c r="R538" s="66" t="s">
        <v>861</v>
      </c>
      <c r="S538" s="225">
        <f t="shared" si="8"/>
        <v>54332</v>
      </c>
      <c r="T538" s="166" t="s">
        <v>7702</v>
      </c>
      <c r="U538" s="7" t="s">
        <v>62</v>
      </c>
      <c r="V538" s="162" t="str" cm="1">
        <f t="array" ref="V538">_xlfn.IFS(C538="","",COUNTIF(C538,"ตำแหน่งว่าง*"),"ว่าง",COUNTIF(C538,"&lt;&gt;ตำแหน่งว่าง*"),"คนครอง")</f>
        <v>คนครอง</v>
      </c>
      <c r="W538" s="49" cm="1">
        <f t="array" ref="W538">_xlfn.IFS(COUNTIF(F538,"ผบ.หมู่*"),51,COUNTIF(F538,"รอง สว.*"),43)</f>
        <v>51</v>
      </c>
      <c r="X538" s="62" t="s">
        <v>950</v>
      </c>
      <c r="Y538" s="62" t="s">
        <v>52</v>
      </c>
    </row>
    <row r="539" spans="1:25" s="37" customFormat="1" ht="21.3" customHeight="1">
      <c r="A539" s="134"/>
      <c r="B539" s="26"/>
      <c r="C539" s="30" t="s">
        <v>18</v>
      </c>
      <c r="D539" s="27"/>
      <c r="E539" s="27"/>
      <c r="F539" s="94" t="s">
        <v>885</v>
      </c>
      <c r="G539" s="121" t="s">
        <v>953</v>
      </c>
      <c r="H539" s="91" t="s">
        <v>19</v>
      </c>
      <c r="I539" s="73" t="s">
        <v>19</v>
      </c>
      <c r="J539" s="73" t="s">
        <v>19</v>
      </c>
      <c r="K539" s="73" t="s">
        <v>19</v>
      </c>
      <c r="L539" s="19"/>
      <c r="M539" s="3"/>
      <c r="N539" s="172" t="s">
        <v>14</v>
      </c>
      <c r="O539" s="122" t="s">
        <v>52</v>
      </c>
      <c r="P539" s="122" t="s">
        <v>52</v>
      </c>
      <c r="Q539" s="105"/>
      <c r="R539" s="26"/>
      <c r="S539" s="225" t="str">
        <f t="shared" si="8"/>
        <v/>
      </c>
      <c r="T539" s="166" t="s">
        <v>7702</v>
      </c>
      <c r="U539" s="7" t="s">
        <v>62</v>
      </c>
      <c r="V539" s="171" t="str" cm="1">
        <f t="array" ref="V539">_xlfn.IFS(C539="","",COUNTIF(C539,"ตำแหน่งว่าง*"),"ว่าง",COUNTIF(C539,"&lt;&gt;ตำแหน่งว่าง*"),"คนครอง")</f>
        <v>ว่าง</v>
      </c>
      <c r="W539" s="49" cm="1">
        <f t="array" ref="W539">_xlfn.IFS(COUNTIF(F539,"ผบ.หมู่*"),51,COUNTIF(F539,"รอง สว.*"),43)</f>
        <v>51</v>
      </c>
      <c r="X539" s="8" t="s">
        <v>952</v>
      </c>
      <c r="Y539" s="8" t="s">
        <v>52</v>
      </c>
    </row>
    <row r="540" spans="1:25" s="37" customFormat="1" ht="21.3" customHeight="1">
      <c r="A540" s="134"/>
      <c r="B540" s="26"/>
      <c r="C540" s="30" t="s">
        <v>18</v>
      </c>
      <c r="D540" s="27"/>
      <c r="E540" s="27"/>
      <c r="F540" s="94" t="s">
        <v>885</v>
      </c>
      <c r="G540" s="121" t="s">
        <v>955</v>
      </c>
      <c r="H540" s="91" t="s">
        <v>19</v>
      </c>
      <c r="I540" s="73" t="s">
        <v>19</v>
      </c>
      <c r="J540" s="73" t="s">
        <v>19</v>
      </c>
      <c r="K540" s="73" t="s">
        <v>19</v>
      </c>
      <c r="L540" s="19"/>
      <c r="M540" s="3"/>
      <c r="N540" s="172" t="s">
        <v>14</v>
      </c>
      <c r="O540" s="122" t="s">
        <v>52</v>
      </c>
      <c r="P540" s="122" t="s">
        <v>52</v>
      </c>
      <c r="Q540" s="105"/>
      <c r="R540" s="26"/>
      <c r="S540" s="225" t="str">
        <f t="shared" si="8"/>
        <v/>
      </c>
      <c r="T540" s="166" t="s">
        <v>7702</v>
      </c>
      <c r="U540" s="7" t="s">
        <v>62</v>
      </c>
      <c r="V540" s="171" t="str" cm="1">
        <f t="array" ref="V540">_xlfn.IFS(C540="","",COUNTIF(C540,"ตำแหน่งว่าง*"),"ว่าง",COUNTIF(C540,"&lt;&gt;ตำแหน่งว่าง*"),"คนครอง")</f>
        <v>ว่าง</v>
      </c>
      <c r="W540" s="49" cm="1">
        <f t="array" ref="W540">_xlfn.IFS(COUNTIF(F540,"ผบ.หมู่*"),51,COUNTIF(F540,"รอง สว.*"),43)</f>
        <v>51</v>
      </c>
      <c r="X540" s="8" t="s">
        <v>954</v>
      </c>
      <c r="Y540" s="8" t="s">
        <v>52</v>
      </c>
    </row>
    <row r="541" spans="1:25" s="37" customFormat="1" ht="21.3" customHeight="1">
      <c r="A541" s="134"/>
      <c r="B541" s="26"/>
      <c r="C541" s="30" t="s">
        <v>18</v>
      </c>
      <c r="D541" s="27"/>
      <c r="E541" s="27"/>
      <c r="F541" s="94" t="s">
        <v>885</v>
      </c>
      <c r="G541" s="121" t="s">
        <v>957</v>
      </c>
      <c r="H541" s="91" t="s">
        <v>19</v>
      </c>
      <c r="I541" s="73" t="s">
        <v>19</v>
      </c>
      <c r="J541" s="73" t="s">
        <v>19</v>
      </c>
      <c r="K541" s="73" t="s">
        <v>19</v>
      </c>
      <c r="L541" s="19"/>
      <c r="M541" s="3"/>
      <c r="N541" s="172" t="s">
        <v>14</v>
      </c>
      <c r="O541" s="122" t="s">
        <v>52</v>
      </c>
      <c r="P541" s="122" t="s">
        <v>52</v>
      </c>
      <c r="Q541" s="105"/>
      <c r="R541" s="26"/>
      <c r="S541" s="225" t="str">
        <f t="shared" si="8"/>
        <v/>
      </c>
      <c r="T541" s="166" t="s">
        <v>7702</v>
      </c>
      <c r="U541" s="7" t="s">
        <v>62</v>
      </c>
      <c r="V541" s="171" t="str" cm="1">
        <f t="array" ref="V541">_xlfn.IFS(C541="","",COUNTIF(C541,"ตำแหน่งว่าง*"),"ว่าง",COUNTIF(C541,"&lt;&gt;ตำแหน่งว่าง*"),"คนครอง")</f>
        <v>ว่าง</v>
      </c>
      <c r="W541" s="49" cm="1">
        <f t="array" ref="W541">_xlfn.IFS(COUNTIF(F541,"ผบ.หมู่*"),51,COUNTIF(F541,"รอง สว.*"),43)</f>
        <v>51</v>
      </c>
      <c r="X541" s="8" t="s">
        <v>956</v>
      </c>
      <c r="Y541" s="8" t="s">
        <v>52</v>
      </c>
    </row>
    <row r="542" spans="1:25" s="37" customFormat="1" ht="21.3" customHeight="1">
      <c r="A542" s="134"/>
      <c r="B542" s="26"/>
      <c r="C542" s="30" t="s">
        <v>18</v>
      </c>
      <c r="D542" s="27"/>
      <c r="E542" s="27"/>
      <c r="F542" s="94" t="s">
        <v>885</v>
      </c>
      <c r="G542" s="121" t="s">
        <v>959</v>
      </c>
      <c r="H542" s="91" t="s">
        <v>19</v>
      </c>
      <c r="I542" s="73" t="s">
        <v>19</v>
      </c>
      <c r="J542" s="73" t="s">
        <v>19</v>
      </c>
      <c r="K542" s="73" t="s">
        <v>19</v>
      </c>
      <c r="L542" s="19"/>
      <c r="M542" s="3"/>
      <c r="N542" s="172" t="s">
        <v>14</v>
      </c>
      <c r="O542" s="122" t="s">
        <v>52</v>
      </c>
      <c r="P542" s="122" t="s">
        <v>52</v>
      </c>
      <c r="Q542" s="105"/>
      <c r="R542" s="26"/>
      <c r="S542" s="225" t="str">
        <f t="shared" si="8"/>
        <v/>
      </c>
      <c r="T542" s="166" t="s">
        <v>7702</v>
      </c>
      <c r="U542" s="7" t="s">
        <v>62</v>
      </c>
      <c r="V542" s="171" t="str" cm="1">
        <f t="array" ref="V542">_xlfn.IFS(C542="","",COUNTIF(C542,"ตำแหน่งว่าง*"),"ว่าง",COUNTIF(C542,"&lt;&gt;ตำแหน่งว่าง*"),"คนครอง")</f>
        <v>ว่าง</v>
      </c>
      <c r="W542" s="49" cm="1">
        <f t="array" ref="W542">_xlfn.IFS(COUNTIF(F542,"ผบ.หมู่*"),51,COUNTIF(F542,"รอง สว.*"),43)</f>
        <v>51</v>
      </c>
      <c r="X542" s="8" t="s">
        <v>958</v>
      </c>
      <c r="Y542" s="8" t="s">
        <v>52</v>
      </c>
    </row>
    <row r="543" spans="1:25" s="37" customFormat="1" ht="21.3" customHeight="1">
      <c r="A543" s="134"/>
      <c r="B543" s="29"/>
      <c r="C543" s="30" t="s">
        <v>18</v>
      </c>
      <c r="D543" s="27"/>
      <c r="E543" s="27"/>
      <c r="F543" s="94" t="s">
        <v>885</v>
      </c>
      <c r="G543" s="121" t="s">
        <v>961</v>
      </c>
      <c r="H543" s="91" t="s">
        <v>19</v>
      </c>
      <c r="I543" s="73" t="s">
        <v>19</v>
      </c>
      <c r="J543" s="73" t="s">
        <v>19</v>
      </c>
      <c r="K543" s="73" t="s">
        <v>19</v>
      </c>
      <c r="L543" s="19"/>
      <c r="M543" s="3"/>
      <c r="N543" s="172" t="s">
        <v>14</v>
      </c>
      <c r="O543" s="122" t="s">
        <v>52</v>
      </c>
      <c r="P543" s="122" t="s">
        <v>52</v>
      </c>
      <c r="Q543" s="106"/>
      <c r="R543" s="29"/>
      <c r="S543" s="225" t="str">
        <f t="shared" si="8"/>
        <v/>
      </c>
      <c r="T543" s="166" t="s">
        <v>7702</v>
      </c>
      <c r="U543" s="7" t="s">
        <v>62</v>
      </c>
      <c r="V543" s="171" t="str" cm="1">
        <f t="array" ref="V543">_xlfn.IFS(C543="","",COUNTIF(C543,"ตำแหน่งว่าง*"),"ว่าง",COUNTIF(C543,"&lt;&gt;ตำแหน่งว่าง*"),"คนครอง")</f>
        <v>ว่าง</v>
      </c>
      <c r="W543" s="49" cm="1">
        <f t="array" ref="W543">_xlfn.IFS(COUNTIF(F543,"ผบ.หมู่*"),51,COUNTIF(F543,"รอง สว.*"),43)</f>
        <v>51</v>
      </c>
      <c r="X543" s="8" t="s">
        <v>960</v>
      </c>
      <c r="Y543" s="8" t="s">
        <v>52</v>
      </c>
    </row>
    <row r="544" spans="1:25" s="37" customFormat="1" ht="21.3" customHeight="1">
      <c r="A544" s="134"/>
      <c r="B544" s="26"/>
      <c r="C544" s="30" t="s">
        <v>18</v>
      </c>
      <c r="D544" s="27"/>
      <c r="E544" s="27"/>
      <c r="F544" s="94" t="s">
        <v>885</v>
      </c>
      <c r="G544" s="121" t="s">
        <v>963</v>
      </c>
      <c r="H544" s="91" t="s">
        <v>19</v>
      </c>
      <c r="I544" s="73" t="s">
        <v>19</v>
      </c>
      <c r="J544" s="73" t="s">
        <v>19</v>
      </c>
      <c r="K544" s="73" t="s">
        <v>19</v>
      </c>
      <c r="L544" s="19"/>
      <c r="M544" s="3"/>
      <c r="N544" s="172" t="s">
        <v>14</v>
      </c>
      <c r="O544" s="122" t="s">
        <v>52</v>
      </c>
      <c r="P544" s="122" t="s">
        <v>52</v>
      </c>
      <c r="Q544" s="105"/>
      <c r="R544" s="26"/>
      <c r="S544" s="225" t="str">
        <f t="shared" si="8"/>
        <v/>
      </c>
      <c r="T544" s="166" t="s">
        <v>7702</v>
      </c>
      <c r="U544" s="7" t="s">
        <v>62</v>
      </c>
      <c r="V544" s="171" t="str" cm="1">
        <f t="array" ref="V544">_xlfn.IFS(C544="","",COUNTIF(C544,"ตำแหน่งว่าง*"),"ว่าง",COUNTIF(C544,"&lt;&gt;ตำแหน่งว่าง*"),"คนครอง")</f>
        <v>ว่าง</v>
      </c>
      <c r="W544" s="49" cm="1">
        <f t="array" ref="W544">_xlfn.IFS(COUNTIF(F544,"ผบ.หมู่*"),51,COUNTIF(F544,"รอง สว.*"),43)</f>
        <v>51</v>
      </c>
      <c r="X544" s="8" t="s">
        <v>962</v>
      </c>
      <c r="Y544" s="8" t="s">
        <v>52</v>
      </c>
    </row>
    <row r="545" spans="1:25" s="37" customFormat="1" ht="21.3" customHeight="1">
      <c r="A545" s="134"/>
      <c r="B545" s="26"/>
      <c r="C545" s="30" t="s">
        <v>18</v>
      </c>
      <c r="D545" s="27"/>
      <c r="E545" s="27"/>
      <c r="F545" s="94" t="s">
        <v>885</v>
      </c>
      <c r="G545" s="121" t="s">
        <v>965</v>
      </c>
      <c r="H545" s="91" t="s">
        <v>19</v>
      </c>
      <c r="I545" s="73" t="s">
        <v>19</v>
      </c>
      <c r="J545" s="73" t="s">
        <v>19</v>
      </c>
      <c r="K545" s="73" t="s">
        <v>19</v>
      </c>
      <c r="L545" s="19"/>
      <c r="M545" s="3"/>
      <c r="N545" s="172" t="s">
        <v>14</v>
      </c>
      <c r="O545" s="122" t="s">
        <v>52</v>
      </c>
      <c r="P545" s="122" t="s">
        <v>52</v>
      </c>
      <c r="Q545" s="105"/>
      <c r="R545" s="26"/>
      <c r="S545" s="225" t="str">
        <f t="shared" si="8"/>
        <v/>
      </c>
      <c r="T545" s="166" t="s">
        <v>7702</v>
      </c>
      <c r="U545" s="7" t="s">
        <v>62</v>
      </c>
      <c r="V545" s="171" t="str" cm="1">
        <f t="array" ref="V545">_xlfn.IFS(C545="","",COUNTIF(C545,"ตำแหน่งว่าง*"),"ว่าง",COUNTIF(C545,"&lt;&gt;ตำแหน่งว่าง*"),"คนครอง")</f>
        <v>ว่าง</v>
      </c>
      <c r="W545" s="49" cm="1">
        <f t="array" ref="W545">_xlfn.IFS(COUNTIF(F545,"ผบ.หมู่*"),51,COUNTIF(F545,"รอง สว.*"),43)</f>
        <v>51</v>
      </c>
      <c r="X545" s="8" t="s">
        <v>964</v>
      </c>
      <c r="Y545" s="8" t="s">
        <v>52</v>
      </c>
    </row>
    <row r="546" spans="1:25" s="37" customFormat="1" ht="21.3" customHeight="1">
      <c r="A546" s="134"/>
      <c r="B546" s="26"/>
      <c r="C546" s="30" t="s">
        <v>18</v>
      </c>
      <c r="D546" s="27"/>
      <c r="E546" s="27"/>
      <c r="F546" s="94" t="s">
        <v>885</v>
      </c>
      <c r="G546" s="121" t="s">
        <v>967</v>
      </c>
      <c r="H546" s="91" t="s">
        <v>19</v>
      </c>
      <c r="I546" s="73" t="s">
        <v>19</v>
      </c>
      <c r="J546" s="73" t="s">
        <v>19</v>
      </c>
      <c r="K546" s="73" t="s">
        <v>19</v>
      </c>
      <c r="L546" s="19"/>
      <c r="M546" s="3"/>
      <c r="N546" s="172" t="s">
        <v>14</v>
      </c>
      <c r="O546" s="122" t="s">
        <v>52</v>
      </c>
      <c r="P546" s="122" t="s">
        <v>52</v>
      </c>
      <c r="Q546" s="105"/>
      <c r="R546" s="26"/>
      <c r="S546" s="225" t="str">
        <f t="shared" si="8"/>
        <v/>
      </c>
      <c r="T546" s="166" t="s">
        <v>7702</v>
      </c>
      <c r="U546" s="7" t="s">
        <v>62</v>
      </c>
      <c r="V546" s="171" t="str" cm="1">
        <f t="array" ref="V546">_xlfn.IFS(C546="","",COUNTIF(C546,"ตำแหน่งว่าง*"),"ว่าง",COUNTIF(C546,"&lt;&gt;ตำแหน่งว่าง*"),"คนครอง")</f>
        <v>ว่าง</v>
      </c>
      <c r="W546" s="49" cm="1">
        <f t="array" ref="W546">_xlfn.IFS(COUNTIF(F546,"ผบ.หมู่*"),51,COUNTIF(F546,"รอง สว.*"),43)</f>
        <v>51</v>
      </c>
      <c r="X546" s="8" t="s">
        <v>966</v>
      </c>
      <c r="Y546" s="8" t="s">
        <v>52</v>
      </c>
    </row>
    <row r="547" spans="1:25" s="37" customFormat="1" ht="21.3" customHeight="1">
      <c r="A547" s="134"/>
      <c r="B547" s="26"/>
      <c r="C547" s="30" t="s">
        <v>18</v>
      </c>
      <c r="D547" s="27"/>
      <c r="E547" s="27"/>
      <c r="F547" s="94" t="s">
        <v>885</v>
      </c>
      <c r="G547" s="121" t="s">
        <v>969</v>
      </c>
      <c r="H547" s="91" t="s">
        <v>19</v>
      </c>
      <c r="I547" s="73" t="s">
        <v>19</v>
      </c>
      <c r="J547" s="73" t="s">
        <v>19</v>
      </c>
      <c r="K547" s="73" t="s">
        <v>19</v>
      </c>
      <c r="L547" s="19"/>
      <c r="M547" s="3"/>
      <c r="N547" s="172" t="s">
        <v>14</v>
      </c>
      <c r="O547" s="122" t="s">
        <v>52</v>
      </c>
      <c r="P547" s="122" t="s">
        <v>52</v>
      </c>
      <c r="Q547" s="105"/>
      <c r="R547" s="26"/>
      <c r="S547" s="225" t="str">
        <f t="shared" si="8"/>
        <v/>
      </c>
      <c r="T547" s="166" t="s">
        <v>7702</v>
      </c>
      <c r="U547" s="7" t="s">
        <v>62</v>
      </c>
      <c r="V547" s="171" t="str" cm="1">
        <f t="array" ref="V547">_xlfn.IFS(C547="","",COUNTIF(C547,"ตำแหน่งว่าง*"),"ว่าง",COUNTIF(C547,"&lt;&gt;ตำแหน่งว่าง*"),"คนครอง")</f>
        <v>ว่าง</v>
      </c>
      <c r="W547" s="49" cm="1">
        <f t="array" ref="W547">_xlfn.IFS(COUNTIF(F547,"ผบ.หมู่*"),51,COUNTIF(F547,"รอง สว.*"),43)</f>
        <v>51</v>
      </c>
      <c r="X547" s="8" t="s">
        <v>968</v>
      </c>
      <c r="Y547" s="8" t="s">
        <v>52</v>
      </c>
    </row>
    <row r="548" spans="1:25" s="37" customFormat="1" ht="21.3" customHeight="1">
      <c r="A548" s="134"/>
      <c r="B548" s="26"/>
      <c r="C548" s="30" t="s">
        <v>18</v>
      </c>
      <c r="D548" s="27"/>
      <c r="E548" s="27"/>
      <c r="F548" s="94" t="s">
        <v>885</v>
      </c>
      <c r="G548" s="121" t="s">
        <v>971</v>
      </c>
      <c r="H548" s="91" t="s">
        <v>19</v>
      </c>
      <c r="I548" s="73" t="s">
        <v>19</v>
      </c>
      <c r="J548" s="73" t="s">
        <v>19</v>
      </c>
      <c r="K548" s="73" t="s">
        <v>19</v>
      </c>
      <c r="L548" s="19"/>
      <c r="M548" s="3"/>
      <c r="N548" s="172" t="s">
        <v>14</v>
      </c>
      <c r="O548" s="122" t="s">
        <v>52</v>
      </c>
      <c r="P548" s="122" t="s">
        <v>52</v>
      </c>
      <c r="Q548" s="105"/>
      <c r="R548" s="26"/>
      <c r="S548" s="225" t="str">
        <f t="shared" si="8"/>
        <v/>
      </c>
      <c r="T548" s="166" t="s">
        <v>7702</v>
      </c>
      <c r="U548" s="7" t="s">
        <v>62</v>
      </c>
      <c r="V548" s="171" t="str" cm="1">
        <f t="array" ref="V548">_xlfn.IFS(C548="","",COUNTIF(C548,"ตำแหน่งว่าง*"),"ว่าง",COUNTIF(C548,"&lt;&gt;ตำแหน่งว่าง*"),"คนครอง")</f>
        <v>ว่าง</v>
      </c>
      <c r="W548" s="49" cm="1">
        <f t="array" ref="W548">_xlfn.IFS(COUNTIF(F548,"ผบ.หมู่*"),51,COUNTIF(F548,"รอง สว.*"),43)</f>
        <v>51</v>
      </c>
      <c r="X548" s="8" t="s">
        <v>970</v>
      </c>
      <c r="Y548" s="8" t="s">
        <v>52</v>
      </c>
    </row>
    <row r="549" spans="1:25" s="37" customFormat="1" ht="21.3" customHeight="1">
      <c r="A549" s="134"/>
      <c r="B549" s="26"/>
      <c r="C549" s="30" t="s">
        <v>18</v>
      </c>
      <c r="D549" s="27"/>
      <c r="E549" s="27"/>
      <c r="F549" s="94" t="s">
        <v>885</v>
      </c>
      <c r="G549" s="121" t="s">
        <v>973</v>
      </c>
      <c r="H549" s="91" t="s">
        <v>19</v>
      </c>
      <c r="I549" s="73" t="s">
        <v>19</v>
      </c>
      <c r="J549" s="73" t="s">
        <v>19</v>
      </c>
      <c r="K549" s="73" t="s">
        <v>19</v>
      </c>
      <c r="L549" s="19"/>
      <c r="M549" s="3"/>
      <c r="N549" s="172" t="s">
        <v>14</v>
      </c>
      <c r="O549" s="122" t="s">
        <v>52</v>
      </c>
      <c r="P549" s="122" t="s">
        <v>52</v>
      </c>
      <c r="Q549" s="105"/>
      <c r="R549" s="26"/>
      <c r="S549" s="225" t="str">
        <f t="shared" si="8"/>
        <v/>
      </c>
      <c r="T549" s="166" t="s">
        <v>7702</v>
      </c>
      <c r="U549" s="7" t="s">
        <v>62</v>
      </c>
      <c r="V549" s="171" t="str" cm="1">
        <f t="array" ref="V549">_xlfn.IFS(C549="","",COUNTIF(C549,"ตำแหน่งว่าง*"),"ว่าง",COUNTIF(C549,"&lt;&gt;ตำแหน่งว่าง*"),"คนครอง")</f>
        <v>ว่าง</v>
      </c>
      <c r="W549" s="49" cm="1">
        <f t="array" ref="W549">_xlfn.IFS(COUNTIF(F549,"ผบ.หมู่*"),51,COUNTIF(F549,"รอง สว.*"),43)</f>
        <v>51</v>
      </c>
      <c r="X549" s="8" t="s">
        <v>972</v>
      </c>
      <c r="Y549" s="8" t="s">
        <v>52</v>
      </c>
    </row>
    <row r="550" spans="1:25" s="37" customFormat="1" ht="21.3" customHeight="1">
      <c r="A550" s="134"/>
      <c r="B550" s="26"/>
      <c r="C550" s="30" t="s">
        <v>18</v>
      </c>
      <c r="D550" s="27"/>
      <c r="E550" s="27"/>
      <c r="F550" s="94" t="s">
        <v>885</v>
      </c>
      <c r="G550" s="121" t="s">
        <v>975</v>
      </c>
      <c r="H550" s="91" t="s">
        <v>19</v>
      </c>
      <c r="I550" s="73" t="s">
        <v>19</v>
      </c>
      <c r="J550" s="73" t="s">
        <v>19</v>
      </c>
      <c r="K550" s="73" t="s">
        <v>19</v>
      </c>
      <c r="L550" s="19"/>
      <c r="M550" s="3"/>
      <c r="N550" s="172" t="s">
        <v>14</v>
      </c>
      <c r="O550" s="122" t="s">
        <v>52</v>
      </c>
      <c r="P550" s="122" t="s">
        <v>52</v>
      </c>
      <c r="Q550" s="105"/>
      <c r="R550" s="26"/>
      <c r="S550" s="225" t="str">
        <f t="shared" si="8"/>
        <v/>
      </c>
      <c r="T550" s="166" t="s">
        <v>7702</v>
      </c>
      <c r="U550" s="7" t="s">
        <v>62</v>
      </c>
      <c r="V550" s="171" t="str" cm="1">
        <f t="array" ref="V550">_xlfn.IFS(C550="","",COUNTIF(C550,"ตำแหน่งว่าง*"),"ว่าง",COUNTIF(C550,"&lt;&gt;ตำแหน่งว่าง*"),"คนครอง")</f>
        <v>ว่าง</v>
      </c>
      <c r="W550" s="49" cm="1">
        <f t="array" ref="W550">_xlfn.IFS(COUNTIF(F550,"ผบ.หมู่*"),51,COUNTIF(F550,"รอง สว.*"),43)</f>
        <v>51</v>
      </c>
      <c r="X550" s="8" t="s">
        <v>974</v>
      </c>
      <c r="Y550" s="8" t="s">
        <v>52</v>
      </c>
    </row>
    <row r="551" spans="1:25" s="37" customFormat="1" ht="21.3" customHeight="1">
      <c r="A551" s="134"/>
      <c r="B551" s="26"/>
      <c r="C551" s="30" t="s">
        <v>18</v>
      </c>
      <c r="D551" s="27"/>
      <c r="E551" s="27"/>
      <c r="F551" s="94" t="s">
        <v>885</v>
      </c>
      <c r="G551" s="121" t="s">
        <v>977</v>
      </c>
      <c r="H551" s="91" t="s">
        <v>19</v>
      </c>
      <c r="I551" s="73" t="s">
        <v>19</v>
      </c>
      <c r="J551" s="73" t="s">
        <v>19</v>
      </c>
      <c r="K551" s="73" t="s">
        <v>19</v>
      </c>
      <c r="L551" s="19"/>
      <c r="M551" s="3"/>
      <c r="N551" s="172" t="s">
        <v>14</v>
      </c>
      <c r="O551" s="122" t="s">
        <v>52</v>
      </c>
      <c r="P551" s="122" t="s">
        <v>52</v>
      </c>
      <c r="Q551" s="105"/>
      <c r="R551" s="26"/>
      <c r="S551" s="225" t="str">
        <f t="shared" si="8"/>
        <v/>
      </c>
      <c r="T551" s="166" t="s">
        <v>7702</v>
      </c>
      <c r="U551" s="7" t="s">
        <v>62</v>
      </c>
      <c r="V551" s="171" t="str" cm="1">
        <f t="array" ref="V551">_xlfn.IFS(C551="","",COUNTIF(C551,"ตำแหน่งว่าง*"),"ว่าง",COUNTIF(C551,"&lt;&gt;ตำแหน่งว่าง*"),"คนครอง")</f>
        <v>ว่าง</v>
      </c>
      <c r="W551" s="49" cm="1">
        <f t="array" ref="W551">_xlfn.IFS(COUNTIF(F551,"ผบ.หมู่*"),51,COUNTIF(F551,"รอง สว.*"),43)</f>
        <v>51</v>
      </c>
      <c r="X551" s="8" t="s">
        <v>976</v>
      </c>
      <c r="Y551" s="8" t="s">
        <v>52</v>
      </c>
    </row>
    <row r="552" spans="1:25" s="37" customFormat="1" ht="21.3" customHeight="1">
      <c r="A552" s="134"/>
      <c r="B552" s="26"/>
      <c r="C552" s="30" t="s">
        <v>18</v>
      </c>
      <c r="D552" s="27"/>
      <c r="E552" s="27"/>
      <c r="F552" s="94" t="s">
        <v>885</v>
      </c>
      <c r="G552" s="121" t="s">
        <v>979</v>
      </c>
      <c r="H552" s="91" t="s">
        <v>19</v>
      </c>
      <c r="I552" s="73" t="s">
        <v>19</v>
      </c>
      <c r="J552" s="73" t="s">
        <v>19</v>
      </c>
      <c r="K552" s="73" t="s">
        <v>19</v>
      </c>
      <c r="L552" s="19"/>
      <c r="M552" s="3"/>
      <c r="N552" s="172" t="s">
        <v>14</v>
      </c>
      <c r="O552" s="122" t="s">
        <v>52</v>
      </c>
      <c r="P552" s="122" t="s">
        <v>52</v>
      </c>
      <c r="Q552" s="105"/>
      <c r="R552" s="26"/>
      <c r="S552" s="225" t="str">
        <f t="shared" si="8"/>
        <v/>
      </c>
      <c r="T552" s="166" t="s">
        <v>7702</v>
      </c>
      <c r="U552" s="7" t="s">
        <v>62</v>
      </c>
      <c r="V552" s="171" t="str" cm="1">
        <f t="array" ref="V552">_xlfn.IFS(C552="","",COUNTIF(C552,"ตำแหน่งว่าง*"),"ว่าง",COUNTIF(C552,"&lt;&gt;ตำแหน่งว่าง*"),"คนครอง")</f>
        <v>ว่าง</v>
      </c>
      <c r="W552" s="49" cm="1">
        <f t="array" ref="W552">_xlfn.IFS(COUNTIF(F552,"ผบ.หมู่*"),51,COUNTIF(F552,"รอง สว.*"),43)</f>
        <v>51</v>
      </c>
      <c r="X552" s="8" t="s">
        <v>978</v>
      </c>
      <c r="Y552" s="8" t="s">
        <v>52</v>
      </c>
    </row>
    <row r="553" spans="1:25" s="38" customFormat="1" ht="21.3" customHeight="1">
      <c r="A553" s="134" t="s">
        <v>157</v>
      </c>
      <c r="B553" s="26" t="s">
        <v>21</v>
      </c>
      <c r="C553" s="134" t="s">
        <v>980</v>
      </c>
      <c r="D553" s="27" t="s">
        <v>8698</v>
      </c>
      <c r="E553" s="27" t="s">
        <v>8699</v>
      </c>
      <c r="F553" s="134" t="s">
        <v>885</v>
      </c>
      <c r="G553" s="101" t="s">
        <v>982</v>
      </c>
      <c r="H553" s="91">
        <v>40084</v>
      </c>
      <c r="I553" s="73">
        <v>40084</v>
      </c>
      <c r="J553" s="73">
        <v>40084</v>
      </c>
      <c r="K553" s="73">
        <v>29649</v>
      </c>
      <c r="L553" s="19" t="s">
        <v>983</v>
      </c>
      <c r="M553" s="3" t="s">
        <v>33</v>
      </c>
      <c r="N553" s="116" t="s">
        <v>14</v>
      </c>
      <c r="O553" s="104" t="s">
        <v>52</v>
      </c>
      <c r="P553" s="104" t="s">
        <v>52</v>
      </c>
      <c r="Q553" s="105"/>
      <c r="R553" s="26" t="s">
        <v>226</v>
      </c>
      <c r="S553" s="225">
        <f t="shared" si="8"/>
        <v>51775</v>
      </c>
      <c r="T553" s="15" t="s">
        <v>7702</v>
      </c>
      <c r="U553" s="7" t="s">
        <v>62</v>
      </c>
      <c r="V553" s="162" t="str" cm="1">
        <f t="array" ref="V553">_xlfn.IFS(C553="","",COUNTIF(C553,"ตำแหน่งว่าง*"),"ว่าง",COUNTIF(C553,"&lt;&gt;ตำแหน่งว่าง*"),"คนครอง")</f>
        <v>คนครอง</v>
      </c>
      <c r="W553" s="49" cm="1">
        <f t="array" ref="W553">_xlfn.IFS(COUNTIF(F553,"ผบ.หมู่*"),51,COUNTIF(F553,"รอง สว.*"),43)</f>
        <v>51</v>
      </c>
      <c r="X553" s="3" t="s">
        <v>981</v>
      </c>
      <c r="Y553" s="3" t="s">
        <v>52</v>
      </c>
    </row>
    <row r="554" spans="1:25" s="38" customFormat="1" ht="21.3" customHeight="1">
      <c r="A554" s="27" t="s">
        <v>612</v>
      </c>
      <c r="B554" s="26" t="s">
        <v>21</v>
      </c>
      <c r="C554" s="134" t="s">
        <v>984</v>
      </c>
      <c r="D554" s="27" t="s">
        <v>7996</v>
      </c>
      <c r="E554" s="27" t="s">
        <v>8700</v>
      </c>
      <c r="F554" s="134" t="s">
        <v>885</v>
      </c>
      <c r="G554" s="101" t="s">
        <v>986</v>
      </c>
      <c r="H554" s="91">
        <v>41944</v>
      </c>
      <c r="I554" s="73">
        <v>41944</v>
      </c>
      <c r="J554" s="73">
        <v>41944</v>
      </c>
      <c r="K554" s="73">
        <v>31170</v>
      </c>
      <c r="L554" s="19" t="s">
        <v>987</v>
      </c>
      <c r="M554" s="3" t="s">
        <v>93</v>
      </c>
      <c r="N554" s="116" t="s">
        <v>14</v>
      </c>
      <c r="O554" s="104" t="s">
        <v>52</v>
      </c>
      <c r="P554" s="104" t="s">
        <v>52</v>
      </c>
      <c r="Q554" s="105"/>
      <c r="R554" s="26" t="s">
        <v>641</v>
      </c>
      <c r="S554" s="225">
        <f t="shared" si="8"/>
        <v>53236</v>
      </c>
      <c r="T554" s="15" t="s">
        <v>7702</v>
      </c>
      <c r="U554" s="7" t="s">
        <v>62</v>
      </c>
      <c r="V554" s="162" t="str" cm="1">
        <f t="array" ref="V554">_xlfn.IFS(C554="","",COUNTIF(C554,"ตำแหน่งว่าง*"),"ว่าง",COUNTIF(C554,"&lt;&gt;ตำแหน่งว่าง*"),"คนครอง")</f>
        <v>คนครอง</v>
      </c>
      <c r="W554" s="49" cm="1">
        <f t="array" ref="W554">_xlfn.IFS(COUNTIF(F554,"ผบ.หมู่*"),51,COUNTIF(F554,"รอง สว.*"),43)</f>
        <v>51</v>
      </c>
      <c r="X554" s="3" t="s">
        <v>985</v>
      </c>
      <c r="Y554" s="3" t="s">
        <v>52</v>
      </c>
    </row>
    <row r="555" spans="1:25" s="38" customFormat="1" ht="21.3" customHeight="1">
      <c r="A555" s="27" t="s">
        <v>612</v>
      </c>
      <c r="B555" s="26" t="s">
        <v>12</v>
      </c>
      <c r="C555" s="134" t="s">
        <v>988</v>
      </c>
      <c r="D555" s="27" t="s">
        <v>8198</v>
      </c>
      <c r="E555" s="27" t="s">
        <v>8701</v>
      </c>
      <c r="F555" s="134" t="s">
        <v>885</v>
      </c>
      <c r="G555" s="101" t="s">
        <v>990</v>
      </c>
      <c r="H555" s="91">
        <v>41944</v>
      </c>
      <c r="I555" s="73">
        <v>41944</v>
      </c>
      <c r="J555" s="73">
        <v>41944</v>
      </c>
      <c r="K555" s="73">
        <v>33318</v>
      </c>
      <c r="L555" s="19" t="s">
        <v>991</v>
      </c>
      <c r="M555" s="3" t="s">
        <v>57</v>
      </c>
      <c r="N555" s="116" t="s">
        <v>14</v>
      </c>
      <c r="O555" s="104" t="s">
        <v>52</v>
      </c>
      <c r="P555" s="104" t="s">
        <v>52</v>
      </c>
      <c r="Q555" s="105"/>
      <c r="R555" s="26" t="s">
        <v>641</v>
      </c>
      <c r="S555" s="225">
        <f t="shared" si="8"/>
        <v>55427</v>
      </c>
      <c r="T555" s="15" t="s">
        <v>7702</v>
      </c>
      <c r="U555" s="7" t="s">
        <v>62</v>
      </c>
      <c r="V555" s="162" t="str" cm="1">
        <f t="array" ref="V555">_xlfn.IFS(C555="","",COUNTIF(C555,"ตำแหน่งว่าง*"),"ว่าง",COUNTIF(C555,"&lt;&gt;ตำแหน่งว่าง*"),"คนครอง")</f>
        <v>คนครอง</v>
      </c>
      <c r="W555" s="49" cm="1">
        <f t="array" ref="W555">_xlfn.IFS(COUNTIF(F555,"ผบ.หมู่*"),51,COUNTIF(F555,"รอง สว.*"),43)</f>
        <v>51</v>
      </c>
      <c r="X555" s="3" t="s">
        <v>989</v>
      </c>
      <c r="Y555" s="3" t="s">
        <v>52</v>
      </c>
    </row>
    <row r="556" spans="1:25" s="37" customFormat="1" ht="21.3" customHeight="1">
      <c r="A556" s="134"/>
      <c r="B556" s="26"/>
      <c r="C556" s="30" t="s">
        <v>18</v>
      </c>
      <c r="D556" s="27"/>
      <c r="E556" s="27"/>
      <c r="F556" s="94" t="s">
        <v>885</v>
      </c>
      <c r="G556" s="121" t="s">
        <v>993</v>
      </c>
      <c r="H556" s="91" t="s">
        <v>19</v>
      </c>
      <c r="I556" s="73" t="s">
        <v>19</v>
      </c>
      <c r="J556" s="73" t="s">
        <v>19</v>
      </c>
      <c r="K556" s="73" t="s">
        <v>19</v>
      </c>
      <c r="L556" s="19"/>
      <c r="M556" s="3"/>
      <c r="N556" s="172" t="s">
        <v>14</v>
      </c>
      <c r="O556" s="122" t="s">
        <v>52</v>
      </c>
      <c r="P556" s="122" t="s">
        <v>52</v>
      </c>
      <c r="Q556" s="105"/>
      <c r="R556" s="26"/>
      <c r="S556" s="225" t="str">
        <f t="shared" si="8"/>
        <v/>
      </c>
      <c r="T556" s="166" t="s">
        <v>7702</v>
      </c>
      <c r="U556" s="7" t="s">
        <v>62</v>
      </c>
      <c r="V556" s="171" t="str" cm="1">
        <f t="array" ref="V556">_xlfn.IFS(C556="","",COUNTIF(C556,"ตำแหน่งว่าง*"),"ว่าง",COUNTIF(C556,"&lt;&gt;ตำแหน่งว่าง*"),"คนครอง")</f>
        <v>ว่าง</v>
      </c>
      <c r="W556" s="49" cm="1">
        <f t="array" ref="W556">_xlfn.IFS(COUNTIF(F556,"ผบ.หมู่*"),51,COUNTIF(F556,"รอง สว.*"),43)</f>
        <v>51</v>
      </c>
      <c r="X556" s="8" t="s">
        <v>992</v>
      </c>
      <c r="Y556" s="8" t="s">
        <v>52</v>
      </c>
    </row>
    <row r="557" spans="1:25" s="38" customFormat="1" ht="21.3" customHeight="1">
      <c r="A557" s="27" t="s">
        <v>612</v>
      </c>
      <c r="B557" s="26" t="s">
        <v>21</v>
      </c>
      <c r="C557" s="134" t="s">
        <v>994</v>
      </c>
      <c r="D557" s="27" t="s">
        <v>8702</v>
      </c>
      <c r="E557" s="27" t="s">
        <v>8703</v>
      </c>
      <c r="F557" s="134" t="s">
        <v>885</v>
      </c>
      <c r="G557" s="101" t="s">
        <v>996</v>
      </c>
      <c r="H557" s="91">
        <v>41944</v>
      </c>
      <c r="I557" s="73">
        <v>41944</v>
      </c>
      <c r="J557" s="73">
        <v>41944</v>
      </c>
      <c r="K557" s="73">
        <v>31663</v>
      </c>
      <c r="L557" s="19" t="s">
        <v>997</v>
      </c>
      <c r="M557" s="3" t="s">
        <v>87</v>
      </c>
      <c r="N557" s="116" t="s">
        <v>14</v>
      </c>
      <c r="O557" s="104" t="s">
        <v>52</v>
      </c>
      <c r="P557" s="104" t="s">
        <v>52</v>
      </c>
      <c r="Q557" s="105"/>
      <c r="R557" s="26" t="s">
        <v>641</v>
      </c>
      <c r="S557" s="225">
        <f t="shared" si="8"/>
        <v>53601</v>
      </c>
      <c r="T557" s="15" t="s">
        <v>7702</v>
      </c>
      <c r="U557" s="7" t="s">
        <v>62</v>
      </c>
      <c r="V557" s="162" t="str" cm="1">
        <f t="array" ref="V557">_xlfn.IFS(C557="","",COUNTIF(C557,"ตำแหน่งว่าง*"),"ว่าง",COUNTIF(C557,"&lt;&gt;ตำแหน่งว่าง*"),"คนครอง")</f>
        <v>คนครอง</v>
      </c>
      <c r="W557" s="49" cm="1">
        <f t="array" ref="W557">_xlfn.IFS(COUNTIF(F557,"ผบ.หมู่*"),51,COUNTIF(F557,"รอง สว.*"),43)</f>
        <v>51</v>
      </c>
      <c r="X557" s="3" t="s">
        <v>995</v>
      </c>
      <c r="Y557" s="3" t="s">
        <v>52</v>
      </c>
    </row>
    <row r="558" spans="1:25" s="37" customFormat="1" ht="21.3" customHeight="1">
      <c r="A558" s="134"/>
      <c r="B558" s="26"/>
      <c r="C558" s="30" t="s">
        <v>18</v>
      </c>
      <c r="D558" s="27"/>
      <c r="E558" s="27"/>
      <c r="F558" s="94" t="s">
        <v>885</v>
      </c>
      <c r="G558" s="121" t="s">
        <v>999</v>
      </c>
      <c r="H558" s="91" t="s">
        <v>19</v>
      </c>
      <c r="I558" s="73" t="s">
        <v>19</v>
      </c>
      <c r="J558" s="73" t="s">
        <v>19</v>
      </c>
      <c r="K558" s="73" t="s">
        <v>19</v>
      </c>
      <c r="L558" s="19"/>
      <c r="M558" s="3"/>
      <c r="N558" s="172" t="s">
        <v>14</v>
      </c>
      <c r="O558" s="122" t="s">
        <v>52</v>
      </c>
      <c r="P558" s="122" t="s">
        <v>52</v>
      </c>
      <c r="Q558" s="105"/>
      <c r="R558" s="26"/>
      <c r="S558" s="225" t="str">
        <f t="shared" si="8"/>
        <v/>
      </c>
      <c r="T558" s="166" t="s">
        <v>7702</v>
      </c>
      <c r="U558" s="7" t="s">
        <v>62</v>
      </c>
      <c r="V558" s="171" t="str" cm="1">
        <f t="array" ref="V558">_xlfn.IFS(C558="","",COUNTIF(C558,"ตำแหน่งว่าง*"),"ว่าง",COUNTIF(C558,"&lt;&gt;ตำแหน่งว่าง*"),"คนครอง")</f>
        <v>ว่าง</v>
      </c>
      <c r="W558" s="49" cm="1">
        <f t="array" ref="W558">_xlfn.IFS(COUNTIF(F558,"ผบ.หมู่*"),51,COUNTIF(F558,"รอง สว.*"),43)</f>
        <v>51</v>
      </c>
      <c r="X558" s="8" t="s">
        <v>998</v>
      </c>
      <c r="Y558" s="8" t="s">
        <v>52</v>
      </c>
    </row>
    <row r="559" spans="1:25" s="38" customFormat="1" ht="21.3" customHeight="1">
      <c r="A559" s="27" t="s">
        <v>612</v>
      </c>
      <c r="B559" s="26" t="s">
        <v>21</v>
      </c>
      <c r="C559" s="134" t="s">
        <v>1000</v>
      </c>
      <c r="D559" s="27" t="s">
        <v>8045</v>
      </c>
      <c r="E559" s="27" t="s">
        <v>8704</v>
      </c>
      <c r="F559" s="134" t="s">
        <v>885</v>
      </c>
      <c r="G559" s="101" t="s">
        <v>1002</v>
      </c>
      <c r="H559" s="91">
        <v>41944</v>
      </c>
      <c r="I559" s="73">
        <v>41944</v>
      </c>
      <c r="J559" s="73">
        <v>41944</v>
      </c>
      <c r="K559" s="73">
        <v>32559</v>
      </c>
      <c r="L559" s="19" t="s">
        <v>1003</v>
      </c>
      <c r="M559" s="3" t="s">
        <v>17</v>
      </c>
      <c r="N559" s="116" t="s">
        <v>14</v>
      </c>
      <c r="O559" s="104" t="s">
        <v>52</v>
      </c>
      <c r="P559" s="104" t="s">
        <v>52</v>
      </c>
      <c r="Q559" s="105"/>
      <c r="R559" s="26" t="s">
        <v>641</v>
      </c>
      <c r="S559" s="225">
        <f t="shared" si="8"/>
        <v>54697</v>
      </c>
      <c r="T559" s="15" t="s">
        <v>7702</v>
      </c>
      <c r="U559" s="7" t="s">
        <v>62</v>
      </c>
      <c r="V559" s="162" t="str" cm="1">
        <f t="array" ref="V559">_xlfn.IFS(C559="","",COUNTIF(C559,"ตำแหน่งว่าง*"),"ว่าง",COUNTIF(C559,"&lt;&gt;ตำแหน่งว่าง*"),"คนครอง")</f>
        <v>คนครอง</v>
      </c>
      <c r="W559" s="49" cm="1">
        <f t="array" ref="W559">_xlfn.IFS(COUNTIF(F559,"ผบ.หมู่*"),51,COUNTIF(F559,"รอง สว.*"),43)</f>
        <v>51</v>
      </c>
      <c r="X559" s="3" t="s">
        <v>1001</v>
      </c>
      <c r="Y559" s="3" t="s">
        <v>52</v>
      </c>
    </row>
    <row r="560" spans="1:25" s="37" customFormat="1" ht="21.3" customHeight="1">
      <c r="A560" s="134"/>
      <c r="B560" s="29"/>
      <c r="C560" s="30" t="s">
        <v>18</v>
      </c>
      <c r="D560" s="27"/>
      <c r="E560" s="27"/>
      <c r="F560" s="94" t="s">
        <v>885</v>
      </c>
      <c r="G560" s="121" t="s">
        <v>1005</v>
      </c>
      <c r="H560" s="91" t="s">
        <v>19</v>
      </c>
      <c r="I560" s="73" t="s">
        <v>19</v>
      </c>
      <c r="J560" s="73" t="s">
        <v>19</v>
      </c>
      <c r="K560" s="73" t="s">
        <v>19</v>
      </c>
      <c r="L560" s="19"/>
      <c r="M560" s="3"/>
      <c r="N560" s="172" t="s">
        <v>14</v>
      </c>
      <c r="O560" s="122" t="s">
        <v>52</v>
      </c>
      <c r="P560" s="122" t="s">
        <v>52</v>
      </c>
      <c r="Q560" s="106"/>
      <c r="R560" s="29"/>
      <c r="S560" s="225" t="str">
        <f t="shared" si="8"/>
        <v/>
      </c>
      <c r="T560" s="166" t="s">
        <v>7702</v>
      </c>
      <c r="U560" s="7" t="s">
        <v>62</v>
      </c>
      <c r="V560" s="171" t="str" cm="1">
        <f t="array" ref="V560">_xlfn.IFS(C560="","",COUNTIF(C560,"ตำแหน่งว่าง*"),"ว่าง",COUNTIF(C560,"&lt;&gt;ตำแหน่งว่าง*"),"คนครอง")</f>
        <v>ว่าง</v>
      </c>
      <c r="W560" s="49" cm="1">
        <f t="array" ref="W560">_xlfn.IFS(COUNTIF(F560,"ผบ.หมู่*"),51,COUNTIF(F560,"รอง สว.*"),43)</f>
        <v>51</v>
      </c>
      <c r="X560" s="8" t="s">
        <v>1004</v>
      </c>
      <c r="Y560" s="8" t="s">
        <v>52</v>
      </c>
    </row>
    <row r="561" spans="1:25" s="38" customFormat="1" ht="21.3" customHeight="1">
      <c r="A561" s="27" t="s">
        <v>612</v>
      </c>
      <c r="B561" s="26" t="s">
        <v>21</v>
      </c>
      <c r="C561" s="134" t="s">
        <v>1006</v>
      </c>
      <c r="D561" s="27" t="s">
        <v>8705</v>
      </c>
      <c r="E561" s="27" t="s">
        <v>8706</v>
      </c>
      <c r="F561" s="134" t="s">
        <v>885</v>
      </c>
      <c r="G561" s="101" t="s">
        <v>1008</v>
      </c>
      <c r="H561" s="91">
        <v>41944</v>
      </c>
      <c r="I561" s="73">
        <v>41944</v>
      </c>
      <c r="J561" s="73">
        <v>41944</v>
      </c>
      <c r="K561" s="73">
        <v>31201</v>
      </c>
      <c r="L561" s="19" t="s">
        <v>1009</v>
      </c>
      <c r="M561" s="3" t="s">
        <v>79</v>
      </c>
      <c r="N561" s="116" t="s">
        <v>14</v>
      </c>
      <c r="O561" s="104" t="s">
        <v>52</v>
      </c>
      <c r="P561" s="104" t="s">
        <v>52</v>
      </c>
      <c r="Q561" s="105"/>
      <c r="R561" s="26" t="s">
        <v>641</v>
      </c>
      <c r="S561" s="225">
        <f t="shared" si="8"/>
        <v>53236</v>
      </c>
      <c r="T561" s="15" t="s">
        <v>7702</v>
      </c>
      <c r="U561" s="7" t="s">
        <v>62</v>
      </c>
      <c r="V561" s="162" t="str" cm="1">
        <f t="array" ref="V561">_xlfn.IFS(C561="","",COUNTIF(C561,"ตำแหน่งว่าง*"),"ว่าง",COUNTIF(C561,"&lt;&gt;ตำแหน่งว่าง*"),"คนครอง")</f>
        <v>คนครอง</v>
      </c>
      <c r="W561" s="49" cm="1">
        <f t="array" ref="W561">_xlfn.IFS(COUNTIF(F561,"ผบ.หมู่*"),51,COUNTIF(F561,"รอง สว.*"),43)</f>
        <v>51</v>
      </c>
      <c r="X561" s="3" t="s">
        <v>1007</v>
      </c>
      <c r="Y561" s="3" t="s">
        <v>52</v>
      </c>
    </row>
    <row r="562" spans="1:25" s="38" customFormat="1" ht="21.3" customHeight="1">
      <c r="A562" s="27"/>
      <c r="B562" s="26"/>
      <c r="C562" s="30" t="s">
        <v>18</v>
      </c>
      <c r="D562" s="27"/>
      <c r="E562" s="27"/>
      <c r="F562" s="94" t="s">
        <v>885</v>
      </c>
      <c r="G562" s="121" t="s">
        <v>1012</v>
      </c>
      <c r="H562" s="93"/>
      <c r="I562" s="74"/>
      <c r="J562" s="74"/>
      <c r="K562" s="74"/>
      <c r="L562" s="44"/>
      <c r="M562" s="8"/>
      <c r="N562" s="172" t="s">
        <v>14</v>
      </c>
      <c r="O562" s="122" t="s">
        <v>52</v>
      </c>
      <c r="P562" s="122" t="s">
        <v>52</v>
      </c>
      <c r="Q562" s="106"/>
      <c r="R562" s="29"/>
      <c r="S562" s="225" t="str">
        <f t="shared" si="8"/>
        <v/>
      </c>
      <c r="T562" s="15" t="s">
        <v>7702</v>
      </c>
      <c r="U562" s="7" t="s">
        <v>62</v>
      </c>
      <c r="V562" s="171" t="str" cm="1">
        <f t="array" ref="V562">_xlfn.IFS(C562="","",COUNTIF(C562,"ตำแหน่งว่าง*"),"ว่าง",COUNTIF(C562,"&lt;&gt;ตำแหน่งว่าง*"),"คนครอง")</f>
        <v>ว่าง</v>
      </c>
      <c r="W562" s="49" cm="1">
        <f t="array" ref="W562">_xlfn.IFS(COUNTIF(F562,"ผบ.หมู่*"),51,COUNTIF(F562,"รอง สว.*"),43)</f>
        <v>51</v>
      </c>
      <c r="X562" s="8" t="s">
        <v>1011</v>
      </c>
      <c r="Y562" s="8" t="s">
        <v>52</v>
      </c>
    </row>
    <row r="563" spans="1:25" s="10" customFormat="1" ht="21.3" customHeight="1">
      <c r="A563" s="27"/>
      <c r="B563" s="28"/>
      <c r="C563" s="30" t="s">
        <v>18</v>
      </c>
      <c r="D563" s="27"/>
      <c r="E563" s="27"/>
      <c r="F563" s="68" t="s">
        <v>1014</v>
      </c>
      <c r="G563" s="121" t="s">
        <v>1016</v>
      </c>
      <c r="H563" s="91" t="s">
        <v>19</v>
      </c>
      <c r="I563" s="73" t="s">
        <v>19</v>
      </c>
      <c r="J563" s="73" t="s">
        <v>19</v>
      </c>
      <c r="K563" s="73" t="s">
        <v>19</v>
      </c>
      <c r="L563" s="11"/>
      <c r="M563" s="1"/>
      <c r="N563" s="113" t="s">
        <v>14</v>
      </c>
      <c r="O563" s="122" t="s">
        <v>27</v>
      </c>
      <c r="P563" s="122"/>
      <c r="Q563" s="105"/>
      <c r="R563" s="26"/>
      <c r="S563" s="225" t="str">
        <f t="shared" si="8"/>
        <v/>
      </c>
      <c r="T563" s="7" t="s">
        <v>7703</v>
      </c>
      <c r="U563" s="7" t="s">
        <v>62</v>
      </c>
      <c r="V563" s="171" t="str" cm="1">
        <f t="array" ref="V563">_xlfn.IFS(C563="","",COUNTIF(C563,"ตำแหน่งว่าง*"),"ว่าง",COUNTIF(C563,"&lt;&gt;ตำแหน่งว่าง*"),"คนครอง")</f>
        <v>ว่าง</v>
      </c>
      <c r="W563" s="49" cm="1">
        <f t="array" ref="W563">_xlfn.IFS(COUNTIF(F563,"ผบ.หมู่*"),51,COUNTIF(F563,"รอง สว.*"),43)</f>
        <v>51</v>
      </c>
      <c r="X563" s="8" t="s">
        <v>1015</v>
      </c>
      <c r="Y563" s="6" t="s">
        <v>27</v>
      </c>
    </row>
    <row r="564" spans="1:25" s="10" customFormat="1" ht="21.3" customHeight="1">
      <c r="A564" s="27"/>
      <c r="B564" s="28"/>
      <c r="C564" s="30" t="s">
        <v>18</v>
      </c>
      <c r="D564" s="27"/>
      <c r="E564" s="27"/>
      <c r="F564" s="68" t="s">
        <v>1014</v>
      </c>
      <c r="G564" s="121" t="s">
        <v>1018</v>
      </c>
      <c r="H564" s="91" t="s">
        <v>19</v>
      </c>
      <c r="I564" s="73" t="s">
        <v>19</v>
      </c>
      <c r="J564" s="73" t="s">
        <v>19</v>
      </c>
      <c r="K564" s="73" t="s">
        <v>19</v>
      </c>
      <c r="L564" s="11"/>
      <c r="M564" s="1"/>
      <c r="N564" s="113" t="s">
        <v>14</v>
      </c>
      <c r="O564" s="122" t="s">
        <v>27</v>
      </c>
      <c r="P564" s="122"/>
      <c r="Q564" s="105"/>
      <c r="R564" s="26"/>
      <c r="S564" s="225" t="str">
        <f t="shared" si="8"/>
        <v/>
      </c>
      <c r="T564" s="7" t="s">
        <v>7703</v>
      </c>
      <c r="U564" s="7" t="s">
        <v>62</v>
      </c>
      <c r="V564" s="171" t="str" cm="1">
        <f t="array" ref="V564">_xlfn.IFS(C564="","",COUNTIF(C564,"ตำแหน่งว่าง*"),"ว่าง",COUNTIF(C564,"&lt;&gt;ตำแหน่งว่าง*"),"คนครอง")</f>
        <v>ว่าง</v>
      </c>
      <c r="W564" s="49" cm="1">
        <f t="array" ref="W564">_xlfn.IFS(COUNTIF(F564,"ผบ.หมู่*"),51,COUNTIF(F564,"รอง สว.*"),43)</f>
        <v>51</v>
      </c>
      <c r="X564" s="8" t="s">
        <v>1017</v>
      </c>
      <c r="Y564" s="6" t="s">
        <v>27</v>
      </c>
    </row>
    <row r="565" spans="1:25" s="10" customFormat="1" ht="21.3" customHeight="1">
      <c r="A565" s="27"/>
      <c r="B565" s="28"/>
      <c r="C565" s="30" t="s">
        <v>18</v>
      </c>
      <c r="D565" s="27"/>
      <c r="E565" s="27"/>
      <c r="F565" s="68" t="s">
        <v>1014</v>
      </c>
      <c r="G565" s="121" t="s">
        <v>1020</v>
      </c>
      <c r="H565" s="91" t="s">
        <v>19</v>
      </c>
      <c r="I565" s="73" t="s">
        <v>19</v>
      </c>
      <c r="J565" s="73" t="s">
        <v>19</v>
      </c>
      <c r="K565" s="73" t="s">
        <v>19</v>
      </c>
      <c r="L565" s="11"/>
      <c r="M565" s="1"/>
      <c r="N565" s="113" t="s">
        <v>14</v>
      </c>
      <c r="O565" s="122" t="s">
        <v>27</v>
      </c>
      <c r="P565" s="122"/>
      <c r="Q565" s="105"/>
      <c r="R565" s="26"/>
      <c r="S565" s="225" t="str">
        <f t="shared" si="8"/>
        <v/>
      </c>
      <c r="T565" s="7" t="s">
        <v>7703</v>
      </c>
      <c r="U565" s="7" t="s">
        <v>62</v>
      </c>
      <c r="V565" s="171" t="str" cm="1">
        <f t="array" ref="V565">_xlfn.IFS(C565="","",COUNTIF(C565,"ตำแหน่งว่าง*"),"ว่าง",COUNTIF(C565,"&lt;&gt;ตำแหน่งว่าง*"),"คนครอง")</f>
        <v>ว่าง</v>
      </c>
      <c r="W565" s="49" cm="1">
        <f t="array" ref="W565">_xlfn.IFS(COUNTIF(F565,"ผบ.หมู่*"),51,COUNTIF(F565,"รอง สว.*"),43)</f>
        <v>51</v>
      </c>
      <c r="X565" s="8" t="s">
        <v>1019</v>
      </c>
      <c r="Y565" s="6" t="s">
        <v>27</v>
      </c>
    </row>
    <row r="566" spans="1:25" s="9" customFormat="1" ht="21.3" customHeight="1">
      <c r="A566" s="27" t="s">
        <v>157</v>
      </c>
      <c r="B566" s="28" t="s">
        <v>12</v>
      </c>
      <c r="C566" s="27" t="s">
        <v>1021</v>
      </c>
      <c r="D566" s="27" t="s">
        <v>8707</v>
      </c>
      <c r="E566" s="27" t="s">
        <v>8708</v>
      </c>
      <c r="F566" s="27" t="s">
        <v>1014</v>
      </c>
      <c r="G566" s="101" t="s">
        <v>1023</v>
      </c>
      <c r="H566" s="75">
        <v>41864</v>
      </c>
      <c r="I566" s="73">
        <v>41864</v>
      </c>
      <c r="J566" s="73">
        <v>41864</v>
      </c>
      <c r="K566" s="73">
        <v>33142</v>
      </c>
      <c r="L566" s="11" t="s">
        <v>1024</v>
      </c>
      <c r="M566" s="1" t="s">
        <v>49</v>
      </c>
      <c r="N566" s="112" t="s">
        <v>14</v>
      </c>
      <c r="O566" s="104" t="s">
        <v>52</v>
      </c>
      <c r="P566" s="104" t="s">
        <v>52</v>
      </c>
      <c r="Q566" s="105"/>
      <c r="R566" s="26" t="s">
        <v>1025</v>
      </c>
      <c r="S566" s="225">
        <f t="shared" si="8"/>
        <v>55062</v>
      </c>
      <c r="T566" s="2" t="s">
        <v>7703</v>
      </c>
      <c r="U566" s="7" t="s">
        <v>62</v>
      </c>
      <c r="V566" s="162" t="str" cm="1">
        <f t="array" ref="V566">_xlfn.IFS(C566="","",COUNTIF(C566,"ตำแหน่งว่าง*"),"ว่าง",COUNTIF(C566,"&lt;&gt;ตำแหน่งว่าง*"),"คนครอง")</f>
        <v>คนครอง</v>
      </c>
      <c r="W566" s="49" cm="1">
        <f t="array" ref="W566">_xlfn.IFS(COUNTIF(F566,"ผบ.หมู่*"),51,COUNTIF(F566,"รอง สว.*"),43)</f>
        <v>51</v>
      </c>
      <c r="X566" s="3" t="s">
        <v>1022</v>
      </c>
      <c r="Y566" s="1" t="s">
        <v>52</v>
      </c>
    </row>
    <row r="567" spans="1:25" s="9" customFormat="1" ht="21.3" customHeight="1">
      <c r="A567" s="192" t="s">
        <v>169</v>
      </c>
      <c r="B567" s="193" t="s">
        <v>12</v>
      </c>
      <c r="C567" s="192" t="s">
        <v>7892</v>
      </c>
      <c r="D567" s="27" t="s">
        <v>8709</v>
      </c>
      <c r="E567" s="27" t="s">
        <v>8710</v>
      </c>
      <c r="F567" s="192" t="s">
        <v>1014</v>
      </c>
      <c r="G567" s="101" t="s">
        <v>1027</v>
      </c>
      <c r="H567" s="73">
        <v>45463</v>
      </c>
      <c r="I567" s="73">
        <v>45463</v>
      </c>
      <c r="J567" s="73">
        <v>45463</v>
      </c>
      <c r="K567" s="73">
        <v>35188</v>
      </c>
      <c r="L567" s="2" t="s">
        <v>82</v>
      </c>
      <c r="M567" s="1"/>
      <c r="N567" s="112" t="s">
        <v>14</v>
      </c>
      <c r="O567" s="104" t="s">
        <v>52</v>
      </c>
      <c r="P567" s="104" t="s">
        <v>52</v>
      </c>
      <c r="Q567" s="105"/>
      <c r="R567" s="28" t="s">
        <v>7961</v>
      </c>
      <c r="S567" s="174">
        <f t="shared" si="8"/>
        <v>57254</v>
      </c>
      <c r="T567" s="2" t="s">
        <v>7703</v>
      </c>
      <c r="U567" s="2" t="s">
        <v>62</v>
      </c>
      <c r="V567" s="162" t="str" cm="1">
        <f t="array" ref="V567">_xlfn.IFS(C567="","",COUNTIF(C567,"ตำแหน่งว่าง*"),"ว่าง",COUNTIF(C567,"&lt;&gt;ตำแหน่งว่าง*"),"คนครอง")</f>
        <v>คนครอง</v>
      </c>
      <c r="W567" s="49" cm="1">
        <f t="array" ref="W567">_xlfn.IFS(COUNTIF(F567,"ผบ.หมู่*"),51,COUNTIF(F567,"รอง สว.*"),43)</f>
        <v>51</v>
      </c>
      <c r="X567" s="3" t="s">
        <v>1026</v>
      </c>
      <c r="Y567" s="1" t="s">
        <v>52</v>
      </c>
    </row>
    <row r="568" spans="1:25" s="9" customFormat="1" ht="21.3" customHeight="1">
      <c r="A568" s="27" t="s">
        <v>182</v>
      </c>
      <c r="B568" s="28" t="s">
        <v>21</v>
      </c>
      <c r="C568" s="27" t="s">
        <v>3213</v>
      </c>
      <c r="D568" s="27" t="s">
        <v>8279</v>
      </c>
      <c r="E568" s="27" t="s">
        <v>9236</v>
      </c>
      <c r="F568" s="27" t="s">
        <v>1014</v>
      </c>
      <c r="G568" s="101" t="s">
        <v>1029</v>
      </c>
      <c r="H568" s="75">
        <v>45768</v>
      </c>
      <c r="I568" s="73">
        <v>44043</v>
      </c>
      <c r="J568" s="73">
        <v>44043</v>
      </c>
      <c r="K568" s="73">
        <v>32730</v>
      </c>
      <c r="L568" s="11" t="s">
        <v>82</v>
      </c>
      <c r="M568" s="1" t="s">
        <v>49</v>
      </c>
      <c r="N568" s="112" t="s">
        <v>14</v>
      </c>
      <c r="O568" s="104" t="s">
        <v>52</v>
      </c>
      <c r="P568" s="104" t="s">
        <v>52</v>
      </c>
      <c r="Q568" s="105"/>
      <c r="R568" s="26" t="s">
        <v>10804</v>
      </c>
      <c r="S568" s="174">
        <f t="shared" si="8"/>
        <v>54697</v>
      </c>
      <c r="T568" s="2" t="s">
        <v>7703</v>
      </c>
      <c r="U568" s="2" t="s">
        <v>62</v>
      </c>
      <c r="V568" s="203" t="str" cm="1">
        <f t="array" ref="V568">_xlfn.IFS(C568="","",COUNTIF(C568,"ตำแหน่งว่าง*"),"ว่าง",COUNTIF(C568,"&lt;&gt;ตำแหน่งว่าง*"),"คนครอง")</f>
        <v>คนครอง</v>
      </c>
      <c r="W568" s="170" cm="1">
        <f t="array" ref="W568">_xlfn.IFS(COUNTIF(F568,"ผบ.หมู่*"),51,COUNTIF(F568,"รอง สว.*"),43)</f>
        <v>51</v>
      </c>
      <c r="X568" s="3" t="s">
        <v>1028</v>
      </c>
      <c r="Y568" s="1" t="s">
        <v>52</v>
      </c>
    </row>
    <row r="569" spans="1:25" s="9" customFormat="1" ht="21.3" customHeight="1">
      <c r="A569" s="27" t="s">
        <v>157</v>
      </c>
      <c r="B569" s="28" t="s">
        <v>21</v>
      </c>
      <c r="C569" s="27" t="s">
        <v>1030</v>
      </c>
      <c r="D569" s="27" t="s">
        <v>8013</v>
      </c>
      <c r="E569" s="27" t="s">
        <v>8711</v>
      </c>
      <c r="F569" s="27" t="s">
        <v>1014</v>
      </c>
      <c r="G569" s="101" t="s">
        <v>1032</v>
      </c>
      <c r="H569" s="75">
        <v>40063</v>
      </c>
      <c r="I569" s="73">
        <v>40063</v>
      </c>
      <c r="J569" s="73">
        <v>34729</v>
      </c>
      <c r="K569" s="73">
        <v>27572</v>
      </c>
      <c r="L569" s="11" t="s">
        <v>1033</v>
      </c>
      <c r="M569" s="1" t="s">
        <v>61</v>
      </c>
      <c r="N569" s="112" t="s">
        <v>14</v>
      </c>
      <c r="O569" s="104" t="s">
        <v>52</v>
      </c>
      <c r="P569" s="104" t="s">
        <v>52</v>
      </c>
      <c r="Q569" s="105"/>
      <c r="R569" s="26" t="s">
        <v>603</v>
      </c>
      <c r="S569" s="225">
        <f t="shared" si="8"/>
        <v>49583</v>
      </c>
      <c r="T569" s="2" t="s">
        <v>7703</v>
      </c>
      <c r="U569" s="7" t="s">
        <v>62</v>
      </c>
      <c r="V569" s="162" t="str" cm="1">
        <f t="array" ref="V569">_xlfn.IFS(C569="","",COUNTIF(C569,"ตำแหน่งว่าง*"),"ว่าง",COUNTIF(C569,"&lt;&gt;ตำแหน่งว่าง*"),"คนครอง")</f>
        <v>คนครอง</v>
      </c>
      <c r="W569" s="49" cm="1">
        <f t="array" ref="W569">_xlfn.IFS(COUNTIF(F569,"ผบ.หมู่*"),51,COUNTIF(F569,"รอง สว.*"),43)</f>
        <v>51</v>
      </c>
      <c r="X569" s="3" t="s">
        <v>1031</v>
      </c>
      <c r="Y569" s="1" t="s">
        <v>52</v>
      </c>
    </row>
    <row r="570" spans="1:25" s="10" customFormat="1" ht="21.3" customHeight="1">
      <c r="A570" s="65" t="s">
        <v>169</v>
      </c>
      <c r="B570" s="66" t="s">
        <v>21</v>
      </c>
      <c r="C570" s="65" t="s">
        <v>1034</v>
      </c>
      <c r="D570" s="27" t="s">
        <v>8712</v>
      </c>
      <c r="E570" s="27" t="s">
        <v>8713</v>
      </c>
      <c r="F570" s="65" t="s">
        <v>1014</v>
      </c>
      <c r="G570" s="101" t="s">
        <v>1036</v>
      </c>
      <c r="H570" s="81">
        <v>44986</v>
      </c>
      <c r="I570" s="77">
        <v>44986</v>
      </c>
      <c r="J570" s="77">
        <v>44986</v>
      </c>
      <c r="K570" s="77">
        <v>35570</v>
      </c>
      <c r="L570" s="63" t="s">
        <v>82</v>
      </c>
      <c r="M570" s="61" t="s">
        <v>57</v>
      </c>
      <c r="N570" s="114" t="s">
        <v>14</v>
      </c>
      <c r="O570" s="104" t="s">
        <v>52</v>
      </c>
      <c r="P570" s="104" t="s">
        <v>52</v>
      </c>
      <c r="Q570" s="107"/>
      <c r="R570" s="66" t="s">
        <v>861</v>
      </c>
      <c r="S570" s="225">
        <f t="shared" si="8"/>
        <v>57619</v>
      </c>
      <c r="T570" s="7" t="s">
        <v>7703</v>
      </c>
      <c r="U570" s="7" t="s">
        <v>62</v>
      </c>
      <c r="V570" s="162" t="str" cm="1">
        <f t="array" ref="V570">_xlfn.IFS(C570="","",COUNTIF(C570,"ตำแหน่งว่าง*"),"ว่าง",COUNTIF(C570,"&lt;&gt;ตำแหน่งว่าง*"),"คนครอง")</f>
        <v>คนครอง</v>
      </c>
      <c r="W570" s="49" cm="1">
        <f t="array" ref="W570">_xlfn.IFS(COUNTIF(F570,"ผบ.หมู่*"),51,COUNTIF(F570,"รอง สว.*"),43)</f>
        <v>51</v>
      </c>
      <c r="X570" s="62" t="s">
        <v>1035</v>
      </c>
      <c r="Y570" s="61" t="s">
        <v>52</v>
      </c>
    </row>
    <row r="571" spans="1:25" s="9" customFormat="1" ht="21.3" customHeight="1">
      <c r="A571" s="27" t="s">
        <v>612</v>
      </c>
      <c r="B571" s="28" t="s">
        <v>12</v>
      </c>
      <c r="C571" s="27" t="s">
        <v>1037</v>
      </c>
      <c r="D571" s="27" t="s">
        <v>8714</v>
      </c>
      <c r="E571" s="27" t="s">
        <v>8715</v>
      </c>
      <c r="F571" s="27" t="s">
        <v>1014</v>
      </c>
      <c r="G571" s="101" t="s">
        <v>1039</v>
      </c>
      <c r="H571" s="75">
        <v>44243</v>
      </c>
      <c r="I571" s="73">
        <v>44243</v>
      </c>
      <c r="J571" s="73">
        <v>42416</v>
      </c>
      <c r="K571" s="73">
        <v>33602</v>
      </c>
      <c r="L571" s="11" t="s">
        <v>1040</v>
      </c>
      <c r="M571" s="1" t="s">
        <v>91</v>
      </c>
      <c r="N571" s="112" t="s">
        <v>14</v>
      </c>
      <c r="O571" s="104" t="s">
        <v>52</v>
      </c>
      <c r="P571" s="104" t="s">
        <v>52</v>
      </c>
      <c r="Q571" s="105"/>
      <c r="R571" s="26" t="s">
        <v>617</v>
      </c>
      <c r="S571" s="225">
        <f t="shared" si="8"/>
        <v>55793</v>
      </c>
      <c r="T571" s="2" t="s">
        <v>7703</v>
      </c>
      <c r="U571" s="7" t="s">
        <v>62</v>
      </c>
      <c r="V571" s="162" t="str" cm="1">
        <f t="array" ref="V571">_xlfn.IFS(C571="","",COUNTIF(C571,"ตำแหน่งว่าง*"),"ว่าง",COUNTIF(C571,"&lt;&gt;ตำแหน่งว่าง*"),"คนครอง")</f>
        <v>คนครอง</v>
      </c>
      <c r="W571" s="49" cm="1">
        <f t="array" ref="W571">_xlfn.IFS(COUNTIF(F571,"ผบ.หมู่*"),51,COUNTIF(F571,"รอง สว.*"),43)</f>
        <v>51</v>
      </c>
      <c r="X571" s="3" t="s">
        <v>1038</v>
      </c>
      <c r="Y571" s="1" t="s">
        <v>52</v>
      </c>
    </row>
    <row r="572" spans="1:25" s="9" customFormat="1" ht="21.3" customHeight="1">
      <c r="A572" s="95" t="s">
        <v>208</v>
      </c>
      <c r="B572" s="28" t="s">
        <v>21</v>
      </c>
      <c r="C572" s="95" t="s">
        <v>1041</v>
      </c>
      <c r="D572" s="27" t="s">
        <v>8716</v>
      </c>
      <c r="E572" s="27" t="s">
        <v>8717</v>
      </c>
      <c r="F572" s="27" t="s">
        <v>1014</v>
      </c>
      <c r="G572" s="101" t="s">
        <v>1043</v>
      </c>
      <c r="H572" s="92">
        <v>43693</v>
      </c>
      <c r="I572" s="73">
        <v>43693</v>
      </c>
      <c r="J572" s="89">
        <v>43693</v>
      </c>
      <c r="K572" s="73">
        <v>33602</v>
      </c>
      <c r="L572" s="11" t="s">
        <v>1044</v>
      </c>
      <c r="M572" s="1" t="s">
        <v>140</v>
      </c>
      <c r="N572" s="112" t="s">
        <v>14</v>
      </c>
      <c r="O572" s="104" t="s">
        <v>52</v>
      </c>
      <c r="P572" s="104" t="s">
        <v>52</v>
      </c>
      <c r="Q572" s="105"/>
      <c r="R572" s="26" t="s">
        <v>645</v>
      </c>
      <c r="S572" s="225">
        <f t="shared" si="8"/>
        <v>55793</v>
      </c>
      <c r="T572" s="2" t="s">
        <v>7703</v>
      </c>
      <c r="U572" s="7" t="s">
        <v>62</v>
      </c>
      <c r="V572" s="162" t="str" cm="1">
        <f t="array" ref="V572">_xlfn.IFS(C572="","",COUNTIF(C572,"ตำแหน่งว่าง*"),"ว่าง",COUNTIF(C572,"&lt;&gt;ตำแหน่งว่าง*"),"คนครอง")</f>
        <v>คนครอง</v>
      </c>
      <c r="W572" s="49" cm="1">
        <f t="array" ref="W572">_xlfn.IFS(COUNTIF(F572,"ผบ.หมู่*"),51,COUNTIF(F572,"รอง สว.*"),43)</f>
        <v>51</v>
      </c>
      <c r="X572" s="3" t="s">
        <v>1042</v>
      </c>
      <c r="Y572" s="1" t="s">
        <v>52</v>
      </c>
    </row>
    <row r="573" spans="1:25" s="12" customFormat="1" ht="21.3" customHeight="1">
      <c r="A573" s="27" t="s">
        <v>182</v>
      </c>
      <c r="B573" s="31" t="s">
        <v>21</v>
      </c>
      <c r="C573" s="95" t="s">
        <v>1045</v>
      </c>
      <c r="D573" s="27" t="s">
        <v>8286</v>
      </c>
      <c r="E573" s="27" t="s">
        <v>8718</v>
      </c>
      <c r="F573" s="95" t="s">
        <v>1014</v>
      </c>
      <c r="G573" s="101" t="s">
        <v>1047</v>
      </c>
      <c r="H573" s="75">
        <v>44636</v>
      </c>
      <c r="I573" s="76">
        <v>44636</v>
      </c>
      <c r="J573" s="76">
        <v>44636</v>
      </c>
      <c r="K573" s="76">
        <v>36198</v>
      </c>
      <c r="L573" s="17" t="s">
        <v>82</v>
      </c>
      <c r="M573" s="5" t="s">
        <v>28</v>
      </c>
      <c r="N573" s="111" t="s">
        <v>14</v>
      </c>
      <c r="O573" s="104" t="s">
        <v>52</v>
      </c>
      <c r="P573" s="104" t="s">
        <v>52</v>
      </c>
      <c r="Q573" s="108"/>
      <c r="R573" s="135" t="s">
        <v>611</v>
      </c>
      <c r="S573" s="225">
        <f t="shared" si="8"/>
        <v>58349</v>
      </c>
      <c r="T573" s="162" t="s">
        <v>7703</v>
      </c>
      <c r="U573" s="7" t="s">
        <v>62</v>
      </c>
      <c r="V573" s="162" t="str" cm="1">
        <f t="array" ref="V573">_xlfn.IFS(C573="","",COUNTIF(C573,"ตำแหน่งว่าง*"),"ว่าง",COUNTIF(C573,"&lt;&gt;ตำแหน่งว่าง*"),"คนครอง")</f>
        <v>คนครอง</v>
      </c>
      <c r="W573" s="49" cm="1">
        <f t="array" ref="W573">_xlfn.IFS(COUNTIF(F573,"ผบ.หมู่*"),51,COUNTIF(F573,"รอง สว.*"),43)</f>
        <v>51</v>
      </c>
      <c r="X573" s="4" t="s">
        <v>1046</v>
      </c>
      <c r="Y573" s="5" t="s">
        <v>52</v>
      </c>
    </row>
    <row r="574" spans="1:25" s="12" customFormat="1" ht="21.3" customHeight="1">
      <c r="A574" s="27" t="s">
        <v>182</v>
      </c>
      <c r="B574" s="31" t="s">
        <v>21</v>
      </c>
      <c r="C574" s="95" t="s">
        <v>1048</v>
      </c>
      <c r="D574" s="27" t="s">
        <v>8719</v>
      </c>
      <c r="E574" s="27" t="s">
        <v>8720</v>
      </c>
      <c r="F574" s="95" t="s">
        <v>1014</v>
      </c>
      <c r="G574" s="101" t="s">
        <v>1050</v>
      </c>
      <c r="H574" s="75">
        <v>44636</v>
      </c>
      <c r="I574" s="76">
        <v>44636</v>
      </c>
      <c r="J574" s="76">
        <v>44636</v>
      </c>
      <c r="K574" s="76">
        <v>35746</v>
      </c>
      <c r="L574" s="17" t="s">
        <v>82</v>
      </c>
      <c r="M574" s="5" t="s">
        <v>24</v>
      </c>
      <c r="N574" s="111" t="s">
        <v>14</v>
      </c>
      <c r="O574" s="104" t="s">
        <v>52</v>
      </c>
      <c r="P574" s="104" t="s">
        <v>52</v>
      </c>
      <c r="Q574" s="108"/>
      <c r="R574" s="135" t="s">
        <v>611</v>
      </c>
      <c r="S574" s="225">
        <f t="shared" si="8"/>
        <v>57984</v>
      </c>
      <c r="T574" s="162" t="s">
        <v>7703</v>
      </c>
      <c r="U574" s="7" t="s">
        <v>62</v>
      </c>
      <c r="V574" s="162" t="str" cm="1">
        <f t="array" ref="V574">_xlfn.IFS(C574="","",COUNTIF(C574,"ตำแหน่งว่าง*"),"ว่าง",COUNTIF(C574,"&lt;&gt;ตำแหน่งว่าง*"),"คนครอง")</f>
        <v>คนครอง</v>
      </c>
      <c r="W574" s="49" cm="1">
        <f t="array" ref="W574">_xlfn.IFS(COUNTIF(F574,"ผบ.หมู่*"),51,COUNTIF(F574,"รอง สว.*"),43)</f>
        <v>51</v>
      </c>
      <c r="X574" s="4" t="s">
        <v>1049</v>
      </c>
      <c r="Y574" s="5" t="s">
        <v>52</v>
      </c>
    </row>
    <row r="575" spans="1:25" s="12" customFormat="1" ht="21.3" customHeight="1">
      <c r="A575" s="27" t="s">
        <v>182</v>
      </c>
      <c r="B575" s="31" t="s">
        <v>12</v>
      </c>
      <c r="C575" s="95" t="s">
        <v>1051</v>
      </c>
      <c r="D575" s="27" t="s">
        <v>8049</v>
      </c>
      <c r="E575" s="27" t="s">
        <v>8721</v>
      </c>
      <c r="F575" s="95" t="s">
        <v>1014</v>
      </c>
      <c r="G575" s="101" t="s">
        <v>1053</v>
      </c>
      <c r="H575" s="75">
        <v>44636</v>
      </c>
      <c r="I575" s="76">
        <v>44636</v>
      </c>
      <c r="J575" s="76">
        <v>44636</v>
      </c>
      <c r="K575" s="76">
        <v>35457</v>
      </c>
      <c r="L575" s="17" t="s">
        <v>82</v>
      </c>
      <c r="M575" s="5" t="s">
        <v>91</v>
      </c>
      <c r="N575" s="111" t="s">
        <v>14</v>
      </c>
      <c r="O575" s="104" t="s">
        <v>52</v>
      </c>
      <c r="P575" s="104" t="s">
        <v>52</v>
      </c>
      <c r="Q575" s="108"/>
      <c r="R575" s="135" t="s">
        <v>611</v>
      </c>
      <c r="S575" s="225">
        <f t="shared" si="8"/>
        <v>57619</v>
      </c>
      <c r="T575" s="162" t="s">
        <v>7703</v>
      </c>
      <c r="U575" s="7" t="s">
        <v>62</v>
      </c>
      <c r="V575" s="162" t="str" cm="1">
        <f t="array" ref="V575">_xlfn.IFS(C575="","",COUNTIF(C575,"ตำแหน่งว่าง*"),"ว่าง",COUNTIF(C575,"&lt;&gt;ตำแหน่งว่าง*"),"คนครอง")</f>
        <v>คนครอง</v>
      </c>
      <c r="W575" s="49" cm="1">
        <f t="array" ref="W575">_xlfn.IFS(COUNTIF(F575,"ผบ.หมู่*"),51,COUNTIF(F575,"รอง สว.*"),43)</f>
        <v>51</v>
      </c>
      <c r="X575" s="4" t="s">
        <v>1052</v>
      </c>
      <c r="Y575" s="5" t="s">
        <v>52</v>
      </c>
    </row>
    <row r="576" spans="1:25" s="12" customFormat="1" ht="21.3" customHeight="1">
      <c r="A576" s="27" t="s">
        <v>182</v>
      </c>
      <c r="B576" s="31" t="s">
        <v>12</v>
      </c>
      <c r="C576" s="95" t="s">
        <v>1054</v>
      </c>
      <c r="D576" s="27" t="s">
        <v>8722</v>
      </c>
      <c r="E576" s="27" t="s">
        <v>8723</v>
      </c>
      <c r="F576" s="95" t="s">
        <v>1014</v>
      </c>
      <c r="G576" s="101" t="s">
        <v>1056</v>
      </c>
      <c r="H576" s="75">
        <v>44636</v>
      </c>
      <c r="I576" s="76">
        <v>44636</v>
      </c>
      <c r="J576" s="76">
        <v>44636</v>
      </c>
      <c r="K576" s="76">
        <v>35215</v>
      </c>
      <c r="L576" s="17" t="s">
        <v>82</v>
      </c>
      <c r="M576" s="5" t="s">
        <v>61</v>
      </c>
      <c r="N576" s="111" t="s">
        <v>14</v>
      </c>
      <c r="O576" s="104" t="s">
        <v>52</v>
      </c>
      <c r="P576" s="104" t="s">
        <v>52</v>
      </c>
      <c r="Q576" s="108"/>
      <c r="R576" s="135" t="s">
        <v>611</v>
      </c>
      <c r="S576" s="225">
        <f t="shared" si="8"/>
        <v>57254</v>
      </c>
      <c r="T576" s="162" t="s">
        <v>7703</v>
      </c>
      <c r="U576" s="7" t="s">
        <v>62</v>
      </c>
      <c r="V576" s="162" t="str" cm="1">
        <f t="array" ref="V576">_xlfn.IFS(C576="","",COUNTIF(C576,"ตำแหน่งว่าง*"),"ว่าง",COUNTIF(C576,"&lt;&gt;ตำแหน่งว่าง*"),"คนครอง")</f>
        <v>คนครอง</v>
      </c>
      <c r="W576" s="49" cm="1">
        <f t="array" ref="W576">_xlfn.IFS(COUNTIF(F576,"ผบ.หมู่*"),51,COUNTIF(F576,"รอง สว.*"),43)</f>
        <v>51</v>
      </c>
      <c r="X576" s="4" t="s">
        <v>1055</v>
      </c>
      <c r="Y576" s="5" t="s">
        <v>52</v>
      </c>
    </row>
    <row r="577" spans="1:25" s="12" customFormat="1" ht="21.3" customHeight="1">
      <c r="A577" s="27" t="s">
        <v>182</v>
      </c>
      <c r="B577" s="31" t="s">
        <v>12</v>
      </c>
      <c r="C577" s="95" t="s">
        <v>1057</v>
      </c>
      <c r="D577" s="27" t="s">
        <v>8724</v>
      </c>
      <c r="E577" s="27" t="s">
        <v>8725</v>
      </c>
      <c r="F577" s="95" t="s">
        <v>1014</v>
      </c>
      <c r="G577" s="101" t="s">
        <v>1059</v>
      </c>
      <c r="H577" s="75">
        <v>44636</v>
      </c>
      <c r="I577" s="76">
        <v>44636</v>
      </c>
      <c r="J577" s="76">
        <v>44636</v>
      </c>
      <c r="K577" s="76">
        <v>33721</v>
      </c>
      <c r="L577" s="17" t="s">
        <v>82</v>
      </c>
      <c r="M577" s="5" t="s">
        <v>57</v>
      </c>
      <c r="N577" s="111" t="s">
        <v>14</v>
      </c>
      <c r="O577" s="104" t="s">
        <v>52</v>
      </c>
      <c r="P577" s="104" t="s">
        <v>52</v>
      </c>
      <c r="Q577" s="108"/>
      <c r="R577" s="135" t="s">
        <v>611</v>
      </c>
      <c r="S577" s="225">
        <f t="shared" si="8"/>
        <v>55793</v>
      </c>
      <c r="T577" s="162" t="s">
        <v>7703</v>
      </c>
      <c r="U577" s="7" t="s">
        <v>62</v>
      </c>
      <c r="V577" s="162" t="str" cm="1">
        <f t="array" ref="V577">_xlfn.IFS(C577="","",COUNTIF(C577,"ตำแหน่งว่าง*"),"ว่าง",COUNTIF(C577,"&lt;&gt;ตำแหน่งว่าง*"),"คนครอง")</f>
        <v>คนครอง</v>
      </c>
      <c r="W577" s="49" cm="1">
        <f t="array" ref="W577">_xlfn.IFS(COUNTIF(F577,"ผบ.หมู่*"),51,COUNTIF(F577,"รอง สว.*"),43)</f>
        <v>51</v>
      </c>
      <c r="X577" s="4" t="s">
        <v>1058</v>
      </c>
      <c r="Y577" s="5" t="s">
        <v>52</v>
      </c>
    </row>
    <row r="578" spans="1:25" s="10" customFormat="1" ht="21.3" customHeight="1">
      <c r="A578" s="65" t="s">
        <v>169</v>
      </c>
      <c r="B578" s="66" t="s">
        <v>21</v>
      </c>
      <c r="C578" s="65" t="s">
        <v>1060</v>
      </c>
      <c r="D578" s="27" t="s">
        <v>7999</v>
      </c>
      <c r="E578" s="27" t="s">
        <v>8726</v>
      </c>
      <c r="F578" s="65" t="s">
        <v>1014</v>
      </c>
      <c r="G578" s="101" t="s">
        <v>1062</v>
      </c>
      <c r="H578" s="81">
        <v>44986</v>
      </c>
      <c r="I578" s="77">
        <v>44986</v>
      </c>
      <c r="J578" s="77">
        <v>44986</v>
      </c>
      <c r="K578" s="77">
        <v>35684</v>
      </c>
      <c r="L578" s="63" t="s">
        <v>82</v>
      </c>
      <c r="M578" s="61" t="s">
        <v>47</v>
      </c>
      <c r="N578" s="114" t="s">
        <v>14</v>
      </c>
      <c r="O578" s="104" t="s">
        <v>52</v>
      </c>
      <c r="P578" s="104" t="s">
        <v>52</v>
      </c>
      <c r="Q578" s="107"/>
      <c r="R578" s="66" t="s">
        <v>861</v>
      </c>
      <c r="S578" s="225">
        <f t="shared" ref="S578:S641" si="9">IF(K578&lt;&gt;"",DATE(YEAR(K578)+60+(K578&gt;=DATE(YEAR(K578),10,2)),10,1),"")</f>
        <v>57619</v>
      </c>
      <c r="T578" s="7" t="s">
        <v>7703</v>
      </c>
      <c r="U578" s="7" t="s">
        <v>62</v>
      </c>
      <c r="V578" s="162" t="str" cm="1">
        <f t="array" ref="V578">_xlfn.IFS(C578="","",COUNTIF(C578,"ตำแหน่งว่าง*"),"ว่าง",COUNTIF(C578,"&lt;&gt;ตำแหน่งว่าง*"),"คนครอง")</f>
        <v>คนครอง</v>
      </c>
      <c r="W578" s="49" cm="1">
        <f t="array" ref="W578">_xlfn.IFS(COUNTIF(F578,"ผบ.หมู่*"),51,COUNTIF(F578,"รอง สว.*"),43)</f>
        <v>51</v>
      </c>
      <c r="X578" s="62" t="s">
        <v>1061</v>
      </c>
      <c r="Y578" s="61" t="s">
        <v>52</v>
      </c>
    </row>
    <row r="579" spans="1:25" s="10" customFormat="1" ht="21.3" customHeight="1">
      <c r="A579" s="65" t="s">
        <v>169</v>
      </c>
      <c r="B579" s="66" t="s">
        <v>12</v>
      </c>
      <c r="C579" s="65" t="s">
        <v>1063</v>
      </c>
      <c r="D579" s="27" t="s">
        <v>8727</v>
      </c>
      <c r="E579" s="27" t="s">
        <v>8728</v>
      </c>
      <c r="F579" s="65" t="s">
        <v>1014</v>
      </c>
      <c r="G579" s="101" t="s">
        <v>1065</v>
      </c>
      <c r="H579" s="81">
        <v>44986</v>
      </c>
      <c r="I579" s="77">
        <v>44986</v>
      </c>
      <c r="J579" s="77">
        <v>44986</v>
      </c>
      <c r="K579" s="77">
        <v>33411</v>
      </c>
      <c r="L579" s="63" t="s">
        <v>82</v>
      </c>
      <c r="M579" s="61" t="s">
        <v>592</v>
      </c>
      <c r="N579" s="114" t="s">
        <v>14</v>
      </c>
      <c r="O579" s="104" t="s">
        <v>52</v>
      </c>
      <c r="P579" s="104" t="s">
        <v>52</v>
      </c>
      <c r="Q579" s="107"/>
      <c r="R579" s="66" t="s">
        <v>861</v>
      </c>
      <c r="S579" s="225">
        <f t="shared" si="9"/>
        <v>55427</v>
      </c>
      <c r="T579" s="7" t="s">
        <v>7703</v>
      </c>
      <c r="U579" s="7" t="s">
        <v>62</v>
      </c>
      <c r="V579" s="162" t="str" cm="1">
        <f t="array" ref="V579">_xlfn.IFS(C579="","",COUNTIF(C579,"ตำแหน่งว่าง*"),"ว่าง",COUNTIF(C579,"&lt;&gt;ตำแหน่งว่าง*"),"คนครอง")</f>
        <v>คนครอง</v>
      </c>
      <c r="W579" s="49" cm="1">
        <f t="array" ref="W579">_xlfn.IFS(COUNTIF(F579,"ผบ.หมู่*"),51,COUNTIF(F579,"รอง สว.*"),43)</f>
        <v>51</v>
      </c>
      <c r="X579" s="62" t="s">
        <v>1064</v>
      </c>
      <c r="Y579" s="61" t="s">
        <v>52</v>
      </c>
    </row>
    <row r="580" spans="1:25" s="10" customFormat="1" ht="21.3" customHeight="1">
      <c r="A580" s="65" t="s">
        <v>169</v>
      </c>
      <c r="B580" s="66" t="s">
        <v>12</v>
      </c>
      <c r="C580" s="65" t="s">
        <v>1066</v>
      </c>
      <c r="D580" s="27" t="s">
        <v>8729</v>
      </c>
      <c r="E580" s="27" t="s">
        <v>8730</v>
      </c>
      <c r="F580" s="65" t="s">
        <v>1014</v>
      </c>
      <c r="G580" s="101" t="s">
        <v>1068</v>
      </c>
      <c r="H580" s="81">
        <v>44986</v>
      </c>
      <c r="I580" s="77">
        <v>44986</v>
      </c>
      <c r="J580" s="77">
        <v>44986</v>
      </c>
      <c r="K580" s="77">
        <v>33564</v>
      </c>
      <c r="L580" s="63" t="s">
        <v>82</v>
      </c>
      <c r="M580" s="61" t="s">
        <v>7811</v>
      </c>
      <c r="N580" s="114" t="s">
        <v>14</v>
      </c>
      <c r="O580" s="104" t="s">
        <v>52</v>
      </c>
      <c r="P580" s="104" t="s">
        <v>52</v>
      </c>
      <c r="Q580" s="107"/>
      <c r="R580" s="66" t="s">
        <v>861</v>
      </c>
      <c r="S580" s="225">
        <f t="shared" si="9"/>
        <v>55793</v>
      </c>
      <c r="T580" s="7" t="s">
        <v>7703</v>
      </c>
      <c r="U580" s="7" t="s">
        <v>62</v>
      </c>
      <c r="V580" s="162" t="str" cm="1">
        <f t="array" ref="V580">_xlfn.IFS(C580="","",COUNTIF(C580,"ตำแหน่งว่าง*"),"ว่าง",COUNTIF(C580,"&lt;&gt;ตำแหน่งว่าง*"),"คนครอง")</f>
        <v>คนครอง</v>
      </c>
      <c r="W580" s="49" cm="1">
        <f t="array" ref="W580">_xlfn.IFS(COUNTIF(F580,"ผบ.หมู่*"),51,COUNTIF(F580,"รอง สว.*"),43)</f>
        <v>51</v>
      </c>
      <c r="X580" s="62" t="s">
        <v>1067</v>
      </c>
      <c r="Y580" s="61" t="s">
        <v>52</v>
      </c>
    </row>
    <row r="581" spans="1:25" s="10" customFormat="1" ht="21.3" customHeight="1">
      <c r="A581" s="65" t="s">
        <v>169</v>
      </c>
      <c r="B581" s="66" t="s">
        <v>12</v>
      </c>
      <c r="C581" s="65" t="s">
        <v>1069</v>
      </c>
      <c r="D581" s="27" t="s">
        <v>8731</v>
      </c>
      <c r="E581" s="27" t="s">
        <v>8322</v>
      </c>
      <c r="F581" s="65" t="s">
        <v>1014</v>
      </c>
      <c r="G581" s="101" t="s">
        <v>1071</v>
      </c>
      <c r="H581" s="81">
        <v>44986</v>
      </c>
      <c r="I581" s="77">
        <v>44986</v>
      </c>
      <c r="J581" s="77">
        <v>44986</v>
      </c>
      <c r="K581" s="77">
        <v>38037</v>
      </c>
      <c r="L581" s="63" t="s">
        <v>82</v>
      </c>
      <c r="M581" s="61" t="s">
        <v>80</v>
      </c>
      <c r="N581" s="114" t="s">
        <v>14</v>
      </c>
      <c r="O581" s="104" t="s">
        <v>52</v>
      </c>
      <c r="P581" s="104" t="s">
        <v>52</v>
      </c>
      <c r="Q581" s="107"/>
      <c r="R581" s="66" t="s">
        <v>861</v>
      </c>
      <c r="S581" s="225">
        <f t="shared" si="9"/>
        <v>60176</v>
      </c>
      <c r="T581" s="7" t="s">
        <v>7703</v>
      </c>
      <c r="U581" s="7" t="s">
        <v>62</v>
      </c>
      <c r="V581" s="162" t="str" cm="1">
        <f t="array" ref="V581">_xlfn.IFS(C581="","",COUNTIF(C581,"ตำแหน่งว่าง*"),"ว่าง",COUNTIF(C581,"&lt;&gt;ตำแหน่งว่าง*"),"คนครอง")</f>
        <v>คนครอง</v>
      </c>
      <c r="W581" s="49" cm="1">
        <f t="array" ref="W581">_xlfn.IFS(COUNTIF(F581,"ผบ.หมู่*"),51,COUNTIF(F581,"รอง สว.*"),43)</f>
        <v>51</v>
      </c>
      <c r="X581" s="62" t="s">
        <v>1070</v>
      </c>
      <c r="Y581" s="61" t="s">
        <v>52</v>
      </c>
    </row>
    <row r="582" spans="1:25" s="10" customFormat="1" ht="21.3" customHeight="1">
      <c r="A582" s="27" t="s">
        <v>182</v>
      </c>
      <c r="B582" s="28" t="s">
        <v>12</v>
      </c>
      <c r="C582" s="27" t="s">
        <v>2440</v>
      </c>
      <c r="D582" s="27" t="s">
        <v>8953</v>
      </c>
      <c r="E582" s="27" t="s">
        <v>8954</v>
      </c>
      <c r="F582" s="27" t="s">
        <v>1014</v>
      </c>
      <c r="G582" s="101" t="s">
        <v>1073</v>
      </c>
      <c r="H582" s="91">
        <v>45768</v>
      </c>
      <c r="I582" s="73">
        <v>44043</v>
      </c>
      <c r="J582" s="73">
        <v>44043</v>
      </c>
      <c r="K582" s="73">
        <v>35932</v>
      </c>
      <c r="L582" s="11" t="s">
        <v>1667</v>
      </c>
      <c r="M582" s="1" t="s">
        <v>53</v>
      </c>
      <c r="N582" s="112" t="s">
        <v>14</v>
      </c>
      <c r="O582" s="104" t="s">
        <v>52</v>
      </c>
      <c r="P582" s="104" t="s">
        <v>52</v>
      </c>
      <c r="Q582" s="105"/>
      <c r="R582" s="26" t="s">
        <v>10804</v>
      </c>
      <c r="S582" s="174">
        <f t="shared" si="9"/>
        <v>57984</v>
      </c>
      <c r="T582" s="2" t="s">
        <v>7703</v>
      </c>
      <c r="U582" s="2" t="s">
        <v>62</v>
      </c>
      <c r="V582" s="203" t="str" cm="1">
        <f t="array" ref="V582">_xlfn.IFS(C582="","",COUNTIF(C582,"ตำแหน่งว่าง*"),"ว่าง",COUNTIF(C582,"&lt;&gt;ตำแหน่งว่าง*"),"คนครอง")</f>
        <v>คนครอง</v>
      </c>
      <c r="W582" s="170" cm="1">
        <f t="array" ref="W582">_xlfn.IFS(COUNTIF(F582,"ผบ.หมู่*"),51,COUNTIF(F582,"รอง สว.*"),43)</f>
        <v>51</v>
      </c>
      <c r="X582" s="3" t="s">
        <v>1072</v>
      </c>
      <c r="Y582" s="1" t="s">
        <v>52</v>
      </c>
    </row>
    <row r="583" spans="1:25" s="10" customFormat="1" ht="21.3" customHeight="1">
      <c r="A583" s="27"/>
      <c r="B583" s="28"/>
      <c r="C583" s="30" t="s">
        <v>18</v>
      </c>
      <c r="D583" s="27"/>
      <c r="E583" s="27"/>
      <c r="F583" s="68" t="s">
        <v>1014</v>
      </c>
      <c r="G583" s="121" t="s">
        <v>1075</v>
      </c>
      <c r="H583" s="91" t="s">
        <v>19</v>
      </c>
      <c r="I583" s="73" t="s">
        <v>19</v>
      </c>
      <c r="J583" s="73" t="s">
        <v>19</v>
      </c>
      <c r="K583" s="73" t="s">
        <v>19</v>
      </c>
      <c r="L583" s="11"/>
      <c r="M583" s="1"/>
      <c r="N583" s="113" t="s">
        <v>14</v>
      </c>
      <c r="O583" s="122" t="s">
        <v>52</v>
      </c>
      <c r="P583" s="122" t="s">
        <v>52</v>
      </c>
      <c r="Q583" s="105"/>
      <c r="R583" s="26"/>
      <c r="S583" s="225" t="str">
        <f t="shared" si="9"/>
        <v/>
      </c>
      <c r="T583" s="7" t="s">
        <v>7703</v>
      </c>
      <c r="U583" s="7" t="s">
        <v>62</v>
      </c>
      <c r="V583" s="171" t="str" cm="1">
        <f t="array" ref="V583">_xlfn.IFS(C583="","",COUNTIF(C583,"ตำแหน่งว่าง*"),"ว่าง",COUNTIF(C583,"&lt;&gt;ตำแหน่งว่าง*"),"คนครอง")</f>
        <v>ว่าง</v>
      </c>
      <c r="W583" s="49" cm="1">
        <f t="array" ref="W583">_xlfn.IFS(COUNTIF(F583,"ผบ.หมู่*"),51,COUNTIF(F583,"รอง สว.*"),43)</f>
        <v>51</v>
      </c>
      <c r="X583" s="8" t="s">
        <v>1074</v>
      </c>
      <c r="Y583" s="6" t="s">
        <v>52</v>
      </c>
    </row>
    <row r="584" spans="1:25" s="10" customFormat="1" ht="21.3" customHeight="1">
      <c r="A584" s="27"/>
      <c r="B584" s="28"/>
      <c r="C584" s="30" t="s">
        <v>18</v>
      </c>
      <c r="D584" s="27"/>
      <c r="E584" s="27"/>
      <c r="F584" s="68" t="s">
        <v>1014</v>
      </c>
      <c r="G584" s="121" t="s">
        <v>1077</v>
      </c>
      <c r="H584" s="91" t="s">
        <v>19</v>
      </c>
      <c r="I584" s="73" t="s">
        <v>19</v>
      </c>
      <c r="J584" s="73" t="s">
        <v>19</v>
      </c>
      <c r="K584" s="73" t="s">
        <v>19</v>
      </c>
      <c r="L584" s="11"/>
      <c r="M584" s="1"/>
      <c r="N584" s="113" t="s">
        <v>14</v>
      </c>
      <c r="O584" s="122" t="s">
        <v>52</v>
      </c>
      <c r="P584" s="122" t="s">
        <v>52</v>
      </c>
      <c r="Q584" s="105"/>
      <c r="R584" s="26"/>
      <c r="S584" s="225" t="str">
        <f t="shared" si="9"/>
        <v/>
      </c>
      <c r="T584" s="7" t="s">
        <v>7703</v>
      </c>
      <c r="U584" s="7" t="s">
        <v>62</v>
      </c>
      <c r="V584" s="171" t="str" cm="1">
        <f t="array" ref="V584">_xlfn.IFS(C584="","",COUNTIF(C584,"ตำแหน่งว่าง*"),"ว่าง",COUNTIF(C584,"&lt;&gt;ตำแหน่งว่าง*"),"คนครอง")</f>
        <v>ว่าง</v>
      </c>
      <c r="W584" s="49" cm="1">
        <f t="array" ref="W584">_xlfn.IFS(COUNTIF(F584,"ผบ.หมู่*"),51,COUNTIF(F584,"รอง สว.*"),43)</f>
        <v>51</v>
      </c>
      <c r="X584" s="8" t="s">
        <v>1076</v>
      </c>
      <c r="Y584" s="6" t="s">
        <v>52</v>
      </c>
    </row>
    <row r="585" spans="1:25" s="9" customFormat="1" ht="21.3" customHeight="1">
      <c r="A585" s="27" t="s">
        <v>612</v>
      </c>
      <c r="B585" s="28" t="s">
        <v>21</v>
      </c>
      <c r="C585" s="27" t="s">
        <v>1078</v>
      </c>
      <c r="D585" s="27" t="s">
        <v>8732</v>
      </c>
      <c r="E585" s="27" t="s">
        <v>8733</v>
      </c>
      <c r="F585" s="27" t="s">
        <v>1014</v>
      </c>
      <c r="G585" s="101" t="s">
        <v>1080</v>
      </c>
      <c r="H585" s="75">
        <v>41944</v>
      </c>
      <c r="I585" s="73">
        <v>41944</v>
      </c>
      <c r="J585" s="73">
        <v>41944</v>
      </c>
      <c r="K585" s="73">
        <v>34625</v>
      </c>
      <c r="L585" s="11" t="s">
        <v>1081</v>
      </c>
      <c r="M585" s="1" t="s">
        <v>73</v>
      </c>
      <c r="N585" s="112" t="s">
        <v>14</v>
      </c>
      <c r="O585" s="104" t="s">
        <v>52</v>
      </c>
      <c r="P585" s="104" t="s">
        <v>52</v>
      </c>
      <c r="Q585" s="105"/>
      <c r="R585" s="26" t="s">
        <v>641</v>
      </c>
      <c r="S585" s="225">
        <f t="shared" si="9"/>
        <v>56888</v>
      </c>
      <c r="T585" s="2" t="s">
        <v>7703</v>
      </c>
      <c r="U585" s="7" t="s">
        <v>62</v>
      </c>
      <c r="V585" s="162" t="str" cm="1">
        <f t="array" ref="V585">_xlfn.IFS(C585="","",COUNTIF(C585,"ตำแหน่งว่าง*"),"ว่าง",COUNTIF(C585,"&lt;&gt;ตำแหน่งว่าง*"),"คนครอง")</f>
        <v>คนครอง</v>
      </c>
      <c r="W585" s="49" cm="1">
        <f t="array" ref="W585">_xlfn.IFS(COUNTIF(F585,"ผบ.หมู่*"),51,COUNTIF(F585,"รอง สว.*"),43)</f>
        <v>51</v>
      </c>
      <c r="X585" s="3" t="s">
        <v>1079</v>
      </c>
      <c r="Y585" s="1" t="s">
        <v>52</v>
      </c>
    </row>
    <row r="586" spans="1:25" s="9" customFormat="1" ht="21.3" customHeight="1">
      <c r="A586" s="27" t="s">
        <v>612</v>
      </c>
      <c r="B586" s="28" t="s">
        <v>21</v>
      </c>
      <c r="C586" s="27" t="s">
        <v>1082</v>
      </c>
      <c r="D586" s="27" t="s">
        <v>8734</v>
      </c>
      <c r="E586" s="27" t="s">
        <v>8735</v>
      </c>
      <c r="F586" s="27" t="s">
        <v>1014</v>
      </c>
      <c r="G586" s="101" t="s">
        <v>1084</v>
      </c>
      <c r="H586" s="75">
        <v>41944</v>
      </c>
      <c r="I586" s="73">
        <v>41944</v>
      </c>
      <c r="J586" s="73">
        <v>41944</v>
      </c>
      <c r="K586" s="73">
        <v>33367</v>
      </c>
      <c r="L586" s="11" t="s">
        <v>1085</v>
      </c>
      <c r="M586" s="1" t="s">
        <v>47</v>
      </c>
      <c r="N586" s="112" t="s">
        <v>14</v>
      </c>
      <c r="O586" s="104" t="s">
        <v>52</v>
      </c>
      <c r="P586" s="104" t="s">
        <v>52</v>
      </c>
      <c r="Q586" s="105"/>
      <c r="R586" s="26" t="s">
        <v>641</v>
      </c>
      <c r="S586" s="225">
        <f t="shared" si="9"/>
        <v>55427</v>
      </c>
      <c r="T586" s="2" t="s">
        <v>7703</v>
      </c>
      <c r="U586" s="7" t="s">
        <v>62</v>
      </c>
      <c r="V586" s="162" t="str" cm="1">
        <f t="array" ref="V586">_xlfn.IFS(C586="","",COUNTIF(C586,"ตำแหน่งว่าง*"),"ว่าง",COUNTIF(C586,"&lt;&gt;ตำแหน่งว่าง*"),"คนครอง")</f>
        <v>คนครอง</v>
      </c>
      <c r="W586" s="49" cm="1">
        <f t="array" ref="W586">_xlfn.IFS(COUNTIF(F586,"ผบ.หมู่*"),51,COUNTIF(F586,"รอง สว.*"),43)</f>
        <v>51</v>
      </c>
      <c r="X586" s="3" t="s">
        <v>1083</v>
      </c>
      <c r="Y586" s="1" t="s">
        <v>52</v>
      </c>
    </row>
    <row r="587" spans="1:25" s="9" customFormat="1" ht="21.3" customHeight="1">
      <c r="A587" s="27" t="s">
        <v>612</v>
      </c>
      <c r="B587" s="28" t="s">
        <v>21</v>
      </c>
      <c r="C587" s="27" t="s">
        <v>1086</v>
      </c>
      <c r="D587" s="27" t="s">
        <v>8736</v>
      </c>
      <c r="E587" s="27" t="s">
        <v>8737</v>
      </c>
      <c r="F587" s="27" t="s">
        <v>1014</v>
      </c>
      <c r="G587" s="101" t="s">
        <v>1088</v>
      </c>
      <c r="H587" s="75">
        <v>41944</v>
      </c>
      <c r="I587" s="73">
        <v>41944</v>
      </c>
      <c r="J587" s="73">
        <v>41944</v>
      </c>
      <c r="K587" s="73">
        <v>31733</v>
      </c>
      <c r="L587" s="11" t="s">
        <v>1089</v>
      </c>
      <c r="M587" s="1" t="s">
        <v>40</v>
      </c>
      <c r="N587" s="112" t="s">
        <v>14</v>
      </c>
      <c r="O587" s="104" t="s">
        <v>52</v>
      </c>
      <c r="P587" s="104" t="s">
        <v>52</v>
      </c>
      <c r="Q587" s="105"/>
      <c r="R587" s="26" t="s">
        <v>641</v>
      </c>
      <c r="S587" s="225">
        <f t="shared" si="9"/>
        <v>53966</v>
      </c>
      <c r="T587" s="2" t="s">
        <v>7703</v>
      </c>
      <c r="U587" s="7" t="s">
        <v>62</v>
      </c>
      <c r="V587" s="162" t="str" cm="1">
        <f t="array" ref="V587">_xlfn.IFS(C587="","",COUNTIF(C587,"ตำแหน่งว่าง*"),"ว่าง",COUNTIF(C587,"&lt;&gt;ตำแหน่งว่าง*"),"คนครอง")</f>
        <v>คนครอง</v>
      </c>
      <c r="W587" s="49" cm="1">
        <f t="array" ref="W587">_xlfn.IFS(COUNTIF(F587,"ผบ.หมู่*"),51,COUNTIF(F587,"รอง สว.*"),43)</f>
        <v>51</v>
      </c>
      <c r="X587" s="3" t="s">
        <v>1087</v>
      </c>
      <c r="Y587" s="1" t="s">
        <v>52</v>
      </c>
    </row>
    <row r="588" spans="1:25" s="9" customFormat="1" ht="21.3" customHeight="1">
      <c r="A588" s="27" t="s">
        <v>612</v>
      </c>
      <c r="B588" s="28" t="s">
        <v>12</v>
      </c>
      <c r="C588" s="27" t="s">
        <v>1090</v>
      </c>
      <c r="D588" s="27" t="s">
        <v>8265</v>
      </c>
      <c r="E588" s="27" t="s">
        <v>8738</v>
      </c>
      <c r="F588" s="27" t="s">
        <v>1014</v>
      </c>
      <c r="G588" s="101" t="s">
        <v>1092</v>
      </c>
      <c r="H588" s="75">
        <v>41944</v>
      </c>
      <c r="I588" s="73">
        <v>41944</v>
      </c>
      <c r="J588" s="73">
        <v>41944</v>
      </c>
      <c r="K588" s="73">
        <v>33472</v>
      </c>
      <c r="L588" s="11" t="s">
        <v>1093</v>
      </c>
      <c r="M588" s="1" t="s">
        <v>64</v>
      </c>
      <c r="N588" s="112" t="s">
        <v>14</v>
      </c>
      <c r="O588" s="104" t="s">
        <v>52</v>
      </c>
      <c r="P588" s="104" t="s">
        <v>52</v>
      </c>
      <c r="Q588" s="105"/>
      <c r="R588" s="26" t="s">
        <v>641</v>
      </c>
      <c r="S588" s="225">
        <f t="shared" si="9"/>
        <v>55427</v>
      </c>
      <c r="T588" s="2" t="s">
        <v>7703</v>
      </c>
      <c r="U588" s="7" t="s">
        <v>62</v>
      </c>
      <c r="V588" s="162" t="str" cm="1">
        <f t="array" ref="V588">_xlfn.IFS(C588="","",COUNTIF(C588,"ตำแหน่งว่าง*"),"ว่าง",COUNTIF(C588,"&lt;&gt;ตำแหน่งว่าง*"),"คนครอง")</f>
        <v>คนครอง</v>
      </c>
      <c r="W588" s="49" cm="1">
        <f t="array" ref="W588">_xlfn.IFS(COUNTIF(F588,"ผบ.หมู่*"),51,COUNTIF(F588,"รอง สว.*"),43)</f>
        <v>51</v>
      </c>
      <c r="X588" s="3" t="s">
        <v>1091</v>
      </c>
      <c r="Y588" s="1" t="s">
        <v>52</v>
      </c>
    </row>
    <row r="589" spans="1:25" s="10" customFormat="1" ht="21.3" customHeight="1">
      <c r="A589" s="27"/>
      <c r="B589" s="28"/>
      <c r="C589" s="30" t="s">
        <v>18</v>
      </c>
      <c r="D589" s="27"/>
      <c r="E589" s="27"/>
      <c r="F589" s="68" t="s">
        <v>1014</v>
      </c>
      <c r="G589" s="121" t="s">
        <v>1095</v>
      </c>
      <c r="H589" s="91" t="s">
        <v>19</v>
      </c>
      <c r="I589" s="73" t="s">
        <v>19</v>
      </c>
      <c r="J589" s="73" t="s">
        <v>19</v>
      </c>
      <c r="K589" s="73" t="s">
        <v>19</v>
      </c>
      <c r="L589" s="11"/>
      <c r="M589" s="1"/>
      <c r="N589" s="113" t="s">
        <v>14</v>
      </c>
      <c r="O589" s="122" t="s">
        <v>52</v>
      </c>
      <c r="P589" s="122" t="s">
        <v>52</v>
      </c>
      <c r="Q589" s="105"/>
      <c r="R589" s="26"/>
      <c r="S589" s="225" t="str">
        <f t="shared" si="9"/>
        <v/>
      </c>
      <c r="T589" s="7" t="s">
        <v>7703</v>
      </c>
      <c r="U589" s="7" t="s">
        <v>62</v>
      </c>
      <c r="V589" s="171" t="str" cm="1">
        <f t="array" ref="V589">_xlfn.IFS(C589="","",COUNTIF(C589,"ตำแหน่งว่าง*"),"ว่าง",COUNTIF(C589,"&lt;&gt;ตำแหน่งว่าง*"),"คนครอง")</f>
        <v>ว่าง</v>
      </c>
      <c r="W589" s="49" cm="1">
        <f t="array" ref="W589">_xlfn.IFS(COUNTIF(F589,"ผบ.หมู่*"),51,COUNTIF(F589,"รอง สว.*"),43)</f>
        <v>51</v>
      </c>
      <c r="X589" s="8" t="s">
        <v>1094</v>
      </c>
      <c r="Y589" s="6" t="s">
        <v>52</v>
      </c>
    </row>
    <row r="590" spans="1:25" s="10" customFormat="1" ht="21.3" customHeight="1">
      <c r="A590" s="27"/>
      <c r="B590" s="30"/>
      <c r="C590" s="30" t="s">
        <v>18</v>
      </c>
      <c r="D590" s="27"/>
      <c r="E590" s="27"/>
      <c r="F590" s="68" t="s">
        <v>1014</v>
      </c>
      <c r="G590" s="121" t="s">
        <v>1097</v>
      </c>
      <c r="H590" s="91" t="s">
        <v>19</v>
      </c>
      <c r="I590" s="73" t="s">
        <v>19</v>
      </c>
      <c r="J590" s="73" t="s">
        <v>19</v>
      </c>
      <c r="K590" s="73" t="s">
        <v>19</v>
      </c>
      <c r="L590" s="11"/>
      <c r="M590" s="1"/>
      <c r="N590" s="113" t="s">
        <v>14</v>
      </c>
      <c r="O590" s="122" t="s">
        <v>52</v>
      </c>
      <c r="P590" s="122" t="s">
        <v>52</v>
      </c>
      <c r="Q590" s="106"/>
      <c r="R590" s="29"/>
      <c r="S590" s="225" t="str">
        <f t="shared" si="9"/>
        <v/>
      </c>
      <c r="T590" s="7" t="s">
        <v>7703</v>
      </c>
      <c r="U590" s="7" t="s">
        <v>62</v>
      </c>
      <c r="V590" s="171" t="str" cm="1">
        <f t="array" ref="V590">_xlfn.IFS(C590="","",COUNTIF(C590,"ตำแหน่งว่าง*"),"ว่าง",COUNTIF(C590,"&lt;&gt;ตำแหน่งว่าง*"),"คนครอง")</f>
        <v>ว่าง</v>
      </c>
      <c r="W590" s="49" cm="1">
        <f t="array" ref="W590">_xlfn.IFS(COUNTIF(F590,"ผบ.หมู่*"),51,COUNTIF(F590,"รอง สว.*"),43)</f>
        <v>51</v>
      </c>
      <c r="X590" s="8" t="s">
        <v>1096</v>
      </c>
      <c r="Y590" s="6" t="s">
        <v>52</v>
      </c>
    </row>
    <row r="591" spans="1:25" s="9" customFormat="1" ht="21.3" customHeight="1">
      <c r="A591" s="27" t="s">
        <v>612</v>
      </c>
      <c r="B591" s="28" t="s">
        <v>21</v>
      </c>
      <c r="C591" s="27" t="s">
        <v>1098</v>
      </c>
      <c r="D591" s="27" t="s">
        <v>8739</v>
      </c>
      <c r="E591" s="27" t="s">
        <v>8740</v>
      </c>
      <c r="F591" s="27" t="s">
        <v>1014</v>
      </c>
      <c r="G591" s="101" t="s">
        <v>1100</v>
      </c>
      <c r="H591" s="75">
        <v>41944</v>
      </c>
      <c r="I591" s="73">
        <v>41944</v>
      </c>
      <c r="J591" s="73">
        <v>41944</v>
      </c>
      <c r="K591" s="73">
        <v>30030</v>
      </c>
      <c r="L591" s="11" t="s">
        <v>1101</v>
      </c>
      <c r="M591" s="1" t="s">
        <v>126</v>
      </c>
      <c r="N591" s="112" t="s">
        <v>14</v>
      </c>
      <c r="O591" s="104" t="s">
        <v>52</v>
      </c>
      <c r="P591" s="104" t="s">
        <v>52</v>
      </c>
      <c r="Q591" s="105"/>
      <c r="R591" s="26" t="s">
        <v>641</v>
      </c>
      <c r="S591" s="225">
        <f t="shared" si="9"/>
        <v>52140</v>
      </c>
      <c r="T591" s="2" t="s">
        <v>7703</v>
      </c>
      <c r="U591" s="7" t="s">
        <v>62</v>
      </c>
      <c r="V591" s="162" t="str" cm="1">
        <f t="array" ref="V591">_xlfn.IFS(C591="","",COUNTIF(C591,"ตำแหน่งว่าง*"),"ว่าง",COUNTIF(C591,"&lt;&gt;ตำแหน่งว่าง*"),"คนครอง")</f>
        <v>คนครอง</v>
      </c>
      <c r="W591" s="49" cm="1">
        <f t="array" ref="W591">_xlfn.IFS(COUNTIF(F591,"ผบ.หมู่*"),51,COUNTIF(F591,"รอง สว.*"),43)</f>
        <v>51</v>
      </c>
      <c r="X591" s="3" t="s">
        <v>1099</v>
      </c>
      <c r="Y591" s="1" t="s">
        <v>52</v>
      </c>
    </row>
    <row r="592" spans="1:25" s="9" customFormat="1" ht="21.3" customHeight="1">
      <c r="A592" s="27" t="s">
        <v>612</v>
      </c>
      <c r="B592" s="28" t="s">
        <v>21</v>
      </c>
      <c r="C592" s="27" t="s">
        <v>1102</v>
      </c>
      <c r="D592" s="27" t="s">
        <v>8741</v>
      </c>
      <c r="E592" s="27" t="s">
        <v>8000</v>
      </c>
      <c r="F592" s="27" t="s">
        <v>1014</v>
      </c>
      <c r="G592" s="101" t="s">
        <v>1104</v>
      </c>
      <c r="H592" s="75">
        <v>41944</v>
      </c>
      <c r="I592" s="73">
        <v>41944</v>
      </c>
      <c r="J592" s="73">
        <v>41944</v>
      </c>
      <c r="K592" s="73">
        <v>30674</v>
      </c>
      <c r="L592" s="11" t="s">
        <v>1105</v>
      </c>
      <c r="M592" s="1" t="s">
        <v>84</v>
      </c>
      <c r="N592" s="112" t="s">
        <v>14</v>
      </c>
      <c r="O592" s="104" t="s">
        <v>52</v>
      </c>
      <c r="P592" s="104" t="s">
        <v>52</v>
      </c>
      <c r="Q592" s="105"/>
      <c r="R592" s="26" t="s">
        <v>641</v>
      </c>
      <c r="S592" s="225">
        <f t="shared" si="9"/>
        <v>52871</v>
      </c>
      <c r="T592" s="2" t="s">
        <v>7703</v>
      </c>
      <c r="U592" s="7" t="s">
        <v>62</v>
      </c>
      <c r="V592" s="162" t="str" cm="1">
        <f t="array" ref="V592">_xlfn.IFS(C592="","",COUNTIF(C592,"ตำแหน่งว่าง*"),"ว่าง",COUNTIF(C592,"&lt;&gt;ตำแหน่งว่าง*"),"คนครอง")</f>
        <v>คนครอง</v>
      </c>
      <c r="W592" s="49" cm="1">
        <f t="array" ref="W592">_xlfn.IFS(COUNTIF(F592,"ผบ.หมู่*"),51,COUNTIF(F592,"รอง สว.*"),43)</f>
        <v>51</v>
      </c>
      <c r="X592" s="3" t="s">
        <v>1103</v>
      </c>
      <c r="Y592" s="1" t="s">
        <v>52</v>
      </c>
    </row>
    <row r="593" spans="1:25" s="10" customFormat="1" ht="21.3" customHeight="1">
      <c r="A593" s="27"/>
      <c r="B593" s="28"/>
      <c r="C593" s="30" t="s">
        <v>18</v>
      </c>
      <c r="D593" s="27"/>
      <c r="E593" s="27"/>
      <c r="F593" s="68" t="s">
        <v>1014</v>
      </c>
      <c r="G593" s="121" t="s">
        <v>1107</v>
      </c>
      <c r="H593" s="91" t="s">
        <v>19</v>
      </c>
      <c r="I593" s="73" t="s">
        <v>19</v>
      </c>
      <c r="J593" s="73" t="s">
        <v>19</v>
      </c>
      <c r="K593" s="73" t="s">
        <v>19</v>
      </c>
      <c r="L593" s="11"/>
      <c r="M593" s="1"/>
      <c r="N593" s="113" t="s">
        <v>14</v>
      </c>
      <c r="O593" s="122" t="s">
        <v>52</v>
      </c>
      <c r="P593" s="122" t="s">
        <v>52</v>
      </c>
      <c r="Q593" s="105"/>
      <c r="R593" s="26"/>
      <c r="S593" s="225" t="str">
        <f t="shared" si="9"/>
        <v/>
      </c>
      <c r="T593" s="7" t="s">
        <v>7703</v>
      </c>
      <c r="U593" s="7" t="s">
        <v>62</v>
      </c>
      <c r="V593" s="171" t="str" cm="1">
        <f t="array" ref="V593">_xlfn.IFS(C593="","",COUNTIF(C593,"ตำแหน่งว่าง*"),"ว่าง",COUNTIF(C593,"&lt;&gt;ตำแหน่งว่าง*"),"คนครอง")</f>
        <v>ว่าง</v>
      </c>
      <c r="W593" s="49" cm="1">
        <f t="array" ref="W593">_xlfn.IFS(COUNTIF(F593,"ผบ.หมู่*"),51,COUNTIF(F593,"รอง สว.*"),43)</f>
        <v>51</v>
      </c>
      <c r="X593" s="8" t="s">
        <v>1106</v>
      </c>
      <c r="Y593" s="6" t="s">
        <v>52</v>
      </c>
    </row>
    <row r="594" spans="1:25" s="10" customFormat="1" ht="21.3" customHeight="1">
      <c r="A594" s="27"/>
      <c r="B594" s="28"/>
      <c r="C594" s="30" t="s">
        <v>18</v>
      </c>
      <c r="D594" s="27"/>
      <c r="E594" s="27"/>
      <c r="F594" s="68" t="s">
        <v>1108</v>
      </c>
      <c r="G594" s="121" t="s">
        <v>1110</v>
      </c>
      <c r="H594" s="91" t="s">
        <v>19</v>
      </c>
      <c r="I594" s="73" t="s">
        <v>19</v>
      </c>
      <c r="J594" s="73" t="s">
        <v>19</v>
      </c>
      <c r="K594" s="73" t="s">
        <v>19</v>
      </c>
      <c r="L594" s="11"/>
      <c r="M594" s="1"/>
      <c r="N594" s="113" t="s">
        <v>14</v>
      </c>
      <c r="O594" s="122" t="s">
        <v>27</v>
      </c>
      <c r="P594" s="122"/>
      <c r="Q594" s="105"/>
      <c r="R594" s="26"/>
      <c r="S594" s="225" t="str">
        <f t="shared" si="9"/>
        <v/>
      </c>
      <c r="T594" s="7" t="s">
        <v>7704</v>
      </c>
      <c r="U594" s="7" t="s">
        <v>62</v>
      </c>
      <c r="V594" s="171" t="str" cm="1">
        <f t="array" ref="V594">_xlfn.IFS(C594="","",COUNTIF(C594,"ตำแหน่งว่าง*"),"ว่าง",COUNTIF(C594,"&lt;&gt;ตำแหน่งว่าง*"),"คนครอง")</f>
        <v>ว่าง</v>
      </c>
      <c r="W594" s="49" cm="1">
        <f t="array" ref="W594">_xlfn.IFS(COUNTIF(F594,"ผบ.หมู่*"),51,COUNTIF(F594,"รอง สว.*"),43)</f>
        <v>51</v>
      </c>
      <c r="X594" s="8" t="s">
        <v>1109</v>
      </c>
      <c r="Y594" s="6" t="s">
        <v>27</v>
      </c>
    </row>
    <row r="595" spans="1:25" s="10" customFormat="1" ht="21.3" customHeight="1">
      <c r="A595" s="27"/>
      <c r="B595" s="28"/>
      <c r="C595" s="30" t="s">
        <v>18</v>
      </c>
      <c r="D595" s="27"/>
      <c r="E595" s="27"/>
      <c r="F595" s="68" t="s">
        <v>1108</v>
      </c>
      <c r="G595" s="121" t="s">
        <v>1112</v>
      </c>
      <c r="H595" s="91" t="s">
        <v>19</v>
      </c>
      <c r="I595" s="73" t="s">
        <v>19</v>
      </c>
      <c r="J595" s="73" t="s">
        <v>19</v>
      </c>
      <c r="K595" s="73" t="s">
        <v>19</v>
      </c>
      <c r="L595" s="11"/>
      <c r="M595" s="1"/>
      <c r="N595" s="113" t="s">
        <v>14</v>
      </c>
      <c r="O595" s="122" t="s">
        <v>27</v>
      </c>
      <c r="P595" s="122"/>
      <c r="Q595" s="105"/>
      <c r="R595" s="26"/>
      <c r="S595" s="225" t="str">
        <f t="shared" si="9"/>
        <v/>
      </c>
      <c r="T595" s="7" t="s">
        <v>7704</v>
      </c>
      <c r="U595" s="7" t="s">
        <v>62</v>
      </c>
      <c r="V595" s="171" t="str" cm="1">
        <f t="array" ref="V595">_xlfn.IFS(C595="","",COUNTIF(C595,"ตำแหน่งว่าง*"),"ว่าง",COUNTIF(C595,"&lt;&gt;ตำแหน่งว่าง*"),"คนครอง")</f>
        <v>ว่าง</v>
      </c>
      <c r="W595" s="49" cm="1">
        <f t="array" ref="W595">_xlfn.IFS(COUNTIF(F595,"ผบ.หมู่*"),51,COUNTIF(F595,"รอง สว.*"),43)</f>
        <v>51</v>
      </c>
      <c r="X595" s="8" t="s">
        <v>1111</v>
      </c>
      <c r="Y595" s="6" t="s">
        <v>27</v>
      </c>
    </row>
    <row r="596" spans="1:25" s="10" customFormat="1" ht="21.3" customHeight="1">
      <c r="A596" s="27"/>
      <c r="B596" s="28"/>
      <c r="C596" s="30" t="s">
        <v>18</v>
      </c>
      <c r="D596" s="27"/>
      <c r="E596" s="27"/>
      <c r="F596" s="68" t="s">
        <v>1108</v>
      </c>
      <c r="G596" s="121" t="s">
        <v>1114</v>
      </c>
      <c r="H596" s="91" t="s">
        <v>19</v>
      </c>
      <c r="I596" s="73" t="s">
        <v>19</v>
      </c>
      <c r="J596" s="73" t="s">
        <v>19</v>
      </c>
      <c r="K596" s="73" t="s">
        <v>19</v>
      </c>
      <c r="L596" s="11"/>
      <c r="M596" s="1"/>
      <c r="N596" s="113" t="s">
        <v>14</v>
      </c>
      <c r="O596" s="122" t="s">
        <v>27</v>
      </c>
      <c r="P596" s="122"/>
      <c r="Q596" s="105"/>
      <c r="R596" s="26"/>
      <c r="S596" s="225" t="str">
        <f t="shared" si="9"/>
        <v/>
      </c>
      <c r="T596" s="7" t="s">
        <v>7704</v>
      </c>
      <c r="U596" s="7" t="s">
        <v>62</v>
      </c>
      <c r="V596" s="171" t="str" cm="1">
        <f t="array" ref="V596">_xlfn.IFS(C596="","",COUNTIF(C596,"ตำแหน่งว่าง*"),"ว่าง",COUNTIF(C596,"&lt;&gt;ตำแหน่งว่าง*"),"คนครอง")</f>
        <v>ว่าง</v>
      </c>
      <c r="W596" s="49" cm="1">
        <f t="array" ref="W596">_xlfn.IFS(COUNTIF(F596,"ผบ.หมู่*"),51,COUNTIF(F596,"รอง สว.*"),43)</f>
        <v>51</v>
      </c>
      <c r="X596" s="8" t="s">
        <v>1113</v>
      </c>
      <c r="Y596" s="6" t="s">
        <v>27</v>
      </c>
    </row>
    <row r="597" spans="1:25" s="12" customFormat="1" ht="21.3" customHeight="1">
      <c r="A597" s="95" t="s">
        <v>208</v>
      </c>
      <c r="B597" s="31" t="s">
        <v>21</v>
      </c>
      <c r="C597" s="95" t="s">
        <v>1115</v>
      </c>
      <c r="D597" s="27" t="s">
        <v>8742</v>
      </c>
      <c r="E597" s="27" t="s">
        <v>8743</v>
      </c>
      <c r="F597" s="95" t="s">
        <v>1108</v>
      </c>
      <c r="G597" s="101" t="s">
        <v>1117</v>
      </c>
      <c r="H597" s="92">
        <v>43693</v>
      </c>
      <c r="I597" s="76">
        <v>43693</v>
      </c>
      <c r="J597" s="89">
        <v>43693</v>
      </c>
      <c r="K597" s="76">
        <v>30805</v>
      </c>
      <c r="L597" s="17" t="s">
        <v>644</v>
      </c>
      <c r="M597" s="5" t="s">
        <v>78</v>
      </c>
      <c r="N597" s="111" t="s">
        <v>14</v>
      </c>
      <c r="O597" s="104" t="s">
        <v>52</v>
      </c>
      <c r="P597" s="104" t="s">
        <v>52</v>
      </c>
      <c r="Q597" s="108"/>
      <c r="R597" s="135" t="s">
        <v>645</v>
      </c>
      <c r="S597" s="225">
        <f t="shared" si="9"/>
        <v>52871</v>
      </c>
      <c r="T597" s="162" t="s">
        <v>7704</v>
      </c>
      <c r="U597" s="7" t="s">
        <v>62</v>
      </c>
      <c r="V597" s="162" t="str" cm="1">
        <f t="array" ref="V597">_xlfn.IFS(C597="","",COUNTIF(C597,"ตำแหน่งว่าง*"),"ว่าง",COUNTIF(C597,"&lt;&gt;ตำแหน่งว่าง*"),"คนครอง")</f>
        <v>คนครอง</v>
      </c>
      <c r="W597" s="49" cm="1">
        <f t="array" ref="W597">_xlfn.IFS(COUNTIF(F597,"ผบ.หมู่*"),51,COUNTIF(F597,"รอง สว.*"),43)</f>
        <v>51</v>
      </c>
      <c r="X597" s="4" t="s">
        <v>1116</v>
      </c>
      <c r="Y597" s="5" t="s">
        <v>52</v>
      </c>
    </row>
    <row r="598" spans="1:25" s="9" customFormat="1" ht="21.3" customHeight="1">
      <c r="A598" s="27" t="s">
        <v>182</v>
      </c>
      <c r="B598" s="28" t="s">
        <v>21</v>
      </c>
      <c r="C598" s="27" t="s">
        <v>10780</v>
      </c>
      <c r="D598" s="27" t="s">
        <v>8320</v>
      </c>
      <c r="E598" s="27" t="s">
        <v>10781</v>
      </c>
      <c r="F598" s="27" t="s">
        <v>1108</v>
      </c>
      <c r="G598" s="101" t="s">
        <v>1120</v>
      </c>
      <c r="H598" s="91">
        <v>45768</v>
      </c>
      <c r="I598" s="78" t="s">
        <v>7609</v>
      </c>
      <c r="J598" s="73" t="s">
        <v>7609</v>
      </c>
      <c r="K598" s="78">
        <v>32022</v>
      </c>
      <c r="L598" s="10" t="s">
        <v>7733</v>
      </c>
      <c r="M598" s="1" t="s">
        <v>7609</v>
      </c>
      <c r="N598" s="112" t="s">
        <v>14</v>
      </c>
      <c r="O598" s="104" t="s">
        <v>52</v>
      </c>
      <c r="P598" s="104" t="s">
        <v>52</v>
      </c>
      <c r="Q598" s="105"/>
      <c r="R598" s="26" t="s">
        <v>10804</v>
      </c>
      <c r="S598" s="174">
        <f t="shared" si="9"/>
        <v>53966</v>
      </c>
      <c r="T598" s="2" t="s">
        <v>7704</v>
      </c>
      <c r="U598" s="2" t="s">
        <v>62</v>
      </c>
      <c r="V598" s="2" t="str" cm="1">
        <f t="array" ref="V598">_xlfn.IFS(C598="","",COUNTIF(C598,"ตำแหน่งว่าง*"),"ว่าง",COUNTIF(C598,"&lt;&gt;ตำแหน่งว่าง*"),"คนครอง")</f>
        <v>คนครอง</v>
      </c>
      <c r="W598" s="170" cm="1">
        <f t="array" ref="W598">_xlfn.IFS(COUNTIF(F598,"ผบ.หมู่*"),51,COUNTIF(F598,"รอง สว.*"),43)</f>
        <v>51</v>
      </c>
      <c r="X598" s="3" t="s">
        <v>1119</v>
      </c>
      <c r="Y598" s="1" t="s">
        <v>52</v>
      </c>
    </row>
    <row r="599" spans="1:25" s="9" customFormat="1" ht="21.3" customHeight="1">
      <c r="A599" s="68"/>
      <c r="B599" s="30"/>
      <c r="C599" s="68" t="s">
        <v>18</v>
      </c>
      <c r="D599" s="27"/>
      <c r="E599" s="27"/>
      <c r="F599" s="68" t="s">
        <v>1108</v>
      </c>
      <c r="G599" s="121" t="s">
        <v>1122</v>
      </c>
      <c r="H599" s="93"/>
      <c r="I599" s="74"/>
      <c r="J599" s="74"/>
      <c r="K599" s="74"/>
      <c r="L599" s="16"/>
      <c r="M599" s="6"/>
      <c r="N599" s="113" t="s">
        <v>14</v>
      </c>
      <c r="O599" s="122" t="s">
        <v>52</v>
      </c>
      <c r="P599" s="122" t="s">
        <v>52</v>
      </c>
      <c r="Q599" s="106"/>
      <c r="R599" s="30"/>
      <c r="S599" s="225" t="str">
        <f t="shared" si="9"/>
        <v/>
      </c>
      <c r="T599" s="2" t="s">
        <v>7704</v>
      </c>
      <c r="U599" s="7" t="s">
        <v>62</v>
      </c>
      <c r="V599" s="171" t="str" cm="1">
        <f t="array" ref="V599">_xlfn.IFS(C599="","",COUNTIF(C599,"ตำแหน่งว่าง*"),"ว่าง",COUNTIF(C599,"&lt;&gt;ตำแหน่งว่าง*"),"คนครอง")</f>
        <v>ว่าง</v>
      </c>
      <c r="W599" s="49" cm="1">
        <f t="array" ref="W599">_xlfn.IFS(COUNTIF(F599,"ผบ.หมู่*"),51,COUNTIF(F599,"รอง สว.*"),43)</f>
        <v>51</v>
      </c>
      <c r="X599" s="3" t="s">
        <v>1121</v>
      </c>
      <c r="Y599" s="1" t="s">
        <v>52</v>
      </c>
    </row>
    <row r="600" spans="1:25" s="9" customFormat="1" ht="21.3" customHeight="1">
      <c r="A600" s="68"/>
      <c r="B600" s="30"/>
      <c r="C600" s="68" t="s">
        <v>18</v>
      </c>
      <c r="D600" s="27"/>
      <c r="E600" s="27"/>
      <c r="F600" s="68" t="s">
        <v>1108</v>
      </c>
      <c r="G600" s="121" t="s">
        <v>1124</v>
      </c>
      <c r="H600" s="93"/>
      <c r="I600" s="74"/>
      <c r="J600" s="74"/>
      <c r="K600" s="74"/>
      <c r="L600" s="16"/>
      <c r="M600" s="6"/>
      <c r="N600" s="113" t="s">
        <v>14</v>
      </c>
      <c r="O600" s="122" t="s">
        <v>52</v>
      </c>
      <c r="P600" s="122" t="s">
        <v>52</v>
      </c>
      <c r="Q600" s="106"/>
      <c r="R600" s="29"/>
      <c r="S600" s="225" t="str">
        <f t="shared" si="9"/>
        <v/>
      </c>
      <c r="T600" s="2" t="s">
        <v>7704</v>
      </c>
      <c r="U600" s="7" t="s">
        <v>62</v>
      </c>
      <c r="V600" s="171" t="str" cm="1">
        <f t="array" ref="V600">_xlfn.IFS(C600="","",COUNTIF(C600,"ตำแหน่งว่าง*"),"ว่าง",COUNTIF(C600,"&lt;&gt;ตำแหน่งว่าง*"),"คนครอง")</f>
        <v>ว่าง</v>
      </c>
      <c r="W600" s="49" cm="1">
        <f t="array" ref="W600">_xlfn.IFS(COUNTIF(F600,"ผบ.หมู่*"),51,COUNTIF(F600,"รอง สว.*"),43)</f>
        <v>51</v>
      </c>
      <c r="X600" s="3" t="s">
        <v>1123</v>
      </c>
      <c r="Y600" s="1" t="s">
        <v>52</v>
      </c>
    </row>
    <row r="601" spans="1:25" s="10" customFormat="1" ht="21.3" customHeight="1">
      <c r="A601" s="65" t="s">
        <v>169</v>
      </c>
      <c r="B601" s="66" t="s">
        <v>21</v>
      </c>
      <c r="C601" s="65" t="s">
        <v>1126</v>
      </c>
      <c r="D601" s="27" t="s">
        <v>8744</v>
      </c>
      <c r="E601" s="27" t="s">
        <v>8745</v>
      </c>
      <c r="F601" s="65" t="s">
        <v>1108</v>
      </c>
      <c r="G601" s="101" t="s">
        <v>1128</v>
      </c>
      <c r="H601" s="81">
        <v>44986</v>
      </c>
      <c r="I601" s="77">
        <v>44986</v>
      </c>
      <c r="J601" s="77">
        <v>44986</v>
      </c>
      <c r="K601" s="77">
        <v>35998</v>
      </c>
      <c r="L601" s="63" t="s">
        <v>82</v>
      </c>
      <c r="M601" s="61" t="s">
        <v>33</v>
      </c>
      <c r="N601" s="114" t="s">
        <v>14</v>
      </c>
      <c r="O601" s="104" t="s">
        <v>52</v>
      </c>
      <c r="P601" s="104" t="s">
        <v>52</v>
      </c>
      <c r="Q601" s="107"/>
      <c r="R601" s="66" t="s">
        <v>861</v>
      </c>
      <c r="S601" s="225">
        <f t="shared" si="9"/>
        <v>57984</v>
      </c>
      <c r="T601" s="7" t="s">
        <v>7704</v>
      </c>
      <c r="U601" s="7" t="s">
        <v>62</v>
      </c>
      <c r="V601" s="162" t="str" cm="1">
        <f t="array" ref="V601">_xlfn.IFS(C601="","",COUNTIF(C601,"ตำแหน่งว่าง*"),"ว่าง",COUNTIF(C601,"&lt;&gt;ตำแหน่งว่าง*"),"คนครอง")</f>
        <v>คนครอง</v>
      </c>
      <c r="W601" s="49" cm="1">
        <f t="array" ref="W601">_xlfn.IFS(COUNTIF(F601,"ผบ.หมู่*"),51,COUNTIF(F601,"รอง สว.*"),43)</f>
        <v>51</v>
      </c>
      <c r="X601" s="62" t="s">
        <v>1127</v>
      </c>
      <c r="Y601" s="61" t="s">
        <v>52</v>
      </c>
    </row>
    <row r="602" spans="1:25" s="12" customFormat="1" ht="21.3" customHeight="1">
      <c r="A602" s="27" t="s">
        <v>182</v>
      </c>
      <c r="B602" s="31" t="s">
        <v>12</v>
      </c>
      <c r="C602" s="95" t="s">
        <v>1129</v>
      </c>
      <c r="D602" s="27" t="s">
        <v>8746</v>
      </c>
      <c r="E602" s="27" t="s">
        <v>8747</v>
      </c>
      <c r="F602" s="95" t="s">
        <v>1108</v>
      </c>
      <c r="G602" s="101" t="s">
        <v>1131</v>
      </c>
      <c r="H602" s="75">
        <v>44636</v>
      </c>
      <c r="I602" s="76">
        <v>44636</v>
      </c>
      <c r="J602" s="76">
        <v>44636</v>
      </c>
      <c r="K602" s="76">
        <v>35597</v>
      </c>
      <c r="L602" s="17" t="s">
        <v>82</v>
      </c>
      <c r="M602" s="5" t="s">
        <v>42</v>
      </c>
      <c r="N602" s="111" t="s">
        <v>14</v>
      </c>
      <c r="O602" s="104" t="s">
        <v>52</v>
      </c>
      <c r="P602" s="104" t="s">
        <v>52</v>
      </c>
      <c r="Q602" s="108"/>
      <c r="R602" s="135" t="s">
        <v>611</v>
      </c>
      <c r="S602" s="225">
        <f t="shared" si="9"/>
        <v>57619</v>
      </c>
      <c r="T602" s="162" t="s">
        <v>7704</v>
      </c>
      <c r="U602" s="7" t="s">
        <v>62</v>
      </c>
      <c r="V602" s="162" t="str" cm="1">
        <f t="array" ref="V602">_xlfn.IFS(C602="","",COUNTIF(C602,"ตำแหน่งว่าง*"),"ว่าง",COUNTIF(C602,"&lt;&gt;ตำแหน่งว่าง*"),"คนครอง")</f>
        <v>คนครอง</v>
      </c>
      <c r="W602" s="49" cm="1">
        <f t="array" ref="W602">_xlfn.IFS(COUNTIF(F602,"ผบ.หมู่*"),51,COUNTIF(F602,"รอง สว.*"),43)</f>
        <v>51</v>
      </c>
      <c r="X602" s="4" t="s">
        <v>1130</v>
      </c>
      <c r="Y602" s="5" t="s">
        <v>52</v>
      </c>
    </row>
    <row r="603" spans="1:25" s="9" customFormat="1" ht="21.3" customHeight="1">
      <c r="A603" s="27" t="s">
        <v>157</v>
      </c>
      <c r="B603" s="28" t="s">
        <v>12</v>
      </c>
      <c r="C603" s="27" t="s">
        <v>1132</v>
      </c>
      <c r="D603" s="27" t="s">
        <v>8318</v>
      </c>
      <c r="E603" s="27" t="s">
        <v>8748</v>
      </c>
      <c r="F603" s="27" t="s">
        <v>1108</v>
      </c>
      <c r="G603" s="101" t="s">
        <v>1134</v>
      </c>
      <c r="H603" s="91">
        <v>40063</v>
      </c>
      <c r="I603" s="78">
        <v>40063</v>
      </c>
      <c r="J603" s="73">
        <v>33227</v>
      </c>
      <c r="K603" s="78">
        <v>25120</v>
      </c>
      <c r="L603" s="11" t="s">
        <v>1135</v>
      </c>
      <c r="M603" s="1" t="s">
        <v>35</v>
      </c>
      <c r="N603" s="112" t="s">
        <v>14</v>
      </c>
      <c r="O603" s="104" t="s">
        <v>52</v>
      </c>
      <c r="P603" s="104" t="s">
        <v>52</v>
      </c>
      <c r="Q603" s="105"/>
      <c r="R603" s="26" t="s">
        <v>603</v>
      </c>
      <c r="S603" s="225">
        <f t="shared" si="9"/>
        <v>47392</v>
      </c>
      <c r="T603" s="2" t="s">
        <v>7704</v>
      </c>
      <c r="U603" s="7" t="s">
        <v>62</v>
      </c>
      <c r="V603" s="162" t="str" cm="1">
        <f t="array" ref="V603">_xlfn.IFS(C603="","",COUNTIF(C603,"ตำแหน่งว่าง*"),"ว่าง",COUNTIF(C603,"&lt;&gt;ตำแหน่งว่าง*"),"คนครอง")</f>
        <v>คนครอง</v>
      </c>
      <c r="W603" s="49" cm="1">
        <f t="array" ref="W603">_xlfn.IFS(COUNTIF(F603,"ผบ.หมู่*"),51,COUNTIF(F603,"รอง สว.*"),43)</f>
        <v>51</v>
      </c>
      <c r="X603" s="3" t="s">
        <v>1133</v>
      </c>
      <c r="Y603" s="1" t="s">
        <v>52</v>
      </c>
    </row>
    <row r="604" spans="1:25" s="10" customFormat="1" ht="21.3" customHeight="1">
      <c r="A604" s="65" t="s">
        <v>169</v>
      </c>
      <c r="B604" s="66" t="s">
        <v>21</v>
      </c>
      <c r="C604" s="65" t="s">
        <v>1136</v>
      </c>
      <c r="D604" s="27" t="s">
        <v>8749</v>
      </c>
      <c r="E604" s="27" t="s">
        <v>8750</v>
      </c>
      <c r="F604" s="65" t="s">
        <v>1108</v>
      </c>
      <c r="G604" s="101" t="s">
        <v>1138</v>
      </c>
      <c r="H604" s="81">
        <v>44986</v>
      </c>
      <c r="I604" s="77">
        <v>44986</v>
      </c>
      <c r="J604" s="77">
        <v>44986</v>
      </c>
      <c r="K604" s="77">
        <v>34264</v>
      </c>
      <c r="L604" s="63" t="s">
        <v>82</v>
      </c>
      <c r="M604" s="61" t="s">
        <v>90</v>
      </c>
      <c r="N604" s="114" t="s">
        <v>14</v>
      </c>
      <c r="O604" s="104" t="s">
        <v>52</v>
      </c>
      <c r="P604" s="104" t="s">
        <v>52</v>
      </c>
      <c r="Q604" s="107"/>
      <c r="R604" s="66" t="s">
        <v>861</v>
      </c>
      <c r="S604" s="225">
        <f t="shared" si="9"/>
        <v>56523</v>
      </c>
      <c r="T604" s="7" t="s">
        <v>7704</v>
      </c>
      <c r="U604" s="7" t="s">
        <v>62</v>
      </c>
      <c r="V604" s="162" t="str" cm="1">
        <f t="array" ref="V604">_xlfn.IFS(C604="","",COUNTIF(C604,"ตำแหน่งว่าง*"),"ว่าง",COUNTIF(C604,"&lt;&gt;ตำแหน่งว่าง*"),"คนครอง")</f>
        <v>คนครอง</v>
      </c>
      <c r="W604" s="49" cm="1">
        <f t="array" ref="W604">_xlfn.IFS(COUNTIF(F604,"ผบ.หมู่*"),51,COUNTIF(F604,"รอง สว.*"),43)</f>
        <v>51</v>
      </c>
      <c r="X604" s="62" t="s">
        <v>1137</v>
      </c>
      <c r="Y604" s="61" t="s">
        <v>52</v>
      </c>
    </row>
    <row r="605" spans="1:25" s="10" customFormat="1" ht="21.3" customHeight="1">
      <c r="A605" s="65" t="s">
        <v>169</v>
      </c>
      <c r="B605" s="66" t="s">
        <v>12</v>
      </c>
      <c r="C605" s="65" t="s">
        <v>1139</v>
      </c>
      <c r="D605" s="27" t="s">
        <v>8751</v>
      </c>
      <c r="E605" s="27" t="s">
        <v>8752</v>
      </c>
      <c r="F605" s="65" t="s">
        <v>1108</v>
      </c>
      <c r="G605" s="101" t="s">
        <v>1141</v>
      </c>
      <c r="H605" s="81">
        <v>44986</v>
      </c>
      <c r="I605" s="77">
        <v>44986</v>
      </c>
      <c r="J605" s="77">
        <v>44986</v>
      </c>
      <c r="K605" s="77">
        <v>34116</v>
      </c>
      <c r="L605" s="63" t="s">
        <v>82</v>
      </c>
      <c r="M605" s="61" t="s">
        <v>123</v>
      </c>
      <c r="N605" s="114" t="s">
        <v>14</v>
      </c>
      <c r="O605" s="104" t="s">
        <v>52</v>
      </c>
      <c r="P605" s="104" t="s">
        <v>52</v>
      </c>
      <c r="Q605" s="107"/>
      <c r="R605" s="66" t="s">
        <v>861</v>
      </c>
      <c r="S605" s="225">
        <f t="shared" si="9"/>
        <v>56158</v>
      </c>
      <c r="T605" s="7" t="s">
        <v>7704</v>
      </c>
      <c r="U605" s="7" t="s">
        <v>62</v>
      </c>
      <c r="V605" s="162" t="str" cm="1">
        <f t="array" ref="V605">_xlfn.IFS(C605="","",COUNTIF(C605,"ตำแหน่งว่าง*"),"ว่าง",COUNTIF(C605,"&lt;&gt;ตำแหน่งว่าง*"),"คนครอง")</f>
        <v>คนครอง</v>
      </c>
      <c r="W605" s="49" cm="1">
        <f t="array" ref="W605">_xlfn.IFS(COUNTIF(F605,"ผบ.หมู่*"),51,COUNTIF(F605,"รอง สว.*"),43)</f>
        <v>51</v>
      </c>
      <c r="X605" s="62" t="s">
        <v>1140</v>
      </c>
      <c r="Y605" s="61" t="s">
        <v>52</v>
      </c>
    </row>
    <row r="606" spans="1:25" s="10" customFormat="1" ht="21.3" customHeight="1">
      <c r="A606" s="65" t="s">
        <v>169</v>
      </c>
      <c r="B606" s="66" t="s">
        <v>12</v>
      </c>
      <c r="C606" s="65" t="s">
        <v>1142</v>
      </c>
      <c r="D606" s="27" t="s">
        <v>8318</v>
      </c>
      <c r="E606" s="27" t="s">
        <v>8753</v>
      </c>
      <c r="F606" s="65" t="s">
        <v>1108</v>
      </c>
      <c r="G606" s="101" t="s">
        <v>1144</v>
      </c>
      <c r="H606" s="81">
        <v>44986</v>
      </c>
      <c r="I606" s="77">
        <v>44986</v>
      </c>
      <c r="J606" s="77">
        <v>44986</v>
      </c>
      <c r="K606" s="77">
        <v>35685</v>
      </c>
      <c r="L606" s="63" t="s">
        <v>82</v>
      </c>
      <c r="M606" s="61" t="s">
        <v>47</v>
      </c>
      <c r="N606" s="114" t="s">
        <v>14</v>
      </c>
      <c r="O606" s="104" t="s">
        <v>52</v>
      </c>
      <c r="P606" s="104" t="s">
        <v>52</v>
      </c>
      <c r="Q606" s="107"/>
      <c r="R606" s="66" t="s">
        <v>861</v>
      </c>
      <c r="S606" s="225">
        <f t="shared" si="9"/>
        <v>57619</v>
      </c>
      <c r="T606" s="7" t="s">
        <v>7704</v>
      </c>
      <c r="U606" s="7" t="s">
        <v>62</v>
      </c>
      <c r="V606" s="162" t="str" cm="1">
        <f t="array" ref="V606">_xlfn.IFS(C606="","",COUNTIF(C606,"ตำแหน่งว่าง*"),"ว่าง",COUNTIF(C606,"&lt;&gt;ตำแหน่งว่าง*"),"คนครอง")</f>
        <v>คนครอง</v>
      </c>
      <c r="W606" s="49" cm="1">
        <f t="array" ref="W606">_xlfn.IFS(COUNTIF(F606,"ผบ.หมู่*"),51,COUNTIF(F606,"รอง สว.*"),43)</f>
        <v>51</v>
      </c>
      <c r="X606" s="62" t="s">
        <v>1143</v>
      </c>
      <c r="Y606" s="61" t="s">
        <v>52</v>
      </c>
    </row>
    <row r="607" spans="1:25" s="10" customFormat="1" ht="21.3" customHeight="1">
      <c r="A607" s="65" t="s">
        <v>169</v>
      </c>
      <c r="B607" s="66" t="s">
        <v>12</v>
      </c>
      <c r="C607" s="65" t="s">
        <v>1145</v>
      </c>
      <c r="D607" s="27" t="s">
        <v>8197</v>
      </c>
      <c r="E607" s="27" t="s">
        <v>8754</v>
      </c>
      <c r="F607" s="65" t="s">
        <v>1108</v>
      </c>
      <c r="G607" s="101" t="s">
        <v>1147</v>
      </c>
      <c r="H607" s="81">
        <v>44986</v>
      </c>
      <c r="I607" s="77">
        <v>44986</v>
      </c>
      <c r="J607" s="77">
        <v>44986</v>
      </c>
      <c r="K607" s="77">
        <v>35380</v>
      </c>
      <c r="L607" s="63" t="s">
        <v>82</v>
      </c>
      <c r="M607" s="61" t="s">
        <v>64</v>
      </c>
      <c r="N607" s="114" t="s">
        <v>14</v>
      </c>
      <c r="O607" s="104" t="s">
        <v>52</v>
      </c>
      <c r="P607" s="104" t="s">
        <v>52</v>
      </c>
      <c r="Q607" s="107"/>
      <c r="R607" s="66" t="s">
        <v>861</v>
      </c>
      <c r="S607" s="225">
        <f t="shared" si="9"/>
        <v>57619</v>
      </c>
      <c r="T607" s="7" t="s">
        <v>7704</v>
      </c>
      <c r="U607" s="7" t="s">
        <v>62</v>
      </c>
      <c r="V607" s="162" t="str" cm="1">
        <f t="array" ref="V607">_xlfn.IFS(C607="","",COUNTIF(C607,"ตำแหน่งว่าง*"),"ว่าง",COUNTIF(C607,"&lt;&gt;ตำแหน่งว่าง*"),"คนครอง")</f>
        <v>คนครอง</v>
      </c>
      <c r="W607" s="49" cm="1">
        <f t="array" ref="W607">_xlfn.IFS(COUNTIF(F607,"ผบ.หมู่*"),51,COUNTIF(F607,"รอง สว.*"),43)</f>
        <v>51</v>
      </c>
      <c r="X607" s="62" t="s">
        <v>1146</v>
      </c>
      <c r="Y607" s="61" t="s">
        <v>52</v>
      </c>
    </row>
    <row r="608" spans="1:25" s="10" customFormat="1" ht="21.3" customHeight="1">
      <c r="A608" s="65" t="s">
        <v>169</v>
      </c>
      <c r="B608" s="66" t="s">
        <v>12</v>
      </c>
      <c r="C608" s="65" t="s">
        <v>1148</v>
      </c>
      <c r="D608" s="27" t="s">
        <v>8714</v>
      </c>
      <c r="E608" s="27" t="s">
        <v>8755</v>
      </c>
      <c r="F608" s="65" t="s">
        <v>1108</v>
      </c>
      <c r="G608" s="101" t="s">
        <v>1150</v>
      </c>
      <c r="H608" s="81">
        <v>44986</v>
      </c>
      <c r="I608" s="79">
        <v>44986</v>
      </c>
      <c r="J608" s="77">
        <v>44986</v>
      </c>
      <c r="K608" s="79">
        <v>33658</v>
      </c>
      <c r="L608" s="63" t="s">
        <v>82</v>
      </c>
      <c r="M608" s="61" t="s">
        <v>126</v>
      </c>
      <c r="N608" s="114" t="s">
        <v>14</v>
      </c>
      <c r="O608" s="104" t="s">
        <v>52</v>
      </c>
      <c r="P608" s="104" t="s">
        <v>52</v>
      </c>
      <c r="Q608" s="107"/>
      <c r="R608" s="66" t="s">
        <v>861</v>
      </c>
      <c r="S608" s="225">
        <f t="shared" si="9"/>
        <v>55793</v>
      </c>
      <c r="T608" s="7" t="s">
        <v>7704</v>
      </c>
      <c r="U608" s="7" t="s">
        <v>62</v>
      </c>
      <c r="V608" s="162" t="str" cm="1">
        <f t="array" ref="V608">_xlfn.IFS(C608="","",COUNTIF(C608,"ตำแหน่งว่าง*"),"ว่าง",COUNTIF(C608,"&lt;&gt;ตำแหน่งว่าง*"),"คนครอง")</f>
        <v>คนครอง</v>
      </c>
      <c r="W608" s="49" cm="1">
        <f t="array" ref="W608">_xlfn.IFS(COUNTIF(F608,"ผบ.หมู่*"),51,COUNTIF(F608,"รอง สว.*"),43)</f>
        <v>51</v>
      </c>
      <c r="X608" s="62" t="s">
        <v>1149</v>
      </c>
      <c r="Y608" s="61" t="s">
        <v>52</v>
      </c>
    </row>
    <row r="609" spans="1:25" s="9" customFormat="1" ht="21.3" customHeight="1">
      <c r="A609" s="27"/>
      <c r="B609" s="28"/>
      <c r="C609" s="95" t="s">
        <v>18</v>
      </c>
      <c r="D609" s="27"/>
      <c r="E609" s="27"/>
      <c r="F609" s="65" t="s">
        <v>1108</v>
      </c>
      <c r="G609" s="101" t="s">
        <v>1152</v>
      </c>
      <c r="H609" s="91"/>
      <c r="I609" s="78"/>
      <c r="J609" s="73"/>
      <c r="K609" s="78"/>
      <c r="L609" s="11"/>
      <c r="M609" s="1"/>
      <c r="N609" s="112" t="s">
        <v>14</v>
      </c>
      <c r="O609" s="104" t="s">
        <v>52</v>
      </c>
      <c r="P609" s="104" t="s">
        <v>52</v>
      </c>
      <c r="Q609" s="105"/>
      <c r="R609" s="26"/>
      <c r="S609" s="225" t="str">
        <f t="shared" si="9"/>
        <v/>
      </c>
      <c r="T609" s="2" t="s">
        <v>7704</v>
      </c>
      <c r="U609" s="7" t="s">
        <v>62</v>
      </c>
      <c r="V609" s="162" t="str" cm="1">
        <f t="array" ref="V609">_xlfn.IFS(C609="","",COUNTIF(C609,"ตำแหน่งว่าง*"),"ว่าง",COUNTIF(C609,"&lt;&gt;ตำแหน่งว่าง*"),"คนครอง")</f>
        <v>ว่าง</v>
      </c>
      <c r="W609" s="49" cm="1">
        <f t="array" ref="W609">_xlfn.IFS(COUNTIF(F609,"ผบ.หมู่*"),51,COUNTIF(F609,"รอง สว.*"),43)</f>
        <v>51</v>
      </c>
      <c r="X609" s="3" t="s">
        <v>1151</v>
      </c>
      <c r="Y609" s="1" t="s">
        <v>52</v>
      </c>
    </row>
    <row r="610" spans="1:25" s="9" customFormat="1" ht="21.3" customHeight="1">
      <c r="A610" s="27"/>
      <c r="B610" s="28"/>
      <c r="C610" s="95" t="s">
        <v>18</v>
      </c>
      <c r="D610" s="27"/>
      <c r="E610" s="27"/>
      <c r="F610" s="65" t="s">
        <v>1108</v>
      </c>
      <c r="G610" s="101" t="s">
        <v>1154</v>
      </c>
      <c r="H610" s="91"/>
      <c r="I610" s="78"/>
      <c r="J610" s="73"/>
      <c r="K610" s="78"/>
      <c r="L610" s="11"/>
      <c r="M610" s="1"/>
      <c r="N610" s="112" t="s">
        <v>14</v>
      </c>
      <c r="O610" s="104" t="s">
        <v>52</v>
      </c>
      <c r="P610" s="104" t="s">
        <v>52</v>
      </c>
      <c r="Q610" s="105"/>
      <c r="R610" s="26"/>
      <c r="S610" s="225" t="str">
        <f t="shared" si="9"/>
        <v/>
      </c>
      <c r="T610" s="2" t="s">
        <v>7704</v>
      </c>
      <c r="U610" s="7" t="s">
        <v>62</v>
      </c>
      <c r="V610" s="162" t="str" cm="1">
        <f t="array" ref="V610">_xlfn.IFS(C610="","",COUNTIF(C610,"ตำแหน่งว่าง*"),"ว่าง",COUNTIF(C610,"&lt;&gt;ตำแหน่งว่าง*"),"คนครอง")</f>
        <v>ว่าง</v>
      </c>
      <c r="W610" s="49" cm="1">
        <f t="array" ref="W610">_xlfn.IFS(COUNTIF(F610,"ผบ.หมู่*"),51,COUNTIF(F610,"รอง สว.*"),43)</f>
        <v>51</v>
      </c>
      <c r="X610" s="3" t="s">
        <v>1153</v>
      </c>
      <c r="Y610" s="1" t="s">
        <v>52</v>
      </c>
    </row>
    <row r="611" spans="1:25" s="10" customFormat="1" ht="21.3" customHeight="1">
      <c r="A611" s="65" t="s">
        <v>169</v>
      </c>
      <c r="B611" s="66" t="s">
        <v>12</v>
      </c>
      <c r="C611" s="65" t="s">
        <v>1155</v>
      </c>
      <c r="D611" s="27" t="s">
        <v>8722</v>
      </c>
      <c r="E611" s="27" t="s">
        <v>8757</v>
      </c>
      <c r="F611" s="65" t="s">
        <v>1156</v>
      </c>
      <c r="G611" s="101" t="s">
        <v>1158</v>
      </c>
      <c r="H611" s="81">
        <v>44986</v>
      </c>
      <c r="I611" s="79">
        <v>44986</v>
      </c>
      <c r="J611" s="77">
        <v>44986</v>
      </c>
      <c r="K611" s="79">
        <v>37200</v>
      </c>
      <c r="L611" s="63" t="s">
        <v>112</v>
      </c>
      <c r="M611" s="61" t="s">
        <v>57</v>
      </c>
      <c r="N611" s="114" t="s">
        <v>14</v>
      </c>
      <c r="O611" s="104" t="s">
        <v>52</v>
      </c>
      <c r="P611" s="104" t="s">
        <v>52</v>
      </c>
      <c r="Q611" s="107"/>
      <c r="R611" s="66" t="s">
        <v>861</v>
      </c>
      <c r="S611" s="225">
        <f t="shared" si="9"/>
        <v>59445</v>
      </c>
      <c r="T611" s="7" t="s">
        <v>7704</v>
      </c>
      <c r="U611" s="7" t="s">
        <v>62</v>
      </c>
      <c r="V611" s="162" t="str" cm="1">
        <f t="array" ref="V611">_xlfn.IFS(C611="","",COUNTIF(C611,"ตำแหน่งว่าง*"),"ว่าง",COUNTIF(C611,"&lt;&gt;ตำแหน่งว่าง*"),"คนครอง")</f>
        <v>คนครอง</v>
      </c>
      <c r="W611" s="49" cm="1">
        <f t="array" ref="W611">_xlfn.IFS(COUNTIF(F611,"ผบ.หมู่*"),51,COUNTIF(F611,"รอง สว.*"),43)</f>
        <v>51</v>
      </c>
      <c r="X611" s="62" t="s">
        <v>1157</v>
      </c>
      <c r="Y611" s="61" t="s">
        <v>52</v>
      </c>
    </row>
    <row r="612" spans="1:25" s="10" customFormat="1" ht="21.3" customHeight="1">
      <c r="A612" s="65" t="s">
        <v>169</v>
      </c>
      <c r="B612" s="66" t="s">
        <v>12</v>
      </c>
      <c r="C612" s="65" t="s">
        <v>1159</v>
      </c>
      <c r="D612" s="27" t="s">
        <v>8758</v>
      </c>
      <c r="E612" s="27" t="s">
        <v>8329</v>
      </c>
      <c r="F612" s="65" t="s">
        <v>1108</v>
      </c>
      <c r="G612" s="101" t="s">
        <v>1161</v>
      </c>
      <c r="H612" s="81">
        <v>44986</v>
      </c>
      <c r="I612" s="77">
        <v>44986</v>
      </c>
      <c r="J612" s="77">
        <v>44986</v>
      </c>
      <c r="K612" s="77">
        <v>35991</v>
      </c>
      <c r="L612" s="63" t="s">
        <v>82</v>
      </c>
      <c r="M612" s="61" t="s">
        <v>88</v>
      </c>
      <c r="N612" s="114" t="s">
        <v>14</v>
      </c>
      <c r="O612" s="104" t="s">
        <v>52</v>
      </c>
      <c r="P612" s="104" t="s">
        <v>52</v>
      </c>
      <c r="Q612" s="107"/>
      <c r="R612" s="66" t="s">
        <v>861</v>
      </c>
      <c r="S612" s="225">
        <f t="shared" si="9"/>
        <v>57984</v>
      </c>
      <c r="T612" s="7" t="s">
        <v>7704</v>
      </c>
      <c r="U612" s="7" t="s">
        <v>62</v>
      </c>
      <c r="V612" s="162" t="str" cm="1">
        <f t="array" ref="V612">_xlfn.IFS(C612="","",COUNTIF(C612,"ตำแหน่งว่าง*"),"ว่าง",COUNTIF(C612,"&lt;&gt;ตำแหน่งว่าง*"),"คนครอง")</f>
        <v>คนครอง</v>
      </c>
      <c r="W612" s="49" cm="1">
        <f t="array" ref="W612">_xlfn.IFS(COUNTIF(F612,"ผบ.หมู่*"),51,COUNTIF(F612,"รอง สว.*"),43)</f>
        <v>51</v>
      </c>
      <c r="X612" s="62" t="s">
        <v>1160</v>
      </c>
      <c r="Y612" s="61" t="s">
        <v>52</v>
      </c>
    </row>
    <row r="613" spans="1:25" s="10" customFormat="1" ht="21.3" customHeight="1">
      <c r="A613" s="65" t="s">
        <v>169</v>
      </c>
      <c r="B613" s="66" t="s">
        <v>12</v>
      </c>
      <c r="C613" s="65" t="s">
        <v>1162</v>
      </c>
      <c r="D613" s="27" t="s">
        <v>7991</v>
      </c>
      <c r="E613" s="27" t="s">
        <v>8759</v>
      </c>
      <c r="F613" s="65" t="s">
        <v>1108</v>
      </c>
      <c r="G613" s="101" t="s">
        <v>1164</v>
      </c>
      <c r="H613" s="81">
        <v>44986</v>
      </c>
      <c r="I613" s="77">
        <v>44986</v>
      </c>
      <c r="J613" s="77">
        <v>44986</v>
      </c>
      <c r="K613" s="77">
        <v>36832</v>
      </c>
      <c r="L613" s="63" t="s">
        <v>82</v>
      </c>
      <c r="M613" s="61" t="s">
        <v>94</v>
      </c>
      <c r="N613" s="114" t="s">
        <v>14</v>
      </c>
      <c r="O613" s="104" t="s">
        <v>52</v>
      </c>
      <c r="P613" s="104" t="s">
        <v>52</v>
      </c>
      <c r="Q613" s="107"/>
      <c r="R613" s="66" t="s">
        <v>861</v>
      </c>
      <c r="S613" s="225">
        <f t="shared" si="9"/>
        <v>59080</v>
      </c>
      <c r="T613" s="7" t="s">
        <v>7704</v>
      </c>
      <c r="U613" s="7" t="s">
        <v>62</v>
      </c>
      <c r="V613" s="162" t="str" cm="1">
        <f t="array" ref="V613">_xlfn.IFS(C613="","",COUNTIF(C613,"ตำแหน่งว่าง*"),"ว่าง",COUNTIF(C613,"&lt;&gt;ตำแหน่งว่าง*"),"คนครอง")</f>
        <v>คนครอง</v>
      </c>
      <c r="W613" s="49" cm="1">
        <f t="array" ref="W613">_xlfn.IFS(COUNTIF(F613,"ผบ.หมู่*"),51,COUNTIF(F613,"รอง สว.*"),43)</f>
        <v>51</v>
      </c>
      <c r="X613" s="62" t="s">
        <v>1163</v>
      </c>
      <c r="Y613" s="61" t="s">
        <v>52</v>
      </c>
    </row>
    <row r="614" spans="1:25" s="9" customFormat="1" ht="21.3" customHeight="1">
      <c r="A614" s="27"/>
      <c r="B614" s="28"/>
      <c r="C614" s="95" t="s">
        <v>18</v>
      </c>
      <c r="D614" s="27"/>
      <c r="E614" s="27"/>
      <c r="F614" s="65" t="s">
        <v>1108</v>
      </c>
      <c r="G614" s="101" t="s">
        <v>1166</v>
      </c>
      <c r="H614" s="91"/>
      <c r="I614" s="78"/>
      <c r="J614" s="73"/>
      <c r="K614" s="78"/>
      <c r="L614" s="11"/>
      <c r="M614" s="1"/>
      <c r="N614" s="112" t="s">
        <v>14</v>
      </c>
      <c r="O614" s="104" t="s">
        <v>52</v>
      </c>
      <c r="P614" s="104" t="s">
        <v>52</v>
      </c>
      <c r="Q614" s="105"/>
      <c r="R614" s="26"/>
      <c r="S614" s="225" t="str">
        <f t="shared" si="9"/>
        <v/>
      </c>
      <c r="T614" s="2" t="s">
        <v>7704</v>
      </c>
      <c r="U614" s="7" t="s">
        <v>62</v>
      </c>
      <c r="V614" s="162" t="str" cm="1">
        <f t="array" ref="V614">_xlfn.IFS(C614="","",COUNTIF(C614,"ตำแหน่งว่าง*"),"ว่าง",COUNTIF(C614,"&lt;&gt;ตำแหน่งว่าง*"),"คนครอง")</f>
        <v>ว่าง</v>
      </c>
      <c r="W614" s="49" cm="1">
        <f t="array" ref="W614">_xlfn.IFS(COUNTIF(F614,"ผบ.หมู่*"),51,COUNTIF(F614,"รอง สว.*"),43)</f>
        <v>51</v>
      </c>
      <c r="X614" s="3" t="s">
        <v>1165</v>
      </c>
      <c r="Y614" s="1" t="s">
        <v>52</v>
      </c>
    </row>
    <row r="615" spans="1:25" s="9" customFormat="1" ht="21.3" customHeight="1">
      <c r="A615" s="27" t="s">
        <v>30</v>
      </c>
      <c r="B615" s="28" t="s">
        <v>21</v>
      </c>
      <c r="C615" s="27" t="s">
        <v>1167</v>
      </c>
      <c r="D615" s="27" t="s">
        <v>8760</v>
      </c>
      <c r="E615" s="27" t="s">
        <v>8761</v>
      </c>
      <c r="F615" s="27" t="s">
        <v>1118</v>
      </c>
      <c r="G615" s="101" t="s">
        <v>1169</v>
      </c>
      <c r="H615" s="91">
        <v>40063</v>
      </c>
      <c r="I615" s="78">
        <v>40063</v>
      </c>
      <c r="J615" s="73">
        <v>34729</v>
      </c>
      <c r="K615" s="78">
        <v>24330</v>
      </c>
      <c r="L615" s="11" t="s">
        <v>1170</v>
      </c>
      <c r="M615" s="1" t="s">
        <v>163</v>
      </c>
      <c r="N615" s="112" t="s">
        <v>14</v>
      </c>
      <c r="O615" s="104" t="s">
        <v>52</v>
      </c>
      <c r="P615" s="104" t="s">
        <v>52</v>
      </c>
      <c r="Q615" s="105"/>
      <c r="R615" s="26" t="s">
        <v>603</v>
      </c>
      <c r="S615" s="225">
        <f t="shared" si="9"/>
        <v>46296</v>
      </c>
      <c r="T615" s="2" t="s">
        <v>7704</v>
      </c>
      <c r="U615" s="7" t="s">
        <v>62</v>
      </c>
      <c r="V615" s="162" t="str" cm="1">
        <f t="array" ref="V615">_xlfn.IFS(C615="","",COUNTIF(C615,"ตำแหน่งว่าง*"),"ว่าง",COUNTIF(C615,"&lt;&gt;ตำแหน่งว่าง*"),"คนครอง")</f>
        <v>คนครอง</v>
      </c>
      <c r="W615" s="49" cm="1">
        <f t="array" ref="W615">_xlfn.IFS(COUNTIF(F615,"ผบ.หมู่*"),51,COUNTIF(F615,"รอง สว.*"),43)</f>
        <v>43</v>
      </c>
      <c r="X615" s="3" t="s">
        <v>1168</v>
      </c>
      <c r="Y615" s="1" t="s">
        <v>52</v>
      </c>
    </row>
    <row r="616" spans="1:25" s="10" customFormat="1" ht="21.3" customHeight="1">
      <c r="A616" s="65" t="s">
        <v>169</v>
      </c>
      <c r="B616" s="66" t="s">
        <v>12</v>
      </c>
      <c r="C616" s="65" t="s">
        <v>1171</v>
      </c>
      <c r="D616" s="27" t="s">
        <v>8762</v>
      </c>
      <c r="E616" s="27" t="s">
        <v>8763</v>
      </c>
      <c r="F616" s="65" t="s">
        <v>1108</v>
      </c>
      <c r="G616" s="101" t="s">
        <v>1173</v>
      </c>
      <c r="H616" s="81">
        <v>44986</v>
      </c>
      <c r="I616" s="77">
        <v>44986</v>
      </c>
      <c r="J616" s="77">
        <v>44986</v>
      </c>
      <c r="K616" s="77">
        <v>37824</v>
      </c>
      <c r="L616" s="63" t="s">
        <v>82</v>
      </c>
      <c r="M616" s="61" t="s">
        <v>75</v>
      </c>
      <c r="N616" s="114" t="s">
        <v>14</v>
      </c>
      <c r="O616" s="104" t="s">
        <v>52</v>
      </c>
      <c r="P616" s="104" t="s">
        <v>52</v>
      </c>
      <c r="Q616" s="107"/>
      <c r="R616" s="66" t="s">
        <v>861</v>
      </c>
      <c r="S616" s="225">
        <f t="shared" si="9"/>
        <v>59810</v>
      </c>
      <c r="T616" s="7" t="s">
        <v>7704</v>
      </c>
      <c r="U616" s="7" t="s">
        <v>62</v>
      </c>
      <c r="V616" s="162" t="str" cm="1">
        <f t="array" ref="V616">_xlfn.IFS(C616="","",COUNTIF(C616,"ตำแหน่งว่าง*"),"ว่าง",COUNTIF(C616,"&lt;&gt;ตำแหน่งว่าง*"),"คนครอง")</f>
        <v>คนครอง</v>
      </c>
      <c r="W616" s="49" cm="1">
        <f t="array" ref="W616">_xlfn.IFS(COUNTIF(F616,"ผบ.หมู่*"),51,COUNTIF(F616,"รอง สว.*"),43)</f>
        <v>51</v>
      </c>
      <c r="X616" s="62" t="s">
        <v>1172</v>
      </c>
      <c r="Y616" s="61" t="s">
        <v>52</v>
      </c>
    </row>
    <row r="617" spans="1:25" s="10" customFormat="1" ht="21.3" customHeight="1">
      <c r="A617" s="27" t="s">
        <v>157</v>
      </c>
      <c r="B617" s="28" t="s">
        <v>21</v>
      </c>
      <c r="C617" s="27" t="s">
        <v>7732</v>
      </c>
      <c r="D617" s="27" t="s">
        <v>8055</v>
      </c>
      <c r="E617" s="27" t="s">
        <v>8624</v>
      </c>
      <c r="F617" s="27" t="s">
        <v>1108</v>
      </c>
      <c r="G617" s="101" t="s">
        <v>1175</v>
      </c>
      <c r="H617" s="91">
        <v>45322</v>
      </c>
      <c r="I617" s="73">
        <v>41159</v>
      </c>
      <c r="J617" s="73">
        <v>41159</v>
      </c>
      <c r="K617" s="73">
        <v>31440</v>
      </c>
      <c r="L617" s="11" t="s">
        <v>7733</v>
      </c>
      <c r="M617" s="1" t="s">
        <v>163</v>
      </c>
      <c r="N617" s="112" t="s">
        <v>14</v>
      </c>
      <c r="O617" s="104" t="s">
        <v>52</v>
      </c>
      <c r="P617" s="104" t="s">
        <v>52</v>
      </c>
      <c r="Q617" s="105"/>
      <c r="R617" s="26" t="s">
        <v>7708</v>
      </c>
      <c r="S617" s="225">
        <f t="shared" si="9"/>
        <v>53601</v>
      </c>
      <c r="T617" s="7" t="s">
        <v>7704</v>
      </c>
      <c r="U617" s="7" t="s">
        <v>62</v>
      </c>
      <c r="V617" s="162" t="str" cm="1">
        <f t="array" ref="V617">_xlfn.IFS(C617="","",COUNTIF(C617,"ตำแหน่งว่าง*"),"ว่าง",COUNTIF(C617,"&lt;&gt;ตำแหน่งว่าง*"),"คนครอง")</f>
        <v>คนครอง</v>
      </c>
      <c r="W617" s="49" cm="1">
        <f t="array" ref="W617">_xlfn.IFS(COUNTIF(F617,"ผบ.หมู่*"),51,COUNTIF(F617,"รอง สว.*"),43)</f>
        <v>51</v>
      </c>
      <c r="X617" s="3" t="s">
        <v>1174</v>
      </c>
      <c r="Y617" s="1" t="s">
        <v>52</v>
      </c>
    </row>
    <row r="618" spans="1:25" s="9" customFormat="1" ht="21.3" customHeight="1">
      <c r="A618" s="27" t="s">
        <v>157</v>
      </c>
      <c r="B618" s="28" t="s">
        <v>21</v>
      </c>
      <c r="C618" s="27" t="s">
        <v>1176</v>
      </c>
      <c r="D618" s="27" t="s">
        <v>8764</v>
      </c>
      <c r="E618" s="27" t="s">
        <v>8236</v>
      </c>
      <c r="F618" s="27" t="s">
        <v>1108</v>
      </c>
      <c r="G618" s="101" t="s">
        <v>1178</v>
      </c>
      <c r="H618" s="91">
        <v>40063</v>
      </c>
      <c r="I618" s="78">
        <v>39845</v>
      </c>
      <c r="J618" s="73">
        <v>34729</v>
      </c>
      <c r="K618" s="78">
        <v>26972</v>
      </c>
      <c r="L618" s="11" t="s">
        <v>1179</v>
      </c>
      <c r="M618" s="1" t="s">
        <v>163</v>
      </c>
      <c r="N618" s="112" t="s">
        <v>14</v>
      </c>
      <c r="O618" s="104" t="s">
        <v>52</v>
      </c>
      <c r="P618" s="104" t="s">
        <v>52</v>
      </c>
      <c r="Q618" s="105"/>
      <c r="R618" s="26" t="s">
        <v>603</v>
      </c>
      <c r="S618" s="225">
        <f t="shared" si="9"/>
        <v>49218</v>
      </c>
      <c r="T618" s="2" t="s">
        <v>7704</v>
      </c>
      <c r="U618" s="7" t="s">
        <v>62</v>
      </c>
      <c r="V618" s="162" t="str" cm="1">
        <f t="array" ref="V618">_xlfn.IFS(C618="","",COUNTIF(C618,"ตำแหน่งว่าง*"),"ว่าง",COUNTIF(C618,"&lt;&gt;ตำแหน่งว่าง*"),"คนครอง")</f>
        <v>คนครอง</v>
      </c>
      <c r="W618" s="49" cm="1">
        <f t="array" ref="W618">_xlfn.IFS(COUNTIF(F618,"ผบ.หมู่*"),51,COUNTIF(F618,"รอง สว.*"),43)</f>
        <v>51</v>
      </c>
      <c r="X618" s="3" t="s">
        <v>1177</v>
      </c>
      <c r="Y618" s="1" t="s">
        <v>52</v>
      </c>
    </row>
    <row r="619" spans="1:25" s="10" customFormat="1" ht="21.3" customHeight="1">
      <c r="A619" s="192" t="s">
        <v>169</v>
      </c>
      <c r="B619" s="193" t="s">
        <v>21</v>
      </c>
      <c r="C619" s="192" t="s">
        <v>7893</v>
      </c>
      <c r="D619" s="27" t="s">
        <v>8765</v>
      </c>
      <c r="E619" s="27" t="s">
        <v>8766</v>
      </c>
      <c r="F619" s="192" t="s">
        <v>1108</v>
      </c>
      <c r="G619" s="101" t="s">
        <v>1181</v>
      </c>
      <c r="H619" s="73">
        <v>45463</v>
      </c>
      <c r="I619" s="73">
        <v>45463</v>
      </c>
      <c r="J619" s="73">
        <v>45463</v>
      </c>
      <c r="K619" s="73">
        <v>37072</v>
      </c>
      <c r="L619" s="2" t="s">
        <v>82</v>
      </c>
      <c r="M619" s="1"/>
      <c r="N619" s="112" t="s">
        <v>14</v>
      </c>
      <c r="O619" s="104" t="s">
        <v>52</v>
      </c>
      <c r="P619" s="104" t="s">
        <v>52</v>
      </c>
      <c r="Q619" s="105"/>
      <c r="R619" s="28" t="s">
        <v>7961</v>
      </c>
      <c r="S619" s="174">
        <f t="shared" si="9"/>
        <v>59080</v>
      </c>
      <c r="T619" s="2" t="s">
        <v>7704</v>
      </c>
      <c r="U619" s="2" t="s">
        <v>62</v>
      </c>
      <c r="V619" s="162" t="str" cm="1">
        <f t="array" ref="V619">_xlfn.IFS(C619="","",COUNTIF(C619,"ตำแหน่งว่าง*"),"ว่าง",COUNTIF(C619,"&lt;&gt;ตำแหน่งว่าง*"),"คนครอง")</f>
        <v>คนครอง</v>
      </c>
      <c r="W619" s="49" cm="1">
        <f t="array" ref="W619">_xlfn.IFS(COUNTIF(F619,"ผบ.หมู่*"),51,COUNTIF(F619,"รอง สว.*"),43)</f>
        <v>51</v>
      </c>
      <c r="X619" s="3" t="s">
        <v>1180</v>
      </c>
      <c r="Y619" s="1" t="s">
        <v>52</v>
      </c>
    </row>
    <row r="620" spans="1:25" s="10" customFormat="1" ht="21.3" customHeight="1">
      <c r="A620" s="192" t="s">
        <v>169</v>
      </c>
      <c r="B620" s="193" t="s">
        <v>21</v>
      </c>
      <c r="C620" s="192" t="s">
        <v>7894</v>
      </c>
      <c r="D620" s="27" t="s">
        <v>8767</v>
      </c>
      <c r="E620" s="27" t="s">
        <v>8768</v>
      </c>
      <c r="F620" s="192" t="s">
        <v>1108</v>
      </c>
      <c r="G620" s="101" t="s">
        <v>1183</v>
      </c>
      <c r="H620" s="73">
        <v>45463</v>
      </c>
      <c r="I620" s="73">
        <v>45463</v>
      </c>
      <c r="J620" s="73">
        <v>45463</v>
      </c>
      <c r="K620" s="73">
        <v>33304</v>
      </c>
      <c r="L620" s="2" t="s">
        <v>82</v>
      </c>
      <c r="M620" s="1"/>
      <c r="N620" s="112" t="s">
        <v>14</v>
      </c>
      <c r="O620" s="104" t="s">
        <v>52</v>
      </c>
      <c r="P620" s="104" t="s">
        <v>52</v>
      </c>
      <c r="Q620" s="105"/>
      <c r="R620" s="28" t="s">
        <v>7961</v>
      </c>
      <c r="S620" s="174">
        <f t="shared" si="9"/>
        <v>55427</v>
      </c>
      <c r="T620" s="2" t="s">
        <v>7704</v>
      </c>
      <c r="U620" s="2" t="s">
        <v>62</v>
      </c>
      <c r="V620" s="162" t="str" cm="1">
        <f t="array" ref="V620">_xlfn.IFS(C620="","",COUNTIF(C620,"ตำแหน่งว่าง*"),"ว่าง",COUNTIF(C620,"&lt;&gt;ตำแหน่งว่าง*"),"คนครอง")</f>
        <v>คนครอง</v>
      </c>
      <c r="W620" s="49" cm="1">
        <f t="array" ref="W620">_xlfn.IFS(COUNTIF(F620,"ผบ.หมู่*"),51,COUNTIF(F620,"รอง สว.*"),43)</f>
        <v>51</v>
      </c>
      <c r="X620" s="3" t="s">
        <v>1182</v>
      </c>
      <c r="Y620" s="1" t="s">
        <v>52</v>
      </c>
    </row>
    <row r="621" spans="1:25" s="9" customFormat="1" ht="21.3" customHeight="1">
      <c r="A621" s="27" t="s">
        <v>10753</v>
      </c>
      <c r="B621" s="28" t="s">
        <v>21</v>
      </c>
      <c r="C621" s="27" t="s">
        <v>1184</v>
      </c>
      <c r="D621" s="27" t="s">
        <v>8769</v>
      </c>
      <c r="E621" s="27" t="s">
        <v>8770</v>
      </c>
      <c r="F621" s="27" t="s">
        <v>1118</v>
      </c>
      <c r="G621" s="101" t="s">
        <v>1186</v>
      </c>
      <c r="H621" s="91">
        <v>45016</v>
      </c>
      <c r="I621" s="73">
        <v>45016</v>
      </c>
      <c r="J621" s="73">
        <v>34729</v>
      </c>
      <c r="K621" s="73">
        <v>25828</v>
      </c>
      <c r="L621" s="11" t="s">
        <v>1187</v>
      </c>
      <c r="M621" s="1" t="s">
        <v>163</v>
      </c>
      <c r="N621" s="112" t="s">
        <v>14</v>
      </c>
      <c r="O621" s="104" t="s">
        <v>52</v>
      </c>
      <c r="P621" s="104" t="s">
        <v>52</v>
      </c>
      <c r="Q621" s="105"/>
      <c r="R621" s="26" t="s">
        <v>483</v>
      </c>
      <c r="S621" s="225">
        <f t="shared" si="9"/>
        <v>47757</v>
      </c>
      <c r="T621" s="2" t="s">
        <v>7704</v>
      </c>
      <c r="U621" s="7" t="s">
        <v>62</v>
      </c>
      <c r="V621" s="162" t="str" cm="1">
        <f t="array" ref="V621">_xlfn.IFS(C621="","",COUNTIF(C621,"ตำแหน่งว่าง*"),"ว่าง",COUNTIF(C621,"&lt;&gt;ตำแหน่งว่าง*"),"คนครอง")</f>
        <v>คนครอง</v>
      </c>
      <c r="W621" s="49" cm="1">
        <f t="array" ref="W621">_xlfn.IFS(COUNTIF(F621,"ผบ.หมู่*"),51,COUNTIF(F621,"รอง สว.*"),43)</f>
        <v>43</v>
      </c>
      <c r="X621" s="3" t="s">
        <v>1185</v>
      </c>
      <c r="Y621" s="1" t="s">
        <v>52</v>
      </c>
    </row>
    <row r="622" spans="1:25" s="10" customFormat="1" ht="21.3" customHeight="1">
      <c r="A622" s="192" t="s">
        <v>169</v>
      </c>
      <c r="B622" s="193" t="s">
        <v>21</v>
      </c>
      <c r="C622" s="192" t="s">
        <v>7895</v>
      </c>
      <c r="D622" s="27" t="s">
        <v>8200</v>
      </c>
      <c r="E622" s="27" t="s">
        <v>8771</v>
      </c>
      <c r="F622" s="192" t="s">
        <v>1108</v>
      </c>
      <c r="G622" s="101" t="s">
        <v>1189</v>
      </c>
      <c r="H622" s="73">
        <v>45463</v>
      </c>
      <c r="I622" s="73">
        <v>45463</v>
      </c>
      <c r="J622" s="73">
        <v>45463</v>
      </c>
      <c r="K622" s="73">
        <v>35286</v>
      </c>
      <c r="L622" s="2" t="s">
        <v>82</v>
      </c>
      <c r="M622" s="1"/>
      <c r="N622" s="112" t="s">
        <v>14</v>
      </c>
      <c r="O622" s="104" t="s">
        <v>52</v>
      </c>
      <c r="P622" s="104" t="s">
        <v>52</v>
      </c>
      <c r="Q622" s="105"/>
      <c r="R622" s="28" t="s">
        <v>7961</v>
      </c>
      <c r="S622" s="174">
        <f t="shared" si="9"/>
        <v>57254</v>
      </c>
      <c r="T622" s="2" t="s">
        <v>7704</v>
      </c>
      <c r="U622" s="2" t="s">
        <v>62</v>
      </c>
      <c r="V622" s="162" t="str" cm="1">
        <f t="array" ref="V622">_xlfn.IFS(C622="","",COUNTIF(C622,"ตำแหน่งว่าง*"),"ว่าง",COUNTIF(C622,"&lt;&gt;ตำแหน่งว่าง*"),"คนครอง")</f>
        <v>คนครอง</v>
      </c>
      <c r="W622" s="49" cm="1">
        <f t="array" ref="W622">_xlfn.IFS(COUNTIF(F622,"ผบ.หมู่*"),51,COUNTIF(F622,"รอง สว.*"),43)</f>
        <v>51</v>
      </c>
      <c r="X622" s="3" t="s">
        <v>1188</v>
      </c>
      <c r="Y622" s="1" t="s">
        <v>52</v>
      </c>
    </row>
    <row r="623" spans="1:25" s="10" customFormat="1" ht="21.3" customHeight="1">
      <c r="A623" s="27"/>
      <c r="B623" s="28"/>
      <c r="C623" s="30" t="s">
        <v>18</v>
      </c>
      <c r="D623" s="27"/>
      <c r="E623" s="27"/>
      <c r="F623" s="68" t="s">
        <v>1108</v>
      </c>
      <c r="G623" s="121" t="s">
        <v>1191</v>
      </c>
      <c r="H623" s="91" t="s">
        <v>19</v>
      </c>
      <c r="I623" s="73" t="s">
        <v>19</v>
      </c>
      <c r="J623" s="73" t="s">
        <v>19</v>
      </c>
      <c r="K623" s="73" t="s">
        <v>19</v>
      </c>
      <c r="L623" s="11"/>
      <c r="M623" s="1"/>
      <c r="N623" s="113" t="s">
        <v>14</v>
      </c>
      <c r="O623" s="122" t="s">
        <v>52</v>
      </c>
      <c r="P623" s="122" t="s">
        <v>52</v>
      </c>
      <c r="Q623" s="105"/>
      <c r="R623" s="26"/>
      <c r="S623" s="225" t="str">
        <f t="shared" si="9"/>
        <v/>
      </c>
      <c r="T623" s="7" t="s">
        <v>7704</v>
      </c>
      <c r="U623" s="7" t="s">
        <v>62</v>
      </c>
      <c r="V623" s="171" t="str" cm="1">
        <f t="array" ref="V623">_xlfn.IFS(C623="","",COUNTIF(C623,"ตำแหน่งว่าง*"),"ว่าง",COUNTIF(C623,"&lt;&gt;ตำแหน่งว่าง*"),"คนครอง")</f>
        <v>ว่าง</v>
      </c>
      <c r="W623" s="49" cm="1">
        <f t="array" ref="W623">_xlfn.IFS(COUNTIF(F623,"ผบ.หมู่*"),51,COUNTIF(F623,"รอง สว.*"),43)</f>
        <v>51</v>
      </c>
      <c r="X623" s="8" t="s">
        <v>1190</v>
      </c>
      <c r="Y623" s="6" t="s">
        <v>52</v>
      </c>
    </row>
    <row r="624" spans="1:25" s="9" customFormat="1" ht="21.3" customHeight="1">
      <c r="A624" s="27"/>
      <c r="B624" s="28"/>
      <c r="C624" s="30" t="s">
        <v>18</v>
      </c>
      <c r="D624" s="27"/>
      <c r="E624" s="27"/>
      <c r="F624" s="68" t="s">
        <v>1108</v>
      </c>
      <c r="G624" s="121" t="s">
        <v>1193</v>
      </c>
      <c r="H624" s="91" t="s">
        <v>19</v>
      </c>
      <c r="I624" s="73" t="s">
        <v>19</v>
      </c>
      <c r="J624" s="73" t="s">
        <v>19</v>
      </c>
      <c r="K624" s="73" t="s">
        <v>19</v>
      </c>
      <c r="L624" s="11"/>
      <c r="M624" s="1"/>
      <c r="N624" s="113" t="s">
        <v>14</v>
      </c>
      <c r="O624" s="122" t="s">
        <v>52</v>
      </c>
      <c r="P624" s="122" t="s">
        <v>52</v>
      </c>
      <c r="Q624" s="105"/>
      <c r="R624" s="26"/>
      <c r="S624" s="225" t="str">
        <f t="shared" si="9"/>
        <v/>
      </c>
      <c r="T624" s="2" t="s">
        <v>7704</v>
      </c>
      <c r="U624" s="7" t="s">
        <v>62</v>
      </c>
      <c r="V624" s="171" t="str" cm="1">
        <f t="array" ref="V624">_xlfn.IFS(C624="","",COUNTIF(C624,"ตำแหน่งว่าง*"),"ว่าง",COUNTIF(C624,"&lt;&gt;ตำแหน่งว่าง*"),"คนครอง")</f>
        <v>ว่าง</v>
      </c>
      <c r="W624" s="49" cm="1">
        <f t="array" ref="W624">_xlfn.IFS(COUNTIF(F624,"ผบ.หมู่*"),51,COUNTIF(F624,"รอง สว.*"),43)</f>
        <v>51</v>
      </c>
      <c r="X624" s="8" t="s">
        <v>1192</v>
      </c>
      <c r="Y624" s="6" t="s">
        <v>52</v>
      </c>
    </row>
    <row r="625" spans="1:25" s="10" customFormat="1" ht="21.3" customHeight="1">
      <c r="A625" s="27"/>
      <c r="B625" s="28"/>
      <c r="C625" s="30" t="s">
        <v>18</v>
      </c>
      <c r="D625" s="27"/>
      <c r="E625" s="27"/>
      <c r="F625" s="68" t="s">
        <v>1108</v>
      </c>
      <c r="G625" s="121" t="s">
        <v>1195</v>
      </c>
      <c r="H625" s="91" t="s">
        <v>19</v>
      </c>
      <c r="I625" s="73" t="s">
        <v>19</v>
      </c>
      <c r="J625" s="73" t="s">
        <v>19</v>
      </c>
      <c r="K625" s="73" t="s">
        <v>19</v>
      </c>
      <c r="L625" s="11"/>
      <c r="M625" s="1"/>
      <c r="N625" s="113" t="s">
        <v>14</v>
      </c>
      <c r="O625" s="122" t="s">
        <v>52</v>
      </c>
      <c r="P625" s="122" t="s">
        <v>52</v>
      </c>
      <c r="Q625" s="105"/>
      <c r="R625" s="26"/>
      <c r="S625" s="225" t="str">
        <f t="shared" si="9"/>
        <v/>
      </c>
      <c r="T625" s="7" t="s">
        <v>7704</v>
      </c>
      <c r="U625" s="7" t="s">
        <v>62</v>
      </c>
      <c r="V625" s="171" t="str" cm="1">
        <f t="array" ref="V625">_xlfn.IFS(C625="","",COUNTIF(C625,"ตำแหน่งว่าง*"),"ว่าง",COUNTIF(C625,"&lt;&gt;ตำแหน่งว่าง*"),"คนครอง")</f>
        <v>ว่าง</v>
      </c>
      <c r="W625" s="49" cm="1">
        <f t="array" ref="W625">_xlfn.IFS(COUNTIF(F625,"ผบ.หมู่*"),51,COUNTIF(F625,"รอง สว.*"),43)</f>
        <v>51</v>
      </c>
      <c r="X625" s="8" t="s">
        <v>1194</v>
      </c>
      <c r="Y625" s="6" t="s">
        <v>52</v>
      </c>
    </row>
    <row r="626" spans="1:25" s="10" customFormat="1" ht="21.3" customHeight="1">
      <c r="A626" s="27"/>
      <c r="B626" s="28"/>
      <c r="C626" s="30" t="s">
        <v>18</v>
      </c>
      <c r="D626" s="27"/>
      <c r="E626" s="27"/>
      <c r="F626" s="68" t="s">
        <v>1108</v>
      </c>
      <c r="G626" s="121" t="s">
        <v>1197</v>
      </c>
      <c r="H626" s="91" t="s">
        <v>19</v>
      </c>
      <c r="I626" s="73" t="s">
        <v>19</v>
      </c>
      <c r="J626" s="73" t="s">
        <v>19</v>
      </c>
      <c r="K626" s="73" t="s">
        <v>19</v>
      </c>
      <c r="L626" s="11"/>
      <c r="M626" s="1"/>
      <c r="N626" s="113" t="s">
        <v>14</v>
      </c>
      <c r="O626" s="122" t="s">
        <v>52</v>
      </c>
      <c r="P626" s="122" t="s">
        <v>52</v>
      </c>
      <c r="Q626" s="105"/>
      <c r="R626" s="26"/>
      <c r="S626" s="225" t="str">
        <f t="shared" si="9"/>
        <v/>
      </c>
      <c r="T626" s="7" t="s">
        <v>7704</v>
      </c>
      <c r="U626" s="7" t="s">
        <v>62</v>
      </c>
      <c r="V626" s="171" t="str" cm="1">
        <f t="array" ref="V626">_xlfn.IFS(C626="","",COUNTIF(C626,"ตำแหน่งว่าง*"),"ว่าง",COUNTIF(C626,"&lt;&gt;ตำแหน่งว่าง*"),"คนครอง")</f>
        <v>ว่าง</v>
      </c>
      <c r="W626" s="49" cm="1">
        <f t="array" ref="W626">_xlfn.IFS(COUNTIF(F626,"ผบ.หมู่*"),51,COUNTIF(F626,"รอง สว.*"),43)</f>
        <v>51</v>
      </c>
      <c r="X626" s="8" t="s">
        <v>1196</v>
      </c>
      <c r="Y626" s="6" t="s">
        <v>52</v>
      </c>
    </row>
    <row r="627" spans="1:25" s="10" customFormat="1" ht="21.3" customHeight="1">
      <c r="A627" s="27"/>
      <c r="B627" s="28"/>
      <c r="C627" s="30" t="s">
        <v>18</v>
      </c>
      <c r="D627" s="27"/>
      <c r="E627" s="27"/>
      <c r="F627" s="68" t="s">
        <v>1108</v>
      </c>
      <c r="G627" s="121" t="s">
        <v>1199</v>
      </c>
      <c r="H627" s="91" t="s">
        <v>19</v>
      </c>
      <c r="I627" s="73" t="s">
        <v>19</v>
      </c>
      <c r="J627" s="73" t="s">
        <v>19</v>
      </c>
      <c r="K627" s="73" t="s">
        <v>19</v>
      </c>
      <c r="L627" s="11"/>
      <c r="M627" s="1"/>
      <c r="N627" s="113" t="s">
        <v>14</v>
      </c>
      <c r="O627" s="122" t="s">
        <v>52</v>
      </c>
      <c r="P627" s="122" t="s">
        <v>52</v>
      </c>
      <c r="Q627" s="105"/>
      <c r="R627" s="26"/>
      <c r="S627" s="225" t="str">
        <f t="shared" si="9"/>
        <v/>
      </c>
      <c r="T627" s="7" t="s">
        <v>7704</v>
      </c>
      <c r="U627" s="7" t="s">
        <v>62</v>
      </c>
      <c r="V627" s="171" t="str" cm="1">
        <f t="array" ref="V627">_xlfn.IFS(C627="","",COUNTIF(C627,"ตำแหน่งว่าง*"),"ว่าง",COUNTIF(C627,"&lt;&gt;ตำแหน่งว่าง*"),"คนครอง")</f>
        <v>ว่าง</v>
      </c>
      <c r="W627" s="49" cm="1">
        <f t="array" ref="W627">_xlfn.IFS(COUNTIF(F627,"ผบ.หมู่*"),51,COUNTIF(F627,"รอง สว.*"),43)</f>
        <v>51</v>
      </c>
      <c r="X627" s="8" t="s">
        <v>1198</v>
      </c>
      <c r="Y627" s="6" t="s">
        <v>52</v>
      </c>
    </row>
    <row r="628" spans="1:25" s="10" customFormat="1" ht="21.3" customHeight="1">
      <c r="A628" s="27"/>
      <c r="B628" s="28"/>
      <c r="C628" s="30" t="s">
        <v>18</v>
      </c>
      <c r="D628" s="27"/>
      <c r="E628" s="27"/>
      <c r="F628" s="68" t="s">
        <v>1108</v>
      </c>
      <c r="G628" s="121" t="s">
        <v>1201</v>
      </c>
      <c r="H628" s="91" t="s">
        <v>19</v>
      </c>
      <c r="I628" s="73" t="s">
        <v>19</v>
      </c>
      <c r="J628" s="73" t="s">
        <v>19</v>
      </c>
      <c r="K628" s="73" t="s">
        <v>19</v>
      </c>
      <c r="L628" s="11"/>
      <c r="M628" s="1"/>
      <c r="N628" s="113" t="s">
        <v>14</v>
      </c>
      <c r="O628" s="122" t="s">
        <v>52</v>
      </c>
      <c r="P628" s="122" t="s">
        <v>52</v>
      </c>
      <c r="Q628" s="105"/>
      <c r="R628" s="26"/>
      <c r="S628" s="225" t="str">
        <f t="shared" si="9"/>
        <v/>
      </c>
      <c r="T628" s="7" t="s">
        <v>7704</v>
      </c>
      <c r="U628" s="7" t="s">
        <v>62</v>
      </c>
      <c r="V628" s="171" t="str" cm="1">
        <f t="array" ref="V628">_xlfn.IFS(C628="","",COUNTIF(C628,"ตำแหน่งว่าง*"),"ว่าง",COUNTIF(C628,"&lt;&gt;ตำแหน่งว่าง*"),"คนครอง")</f>
        <v>ว่าง</v>
      </c>
      <c r="W628" s="49" cm="1">
        <f t="array" ref="W628">_xlfn.IFS(COUNTIF(F628,"ผบ.หมู่*"),51,COUNTIF(F628,"รอง สว.*"),43)</f>
        <v>51</v>
      </c>
      <c r="X628" s="8" t="s">
        <v>1200</v>
      </c>
      <c r="Y628" s="6" t="s">
        <v>52</v>
      </c>
    </row>
    <row r="629" spans="1:25" s="9" customFormat="1" ht="21.3" customHeight="1">
      <c r="A629" s="132" t="s">
        <v>10753</v>
      </c>
      <c r="B629" s="28" t="s">
        <v>12</v>
      </c>
      <c r="C629" s="27" t="s">
        <v>1202</v>
      </c>
      <c r="D629" s="27" t="s">
        <v>8772</v>
      </c>
      <c r="E629" s="27" t="s">
        <v>8773</v>
      </c>
      <c r="F629" s="27" t="s">
        <v>1118</v>
      </c>
      <c r="G629" s="101" t="s">
        <v>1204</v>
      </c>
      <c r="H629" s="91">
        <v>45382</v>
      </c>
      <c r="I629" s="73">
        <v>45382</v>
      </c>
      <c r="J629" s="73">
        <v>37316</v>
      </c>
      <c r="K629" s="73">
        <v>25928</v>
      </c>
      <c r="L629" s="11" t="s">
        <v>1205</v>
      </c>
      <c r="M629" s="1" t="s">
        <v>57</v>
      </c>
      <c r="N629" s="112" t="s">
        <v>14</v>
      </c>
      <c r="O629" s="104" t="s">
        <v>52</v>
      </c>
      <c r="P629" s="104" t="s">
        <v>52</v>
      </c>
      <c r="Q629" s="105"/>
      <c r="R629" s="33" t="s">
        <v>7801</v>
      </c>
      <c r="S629" s="225">
        <f t="shared" si="9"/>
        <v>48122</v>
      </c>
      <c r="T629" s="2" t="s">
        <v>7704</v>
      </c>
      <c r="U629" s="7" t="s">
        <v>62</v>
      </c>
      <c r="V629" s="162" t="str" cm="1">
        <f t="array" ref="V629">_xlfn.IFS(C629="","",COUNTIF(C629,"ตำแหน่งว่าง*"),"ว่าง",COUNTIF(C629,"&lt;&gt;ตำแหน่งว่าง*"),"คนครอง")</f>
        <v>คนครอง</v>
      </c>
      <c r="W629" s="49" cm="1">
        <f t="array" ref="W629">_xlfn.IFS(COUNTIF(F629,"ผบ.หมู่*"),51,COUNTIF(F629,"รอง สว.*"),43)</f>
        <v>43</v>
      </c>
      <c r="X629" s="3" t="s">
        <v>1203</v>
      </c>
      <c r="Y629" s="1" t="s">
        <v>52</v>
      </c>
    </row>
    <row r="630" spans="1:25" s="10" customFormat="1" ht="21.3" customHeight="1">
      <c r="A630" s="27"/>
      <c r="B630" s="28"/>
      <c r="C630" s="30" t="s">
        <v>18</v>
      </c>
      <c r="D630" s="27"/>
      <c r="E630" s="27"/>
      <c r="F630" s="68" t="s">
        <v>1108</v>
      </c>
      <c r="G630" s="121" t="s">
        <v>1207</v>
      </c>
      <c r="H630" s="91" t="s">
        <v>19</v>
      </c>
      <c r="I630" s="73" t="s">
        <v>19</v>
      </c>
      <c r="J630" s="73" t="s">
        <v>19</v>
      </c>
      <c r="K630" s="73" t="s">
        <v>19</v>
      </c>
      <c r="L630" s="11"/>
      <c r="M630" s="1"/>
      <c r="N630" s="113" t="s">
        <v>14</v>
      </c>
      <c r="O630" s="122" t="s">
        <v>52</v>
      </c>
      <c r="P630" s="122" t="s">
        <v>52</v>
      </c>
      <c r="Q630" s="105"/>
      <c r="R630" s="26"/>
      <c r="S630" s="225" t="str">
        <f t="shared" si="9"/>
        <v/>
      </c>
      <c r="T630" s="7" t="s">
        <v>7704</v>
      </c>
      <c r="U630" s="7" t="s">
        <v>62</v>
      </c>
      <c r="V630" s="171" t="str" cm="1">
        <f t="array" ref="V630">_xlfn.IFS(C630="","",COUNTIF(C630,"ตำแหน่งว่าง*"),"ว่าง",COUNTIF(C630,"&lt;&gt;ตำแหน่งว่าง*"),"คนครอง")</f>
        <v>ว่าง</v>
      </c>
      <c r="W630" s="49" cm="1">
        <f t="array" ref="W630">_xlfn.IFS(COUNTIF(F630,"ผบ.หมู่*"),51,COUNTIF(F630,"รอง สว.*"),43)</f>
        <v>51</v>
      </c>
      <c r="X630" s="8" t="s">
        <v>1206</v>
      </c>
      <c r="Y630" s="6" t="s">
        <v>52</v>
      </c>
    </row>
    <row r="631" spans="1:25" s="9" customFormat="1" ht="21.3" customHeight="1">
      <c r="A631" s="27" t="s">
        <v>157</v>
      </c>
      <c r="B631" s="28" t="s">
        <v>12</v>
      </c>
      <c r="C631" s="27" t="s">
        <v>1208</v>
      </c>
      <c r="D631" s="27" t="s">
        <v>8774</v>
      </c>
      <c r="E631" s="27" t="s">
        <v>7973</v>
      </c>
      <c r="F631" s="27" t="s">
        <v>1108</v>
      </c>
      <c r="G631" s="101" t="s">
        <v>1210</v>
      </c>
      <c r="H631" s="91">
        <v>40063</v>
      </c>
      <c r="I631" s="78">
        <v>40063</v>
      </c>
      <c r="J631" s="73">
        <v>37316</v>
      </c>
      <c r="K631" s="78">
        <v>28218</v>
      </c>
      <c r="L631" s="11" t="s">
        <v>1211</v>
      </c>
      <c r="M631" s="1" t="s">
        <v>163</v>
      </c>
      <c r="N631" s="112" t="s">
        <v>14</v>
      </c>
      <c r="O631" s="104" t="s">
        <v>52</v>
      </c>
      <c r="P631" s="104" t="s">
        <v>52</v>
      </c>
      <c r="Q631" s="105"/>
      <c r="R631" s="26" t="s">
        <v>603</v>
      </c>
      <c r="S631" s="225">
        <f t="shared" si="9"/>
        <v>50314</v>
      </c>
      <c r="T631" s="2" t="s">
        <v>7704</v>
      </c>
      <c r="U631" s="7" t="s">
        <v>62</v>
      </c>
      <c r="V631" s="162" t="str" cm="1">
        <f t="array" ref="V631">_xlfn.IFS(C631="","",COUNTIF(C631,"ตำแหน่งว่าง*"),"ว่าง",COUNTIF(C631,"&lt;&gt;ตำแหน่งว่าง*"),"คนครอง")</f>
        <v>คนครอง</v>
      </c>
      <c r="W631" s="49" cm="1">
        <f t="array" ref="W631">_xlfn.IFS(COUNTIF(F631,"ผบ.หมู่*"),51,COUNTIF(F631,"รอง สว.*"),43)</f>
        <v>51</v>
      </c>
      <c r="X631" s="3" t="s">
        <v>1209</v>
      </c>
      <c r="Y631" s="1" t="s">
        <v>52</v>
      </c>
    </row>
    <row r="632" spans="1:25" s="9" customFormat="1" ht="21.3" customHeight="1">
      <c r="A632" s="27" t="s">
        <v>157</v>
      </c>
      <c r="B632" s="28" t="s">
        <v>12</v>
      </c>
      <c r="C632" s="27" t="s">
        <v>1212</v>
      </c>
      <c r="D632" s="27" t="s">
        <v>8775</v>
      </c>
      <c r="E632" s="27" t="s">
        <v>8776</v>
      </c>
      <c r="F632" s="27" t="s">
        <v>1108</v>
      </c>
      <c r="G632" s="101" t="s">
        <v>1214</v>
      </c>
      <c r="H632" s="91">
        <v>40063</v>
      </c>
      <c r="I632" s="73">
        <v>40063</v>
      </c>
      <c r="J632" s="73">
        <v>37316</v>
      </c>
      <c r="K632" s="73">
        <v>28212</v>
      </c>
      <c r="L632" s="11" t="s">
        <v>1215</v>
      </c>
      <c r="M632" s="1" t="s">
        <v>33</v>
      </c>
      <c r="N632" s="112" t="s">
        <v>14</v>
      </c>
      <c r="O632" s="104" t="s">
        <v>52</v>
      </c>
      <c r="P632" s="104" t="s">
        <v>52</v>
      </c>
      <c r="Q632" s="105"/>
      <c r="R632" s="26" t="s">
        <v>603</v>
      </c>
      <c r="S632" s="225">
        <f t="shared" si="9"/>
        <v>50314</v>
      </c>
      <c r="T632" s="2" t="s">
        <v>7704</v>
      </c>
      <c r="U632" s="7" t="s">
        <v>62</v>
      </c>
      <c r="V632" s="162" t="str" cm="1">
        <f t="array" ref="V632">_xlfn.IFS(C632="","",COUNTIF(C632,"ตำแหน่งว่าง*"),"ว่าง",COUNTIF(C632,"&lt;&gt;ตำแหน่งว่าง*"),"คนครอง")</f>
        <v>คนครอง</v>
      </c>
      <c r="W632" s="49" cm="1">
        <f t="array" ref="W632">_xlfn.IFS(COUNTIF(F632,"ผบ.หมู่*"),51,COUNTIF(F632,"รอง สว.*"),43)</f>
        <v>51</v>
      </c>
      <c r="X632" s="3" t="s">
        <v>1213</v>
      </c>
      <c r="Y632" s="1" t="s">
        <v>52</v>
      </c>
    </row>
    <row r="633" spans="1:25" s="10" customFormat="1" ht="21.3" customHeight="1">
      <c r="A633" s="27"/>
      <c r="B633" s="28"/>
      <c r="C633" s="30" t="s">
        <v>18</v>
      </c>
      <c r="D633" s="27"/>
      <c r="E633" s="27"/>
      <c r="F633" s="68" t="s">
        <v>1108</v>
      </c>
      <c r="G633" s="121" t="s">
        <v>1217</v>
      </c>
      <c r="H633" s="91" t="s">
        <v>19</v>
      </c>
      <c r="I633" s="73" t="s">
        <v>19</v>
      </c>
      <c r="J633" s="73" t="s">
        <v>19</v>
      </c>
      <c r="K633" s="73" t="s">
        <v>19</v>
      </c>
      <c r="L633" s="11"/>
      <c r="M633" s="1"/>
      <c r="N633" s="113" t="s">
        <v>14</v>
      </c>
      <c r="O633" s="122" t="s">
        <v>52</v>
      </c>
      <c r="P633" s="122" t="s">
        <v>52</v>
      </c>
      <c r="Q633" s="105"/>
      <c r="R633" s="26"/>
      <c r="S633" s="225" t="str">
        <f t="shared" si="9"/>
        <v/>
      </c>
      <c r="T633" s="7" t="s">
        <v>7704</v>
      </c>
      <c r="U633" s="7" t="s">
        <v>62</v>
      </c>
      <c r="V633" s="171" t="str" cm="1">
        <f t="array" ref="V633">_xlfn.IFS(C633="","",COUNTIF(C633,"ตำแหน่งว่าง*"),"ว่าง",COUNTIF(C633,"&lt;&gt;ตำแหน่งว่าง*"),"คนครอง")</f>
        <v>ว่าง</v>
      </c>
      <c r="W633" s="49" cm="1">
        <f t="array" ref="W633">_xlfn.IFS(COUNTIF(F633,"ผบ.หมู่*"),51,COUNTIF(F633,"รอง สว.*"),43)</f>
        <v>51</v>
      </c>
      <c r="X633" s="8" t="s">
        <v>1216</v>
      </c>
      <c r="Y633" s="6" t="s">
        <v>52</v>
      </c>
    </row>
    <row r="634" spans="1:25" s="10" customFormat="1" ht="21.3" customHeight="1">
      <c r="A634" s="27"/>
      <c r="B634" s="28"/>
      <c r="C634" s="30" t="s">
        <v>18</v>
      </c>
      <c r="D634" s="27"/>
      <c r="E634" s="27"/>
      <c r="F634" s="68" t="s">
        <v>1108</v>
      </c>
      <c r="G634" s="121" t="s">
        <v>1219</v>
      </c>
      <c r="H634" s="91" t="s">
        <v>19</v>
      </c>
      <c r="I634" s="73" t="s">
        <v>19</v>
      </c>
      <c r="J634" s="73" t="s">
        <v>19</v>
      </c>
      <c r="K634" s="73" t="s">
        <v>19</v>
      </c>
      <c r="L634" s="11"/>
      <c r="M634" s="1"/>
      <c r="N634" s="113" t="s">
        <v>14</v>
      </c>
      <c r="O634" s="122" t="s">
        <v>52</v>
      </c>
      <c r="P634" s="122" t="s">
        <v>52</v>
      </c>
      <c r="Q634" s="105"/>
      <c r="R634" s="26"/>
      <c r="S634" s="225" t="str">
        <f t="shared" si="9"/>
        <v/>
      </c>
      <c r="T634" s="7" t="s">
        <v>7704</v>
      </c>
      <c r="U634" s="7" t="s">
        <v>62</v>
      </c>
      <c r="V634" s="171" t="str" cm="1">
        <f t="array" ref="V634">_xlfn.IFS(C634="","",COUNTIF(C634,"ตำแหน่งว่าง*"),"ว่าง",COUNTIF(C634,"&lt;&gt;ตำแหน่งว่าง*"),"คนครอง")</f>
        <v>ว่าง</v>
      </c>
      <c r="W634" s="49" cm="1">
        <f t="array" ref="W634">_xlfn.IFS(COUNTIF(F634,"ผบ.หมู่*"),51,COUNTIF(F634,"รอง สว.*"),43)</f>
        <v>51</v>
      </c>
      <c r="X634" s="8" t="s">
        <v>1218</v>
      </c>
      <c r="Y634" s="6" t="s">
        <v>52</v>
      </c>
    </row>
    <row r="635" spans="1:25" s="10" customFormat="1" ht="21.3" customHeight="1">
      <c r="A635" s="27"/>
      <c r="B635" s="28"/>
      <c r="C635" s="30" t="s">
        <v>18</v>
      </c>
      <c r="D635" s="27"/>
      <c r="E635" s="27"/>
      <c r="F635" s="68" t="s">
        <v>1108</v>
      </c>
      <c r="G635" s="121" t="s">
        <v>1221</v>
      </c>
      <c r="H635" s="91" t="s">
        <v>19</v>
      </c>
      <c r="I635" s="73" t="s">
        <v>19</v>
      </c>
      <c r="J635" s="73" t="s">
        <v>19</v>
      </c>
      <c r="K635" s="73" t="s">
        <v>19</v>
      </c>
      <c r="L635" s="11"/>
      <c r="M635" s="1"/>
      <c r="N635" s="113" t="s">
        <v>14</v>
      </c>
      <c r="O635" s="122" t="s">
        <v>52</v>
      </c>
      <c r="P635" s="122" t="s">
        <v>52</v>
      </c>
      <c r="Q635" s="105"/>
      <c r="R635" s="26"/>
      <c r="S635" s="225" t="str">
        <f t="shared" si="9"/>
        <v/>
      </c>
      <c r="T635" s="7" t="s">
        <v>7704</v>
      </c>
      <c r="U635" s="7" t="s">
        <v>62</v>
      </c>
      <c r="V635" s="171" t="str" cm="1">
        <f t="array" ref="V635">_xlfn.IFS(C635="","",COUNTIF(C635,"ตำแหน่งว่าง*"),"ว่าง",COUNTIF(C635,"&lt;&gt;ตำแหน่งว่าง*"),"คนครอง")</f>
        <v>ว่าง</v>
      </c>
      <c r="W635" s="49" cm="1">
        <f t="array" ref="W635">_xlfn.IFS(COUNTIF(F635,"ผบ.หมู่*"),51,COUNTIF(F635,"รอง สว.*"),43)</f>
        <v>51</v>
      </c>
      <c r="X635" s="8" t="s">
        <v>1220</v>
      </c>
      <c r="Y635" s="6" t="s">
        <v>52</v>
      </c>
    </row>
    <row r="636" spans="1:25" s="10" customFormat="1" ht="21.3" customHeight="1">
      <c r="A636" s="27"/>
      <c r="B636" s="28"/>
      <c r="C636" s="30" t="s">
        <v>18</v>
      </c>
      <c r="D636" s="27"/>
      <c r="E636" s="27"/>
      <c r="F636" s="68" t="s">
        <v>1108</v>
      </c>
      <c r="G636" s="121" t="s">
        <v>1223</v>
      </c>
      <c r="H636" s="91" t="s">
        <v>19</v>
      </c>
      <c r="I636" s="73" t="s">
        <v>19</v>
      </c>
      <c r="J636" s="73" t="s">
        <v>19</v>
      </c>
      <c r="K636" s="73" t="s">
        <v>19</v>
      </c>
      <c r="L636" s="11"/>
      <c r="M636" s="1"/>
      <c r="N636" s="113" t="s">
        <v>14</v>
      </c>
      <c r="O636" s="122" t="s">
        <v>52</v>
      </c>
      <c r="P636" s="122" t="s">
        <v>52</v>
      </c>
      <c r="Q636" s="105"/>
      <c r="R636" s="26"/>
      <c r="S636" s="225" t="str">
        <f t="shared" si="9"/>
        <v/>
      </c>
      <c r="T636" s="7" t="s">
        <v>7704</v>
      </c>
      <c r="U636" s="7" t="s">
        <v>62</v>
      </c>
      <c r="V636" s="171" t="str" cm="1">
        <f t="array" ref="V636">_xlfn.IFS(C636="","",COUNTIF(C636,"ตำแหน่งว่าง*"),"ว่าง",COUNTIF(C636,"&lt;&gt;ตำแหน่งว่าง*"),"คนครอง")</f>
        <v>ว่าง</v>
      </c>
      <c r="W636" s="49" cm="1">
        <f t="array" ref="W636">_xlfn.IFS(COUNTIF(F636,"ผบ.หมู่*"),51,COUNTIF(F636,"รอง สว.*"),43)</f>
        <v>51</v>
      </c>
      <c r="X636" s="8" t="s">
        <v>1222</v>
      </c>
      <c r="Y636" s="6" t="s">
        <v>52</v>
      </c>
    </row>
    <row r="637" spans="1:25" s="10" customFormat="1" ht="21.3" customHeight="1">
      <c r="A637" s="27"/>
      <c r="B637" s="28"/>
      <c r="C637" s="30" t="s">
        <v>18</v>
      </c>
      <c r="D637" s="27"/>
      <c r="E637" s="27"/>
      <c r="F637" s="68" t="s">
        <v>1108</v>
      </c>
      <c r="G637" s="121" t="s">
        <v>1225</v>
      </c>
      <c r="H637" s="91" t="s">
        <v>19</v>
      </c>
      <c r="I637" s="73" t="s">
        <v>19</v>
      </c>
      <c r="J637" s="73" t="s">
        <v>19</v>
      </c>
      <c r="K637" s="73" t="s">
        <v>19</v>
      </c>
      <c r="L637" s="11"/>
      <c r="M637" s="1"/>
      <c r="N637" s="113" t="s">
        <v>14</v>
      </c>
      <c r="O637" s="122" t="s">
        <v>52</v>
      </c>
      <c r="P637" s="122" t="s">
        <v>52</v>
      </c>
      <c r="Q637" s="105"/>
      <c r="R637" s="26"/>
      <c r="S637" s="225" t="str">
        <f t="shared" si="9"/>
        <v/>
      </c>
      <c r="T637" s="7" t="s">
        <v>7704</v>
      </c>
      <c r="U637" s="7" t="s">
        <v>62</v>
      </c>
      <c r="V637" s="171" t="str" cm="1">
        <f t="array" ref="V637">_xlfn.IFS(C637="","",COUNTIF(C637,"ตำแหน่งว่าง*"),"ว่าง",COUNTIF(C637,"&lt;&gt;ตำแหน่งว่าง*"),"คนครอง")</f>
        <v>ว่าง</v>
      </c>
      <c r="W637" s="49" cm="1">
        <f t="array" ref="W637">_xlfn.IFS(COUNTIF(F637,"ผบ.หมู่*"),51,COUNTIF(F637,"รอง สว.*"),43)</f>
        <v>51</v>
      </c>
      <c r="X637" s="8" t="s">
        <v>1224</v>
      </c>
      <c r="Y637" s="6" t="s">
        <v>52</v>
      </c>
    </row>
    <row r="638" spans="1:25" s="9" customFormat="1" ht="21.3" customHeight="1">
      <c r="A638" s="27" t="s">
        <v>157</v>
      </c>
      <c r="B638" s="28" t="s">
        <v>12</v>
      </c>
      <c r="C638" s="27" t="s">
        <v>1226</v>
      </c>
      <c r="D638" s="27" t="s">
        <v>8777</v>
      </c>
      <c r="E638" s="27" t="s">
        <v>8778</v>
      </c>
      <c r="F638" s="27" t="s">
        <v>1108</v>
      </c>
      <c r="G638" s="101" t="s">
        <v>1228</v>
      </c>
      <c r="H638" s="91">
        <v>40063</v>
      </c>
      <c r="I638" s="73">
        <v>40063</v>
      </c>
      <c r="J638" s="73">
        <v>37316</v>
      </c>
      <c r="K638" s="73">
        <v>27873</v>
      </c>
      <c r="L638" s="11" t="s">
        <v>1229</v>
      </c>
      <c r="M638" s="1" t="s">
        <v>86</v>
      </c>
      <c r="N638" s="112" t="s">
        <v>14</v>
      </c>
      <c r="O638" s="104" t="s">
        <v>52</v>
      </c>
      <c r="P638" s="104" t="s">
        <v>52</v>
      </c>
      <c r="Q638" s="105"/>
      <c r="R638" s="26" t="s">
        <v>603</v>
      </c>
      <c r="S638" s="225">
        <f t="shared" si="9"/>
        <v>49949</v>
      </c>
      <c r="T638" s="2" t="s">
        <v>7704</v>
      </c>
      <c r="U638" s="7" t="s">
        <v>62</v>
      </c>
      <c r="V638" s="162" t="str" cm="1">
        <f t="array" ref="V638">_xlfn.IFS(C638="","",COUNTIF(C638,"ตำแหน่งว่าง*"),"ว่าง",COUNTIF(C638,"&lt;&gt;ตำแหน่งว่าง*"),"คนครอง")</f>
        <v>คนครอง</v>
      </c>
      <c r="W638" s="49" cm="1">
        <f t="array" ref="W638">_xlfn.IFS(COUNTIF(F638,"ผบ.หมู่*"),51,COUNTIF(F638,"รอง สว.*"),43)</f>
        <v>51</v>
      </c>
      <c r="X638" s="3" t="s">
        <v>1227</v>
      </c>
      <c r="Y638" s="1" t="s">
        <v>52</v>
      </c>
    </row>
    <row r="639" spans="1:25" s="10" customFormat="1" ht="21.3" customHeight="1">
      <c r="A639" s="27"/>
      <c r="B639" s="28"/>
      <c r="C639" s="30" t="s">
        <v>18</v>
      </c>
      <c r="D639" s="27"/>
      <c r="E639" s="27"/>
      <c r="F639" s="68" t="s">
        <v>1108</v>
      </c>
      <c r="G639" s="121" t="s">
        <v>1231</v>
      </c>
      <c r="H639" s="91" t="s">
        <v>19</v>
      </c>
      <c r="I639" s="73" t="s">
        <v>19</v>
      </c>
      <c r="J639" s="73" t="s">
        <v>19</v>
      </c>
      <c r="K639" s="73" t="s">
        <v>19</v>
      </c>
      <c r="L639" s="11"/>
      <c r="M639" s="1"/>
      <c r="N639" s="113" t="s">
        <v>14</v>
      </c>
      <c r="O639" s="122" t="s">
        <v>52</v>
      </c>
      <c r="P639" s="122" t="s">
        <v>52</v>
      </c>
      <c r="Q639" s="105"/>
      <c r="R639" s="26"/>
      <c r="S639" s="225" t="str">
        <f t="shared" si="9"/>
        <v/>
      </c>
      <c r="T639" s="7" t="s">
        <v>7704</v>
      </c>
      <c r="U639" s="7" t="s">
        <v>62</v>
      </c>
      <c r="V639" s="171" t="str" cm="1">
        <f t="array" ref="V639">_xlfn.IFS(C639="","",COUNTIF(C639,"ตำแหน่งว่าง*"),"ว่าง",COUNTIF(C639,"&lt;&gt;ตำแหน่งว่าง*"),"คนครอง")</f>
        <v>ว่าง</v>
      </c>
      <c r="W639" s="49" cm="1">
        <f t="array" ref="W639">_xlfn.IFS(COUNTIF(F639,"ผบ.หมู่*"),51,COUNTIF(F639,"รอง สว.*"),43)</f>
        <v>51</v>
      </c>
      <c r="X639" s="8" t="s">
        <v>1230</v>
      </c>
      <c r="Y639" s="6" t="s">
        <v>52</v>
      </c>
    </row>
    <row r="640" spans="1:25" s="9" customFormat="1" ht="21.3" customHeight="1">
      <c r="A640" s="27" t="s">
        <v>157</v>
      </c>
      <c r="B640" s="28" t="s">
        <v>21</v>
      </c>
      <c r="C640" s="27" t="s">
        <v>1232</v>
      </c>
      <c r="D640" s="27" t="s">
        <v>8779</v>
      </c>
      <c r="E640" s="27" t="s">
        <v>8780</v>
      </c>
      <c r="F640" s="27" t="s">
        <v>1108</v>
      </c>
      <c r="G640" s="101" t="s">
        <v>1234</v>
      </c>
      <c r="H640" s="91">
        <v>40063</v>
      </c>
      <c r="I640" s="78">
        <v>40063</v>
      </c>
      <c r="J640" s="73">
        <v>37316</v>
      </c>
      <c r="K640" s="78">
        <v>26755</v>
      </c>
      <c r="L640" s="11" t="s">
        <v>1235</v>
      </c>
      <c r="M640" s="1" t="s">
        <v>46</v>
      </c>
      <c r="N640" s="112" t="s">
        <v>14</v>
      </c>
      <c r="O640" s="104" t="s">
        <v>52</v>
      </c>
      <c r="P640" s="104" t="s">
        <v>52</v>
      </c>
      <c r="Q640" s="105"/>
      <c r="R640" s="26" t="s">
        <v>603</v>
      </c>
      <c r="S640" s="225">
        <f t="shared" si="9"/>
        <v>48853</v>
      </c>
      <c r="T640" s="2" t="s">
        <v>7704</v>
      </c>
      <c r="U640" s="7" t="s">
        <v>62</v>
      </c>
      <c r="V640" s="162" t="str" cm="1">
        <f t="array" ref="V640">_xlfn.IFS(C640="","",COUNTIF(C640,"ตำแหน่งว่าง*"),"ว่าง",COUNTIF(C640,"&lt;&gt;ตำแหน่งว่าง*"),"คนครอง")</f>
        <v>คนครอง</v>
      </c>
      <c r="W640" s="49" cm="1">
        <f t="array" ref="W640">_xlfn.IFS(COUNTIF(F640,"ผบ.หมู่*"),51,COUNTIF(F640,"รอง สว.*"),43)</f>
        <v>51</v>
      </c>
      <c r="X640" s="3" t="s">
        <v>1233</v>
      </c>
      <c r="Y640" s="1" t="s">
        <v>52</v>
      </c>
    </row>
    <row r="641" spans="1:25" s="10" customFormat="1" ht="21.3" customHeight="1">
      <c r="A641" s="27"/>
      <c r="B641" s="28"/>
      <c r="C641" s="30" t="s">
        <v>18</v>
      </c>
      <c r="D641" s="27"/>
      <c r="E641" s="27"/>
      <c r="F641" s="68" t="s">
        <v>1108</v>
      </c>
      <c r="G641" s="121" t="s">
        <v>1237</v>
      </c>
      <c r="H641" s="91" t="s">
        <v>19</v>
      </c>
      <c r="I641" s="73" t="s">
        <v>19</v>
      </c>
      <c r="J641" s="73" t="s">
        <v>19</v>
      </c>
      <c r="K641" s="73" t="s">
        <v>19</v>
      </c>
      <c r="L641" s="11"/>
      <c r="M641" s="1"/>
      <c r="N641" s="113" t="s">
        <v>14</v>
      </c>
      <c r="O641" s="122" t="s">
        <v>52</v>
      </c>
      <c r="P641" s="122" t="s">
        <v>52</v>
      </c>
      <c r="Q641" s="105"/>
      <c r="R641" s="26"/>
      <c r="S641" s="225" t="str">
        <f t="shared" si="9"/>
        <v/>
      </c>
      <c r="T641" s="7" t="s">
        <v>7704</v>
      </c>
      <c r="U641" s="7" t="s">
        <v>62</v>
      </c>
      <c r="V641" s="171" t="str" cm="1">
        <f t="array" ref="V641">_xlfn.IFS(C641="","",COUNTIF(C641,"ตำแหน่งว่าง*"),"ว่าง",COUNTIF(C641,"&lt;&gt;ตำแหน่งว่าง*"),"คนครอง")</f>
        <v>ว่าง</v>
      </c>
      <c r="W641" s="49" cm="1">
        <f t="array" ref="W641">_xlfn.IFS(COUNTIF(F641,"ผบ.หมู่*"),51,COUNTIF(F641,"รอง สว.*"),43)</f>
        <v>51</v>
      </c>
      <c r="X641" s="8" t="s">
        <v>1236</v>
      </c>
      <c r="Y641" s="6" t="s">
        <v>52</v>
      </c>
    </row>
    <row r="642" spans="1:25" s="10" customFormat="1" ht="21.3" customHeight="1">
      <c r="A642" s="27"/>
      <c r="B642" s="28"/>
      <c r="C642" s="30" t="s">
        <v>18</v>
      </c>
      <c r="D642" s="27"/>
      <c r="E642" s="27"/>
      <c r="F642" s="68" t="s">
        <v>1108</v>
      </c>
      <c r="G642" s="121" t="s">
        <v>1239</v>
      </c>
      <c r="H642" s="91" t="s">
        <v>19</v>
      </c>
      <c r="I642" s="73" t="s">
        <v>19</v>
      </c>
      <c r="J642" s="73" t="s">
        <v>19</v>
      </c>
      <c r="K642" s="73" t="s">
        <v>19</v>
      </c>
      <c r="L642" s="11"/>
      <c r="M642" s="1"/>
      <c r="N642" s="113" t="s">
        <v>14</v>
      </c>
      <c r="O642" s="122" t="s">
        <v>52</v>
      </c>
      <c r="P642" s="122" t="s">
        <v>52</v>
      </c>
      <c r="Q642" s="105"/>
      <c r="R642" s="26"/>
      <c r="S642" s="225" t="str">
        <f t="shared" ref="S642:S705" si="10">IF(K642&lt;&gt;"",DATE(YEAR(K642)+60+(K642&gt;=DATE(YEAR(K642),10,2)),10,1),"")</f>
        <v/>
      </c>
      <c r="T642" s="7" t="s">
        <v>7704</v>
      </c>
      <c r="U642" s="7" t="s">
        <v>62</v>
      </c>
      <c r="V642" s="171" t="str" cm="1">
        <f t="array" ref="V642">_xlfn.IFS(C642="","",COUNTIF(C642,"ตำแหน่งว่าง*"),"ว่าง",COUNTIF(C642,"&lt;&gt;ตำแหน่งว่าง*"),"คนครอง")</f>
        <v>ว่าง</v>
      </c>
      <c r="W642" s="49" cm="1">
        <f t="array" ref="W642">_xlfn.IFS(COUNTIF(F642,"ผบ.หมู่*"),51,COUNTIF(F642,"รอง สว.*"),43)</f>
        <v>51</v>
      </c>
      <c r="X642" s="8" t="s">
        <v>1238</v>
      </c>
      <c r="Y642" s="6" t="s">
        <v>52</v>
      </c>
    </row>
    <row r="643" spans="1:25" s="10" customFormat="1" ht="21.3" customHeight="1">
      <c r="A643" s="27"/>
      <c r="B643" s="28"/>
      <c r="C643" s="30" t="s">
        <v>18</v>
      </c>
      <c r="D643" s="27"/>
      <c r="E643" s="27"/>
      <c r="F643" s="68" t="s">
        <v>1108</v>
      </c>
      <c r="G643" s="121" t="s">
        <v>1241</v>
      </c>
      <c r="H643" s="91" t="s">
        <v>19</v>
      </c>
      <c r="I643" s="73" t="s">
        <v>19</v>
      </c>
      <c r="J643" s="73" t="s">
        <v>19</v>
      </c>
      <c r="K643" s="73" t="s">
        <v>19</v>
      </c>
      <c r="L643" s="11"/>
      <c r="M643" s="1"/>
      <c r="N643" s="113" t="s">
        <v>14</v>
      </c>
      <c r="O643" s="122" t="s">
        <v>52</v>
      </c>
      <c r="P643" s="122" t="s">
        <v>52</v>
      </c>
      <c r="Q643" s="105"/>
      <c r="R643" s="26"/>
      <c r="S643" s="225" t="str">
        <f t="shared" si="10"/>
        <v/>
      </c>
      <c r="T643" s="7" t="s">
        <v>7704</v>
      </c>
      <c r="U643" s="7" t="s">
        <v>62</v>
      </c>
      <c r="V643" s="171" t="str" cm="1">
        <f t="array" ref="V643">_xlfn.IFS(C643="","",COUNTIF(C643,"ตำแหน่งว่าง*"),"ว่าง",COUNTIF(C643,"&lt;&gt;ตำแหน่งว่าง*"),"คนครอง")</f>
        <v>ว่าง</v>
      </c>
      <c r="W643" s="49" cm="1">
        <f t="array" ref="W643">_xlfn.IFS(COUNTIF(F643,"ผบ.หมู่*"),51,COUNTIF(F643,"รอง สว.*"),43)</f>
        <v>51</v>
      </c>
      <c r="X643" s="8" t="s">
        <v>1240</v>
      </c>
      <c r="Y643" s="6" t="s">
        <v>52</v>
      </c>
    </row>
    <row r="644" spans="1:25" s="10" customFormat="1" ht="21.3" customHeight="1">
      <c r="A644" s="27"/>
      <c r="B644" s="28"/>
      <c r="C644" s="30" t="s">
        <v>18</v>
      </c>
      <c r="D644" s="27"/>
      <c r="E644" s="27"/>
      <c r="F644" s="68" t="s">
        <v>1108</v>
      </c>
      <c r="G644" s="121" t="s">
        <v>1243</v>
      </c>
      <c r="H644" s="91" t="s">
        <v>19</v>
      </c>
      <c r="I644" s="73" t="s">
        <v>19</v>
      </c>
      <c r="J644" s="73" t="s">
        <v>19</v>
      </c>
      <c r="K644" s="73" t="s">
        <v>19</v>
      </c>
      <c r="L644" s="11"/>
      <c r="M644" s="1"/>
      <c r="N644" s="113" t="s">
        <v>14</v>
      </c>
      <c r="O644" s="122" t="s">
        <v>52</v>
      </c>
      <c r="P644" s="122" t="s">
        <v>52</v>
      </c>
      <c r="Q644" s="105"/>
      <c r="R644" s="26"/>
      <c r="S644" s="225" t="str">
        <f t="shared" si="10"/>
        <v/>
      </c>
      <c r="T644" s="7" t="s">
        <v>7704</v>
      </c>
      <c r="U644" s="7" t="s">
        <v>62</v>
      </c>
      <c r="V644" s="171" t="str" cm="1">
        <f t="array" ref="V644">_xlfn.IFS(C644="","",COUNTIF(C644,"ตำแหน่งว่าง*"),"ว่าง",COUNTIF(C644,"&lt;&gt;ตำแหน่งว่าง*"),"คนครอง")</f>
        <v>ว่าง</v>
      </c>
      <c r="W644" s="49" cm="1">
        <f t="array" ref="W644">_xlfn.IFS(COUNTIF(F644,"ผบ.หมู่*"),51,COUNTIF(F644,"รอง สว.*"),43)</f>
        <v>51</v>
      </c>
      <c r="X644" s="8" t="s">
        <v>1242</v>
      </c>
      <c r="Y644" s="6" t="s">
        <v>52</v>
      </c>
    </row>
    <row r="645" spans="1:25" s="10" customFormat="1" ht="21.3" customHeight="1">
      <c r="A645" s="27"/>
      <c r="B645" s="28"/>
      <c r="C645" s="30" t="s">
        <v>18</v>
      </c>
      <c r="D645" s="27"/>
      <c r="E645" s="27"/>
      <c r="F645" s="68" t="s">
        <v>1108</v>
      </c>
      <c r="G645" s="121" t="s">
        <v>1245</v>
      </c>
      <c r="H645" s="91" t="s">
        <v>19</v>
      </c>
      <c r="I645" s="73" t="s">
        <v>19</v>
      </c>
      <c r="J645" s="73" t="s">
        <v>19</v>
      </c>
      <c r="K645" s="73" t="s">
        <v>19</v>
      </c>
      <c r="L645" s="11"/>
      <c r="M645" s="1"/>
      <c r="N645" s="113" t="s">
        <v>14</v>
      </c>
      <c r="O645" s="122" t="s">
        <v>52</v>
      </c>
      <c r="P645" s="122" t="s">
        <v>52</v>
      </c>
      <c r="Q645" s="105"/>
      <c r="R645" s="26"/>
      <c r="S645" s="225" t="str">
        <f t="shared" si="10"/>
        <v/>
      </c>
      <c r="T645" s="7" t="s">
        <v>7704</v>
      </c>
      <c r="U645" s="7" t="s">
        <v>62</v>
      </c>
      <c r="V645" s="171" t="str" cm="1">
        <f t="array" ref="V645">_xlfn.IFS(C645="","",COUNTIF(C645,"ตำแหน่งว่าง*"),"ว่าง",COUNTIF(C645,"&lt;&gt;ตำแหน่งว่าง*"),"คนครอง")</f>
        <v>ว่าง</v>
      </c>
      <c r="W645" s="49" cm="1">
        <f t="array" ref="W645">_xlfn.IFS(COUNTIF(F645,"ผบ.หมู่*"),51,COUNTIF(F645,"รอง สว.*"),43)</f>
        <v>51</v>
      </c>
      <c r="X645" s="8" t="s">
        <v>1244</v>
      </c>
      <c r="Y645" s="6" t="s">
        <v>52</v>
      </c>
    </row>
    <row r="646" spans="1:25" s="10" customFormat="1" ht="21.3" customHeight="1">
      <c r="A646" s="27"/>
      <c r="B646" s="28"/>
      <c r="C646" s="30" t="s">
        <v>18</v>
      </c>
      <c r="D646" s="27"/>
      <c r="E646" s="27"/>
      <c r="F646" s="68" t="s">
        <v>1108</v>
      </c>
      <c r="G646" s="121" t="s">
        <v>1247</v>
      </c>
      <c r="H646" s="91" t="s">
        <v>19</v>
      </c>
      <c r="I646" s="73" t="s">
        <v>19</v>
      </c>
      <c r="J646" s="73" t="s">
        <v>19</v>
      </c>
      <c r="K646" s="73" t="s">
        <v>19</v>
      </c>
      <c r="L646" s="11"/>
      <c r="M646" s="1"/>
      <c r="N646" s="113" t="s">
        <v>14</v>
      </c>
      <c r="O646" s="122" t="s">
        <v>52</v>
      </c>
      <c r="P646" s="122" t="s">
        <v>52</v>
      </c>
      <c r="Q646" s="105"/>
      <c r="R646" s="26"/>
      <c r="S646" s="225" t="str">
        <f t="shared" si="10"/>
        <v/>
      </c>
      <c r="T646" s="7" t="s">
        <v>7704</v>
      </c>
      <c r="U646" s="7" t="s">
        <v>62</v>
      </c>
      <c r="V646" s="171" t="str" cm="1">
        <f t="array" ref="V646">_xlfn.IFS(C646="","",COUNTIF(C646,"ตำแหน่งว่าง*"),"ว่าง",COUNTIF(C646,"&lt;&gt;ตำแหน่งว่าง*"),"คนครอง")</f>
        <v>ว่าง</v>
      </c>
      <c r="W646" s="49" cm="1">
        <f t="array" ref="W646">_xlfn.IFS(COUNTIF(F646,"ผบ.หมู่*"),51,COUNTIF(F646,"รอง สว.*"),43)</f>
        <v>51</v>
      </c>
      <c r="X646" s="8" t="s">
        <v>1246</v>
      </c>
      <c r="Y646" s="6" t="s">
        <v>52</v>
      </c>
    </row>
    <row r="647" spans="1:25" s="9" customFormat="1" ht="21.3" customHeight="1">
      <c r="A647" s="27" t="s">
        <v>157</v>
      </c>
      <c r="B647" s="28" t="s">
        <v>21</v>
      </c>
      <c r="C647" s="27" t="s">
        <v>1248</v>
      </c>
      <c r="D647" s="27" t="s">
        <v>8274</v>
      </c>
      <c r="E647" s="27" t="s">
        <v>8781</v>
      </c>
      <c r="F647" s="27" t="s">
        <v>1108</v>
      </c>
      <c r="G647" s="101" t="s">
        <v>1250</v>
      </c>
      <c r="H647" s="91">
        <v>40063</v>
      </c>
      <c r="I647" s="73">
        <v>40063</v>
      </c>
      <c r="J647" s="73">
        <v>37316</v>
      </c>
      <c r="K647" s="73">
        <v>28517</v>
      </c>
      <c r="L647" s="11" t="s">
        <v>1251</v>
      </c>
      <c r="M647" s="1" t="s">
        <v>28</v>
      </c>
      <c r="N647" s="112" t="s">
        <v>14</v>
      </c>
      <c r="O647" s="104" t="s">
        <v>52</v>
      </c>
      <c r="P647" s="104" t="s">
        <v>52</v>
      </c>
      <c r="Q647" s="105"/>
      <c r="R647" s="26" t="s">
        <v>603</v>
      </c>
      <c r="S647" s="225">
        <f t="shared" si="10"/>
        <v>50679</v>
      </c>
      <c r="T647" s="2" t="s">
        <v>7704</v>
      </c>
      <c r="U647" s="7" t="s">
        <v>62</v>
      </c>
      <c r="V647" s="162" t="str" cm="1">
        <f t="array" ref="V647">_xlfn.IFS(C647="","",COUNTIF(C647,"ตำแหน่งว่าง*"),"ว่าง",COUNTIF(C647,"&lt;&gt;ตำแหน่งว่าง*"),"คนครอง")</f>
        <v>คนครอง</v>
      </c>
      <c r="W647" s="49" cm="1">
        <f t="array" ref="W647">_xlfn.IFS(COUNTIF(F647,"ผบ.หมู่*"),51,COUNTIF(F647,"รอง สว.*"),43)</f>
        <v>51</v>
      </c>
      <c r="X647" s="3" t="s">
        <v>1249</v>
      </c>
      <c r="Y647" s="1" t="s">
        <v>52</v>
      </c>
    </row>
    <row r="648" spans="1:25" s="9" customFormat="1" ht="21.3" customHeight="1">
      <c r="A648" s="27" t="s">
        <v>157</v>
      </c>
      <c r="B648" s="28" t="s">
        <v>21</v>
      </c>
      <c r="C648" s="27" t="s">
        <v>1252</v>
      </c>
      <c r="D648" s="27" t="s">
        <v>8782</v>
      </c>
      <c r="E648" s="27" t="s">
        <v>8783</v>
      </c>
      <c r="F648" s="27" t="s">
        <v>1108</v>
      </c>
      <c r="G648" s="101" t="s">
        <v>1254</v>
      </c>
      <c r="H648" s="91">
        <v>40063</v>
      </c>
      <c r="I648" s="78">
        <v>40063</v>
      </c>
      <c r="J648" s="73">
        <v>37316</v>
      </c>
      <c r="K648" s="78">
        <v>29106</v>
      </c>
      <c r="L648" s="11" t="s">
        <v>1255</v>
      </c>
      <c r="M648" s="1" t="s">
        <v>61</v>
      </c>
      <c r="N648" s="112" t="s">
        <v>14</v>
      </c>
      <c r="O648" s="104" t="s">
        <v>52</v>
      </c>
      <c r="P648" s="104" t="s">
        <v>52</v>
      </c>
      <c r="Q648" s="105"/>
      <c r="R648" s="26" t="s">
        <v>603</v>
      </c>
      <c r="S648" s="225">
        <f t="shared" si="10"/>
        <v>51044</v>
      </c>
      <c r="T648" s="2" t="s">
        <v>7704</v>
      </c>
      <c r="U648" s="7" t="s">
        <v>62</v>
      </c>
      <c r="V648" s="162" t="str" cm="1">
        <f t="array" ref="V648">_xlfn.IFS(C648="","",COUNTIF(C648,"ตำแหน่งว่าง*"),"ว่าง",COUNTIF(C648,"&lt;&gt;ตำแหน่งว่าง*"),"คนครอง")</f>
        <v>คนครอง</v>
      </c>
      <c r="W648" s="49" cm="1">
        <f t="array" ref="W648">_xlfn.IFS(COUNTIF(F648,"ผบ.หมู่*"),51,COUNTIF(F648,"รอง สว.*"),43)</f>
        <v>51</v>
      </c>
      <c r="X648" s="3" t="s">
        <v>1253</v>
      </c>
      <c r="Y648" s="1" t="s">
        <v>52</v>
      </c>
    </row>
    <row r="649" spans="1:25" s="9" customFormat="1" ht="21.3" customHeight="1">
      <c r="A649" s="27" t="s">
        <v>612</v>
      </c>
      <c r="B649" s="28" t="s">
        <v>21</v>
      </c>
      <c r="C649" s="27" t="s">
        <v>1256</v>
      </c>
      <c r="D649" s="27" t="s">
        <v>8055</v>
      </c>
      <c r="E649" s="27" t="s">
        <v>8784</v>
      </c>
      <c r="F649" s="27" t="s">
        <v>1108</v>
      </c>
      <c r="G649" s="101" t="s">
        <v>1258</v>
      </c>
      <c r="H649" s="75">
        <v>41944</v>
      </c>
      <c r="I649" s="73">
        <v>41944</v>
      </c>
      <c r="J649" s="73">
        <v>41944</v>
      </c>
      <c r="K649" s="73">
        <v>34076</v>
      </c>
      <c r="L649" s="11" t="s">
        <v>1259</v>
      </c>
      <c r="M649" s="1" t="s">
        <v>46</v>
      </c>
      <c r="N649" s="112" t="s">
        <v>14</v>
      </c>
      <c r="O649" s="104" t="s">
        <v>52</v>
      </c>
      <c r="P649" s="104" t="s">
        <v>52</v>
      </c>
      <c r="Q649" s="105"/>
      <c r="R649" s="26" t="s">
        <v>641</v>
      </c>
      <c r="S649" s="225">
        <f t="shared" si="10"/>
        <v>56158</v>
      </c>
      <c r="T649" s="2" t="s">
        <v>7704</v>
      </c>
      <c r="U649" s="7" t="s">
        <v>62</v>
      </c>
      <c r="V649" s="162" t="str" cm="1">
        <f t="array" ref="V649">_xlfn.IFS(C649="","",COUNTIF(C649,"ตำแหน่งว่าง*"),"ว่าง",COUNTIF(C649,"&lt;&gt;ตำแหน่งว่าง*"),"คนครอง")</f>
        <v>คนครอง</v>
      </c>
      <c r="W649" s="49" cm="1">
        <f t="array" ref="W649">_xlfn.IFS(COUNTIF(F649,"ผบ.หมู่*"),51,COUNTIF(F649,"รอง สว.*"),43)</f>
        <v>51</v>
      </c>
      <c r="X649" s="3" t="s">
        <v>1257</v>
      </c>
      <c r="Y649" s="1" t="s">
        <v>52</v>
      </c>
    </row>
    <row r="650" spans="1:25" s="9" customFormat="1" ht="21.3" customHeight="1">
      <c r="A650" s="27" t="s">
        <v>612</v>
      </c>
      <c r="B650" s="28" t="s">
        <v>21</v>
      </c>
      <c r="C650" s="27" t="s">
        <v>1260</v>
      </c>
      <c r="D650" s="27" t="s">
        <v>8164</v>
      </c>
      <c r="E650" s="27" t="s">
        <v>8785</v>
      </c>
      <c r="F650" s="27" t="s">
        <v>1108</v>
      </c>
      <c r="G650" s="101" t="s">
        <v>1262</v>
      </c>
      <c r="H650" s="75">
        <v>41944</v>
      </c>
      <c r="I650" s="73">
        <v>41944</v>
      </c>
      <c r="J650" s="73">
        <v>41944</v>
      </c>
      <c r="K650" s="73">
        <v>31283</v>
      </c>
      <c r="L650" s="11" t="s">
        <v>1263</v>
      </c>
      <c r="M650" s="1" t="s">
        <v>47</v>
      </c>
      <c r="N650" s="112" t="s">
        <v>14</v>
      </c>
      <c r="O650" s="104" t="s">
        <v>52</v>
      </c>
      <c r="P650" s="104" t="s">
        <v>52</v>
      </c>
      <c r="Q650" s="105"/>
      <c r="R650" s="26" t="s">
        <v>641</v>
      </c>
      <c r="S650" s="225">
        <f t="shared" si="10"/>
        <v>53236</v>
      </c>
      <c r="T650" s="2" t="s">
        <v>7704</v>
      </c>
      <c r="U650" s="7" t="s">
        <v>62</v>
      </c>
      <c r="V650" s="162" t="str" cm="1">
        <f t="array" ref="V650">_xlfn.IFS(C650="","",COUNTIF(C650,"ตำแหน่งว่าง*"),"ว่าง",COUNTIF(C650,"&lt;&gt;ตำแหน่งว่าง*"),"คนครอง")</f>
        <v>คนครอง</v>
      </c>
      <c r="W650" s="49" cm="1">
        <f t="array" ref="W650">_xlfn.IFS(COUNTIF(F650,"ผบ.หมู่*"),51,COUNTIF(F650,"รอง สว.*"),43)</f>
        <v>51</v>
      </c>
      <c r="X650" s="3" t="s">
        <v>1261</v>
      </c>
      <c r="Y650" s="1" t="s">
        <v>52</v>
      </c>
    </row>
    <row r="651" spans="1:25" s="38" customFormat="1" ht="21.3" customHeight="1">
      <c r="A651" s="27" t="s">
        <v>612</v>
      </c>
      <c r="B651" s="28" t="s">
        <v>21</v>
      </c>
      <c r="C651" s="27" t="s">
        <v>1264</v>
      </c>
      <c r="D651" s="27" t="s">
        <v>8072</v>
      </c>
      <c r="E651" s="27" t="s">
        <v>8171</v>
      </c>
      <c r="F651" s="27" t="s">
        <v>1108</v>
      </c>
      <c r="G651" s="101" t="s">
        <v>1266</v>
      </c>
      <c r="H651" s="75">
        <v>41944</v>
      </c>
      <c r="I651" s="73">
        <v>41944</v>
      </c>
      <c r="J651" s="73">
        <v>41944</v>
      </c>
      <c r="K651" s="73">
        <v>30815</v>
      </c>
      <c r="L651" s="11" t="s">
        <v>1267</v>
      </c>
      <c r="M651" s="1" t="s">
        <v>163</v>
      </c>
      <c r="N651" s="112" t="s">
        <v>14</v>
      </c>
      <c r="O651" s="104" t="s">
        <v>52</v>
      </c>
      <c r="P651" s="104" t="s">
        <v>52</v>
      </c>
      <c r="Q651" s="105"/>
      <c r="R651" s="26" t="s">
        <v>641</v>
      </c>
      <c r="S651" s="225">
        <f t="shared" si="10"/>
        <v>52871</v>
      </c>
      <c r="T651" s="15" t="s">
        <v>7704</v>
      </c>
      <c r="U651" s="7" t="s">
        <v>62</v>
      </c>
      <c r="V651" s="162" t="str" cm="1">
        <f t="array" ref="V651">_xlfn.IFS(C651="","",COUNTIF(C651,"ตำแหน่งว่าง*"),"ว่าง",COUNTIF(C651,"&lt;&gt;ตำแหน่งว่าง*"),"คนครอง")</f>
        <v>คนครอง</v>
      </c>
      <c r="W651" s="49" cm="1">
        <f t="array" ref="W651">_xlfn.IFS(COUNTIF(F651,"ผบ.หมู่*"),51,COUNTIF(F651,"รอง สว.*"),43)</f>
        <v>51</v>
      </c>
      <c r="X651" s="3" t="s">
        <v>1265</v>
      </c>
      <c r="Y651" s="1" t="s">
        <v>52</v>
      </c>
    </row>
    <row r="652" spans="1:25" s="37" customFormat="1" ht="21.3" customHeight="1">
      <c r="A652" s="27"/>
      <c r="B652" s="28"/>
      <c r="C652" s="30" t="s">
        <v>18</v>
      </c>
      <c r="D652" s="27"/>
      <c r="E652" s="27"/>
      <c r="F652" s="68" t="s">
        <v>1108</v>
      </c>
      <c r="G652" s="121" t="s">
        <v>1269</v>
      </c>
      <c r="H652" s="91" t="s">
        <v>19</v>
      </c>
      <c r="I652" s="78" t="s">
        <v>19</v>
      </c>
      <c r="J652" s="73" t="s">
        <v>19</v>
      </c>
      <c r="K652" s="78" t="s">
        <v>19</v>
      </c>
      <c r="L652" s="11"/>
      <c r="M652" s="1"/>
      <c r="N652" s="113" t="s">
        <v>14</v>
      </c>
      <c r="O652" s="122" t="s">
        <v>52</v>
      </c>
      <c r="P652" s="122" t="s">
        <v>52</v>
      </c>
      <c r="Q652" s="105"/>
      <c r="R652" s="26"/>
      <c r="S652" s="225" t="str">
        <f t="shared" si="10"/>
        <v/>
      </c>
      <c r="T652" s="166" t="s">
        <v>7704</v>
      </c>
      <c r="U652" s="7" t="s">
        <v>62</v>
      </c>
      <c r="V652" s="171" t="str" cm="1">
        <f t="array" ref="V652">_xlfn.IFS(C652="","",COUNTIF(C652,"ตำแหน่งว่าง*"),"ว่าง",COUNTIF(C652,"&lt;&gt;ตำแหน่งว่าง*"),"คนครอง")</f>
        <v>ว่าง</v>
      </c>
      <c r="W652" s="49" cm="1">
        <f t="array" ref="W652">_xlfn.IFS(COUNTIF(F652,"ผบ.หมู่*"),51,COUNTIF(F652,"รอง สว.*"),43)</f>
        <v>51</v>
      </c>
      <c r="X652" s="8" t="s">
        <v>1268</v>
      </c>
      <c r="Y652" s="6" t="s">
        <v>52</v>
      </c>
    </row>
    <row r="653" spans="1:25" s="38" customFormat="1" ht="21.3" customHeight="1">
      <c r="A653" s="27"/>
      <c r="B653" s="28"/>
      <c r="C653" s="30" t="s">
        <v>18</v>
      </c>
      <c r="D653" s="27"/>
      <c r="E653" s="27"/>
      <c r="F653" s="68" t="s">
        <v>1108</v>
      </c>
      <c r="G653" s="121" t="s">
        <v>1271</v>
      </c>
      <c r="H653" s="75" t="s">
        <v>19</v>
      </c>
      <c r="I653" s="73" t="s">
        <v>19</v>
      </c>
      <c r="J653" s="73" t="s">
        <v>19</v>
      </c>
      <c r="K653" s="73" t="s">
        <v>19</v>
      </c>
      <c r="L653" s="11"/>
      <c r="M653" s="1"/>
      <c r="N653" s="113" t="s">
        <v>14</v>
      </c>
      <c r="O653" s="122" t="s">
        <v>52</v>
      </c>
      <c r="P653" s="122" t="s">
        <v>52</v>
      </c>
      <c r="Q653" s="105"/>
      <c r="R653" s="26"/>
      <c r="S653" s="225" t="str">
        <f t="shared" si="10"/>
        <v/>
      </c>
      <c r="T653" s="15" t="s">
        <v>7704</v>
      </c>
      <c r="U653" s="7" t="s">
        <v>62</v>
      </c>
      <c r="V653" s="171" t="str" cm="1">
        <f t="array" ref="V653">_xlfn.IFS(C653="","",COUNTIF(C653,"ตำแหน่งว่าง*"),"ว่าง",COUNTIF(C653,"&lt;&gt;ตำแหน่งว่าง*"),"คนครอง")</f>
        <v>ว่าง</v>
      </c>
      <c r="W653" s="49" cm="1">
        <f t="array" ref="W653">_xlfn.IFS(COUNTIF(F653,"ผบ.หมู่*"),51,COUNTIF(F653,"รอง สว.*"),43)</f>
        <v>51</v>
      </c>
      <c r="X653" s="8" t="s">
        <v>1270</v>
      </c>
      <c r="Y653" s="6" t="s">
        <v>52</v>
      </c>
    </row>
    <row r="654" spans="1:25" s="37" customFormat="1" ht="21.3" customHeight="1">
      <c r="A654" s="27"/>
      <c r="B654" s="28"/>
      <c r="C654" s="30" t="s">
        <v>18</v>
      </c>
      <c r="D654" s="27"/>
      <c r="E654" s="27"/>
      <c r="F654" s="68" t="s">
        <v>1108</v>
      </c>
      <c r="G654" s="121" t="s">
        <v>1273</v>
      </c>
      <c r="H654" s="91" t="s">
        <v>19</v>
      </c>
      <c r="I654" s="78" t="s">
        <v>19</v>
      </c>
      <c r="J654" s="73" t="s">
        <v>19</v>
      </c>
      <c r="K654" s="78" t="s">
        <v>19</v>
      </c>
      <c r="L654" s="11"/>
      <c r="M654" s="1"/>
      <c r="N654" s="113" t="s">
        <v>14</v>
      </c>
      <c r="O654" s="122" t="s">
        <v>52</v>
      </c>
      <c r="P654" s="122" t="s">
        <v>52</v>
      </c>
      <c r="Q654" s="105"/>
      <c r="R654" s="26"/>
      <c r="S654" s="225" t="str">
        <f t="shared" si="10"/>
        <v/>
      </c>
      <c r="T654" s="166" t="s">
        <v>7704</v>
      </c>
      <c r="U654" s="7" t="s">
        <v>62</v>
      </c>
      <c r="V654" s="171" t="str" cm="1">
        <f t="array" ref="V654">_xlfn.IFS(C654="","",COUNTIF(C654,"ตำแหน่งว่าง*"),"ว่าง",COUNTIF(C654,"&lt;&gt;ตำแหน่งว่าง*"),"คนครอง")</f>
        <v>ว่าง</v>
      </c>
      <c r="W654" s="49" cm="1">
        <f t="array" ref="W654">_xlfn.IFS(COUNTIF(F654,"ผบ.หมู่*"),51,COUNTIF(F654,"รอง สว.*"),43)</f>
        <v>51</v>
      </c>
      <c r="X654" s="8" t="s">
        <v>1272</v>
      </c>
      <c r="Y654" s="6" t="s">
        <v>52</v>
      </c>
    </row>
    <row r="655" spans="1:25" s="37" customFormat="1" ht="21.3" customHeight="1">
      <c r="A655" s="27"/>
      <c r="B655" s="28"/>
      <c r="C655" s="30" t="s">
        <v>18</v>
      </c>
      <c r="D655" s="27"/>
      <c r="E655" s="27"/>
      <c r="F655" s="68" t="s">
        <v>1108</v>
      </c>
      <c r="G655" s="121" t="s">
        <v>1275</v>
      </c>
      <c r="H655" s="91" t="s">
        <v>19</v>
      </c>
      <c r="I655" s="73" t="s">
        <v>19</v>
      </c>
      <c r="J655" s="73" t="s">
        <v>19</v>
      </c>
      <c r="K655" s="73" t="s">
        <v>19</v>
      </c>
      <c r="L655" s="11"/>
      <c r="M655" s="1"/>
      <c r="N655" s="113" t="s">
        <v>14</v>
      </c>
      <c r="O655" s="122" t="s">
        <v>52</v>
      </c>
      <c r="P655" s="122" t="s">
        <v>52</v>
      </c>
      <c r="Q655" s="105"/>
      <c r="R655" s="26"/>
      <c r="S655" s="225" t="str">
        <f t="shared" si="10"/>
        <v/>
      </c>
      <c r="T655" s="166" t="s">
        <v>7704</v>
      </c>
      <c r="U655" s="7" t="s">
        <v>62</v>
      </c>
      <c r="V655" s="171" t="str" cm="1">
        <f t="array" ref="V655">_xlfn.IFS(C655="","",COUNTIF(C655,"ตำแหน่งว่าง*"),"ว่าง",COUNTIF(C655,"&lt;&gt;ตำแหน่งว่าง*"),"คนครอง")</f>
        <v>ว่าง</v>
      </c>
      <c r="W655" s="49" cm="1">
        <f t="array" ref="W655">_xlfn.IFS(COUNTIF(F655,"ผบ.หมู่*"),51,COUNTIF(F655,"รอง สว.*"),43)</f>
        <v>51</v>
      </c>
      <c r="X655" s="8" t="s">
        <v>1274</v>
      </c>
      <c r="Y655" s="6" t="s">
        <v>52</v>
      </c>
    </row>
    <row r="656" spans="1:25" s="38" customFormat="1" ht="21.3" customHeight="1">
      <c r="A656" s="27" t="s">
        <v>612</v>
      </c>
      <c r="B656" s="28" t="s">
        <v>21</v>
      </c>
      <c r="C656" s="27" t="s">
        <v>1276</v>
      </c>
      <c r="D656" s="27" t="s">
        <v>8786</v>
      </c>
      <c r="E656" s="27" t="s">
        <v>8787</v>
      </c>
      <c r="F656" s="27" t="s">
        <v>1108</v>
      </c>
      <c r="G656" s="101" t="s">
        <v>1278</v>
      </c>
      <c r="H656" s="75">
        <v>41944</v>
      </c>
      <c r="I656" s="73">
        <v>41944</v>
      </c>
      <c r="J656" s="73">
        <v>41944</v>
      </c>
      <c r="K656" s="73">
        <v>31614</v>
      </c>
      <c r="L656" s="11" t="s">
        <v>1279</v>
      </c>
      <c r="M656" s="1" t="s">
        <v>28</v>
      </c>
      <c r="N656" s="112" t="s">
        <v>14</v>
      </c>
      <c r="O656" s="104" t="s">
        <v>52</v>
      </c>
      <c r="P656" s="104" t="s">
        <v>52</v>
      </c>
      <c r="Q656" s="105"/>
      <c r="R656" s="26" t="s">
        <v>641</v>
      </c>
      <c r="S656" s="225">
        <f t="shared" si="10"/>
        <v>53601</v>
      </c>
      <c r="T656" s="15" t="s">
        <v>7704</v>
      </c>
      <c r="U656" s="7" t="s">
        <v>62</v>
      </c>
      <c r="V656" s="162" t="str" cm="1">
        <f t="array" ref="V656">_xlfn.IFS(C656="","",COUNTIF(C656,"ตำแหน่งว่าง*"),"ว่าง",COUNTIF(C656,"&lt;&gt;ตำแหน่งว่าง*"),"คนครอง")</f>
        <v>คนครอง</v>
      </c>
      <c r="W656" s="49" cm="1">
        <f t="array" ref="W656">_xlfn.IFS(COUNTIF(F656,"ผบ.หมู่*"),51,COUNTIF(F656,"รอง สว.*"),43)</f>
        <v>51</v>
      </c>
      <c r="X656" s="3" t="s">
        <v>1277</v>
      </c>
      <c r="Y656" s="1" t="s">
        <v>52</v>
      </c>
    </row>
    <row r="657" spans="1:25" s="10" customFormat="1" ht="21.3" customHeight="1">
      <c r="A657" s="134"/>
      <c r="B657" s="26"/>
      <c r="C657" s="30" t="s">
        <v>18</v>
      </c>
      <c r="D657" s="27"/>
      <c r="E657" s="27"/>
      <c r="F657" s="68" t="s">
        <v>1280</v>
      </c>
      <c r="G657" s="121" t="s">
        <v>1282</v>
      </c>
      <c r="H657" s="91" t="s">
        <v>19</v>
      </c>
      <c r="I657" s="73" t="s">
        <v>19</v>
      </c>
      <c r="J657" s="73" t="s">
        <v>19</v>
      </c>
      <c r="K657" s="73" t="s">
        <v>19</v>
      </c>
      <c r="L657" s="19"/>
      <c r="M657" s="3"/>
      <c r="N657" s="172" t="s">
        <v>14</v>
      </c>
      <c r="O657" s="122" t="s">
        <v>27</v>
      </c>
      <c r="P657" s="122"/>
      <c r="Q657" s="105"/>
      <c r="R657" s="26"/>
      <c r="S657" s="225" t="str">
        <f t="shared" si="10"/>
        <v/>
      </c>
      <c r="T657" s="7" t="s">
        <v>7705</v>
      </c>
      <c r="U657" s="7" t="s">
        <v>62</v>
      </c>
      <c r="V657" s="171" t="str" cm="1">
        <f t="array" ref="V657">_xlfn.IFS(C657="","",COUNTIF(C657,"ตำแหน่งว่าง*"),"ว่าง",COUNTIF(C657,"&lt;&gt;ตำแหน่งว่าง*"),"คนครอง")</f>
        <v>ว่าง</v>
      </c>
      <c r="W657" s="49" cm="1">
        <f t="array" ref="W657">_xlfn.IFS(COUNTIF(F657,"ผบ.หมู่*"),51,COUNTIF(F657,"รอง สว.*"),43)</f>
        <v>51</v>
      </c>
      <c r="X657" s="8" t="s">
        <v>1281</v>
      </c>
      <c r="Y657" s="8" t="s">
        <v>27</v>
      </c>
    </row>
    <row r="658" spans="1:25" s="10" customFormat="1" ht="21.3" customHeight="1">
      <c r="A658" s="134"/>
      <c r="B658" s="26"/>
      <c r="C658" s="30" t="s">
        <v>18</v>
      </c>
      <c r="D658" s="27"/>
      <c r="E658" s="27"/>
      <c r="F658" s="68" t="s">
        <v>1280</v>
      </c>
      <c r="G658" s="121" t="s">
        <v>1284</v>
      </c>
      <c r="H658" s="91" t="s">
        <v>19</v>
      </c>
      <c r="I658" s="73" t="s">
        <v>19</v>
      </c>
      <c r="J658" s="73" t="s">
        <v>19</v>
      </c>
      <c r="K658" s="73" t="s">
        <v>19</v>
      </c>
      <c r="L658" s="19"/>
      <c r="M658" s="3"/>
      <c r="N658" s="172" t="s">
        <v>14</v>
      </c>
      <c r="O658" s="122" t="s">
        <v>27</v>
      </c>
      <c r="P658" s="122"/>
      <c r="Q658" s="105"/>
      <c r="R658" s="26"/>
      <c r="S658" s="225" t="str">
        <f t="shared" si="10"/>
        <v/>
      </c>
      <c r="T658" s="7" t="s">
        <v>7705</v>
      </c>
      <c r="U658" s="7" t="s">
        <v>62</v>
      </c>
      <c r="V658" s="171" t="str" cm="1">
        <f t="array" ref="V658">_xlfn.IFS(C658="","",COUNTIF(C658,"ตำแหน่งว่าง*"),"ว่าง",COUNTIF(C658,"&lt;&gt;ตำแหน่งว่าง*"),"คนครอง")</f>
        <v>ว่าง</v>
      </c>
      <c r="W658" s="49" cm="1">
        <f t="array" ref="W658">_xlfn.IFS(COUNTIF(F658,"ผบ.หมู่*"),51,COUNTIF(F658,"รอง สว.*"),43)</f>
        <v>51</v>
      </c>
      <c r="X658" s="8" t="s">
        <v>1283</v>
      </c>
      <c r="Y658" s="8" t="s">
        <v>27</v>
      </c>
    </row>
    <row r="659" spans="1:25" s="10" customFormat="1" ht="21.3" customHeight="1">
      <c r="A659" s="134"/>
      <c r="B659" s="30"/>
      <c r="C659" s="30" t="s">
        <v>18</v>
      </c>
      <c r="D659" s="27"/>
      <c r="E659" s="27"/>
      <c r="F659" s="68" t="s">
        <v>1280</v>
      </c>
      <c r="G659" s="121" t="s">
        <v>1286</v>
      </c>
      <c r="H659" s="91" t="s">
        <v>19</v>
      </c>
      <c r="I659" s="73" t="s">
        <v>19</v>
      </c>
      <c r="J659" s="73" t="s">
        <v>19</v>
      </c>
      <c r="K659" s="73" t="s">
        <v>19</v>
      </c>
      <c r="L659" s="19"/>
      <c r="M659" s="3"/>
      <c r="N659" s="172" t="s">
        <v>14</v>
      </c>
      <c r="O659" s="122" t="s">
        <v>27</v>
      </c>
      <c r="P659" s="122"/>
      <c r="Q659" s="106"/>
      <c r="R659" s="29"/>
      <c r="S659" s="225" t="str">
        <f t="shared" si="10"/>
        <v/>
      </c>
      <c r="T659" s="7" t="s">
        <v>7705</v>
      </c>
      <c r="U659" s="7" t="s">
        <v>62</v>
      </c>
      <c r="V659" s="171" t="str" cm="1">
        <f t="array" ref="V659">_xlfn.IFS(C659="","",COUNTIF(C659,"ตำแหน่งว่าง*"),"ว่าง",COUNTIF(C659,"&lt;&gt;ตำแหน่งว่าง*"),"คนครอง")</f>
        <v>ว่าง</v>
      </c>
      <c r="W659" s="49" cm="1">
        <f t="array" ref="W659">_xlfn.IFS(COUNTIF(F659,"ผบ.หมู่*"),51,COUNTIF(F659,"รอง สว.*"),43)</f>
        <v>51</v>
      </c>
      <c r="X659" s="8" t="s">
        <v>1285</v>
      </c>
      <c r="Y659" s="8" t="s">
        <v>27</v>
      </c>
    </row>
    <row r="660" spans="1:25" s="36" customFormat="1" ht="21.3" customHeight="1">
      <c r="A660" s="134" t="s">
        <v>157</v>
      </c>
      <c r="B660" s="26" t="s">
        <v>12</v>
      </c>
      <c r="C660" s="134" t="s">
        <v>1287</v>
      </c>
      <c r="D660" s="27" t="s">
        <v>8788</v>
      </c>
      <c r="E660" s="27" t="s">
        <v>8789</v>
      </c>
      <c r="F660" s="95" t="s">
        <v>1280</v>
      </c>
      <c r="G660" s="101" t="s">
        <v>1289</v>
      </c>
      <c r="H660" s="91">
        <v>44243</v>
      </c>
      <c r="I660" s="73">
        <v>44243</v>
      </c>
      <c r="J660" s="73">
        <v>41395</v>
      </c>
      <c r="K660" s="73">
        <v>31704</v>
      </c>
      <c r="L660" s="19" t="s">
        <v>82</v>
      </c>
      <c r="M660" s="3" t="s">
        <v>56</v>
      </c>
      <c r="N660" s="116" t="s">
        <v>14</v>
      </c>
      <c r="O660" s="104" t="s">
        <v>52</v>
      </c>
      <c r="P660" s="104" t="s">
        <v>52</v>
      </c>
      <c r="Q660" s="105"/>
      <c r="R660" s="26" t="s">
        <v>74</v>
      </c>
      <c r="S660" s="225">
        <f t="shared" si="10"/>
        <v>53966</v>
      </c>
      <c r="T660" s="165" t="s">
        <v>7705</v>
      </c>
      <c r="U660" s="7" t="s">
        <v>62</v>
      </c>
      <c r="V660" s="162" t="str" cm="1">
        <f t="array" ref="V660">_xlfn.IFS(C660="","",COUNTIF(C660,"ตำแหน่งว่าง*"),"ว่าง",COUNTIF(C660,"&lt;&gt;ตำแหน่งว่าง*"),"คนครอง")</f>
        <v>คนครอง</v>
      </c>
      <c r="W660" s="49" cm="1">
        <f t="array" ref="W660">_xlfn.IFS(COUNTIF(F660,"ผบ.หมู่*"),51,COUNTIF(F660,"รอง สว.*"),43)</f>
        <v>51</v>
      </c>
      <c r="X660" s="4" t="s">
        <v>1288</v>
      </c>
      <c r="Y660" s="3" t="s">
        <v>52</v>
      </c>
    </row>
    <row r="661" spans="1:25" s="38" customFormat="1" ht="21.3" customHeight="1">
      <c r="A661" s="134" t="s">
        <v>157</v>
      </c>
      <c r="B661" s="26" t="s">
        <v>21</v>
      </c>
      <c r="C661" s="134" t="s">
        <v>1290</v>
      </c>
      <c r="D661" s="27" t="s">
        <v>8140</v>
      </c>
      <c r="E661" s="27" t="s">
        <v>8790</v>
      </c>
      <c r="F661" s="27" t="s">
        <v>1280</v>
      </c>
      <c r="G661" s="101" t="s">
        <v>1292</v>
      </c>
      <c r="H661" s="75">
        <v>41338</v>
      </c>
      <c r="I661" s="73">
        <v>41338</v>
      </c>
      <c r="J661" s="73">
        <v>35095</v>
      </c>
      <c r="K661" s="73">
        <v>25638</v>
      </c>
      <c r="L661" s="19" t="s">
        <v>1293</v>
      </c>
      <c r="M661" s="3" t="s">
        <v>72</v>
      </c>
      <c r="N661" s="116" t="s">
        <v>14</v>
      </c>
      <c r="O661" s="104" t="s">
        <v>52</v>
      </c>
      <c r="P661" s="104" t="s">
        <v>52</v>
      </c>
      <c r="Q661" s="105"/>
      <c r="R661" s="26" t="s">
        <v>1294</v>
      </c>
      <c r="S661" s="225">
        <f t="shared" si="10"/>
        <v>47757</v>
      </c>
      <c r="T661" s="15" t="s">
        <v>7705</v>
      </c>
      <c r="U661" s="7" t="s">
        <v>62</v>
      </c>
      <c r="V661" s="162" t="str" cm="1">
        <f t="array" ref="V661">_xlfn.IFS(C661="","",COUNTIF(C661,"ตำแหน่งว่าง*"),"ว่าง",COUNTIF(C661,"&lt;&gt;ตำแหน่งว่าง*"),"คนครอง")</f>
        <v>คนครอง</v>
      </c>
      <c r="W661" s="49" cm="1">
        <f t="array" ref="W661">_xlfn.IFS(COUNTIF(F661,"ผบ.หมู่*"),51,COUNTIF(F661,"รอง สว.*"),43)</f>
        <v>51</v>
      </c>
      <c r="X661" s="3" t="s">
        <v>1291</v>
      </c>
      <c r="Y661" s="3" t="s">
        <v>52</v>
      </c>
    </row>
    <row r="662" spans="1:25" s="38" customFormat="1" ht="21.3" customHeight="1">
      <c r="A662" s="134" t="s">
        <v>157</v>
      </c>
      <c r="B662" s="26" t="s">
        <v>21</v>
      </c>
      <c r="C662" s="134" t="s">
        <v>1295</v>
      </c>
      <c r="D662" s="27" t="s">
        <v>8791</v>
      </c>
      <c r="E662" s="27" t="s">
        <v>8792</v>
      </c>
      <c r="F662" s="27" t="s">
        <v>1280</v>
      </c>
      <c r="G662" s="101" t="s">
        <v>1297</v>
      </c>
      <c r="H662" s="75">
        <v>40063</v>
      </c>
      <c r="I662" s="73">
        <v>40063</v>
      </c>
      <c r="J662" s="73">
        <v>34729</v>
      </c>
      <c r="K662" s="73">
        <v>27615</v>
      </c>
      <c r="L662" s="19" t="s">
        <v>1298</v>
      </c>
      <c r="M662" s="3" t="s">
        <v>592</v>
      </c>
      <c r="N662" s="116" t="s">
        <v>14</v>
      </c>
      <c r="O662" s="104" t="s">
        <v>52</v>
      </c>
      <c r="P662" s="104" t="s">
        <v>52</v>
      </c>
      <c r="Q662" s="105"/>
      <c r="R662" s="26" t="s">
        <v>603</v>
      </c>
      <c r="S662" s="225">
        <f t="shared" si="10"/>
        <v>49583</v>
      </c>
      <c r="T662" s="15" t="s">
        <v>7705</v>
      </c>
      <c r="U662" s="7" t="s">
        <v>62</v>
      </c>
      <c r="V662" s="162" t="str" cm="1">
        <f t="array" ref="V662">_xlfn.IFS(C662="","",COUNTIF(C662,"ตำแหน่งว่าง*"),"ว่าง",COUNTIF(C662,"&lt;&gt;ตำแหน่งว่าง*"),"คนครอง")</f>
        <v>คนครอง</v>
      </c>
      <c r="W662" s="49" cm="1">
        <f t="array" ref="W662">_xlfn.IFS(COUNTIF(F662,"ผบ.หมู่*"),51,COUNTIF(F662,"รอง สว.*"),43)</f>
        <v>51</v>
      </c>
      <c r="X662" s="3" t="s">
        <v>1296</v>
      </c>
      <c r="Y662" s="3" t="s">
        <v>52</v>
      </c>
    </row>
    <row r="663" spans="1:25" s="38" customFormat="1" ht="21.3" customHeight="1">
      <c r="A663" s="27" t="s">
        <v>60</v>
      </c>
      <c r="B663" s="26" t="s">
        <v>21</v>
      </c>
      <c r="C663" s="134" t="s">
        <v>1299</v>
      </c>
      <c r="D663" s="27" t="s">
        <v>8793</v>
      </c>
      <c r="E663" s="27" t="s">
        <v>8794</v>
      </c>
      <c r="F663" s="27" t="s">
        <v>1309</v>
      </c>
      <c r="G663" s="101" t="s">
        <v>1301</v>
      </c>
      <c r="H663" s="75">
        <v>40063</v>
      </c>
      <c r="I663" s="73">
        <v>40063</v>
      </c>
      <c r="J663" s="73">
        <v>34729</v>
      </c>
      <c r="K663" s="73">
        <v>26475</v>
      </c>
      <c r="L663" s="19" t="s">
        <v>1302</v>
      </c>
      <c r="M663" s="3" t="s">
        <v>57</v>
      </c>
      <c r="N663" s="116" t="s">
        <v>14</v>
      </c>
      <c r="O663" s="104" t="s">
        <v>52</v>
      </c>
      <c r="P663" s="104" t="s">
        <v>52</v>
      </c>
      <c r="Q663" s="105"/>
      <c r="R663" s="26" t="s">
        <v>603</v>
      </c>
      <c r="S663" s="225">
        <f t="shared" si="10"/>
        <v>48488</v>
      </c>
      <c r="T663" s="15" t="s">
        <v>7705</v>
      </c>
      <c r="U663" s="7" t="s">
        <v>62</v>
      </c>
      <c r="V663" s="162" t="str" cm="1">
        <f t="array" ref="V663">_xlfn.IFS(C663="","",COUNTIF(C663,"ตำแหน่งว่าง*"),"ว่าง",COUNTIF(C663,"&lt;&gt;ตำแหน่งว่าง*"),"คนครอง")</f>
        <v>คนครอง</v>
      </c>
      <c r="W663" s="49" cm="1">
        <f t="array" ref="W663">_xlfn.IFS(COUNTIF(F663,"ผบ.หมู่*"),51,COUNTIF(F663,"รอง สว.*"),43)</f>
        <v>43</v>
      </c>
      <c r="X663" s="3" t="s">
        <v>1300</v>
      </c>
      <c r="Y663" s="3" t="s">
        <v>52</v>
      </c>
    </row>
    <row r="664" spans="1:25" s="38" customFormat="1" ht="21.3" customHeight="1">
      <c r="A664" s="134" t="s">
        <v>157</v>
      </c>
      <c r="B664" s="26" t="s">
        <v>21</v>
      </c>
      <c r="C664" s="134" t="s">
        <v>1303</v>
      </c>
      <c r="D664" s="27" t="s">
        <v>8175</v>
      </c>
      <c r="E664" s="27" t="s">
        <v>8795</v>
      </c>
      <c r="F664" s="27" t="s">
        <v>1280</v>
      </c>
      <c r="G664" s="101" t="s">
        <v>1305</v>
      </c>
      <c r="H664" s="75">
        <v>39717</v>
      </c>
      <c r="I664" s="73">
        <v>39717</v>
      </c>
      <c r="J664" s="73">
        <v>39717</v>
      </c>
      <c r="K664" s="73">
        <v>28382</v>
      </c>
      <c r="L664" s="19" t="s">
        <v>1306</v>
      </c>
      <c r="M664" s="3" t="s">
        <v>33</v>
      </c>
      <c r="N664" s="116" t="s">
        <v>14</v>
      </c>
      <c r="O664" s="104" t="s">
        <v>52</v>
      </c>
      <c r="P664" s="104" t="s">
        <v>52</v>
      </c>
      <c r="Q664" s="105"/>
      <c r="R664" s="26" t="s">
        <v>1307</v>
      </c>
      <c r="S664" s="225">
        <f t="shared" si="10"/>
        <v>50314</v>
      </c>
      <c r="T664" s="15" t="s">
        <v>7705</v>
      </c>
      <c r="U664" s="7" t="s">
        <v>62</v>
      </c>
      <c r="V664" s="162" t="str" cm="1">
        <f t="array" ref="V664">_xlfn.IFS(C664="","",COUNTIF(C664,"ตำแหน่งว่าง*"),"ว่าง",COUNTIF(C664,"&lt;&gt;ตำแหน่งว่าง*"),"คนครอง")</f>
        <v>คนครอง</v>
      </c>
      <c r="W664" s="49" cm="1">
        <f t="array" ref="W664">_xlfn.IFS(COUNTIF(F664,"ผบ.หมู่*"),51,COUNTIF(F664,"รอง สว.*"),43)</f>
        <v>51</v>
      </c>
      <c r="X664" s="3" t="s">
        <v>1304</v>
      </c>
      <c r="Y664" s="3" t="s">
        <v>52</v>
      </c>
    </row>
    <row r="665" spans="1:25" s="38" customFormat="1" ht="21.3" customHeight="1">
      <c r="A665" s="134" t="s">
        <v>26</v>
      </c>
      <c r="B665" s="26" t="s">
        <v>21</v>
      </c>
      <c r="C665" s="134" t="s">
        <v>1308</v>
      </c>
      <c r="D665" s="27" t="s">
        <v>8074</v>
      </c>
      <c r="E665" s="27" t="s">
        <v>8796</v>
      </c>
      <c r="F665" s="27" t="s">
        <v>1309</v>
      </c>
      <c r="G665" s="101" t="s">
        <v>1311</v>
      </c>
      <c r="H665" s="75">
        <v>44286</v>
      </c>
      <c r="I665" s="73">
        <v>44286</v>
      </c>
      <c r="J665" s="73">
        <v>34729</v>
      </c>
      <c r="K665" s="73">
        <v>25108</v>
      </c>
      <c r="L665" s="19" t="s">
        <v>1312</v>
      </c>
      <c r="M665" s="3" t="s">
        <v>16</v>
      </c>
      <c r="N665" s="116" t="s">
        <v>14</v>
      </c>
      <c r="O665" s="104" t="s">
        <v>52</v>
      </c>
      <c r="P665" s="104" t="s">
        <v>52</v>
      </c>
      <c r="Q665" s="105"/>
      <c r="R665" s="26" t="s">
        <v>1313</v>
      </c>
      <c r="S665" s="225">
        <f t="shared" si="10"/>
        <v>47027</v>
      </c>
      <c r="T665" s="15" t="s">
        <v>7705</v>
      </c>
      <c r="U665" s="7" t="s">
        <v>62</v>
      </c>
      <c r="V665" s="162" t="str" cm="1">
        <f t="array" ref="V665">_xlfn.IFS(C665="","",COUNTIF(C665,"ตำแหน่งว่าง*"),"ว่าง",COUNTIF(C665,"&lt;&gt;ตำแหน่งว่าง*"),"คนครอง")</f>
        <v>คนครอง</v>
      </c>
      <c r="W665" s="49" cm="1">
        <f t="array" ref="W665">_xlfn.IFS(COUNTIF(F665,"ผบ.หมู่*"),51,COUNTIF(F665,"รอง สว.*"),43)</f>
        <v>43</v>
      </c>
      <c r="X665" s="3" t="s">
        <v>1310</v>
      </c>
      <c r="Y665" s="3" t="s">
        <v>52</v>
      </c>
    </row>
    <row r="666" spans="1:25" s="38" customFormat="1" ht="21.3" customHeight="1">
      <c r="A666" s="134" t="s">
        <v>10753</v>
      </c>
      <c r="B666" s="26" t="s">
        <v>21</v>
      </c>
      <c r="C666" s="136" t="s">
        <v>1314</v>
      </c>
      <c r="D666" s="27" t="s">
        <v>8797</v>
      </c>
      <c r="E666" s="27" t="s">
        <v>8798</v>
      </c>
      <c r="F666" s="27" t="s">
        <v>1309</v>
      </c>
      <c r="G666" s="101" t="s">
        <v>1316</v>
      </c>
      <c r="H666" s="75">
        <v>45016</v>
      </c>
      <c r="I666" s="73">
        <v>45016</v>
      </c>
      <c r="J666" s="73">
        <v>34729</v>
      </c>
      <c r="K666" s="73">
        <v>25630</v>
      </c>
      <c r="L666" s="19" t="s">
        <v>1317</v>
      </c>
      <c r="M666" s="3" t="s">
        <v>28</v>
      </c>
      <c r="N666" s="116" t="s">
        <v>14</v>
      </c>
      <c r="O666" s="104" t="s">
        <v>52</v>
      </c>
      <c r="P666" s="104" t="s">
        <v>52</v>
      </c>
      <c r="Q666" s="105"/>
      <c r="R666" s="26" t="s">
        <v>483</v>
      </c>
      <c r="S666" s="225">
        <f t="shared" si="10"/>
        <v>47757</v>
      </c>
      <c r="T666" s="15" t="s">
        <v>7705</v>
      </c>
      <c r="U666" s="7" t="s">
        <v>62</v>
      </c>
      <c r="V666" s="162" t="str" cm="1">
        <f t="array" ref="V666">_xlfn.IFS(C666="","",COUNTIF(C666,"ตำแหน่งว่าง*"),"ว่าง",COUNTIF(C666,"&lt;&gt;ตำแหน่งว่าง*"),"คนครอง")</f>
        <v>คนครอง</v>
      </c>
      <c r="W666" s="49" cm="1">
        <f t="array" ref="W666">_xlfn.IFS(COUNTIF(F666,"ผบ.หมู่*"),51,COUNTIF(F666,"รอง สว.*"),43)</f>
        <v>43</v>
      </c>
      <c r="X666" s="3" t="s">
        <v>1315</v>
      </c>
      <c r="Y666" s="3" t="s">
        <v>52</v>
      </c>
    </row>
    <row r="667" spans="1:25" s="38" customFormat="1" ht="21.3" customHeight="1">
      <c r="A667" s="134" t="s">
        <v>10753</v>
      </c>
      <c r="B667" s="26" t="s">
        <v>21</v>
      </c>
      <c r="C667" s="134" t="s">
        <v>1318</v>
      </c>
      <c r="D667" s="27" t="s">
        <v>8051</v>
      </c>
      <c r="E667" s="27" t="s">
        <v>8799</v>
      </c>
      <c r="F667" s="27" t="s">
        <v>1309</v>
      </c>
      <c r="G667" s="101" t="s">
        <v>1320</v>
      </c>
      <c r="H667" s="75">
        <v>45016</v>
      </c>
      <c r="I667" s="73">
        <v>45016</v>
      </c>
      <c r="J667" s="73">
        <v>34729</v>
      </c>
      <c r="K667" s="73">
        <v>25541</v>
      </c>
      <c r="L667" s="19" t="s">
        <v>1321</v>
      </c>
      <c r="M667" s="3" t="s">
        <v>592</v>
      </c>
      <c r="N667" s="116" t="s">
        <v>14</v>
      </c>
      <c r="O667" s="104" t="s">
        <v>52</v>
      </c>
      <c r="P667" s="104" t="s">
        <v>52</v>
      </c>
      <c r="Q667" s="105"/>
      <c r="R667" s="26" t="s">
        <v>483</v>
      </c>
      <c r="S667" s="225">
        <f t="shared" si="10"/>
        <v>47757</v>
      </c>
      <c r="T667" s="15" t="s">
        <v>7705</v>
      </c>
      <c r="U667" s="7" t="s">
        <v>62</v>
      </c>
      <c r="V667" s="162" t="str" cm="1">
        <f t="array" ref="V667">_xlfn.IFS(C667="","",COUNTIF(C667,"ตำแหน่งว่าง*"),"ว่าง",COUNTIF(C667,"&lt;&gt;ตำแหน่งว่าง*"),"คนครอง")</f>
        <v>คนครอง</v>
      </c>
      <c r="W667" s="49" cm="1">
        <f t="array" ref="W667">_xlfn.IFS(COUNTIF(F667,"ผบ.หมู่*"),51,COUNTIF(F667,"รอง สว.*"),43)</f>
        <v>43</v>
      </c>
      <c r="X667" s="3" t="s">
        <v>1319</v>
      </c>
      <c r="Y667" s="3" t="s">
        <v>52</v>
      </c>
    </row>
    <row r="668" spans="1:25" s="38" customFormat="1" ht="21.3" customHeight="1">
      <c r="A668" s="27" t="s">
        <v>208</v>
      </c>
      <c r="B668" s="26" t="s">
        <v>12</v>
      </c>
      <c r="C668" s="27" t="s">
        <v>7757</v>
      </c>
      <c r="D668" s="27" t="s">
        <v>8800</v>
      </c>
      <c r="E668" s="27" t="s">
        <v>8660</v>
      </c>
      <c r="F668" s="27" t="s">
        <v>1280</v>
      </c>
      <c r="G668" s="101" t="s">
        <v>1323</v>
      </c>
      <c r="H668" s="75">
        <v>45322</v>
      </c>
      <c r="I668" s="73">
        <v>43693</v>
      </c>
      <c r="J668" s="73">
        <v>43693</v>
      </c>
      <c r="K668" s="73">
        <v>33972</v>
      </c>
      <c r="L668" s="19" t="s">
        <v>112</v>
      </c>
      <c r="M668" s="3" t="s">
        <v>72</v>
      </c>
      <c r="N668" s="116" t="s">
        <v>14</v>
      </c>
      <c r="O668" s="104" t="s">
        <v>52</v>
      </c>
      <c r="P668" s="104" t="s">
        <v>52</v>
      </c>
      <c r="Q668" s="105"/>
      <c r="R668" s="29" t="s">
        <v>7708</v>
      </c>
      <c r="S668" s="225">
        <f t="shared" si="10"/>
        <v>56158</v>
      </c>
      <c r="T668" s="15" t="s">
        <v>7705</v>
      </c>
      <c r="U668" s="7" t="s">
        <v>62</v>
      </c>
      <c r="V668" s="162" t="str" cm="1">
        <f t="array" ref="V668">_xlfn.IFS(C668="","",COUNTIF(C668,"ตำแหน่งว่าง*"),"ว่าง",COUNTIF(C668,"&lt;&gt;ตำแหน่งว่าง*"),"คนครอง")</f>
        <v>คนครอง</v>
      </c>
      <c r="W668" s="49" cm="1">
        <f t="array" ref="W668">_xlfn.IFS(COUNTIF(F668,"ผบ.หมู่*"),51,COUNTIF(F668,"รอง สว.*"),43)</f>
        <v>51</v>
      </c>
      <c r="X668" s="3" t="s">
        <v>1322</v>
      </c>
      <c r="Y668" s="3" t="s">
        <v>52</v>
      </c>
    </row>
    <row r="669" spans="1:25" s="38" customFormat="1" ht="21.3" customHeight="1">
      <c r="A669" s="134" t="s">
        <v>157</v>
      </c>
      <c r="B669" s="26" t="s">
        <v>21</v>
      </c>
      <c r="C669" s="134" t="s">
        <v>1324</v>
      </c>
      <c r="D669" s="27" t="s">
        <v>8801</v>
      </c>
      <c r="E669" s="27" t="s">
        <v>8802</v>
      </c>
      <c r="F669" s="27" t="s">
        <v>1280</v>
      </c>
      <c r="G669" s="101" t="s">
        <v>1326</v>
      </c>
      <c r="H669" s="75">
        <v>43871</v>
      </c>
      <c r="I669" s="73">
        <v>41214</v>
      </c>
      <c r="J669" s="73">
        <v>41214</v>
      </c>
      <c r="K669" s="73">
        <v>29776</v>
      </c>
      <c r="L669" s="19" t="s">
        <v>1327</v>
      </c>
      <c r="M669" s="3" t="s">
        <v>49</v>
      </c>
      <c r="N669" s="116" t="s">
        <v>14</v>
      </c>
      <c r="O669" s="104" t="s">
        <v>52</v>
      </c>
      <c r="P669" s="104" t="s">
        <v>52</v>
      </c>
      <c r="Q669" s="105"/>
      <c r="R669" s="26" t="s">
        <v>688</v>
      </c>
      <c r="S669" s="225">
        <f t="shared" si="10"/>
        <v>51775</v>
      </c>
      <c r="T669" s="15" t="s">
        <v>7705</v>
      </c>
      <c r="U669" s="7" t="s">
        <v>62</v>
      </c>
      <c r="V669" s="162" t="str" cm="1">
        <f t="array" ref="V669">_xlfn.IFS(C669="","",COUNTIF(C669,"ตำแหน่งว่าง*"),"ว่าง",COUNTIF(C669,"&lt;&gt;ตำแหน่งว่าง*"),"คนครอง")</f>
        <v>คนครอง</v>
      </c>
      <c r="W669" s="49" cm="1">
        <f t="array" ref="W669">_xlfn.IFS(COUNTIF(F669,"ผบ.หมู่*"),51,COUNTIF(F669,"รอง สว.*"),43)</f>
        <v>51</v>
      </c>
      <c r="X669" s="3" t="s">
        <v>1325</v>
      </c>
      <c r="Y669" s="3" t="s">
        <v>52</v>
      </c>
    </row>
    <row r="670" spans="1:25" s="38" customFormat="1" ht="21.3" customHeight="1">
      <c r="A670" s="134"/>
      <c r="B670" s="26"/>
      <c r="C670" s="134" t="s">
        <v>18</v>
      </c>
      <c r="D670" s="27"/>
      <c r="E670" s="27"/>
      <c r="F670" s="27" t="s">
        <v>1280</v>
      </c>
      <c r="G670" s="101" t="s">
        <v>1330</v>
      </c>
      <c r="H670" s="75"/>
      <c r="I670" s="73"/>
      <c r="J670" s="73"/>
      <c r="K670" s="73"/>
      <c r="L670" s="19"/>
      <c r="M670" s="3"/>
      <c r="N670" s="116" t="s">
        <v>14</v>
      </c>
      <c r="O670" s="104" t="s">
        <v>52</v>
      </c>
      <c r="P670" s="104" t="s">
        <v>52</v>
      </c>
      <c r="Q670" s="105"/>
      <c r="R670" s="26"/>
      <c r="S670" s="174" t="str">
        <f t="shared" si="10"/>
        <v/>
      </c>
      <c r="T670" s="15" t="s">
        <v>7705</v>
      </c>
      <c r="U670" s="2" t="s">
        <v>62</v>
      </c>
      <c r="V670" s="2" t="str" cm="1">
        <f t="array" ref="V670">_xlfn.IFS(C670="","",COUNTIF(C670,"ตำแหน่งว่าง*"),"ว่าง",COUNTIF(C670,"&lt;&gt;ตำแหน่งว่าง*"),"คนครอง")</f>
        <v>ว่าง</v>
      </c>
      <c r="W670" s="170" cm="1">
        <f t="array" ref="W670">_xlfn.IFS(COUNTIF(F670,"ผบ.หมู่*"),51,COUNTIF(F670,"รอง สว.*"),43)</f>
        <v>51</v>
      </c>
      <c r="X670" s="3" t="s">
        <v>1329</v>
      </c>
      <c r="Y670" s="3" t="s">
        <v>52</v>
      </c>
    </row>
    <row r="671" spans="1:25" s="36" customFormat="1" ht="21.3" customHeight="1">
      <c r="A671" s="27" t="s">
        <v>182</v>
      </c>
      <c r="B671" s="135" t="s">
        <v>12</v>
      </c>
      <c r="C671" s="95" t="s">
        <v>1332</v>
      </c>
      <c r="D671" s="27" t="s">
        <v>8805</v>
      </c>
      <c r="E671" s="27" t="s">
        <v>7974</v>
      </c>
      <c r="F671" s="95" t="s">
        <v>1280</v>
      </c>
      <c r="G671" s="101" t="s">
        <v>1334</v>
      </c>
      <c r="H671" s="75">
        <v>44636</v>
      </c>
      <c r="I671" s="76">
        <v>44636</v>
      </c>
      <c r="J671" s="76">
        <v>44636</v>
      </c>
      <c r="K671" s="76">
        <v>33105</v>
      </c>
      <c r="L671" s="46" t="s">
        <v>82</v>
      </c>
      <c r="M671" s="4" t="s">
        <v>100</v>
      </c>
      <c r="N671" s="115" t="s">
        <v>14</v>
      </c>
      <c r="O671" s="104" t="s">
        <v>52</v>
      </c>
      <c r="P671" s="104" t="s">
        <v>52</v>
      </c>
      <c r="Q671" s="108"/>
      <c r="R671" s="135" t="s">
        <v>611</v>
      </c>
      <c r="S671" s="225">
        <f t="shared" si="10"/>
        <v>55062</v>
      </c>
      <c r="T671" s="165" t="s">
        <v>7705</v>
      </c>
      <c r="U671" s="7" t="s">
        <v>62</v>
      </c>
      <c r="V671" s="162" t="str" cm="1">
        <f t="array" ref="V671">_xlfn.IFS(C671="","",COUNTIF(C671,"ตำแหน่งว่าง*"),"ว่าง",COUNTIF(C671,"&lt;&gt;ตำแหน่งว่าง*"),"คนครอง")</f>
        <v>คนครอง</v>
      </c>
      <c r="W671" s="49" cm="1">
        <f t="array" ref="W671">_xlfn.IFS(COUNTIF(F671,"ผบ.หมู่*"),51,COUNTIF(F671,"รอง สว.*"),43)</f>
        <v>51</v>
      </c>
      <c r="X671" s="4" t="s">
        <v>1333</v>
      </c>
      <c r="Y671" s="4" t="s">
        <v>52</v>
      </c>
    </row>
    <row r="672" spans="1:25" s="36" customFormat="1" ht="21.3" customHeight="1">
      <c r="A672" s="27" t="s">
        <v>612</v>
      </c>
      <c r="B672" s="31" t="s">
        <v>12</v>
      </c>
      <c r="C672" s="95" t="s">
        <v>1335</v>
      </c>
      <c r="D672" s="27" t="s">
        <v>8806</v>
      </c>
      <c r="E672" s="27" t="s">
        <v>8807</v>
      </c>
      <c r="F672" s="95" t="s">
        <v>1280</v>
      </c>
      <c r="G672" s="101" t="s">
        <v>1337</v>
      </c>
      <c r="H672" s="75">
        <v>44243</v>
      </c>
      <c r="I672" s="73">
        <v>42416</v>
      </c>
      <c r="J672" s="73">
        <v>42416</v>
      </c>
      <c r="K672" s="73">
        <v>32782</v>
      </c>
      <c r="L672" s="11" t="s">
        <v>1338</v>
      </c>
      <c r="M672" s="3" t="s">
        <v>592</v>
      </c>
      <c r="N672" s="115" t="s">
        <v>14</v>
      </c>
      <c r="O672" s="104" t="s">
        <v>52</v>
      </c>
      <c r="P672" s="104" t="s">
        <v>52</v>
      </c>
      <c r="Q672" s="108"/>
      <c r="R672" s="31" t="s">
        <v>617</v>
      </c>
      <c r="S672" s="225">
        <f t="shared" si="10"/>
        <v>54697</v>
      </c>
      <c r="T672" s="165" t="s">
        <v>7705</v>
      </c>
      <c r="U672" s="7" t="s">
        <v>62</v>
      </c>
      <c r="V672" s="162" t="str" cm="1">
        <f t="array" ref="V672">_xlfn.IFS(C672="","",COUNTIF(C672,"ตำแหน่งว่าง*"),"ว่าง",COUNTIF(C672,"&lt;&gt;ตำแหน่งว่าง*"),"คนครอง")</f>
        <v>คนครอง</v>
      </c>
      <c r="W672" s="49" cm="1">
        <f t="array" ref="W672">_xlfn.IFS(COUNTIF(F672,"ผบ.หมู่*"),51,COUNTIF(F672,"รอง สว.*"),43)</f>
        <v>51</v>
      </c>
      <c r="X672" s="4" t="s">
        <v>1336</v>
      </c>
      <c r="Y672" s="4" t="s">
        <v>52</v>
      </c>
    </row>
    <row r="673" spans="1:25" s="37" customFormat="1" ht="21.3" customHeight="1">
      <c r="A673" s="134" t="s">
        <v>208</v>
      </c>
      <c r="B673" s="26" t="s">
        <v>21</v>
      </c>
      <c r="C673" s="27" t="s">
        <v>7775</v>
      </c>
      <c r="D673" s="27" t="s">
        <v>8310</v>
      </c>
      <c r="E673" s="27" t="s">
        <v>8808</v>
      </c>
      <c r="F673" s="27" t="s">
        <v>1280</v>
      </c>
      <c r="G673" s="101" t="s">
        <v>1340</v>
      </c>
      <c r="H673" s="91">
        <v>45322</v>
      </c>
      <c r="I673" s="73">
        <v>43693</v>
      </c>
      <c r="J673" s="73">
        <v>43693</v>
      </c>
      <c r="K673" s="73">
        <v>33653</v>
      </c>
      <c r="L673" s="19" t="s">
        <v>644</v>
      </c>
      <c r="M673" s="3" t="s">
        <v>25</v>
      </c>
      <c r="N673" s="116" t="s">
        <v>14</v>
      </c>
      <c r="O673" s="104" t="s">
        <v>52</v>
      </c>
      <c r="P673" s="104" t="s">
        <v>52</v>
      </c>
      <c r="Q673" s="105"/>
      <c r="R673" s="29" t="s">
        <v>7774</v>
      </c>
      <c r="S673" s="225">
        <f t="shared" si="10"/>
        <v>55793</v>
      </c>
      <c r="T673" s="166" t="s">
        <v>7705</v>
      </c>
      <c r="U673" s="7" t="s">
        <v>62</v>
      </c>
      <c r="V673" s="162" t="str" cm="1">
        <f t="array" ref="V673">_xlfn.IFS(C673="","",COUNTIF(C673,"ตำแหน่งว่าง*"),"ว่าง",COUNTIF(C673,"&lt;&gt;ตำแหน่งว่าง*"),"คนครอง")</f>
        <v>คนครอง</v>
      </c>
      <c r="W673" s="49" cm="1">
        <f t="array" ref="W673">_xlfn.IFS(COUNTIF(F673,"ผบ.หมู่*"),51,COUNTIF(F673,"รอง สว.*"),43)</f>
        <v>51</v>
      </c>
      <c r="X673" s="3" t="s">
        <v>1339</v>
      </c>
      <c r="Y673" s="3" t="s">
        <v>52</v>
      </c>
    </row>
    <row r="674" spans="1:25" s="36" customFormat="1" ht="21.3" customHeight="1">
      <c r="A674" s="27" t="s">
        <v>182</v>
      </c>
      <c r="B674" s="135" t="s">
        <v>21</v>
      </c>
      <c r="C674" s="95" t="s">
        <v>1341</v>
      </c>
      <c r="D674" s="27" t="s">
        <v>8639</v>
      </c>
      <c r="E674" s="27" t="s">
        <v>8809</v>
      </c>
      <c r="F674" s="95" t="s">
        <v>1280</v>
      </c>
      <c r="G674" s="101" t="s">
        <v>1343</v>
      </c>
      <c r="H674" s="75">
        <v>44636</v>
      </c>
      <c r="I674" s="76">
        <v>44636</v>
      </c>
      <c r="J674" s="76">
        <v>44636</v>
      </c>
      <c r="K674" s="76">
        <v>34947</v>
      </c>
      <c r="L674" s="46" t="s">
        <v>82</v>
      </c>
      <c r="M674" s="4" t="s">
        <v>56</v>
      </c>
      <c r="N674" s="115" t="s">
        <v>14</v>
      </c>
      <c r="O674" s="104" t="s">
        <v>52</v>
      </c>
      <c r="P674" s="104" t="s">
        <v>52</v>
      </c>
      <c r="Q674" s="108"/>
      <c r="R674" s="135" t="s">
        <v>611</v>
      </c>
      <c r="S674" s="225">
        <f t="shared" si="10"/>
        <v>56888</v>
      </c>
      <c r="T674" s="165" t="s">
        <v>7705</v>
      </c>
      <c r="U674" s="7" t="s">
        <v>62</v>
      </c>
      <c r="V674" s="162" t="str" cm="1">
        <f t="array" ref="V674">_xlfn.IFS(C674="","",COUNTIF(C674,"ตำแหน่งว่าง*"),"ว่าง",COUNTIF(C674,"&lt;&gt;ตำแหน่งว่าง*"),"คนครอง")</f>
        <v>คนครอง</v>
      </c>
      <c r="W674" s="49" cm="1">
        <f t="array" ref="W674">_xlfn.IFS(COUNTIF(F674,"ผบ.หมู่*"),51,COUNTIF(F674,"รอง สว.*"),43)</f>
        <v>51</v>
      </c>
      <c r="X674" s="4" t="s">
        <v>1342</v>
      </c>
      <c r="Y674" s="4" t="s">
        <v>52</v>
      </c>
    </row>
    <row r="675" spans="1:25" s="36" customFormat="1" ht="21.3" customHeight="1">
      <c r="A675" s="27" t="s">
        <v>182</v>
      </c>
      <c r="B675" s="135" t="s">
        <v>21</v>
      </c>
      <c r="C675" s="95" t="s">
        <v>1344</v>
      </c>
      <c r="D675" s="27" t="s">
        <v>8810</v>
      </c>
      <c r="E675" s="27" t="s">
        <v>8811</v>
      </c>
      <c r="F675" s="95" t="s">
        <v>1280</v>
      </c>
      <c r="G675" s="101" t="s">
        <v>1346</v>
      </c>
      <c r="H675" s="75">
        <v>44636</v>
      </c>
      <c r="I675" s="76">
        <v>44636</v>
      </c>
      <c r="J675" s="76">
        <v>44636</v>
      </c>
      <c r="K675" s="76">
        <v>35617</v>
      </c>
      <c r="L675" s="46" t="s">
        <v>82</v>
      </c>
      <c r="M675" s="4" t="s">
        <v>16</v>
      </c>
      <c r="N675" s="115" t="s">
        <v>14</v>
      </c>
      <c r="O675" s="104" t="s">
        <v>52</v>
      </c>
      <c r="P675" s="104" t="s">
        <v>52</v>
      </c>
      <c r="Q675" s="108"/>
      <c r="R675" s="135" t="s">
        <v>611</v>
      </c>
      <c r="S675" s="225">
        <f t="shared" si="10"/>
        <v>57619</v>
      </c>
      <c r="T675" s="165" t="s">
        <v>7705</v>
      </c>
      <c r="U675" s="7" t="s">
        <v>62</v>
      </c>
      <c r="V675" s="162" t="str" cm="1">
        <f t="array" ref="V675">_xlfn.IFS(C675="","",COUNTIF(C675,"ตำแหน่งว่าง*"),"ว่าง",COUNTIF(C675,"&lt;&gt;ตำแหน่งว่าง*"),"คนครอง")</f>
        <v>คนครอง</v>
      </c>
      <c r="W675" s="49" cm="1">
        <f t="array" ref="W675">_xlfn.IFS(COUNTIF(F675,"ผบ.หมู่*"),51,COUNTIF(F675,"รอง สว.*"),43)</f>
        <v>51</v>
      </c>
      <c r="X675" s="4" t="s">
        <v>1345</v>
      </c>
      <c r="Y675" s="4" t="s">
        <v>52</v>
      </c>
    </row>
    <row r="676" spans="1:25" s="36" customFormat="1" ht="21.3" customHeight="1">
      <c r="A676" s="27" t="s">
        <v>182</v>
      </c>
      <c r="B676" s="135" t="s">
        <v>21</v>
      </c>
      <c r="C676" s="95" t="s">
        <v>1347</v>
      </c>
      <c r="D676" s="27" t="s">
        <v>8221</v>
      </c>
      <c r="E676" s="27" t="s">
        <v>8812</v>
      </c>
      <c r="F676" s="95" t="s">
        <v>1280</v>
      </c>
      <c r="G676" s="101" t="s">
        <v>1349</v>
      </c>
      <c r="H676" s="75">
        <v>44636</v>
      </c>
      <c r="I676" s="76">
        <v>44636</v>
      </c>
      <c r="J676" s="76">
        <v>44636</v>
      </c>
      <c r="K676" s="76">
        <v>31654</v>
      </c>
      <c r="L676" s="46" t="s">
        <v>82</v>
      </c>
      <c r="M676" s="4" t="s">
        <v>145</v>
      </c>
      <c r="N676" s="115" t="s">
        <v>14</v>
      </c>
      <c r="O676" s="104" t="s">
        <v>52</v>
      </c>
      <c r="P676" s="104" t="s">
        <v>52</v>
      </c>
      <c r="Q676" s="108"/>
      <c r="R676" s="135" t="s">
        <v>611</v>
      </c>
      <c r="S676" s="225">
        <f t="shared" si="10"/>
        <v>53601</v>
      </c>
      <c r="T676" s="165" t="s">
        <v>7705</v>
      </c>
      <c r="U676" s="7" t="s">
        <v>62</v>
      </c>
      <c r="V676" s="162" t="str" cm="1">
        <f t="array" ref="V676">_xlfn.IFS(C676="","",COUNTIF(C676,"ตำแหน่งว่าง*"),"ว่าง",COUNTIF(C676,"&lt;&gt;ตำแหน่งว่าง*"),"คนครอง")</f>
        <v>คนครอง</v>
      </c>
      <c r="W676" s="49" cm="1">
        <f t="array" ref="W676">_xlfn.IFS(COUNTIF(F676,"ผบ.หมู่*"),51,COUNTIF(F676,"รอง สว.*"),43)</f>
        <v>51</v>
      </c>
      <c r="X676" s="4" t="s">
        <v>1348</v>
      </c>
      <c r="Y676" s="4" t="s">
        <v>52</v>
      </c>
    </row>
    <row r="677" spans="1:25" s="50" customFormat="1" ht="21.3" customHeight="1">
      <c r="A677" s="27" t="s">
        <v>182</v>
      </c>
      <c r="B677" s="135" t="s">
        <v>21</v>
      </c>
      <c r="C677" s="95" t="s">
        <v>1350</v>
      </c>
      <c r="D677" s="27" t="s">
        <v>8813</v>
      </c>
      <c r="E677" s="27" t="s">
        <v>8814</v>
      </c>
      <c r="F677" s="95" t="s">
        <v>1280</v>
      </c>
      <c r="G677" s="101" t="s">
        <v>1352</v>
      </c>
      <c r="H677" s="75">
        <v>44636</v>
      </c>
      <c r="I677" s="76">
        <v>44636</v>
      </c>
      <c r="J677" s="76">
        <v>44636</v>
      </c>
      <c r="K677" s="76">
        <v>35178</v>
      </c>
      <c r="L677" s="46" t="s">
        <v>82</v>
      </c>
      <c r="M677" s="4" t="s">
        <v>93</v>
      </c>
      <c r="N677" s="115" t="s">
        <v>14</v>
      </c>
      <c r="O677" s="104" t="s">
        <v>52</v>
      </c>
      <c r="P677" s="104" t="s">
        <v>52</v>
      </c>
      <c r="Q677" s="108"/>
      <c r="R677" s="135" t="s">
        <v>611</v>
      </c>
      <c r="S677" s="225">
        <f t="shared" si="10"/>
        <v>57254</v>
      </c>
      <c r="T677" s="165" t="s">
        <v>7705</v>
      </c>
      <c r="U677" s="7" t="s">
        <v>62</v>
      </c>
      <c r="V677" s="162" t="str" cm="1">
        <f t="array" ref="V677">_xlfn.IFS(C677="","",COUNTIF(C677,"ตำแหน่งว่าง*"),"ว่าง",COUNTIF(C677,"&lt;&gt;ตำแหน่งว่าง*"),"คนครอง")</f>
        <v>คนครอง</v>
      </c>
      <c r="W677" s="49" cm="1">
        <f t="array" ref="W677">_xlfn.IFS(COUNTIF(F677,"ผบ.หมู่*"),51,COUNTIF(F677,"รอง สว.*"),43)</f>
        <v>51</v>
      </c>
      <c r="X677" s="4" t="s">
        <v>1351</v>
      </c>
      <c r="Y677" s="4" t="s">
        <v>52</v>
      </c>
    </row>
    <row r="678" spans="1:25" s="36" customFormat="1" ht="21.3" customHeight="1">
      <c r="A678" s="132" t="s">
        <v>10753</v>
      </c>
      <c r="B678" s="26" t="s">
        <v>21</v>
      </c>
      <c r="C678" s="136" t="s">
        <v>1353</v>
      </c>
      <c r="D678" s="27" t="s">
        <v>8167</v>
      </c>
      <c r="E678" s="27" t="s">
        <v>8815</v>
      </c>
      <c r="F678" s="95" t="s">
        <v>1309</v>
      </c>
      <c r="G678" s="101" t="s">
        <v>1355</v>
      </c>
      <c r="H678" s="91">
        <v>45382</v>
      </c>
      <c r="I678" s="73">
        <v>45382</v>
      </c>
      <c r="J678" s="73">
        <v>34729</v>
      </c>
      <c r="K678" s="73">
        <v>25999</v>
      </c>
      <c r="L678" s="19" t="s">
        <v>1356</v>
      </c>
      <c r="M678" s="3" t="s">
        <v>592</v>
      </c>
      <c r="N678" s="115" t="s">
        <v>14</v>
      </c>
      <c r="O678" s="104" t="s">
        <v>52</v>
      </c>
      <c r="P678" s="104" t="s">
        <v>52</v>
      </c>
      <c r="Q678" s="105"/>
      <c r="R678" s="33" t="s">
        <v>7801</v>
      </c>
      <c r="S678" s="225">
        <f t="shared" si="10"/>
        <v>48122</v>
      </c>
      <c r="T678" s="165" t="s">
        <v>7705</v>
      </c>
      <c r="U678" s="7" t="s">
        <v>62</v>
      </c>
      <c r="V678" s="162" t="str" cm="1">
        <f t="array" ref="V678">_xlfn.IFS(C678="","",COUNTIF(C678,"ตำแหน่งว่าง*"),"ว่าง",COUNTIF(C678,"&lt;&gt;ตำแหน่งว่าง*"),"คนครอง")</f>
        <v>คนครอง</v>
      </c>
      <c r="W678" s="49" cm="1">
        <f t="array" ref="W678">_xlfn.IFS(COUNTIF(F678,"ผบ.หมู่*"),51,COUNTIF(F678,"รอง สว.*"),43)</f>
        <v>43</v>
      </c>
      <c r="X678" s="4" t="s">
        <v>1354</v>
      </c>
      <c r="Y678" s="4" t="s">
        <v>52</v>
      </c>
    </row>
    <row r="679" spans="1:25" s="36" customFormat="1" ht="21.3" customHeight="1">
      <c r="A679" s="134" t="s">
        <v>182</v>
      </c>
      <c r="B679" s="26" t="s">
        <v>21</v>
      </c>
      <c r="C679" s="27" t="s">
        <v>10789</v>
      </c>
      <c r="D679" s="27" t="s">
        <v>10790</v>
      </c>
      <c r="E679" s="27" t="s">
        <v>8038</v>
      </c>
      <c r="F679" s="27" t="s">
        <v>1280</v>
      </c>
      <c r="G679" s="101" t="s">
        <v>1358</v>
      </c>
      <c r="H679" s="75">
        <v>45768</v>
      </c>
      <c r="I679" s="73" t="s">
        <v>7609</v>
      </c>
      <c r="J679" s="73" t="s">
        <v>7609</v>
      </c>
      <c r="K679" s="73">
        <v>33878</v>
      </c>
      <c r="L679" s="19" t="s">
        <v>37</v>
      </c>
      <c r="M679" s="3" t="s">
        <v>7609</v>
      </c>
      <c r="N679" s="116" t="s">
        <v>14</v>
      </c>
      <c r="O679" s="104" t="s">
        <v>52</v>
      </c>
      <c r="P679" s="104" t="s">
        <v>52</v>
      </c>
      <c r="Q679" s="105"/>
      <c r="R679" s="26" t="s">
        <v>10804</v>
      </c>
      <c r="S679" s="174">
        <f t="shared" si="10"/>
        <v>55793</v>
      </c>
      <c r="T679" s="15" t="s">
        <v>7705</v>
      </c>
      <c r="U679" s="2" t="s">
        <v>62</v>
      </c>
      <c r="V679" s="2" t="str" cm="1">
        <f t="array" ref="V679">_xlfn.IFS(C679="","",COUNTIF(C679,"ตำแหน่งว่าง*"),"ว่าง",COUNTIF(C679,"&lt;&gt;ตำแหน่งว่าง*"),"คนครอง")</f>
        <v>คนครอง</v>
      </c>
      <c r="W679" s="170" cm="1">
        <f t="array" ref="W679">_xlfn.IFS(COUNTIF(F679,"ผบ.หมู่*"),51,COUNTIF(F679,"รอง สว.*"),43)</f>
        <v>51</v>
      </c>
      <c r="X679" s="3" t="s">
        <v>1357</v>
      </c>
      <c r="Y679" s="3" t="s">
        <v>52</v>
      </c>
    </row>
    <row r="680" spans="1:25" s="36" customFormat="1" ht="21.3" customHeight="1">
      <c r="A680" s="134" t="s">
        <v>157</v>
      </c>
      <c r="B680" s="26" t="s">
        <v>21</v>
      </c>
      <c r="C680" s="136" t="s">
        <v>1359</v>
      </c>
      <c r="D680" s="27" t="s">
        <v>8816</v>
      </c>
      <c r="E680" s="27" t="s">
        <v>8817</v>
      </c>
      <c r="F680" s="95" t="s">
        <v>1280</v>
      </c>
      <c r="G680" s="101" t="s">
        <v>1361</v>
      </c>
      <c r="H680" s="75">
        <v>41760</v>
      </c>
      <c r="I680" s="73">
        <v>42430</v>
      </c>
      <c r="J680" s="73">
        <v>37316</v>
      </c>
      <c r="K680" s="73">
        <v>28954</v>
      </c>
      <c r="L680" s="19" t="s">
        <v>837</v>
      </c>
      <c r="M680" s="3" t="s">
        <v>91</v>
      </c>
      <c r="N680" s="115" t="s">
        <v>14</v>
      </c>
      <c r="O680" s="104" t="s">
        <v>52</v>
      </c>
      <c r="P680" s="104" t="s">
        <v>52</v>
      </c>
      <c r="Q680" s="105"/>
      <c r="R680" s="26" t="s">
        <v>1307</v>
      </c>
      <c r="S680" s="225">
        <f t="shared" si="10"/>
        <v>51044</v>
      </c>
      <c r="T680" s="165" t="s">
        <v>7705</v>
      </c>
      <c r="U680" s="7" t="s">
        <v>62</v>
      </c>
      <c r="V680" s="162" t="str" cm="1">
        <f t="array" ref="V680">_xlfn.IFS(C680="","",COUNTIF(C680,"ตำแหน่งว่าง*"),"ว่าง",COUNTIF(C680,"&lt;&gt;ตำแหน่งว่าง*"),"คนครอง")</f>
        <v>คนครอง</v>
      </c>
      <c r="W680" s="49" cm="1">
        <f t="array" ref="W680">_xlfn.IFS(COUNTIF(F680,"ผบ.หมู่*"),51,COUNTIF(F680,"รอง สว.*"),43)</f>
        <v>51</v>
      </c>
      <c r="X680" s="4" t="s">
        <v>1360</v>
      </c>
      <c r="Y680" s="4" t="s">
        <v>52</v>
      </c>
    </row>
    <row r="681" spans="1:25" s="38" customFormat="1" ht="21.3" customHeight="1">
      <c r="A681" s="134" t="s">
        <v>208</v>
      </c>
      <c r="B681" s="26" t="s">
        <v>12</v>
      </c>
      <c r="C681" s="134" t="s">
        <v>1362</v>
      </c>
      <c r="D681" s="27" t="s">
        <v>8818</v>
      </c>
      <c r="E681" s="27" t="s">
        <v>8819</v>
      </c>
      <c r="F681" s="27" t="s">
        <v>1280</v>
      </c>
      <c r="G681" s="101" t="s">
        <v>1364</v>
      </c>
      <c r="H681" s="91">
        <v>44599</v>
      </c>
      <c r="I681" s="73">
        <v>43132</v>
      </c>
      <c r="J681" s="73">
        <v>43132</v>
      </c>
      <c r="K681" s="73">
        <v>32192</v>
      </c>
      <c r="L681" s="19" t="s">
        <v>82</v>
      </c>
      <c r="M681" s="3" t="s">
        <v>93</v>
      </c>
      <c r="N681" s="116" t="s">
        <v>14</v>
      </c>
      <c r="O681" s="104" t="s">
        <v>52</v>
      </c>
      <c r="P681" s="104" t="s">
        <v>52</v>
      </c>
      <c r="Q681" s="105"/>
      <c r="R681" s="26" t="s">
        <v>607</v>
      </c>
      <c r="S681" s="225">
        <f t="shared" si="10"/>
        <v>54332</v>
      </c>
      <c r="T681" s="15" t="s">
        <v>7705</v>
      </c>
      <c r="U681" s="7" t="s">
        <v>62</v>
      </c>
      <c r="V681" s="162" t="str" cm="1">
        <f t="array" ref="V681">_xlfn.IFS(C681="","",COUNTIF(C681,"ตำแหน่งว่าง*"),"ว่าง",COUNTIF(C681,"&lt;&gt;ตำแหน่งว่าง*"),"คนครอง")</f>
        <v>คนครอง</v>
      </c>
      <c r="W681" s="49" cm="1">
        <f t="array" ref="W681">_xlfn.IFS(COUNTIF(F681,"ผบ.หมู่*"),51,COUNTIF(F681,"รอง สว.*"),43)</f>
        <v>51</v>
      </c>
      <c r="X681" s="3" t="s">
        <v>1363</v>
      </c>
      <c r="Y681" s="3" t="s">
        <v>52</v>
      </c>
    </row>
    <row r="682" spans="1:25" s="37" customFormat="1" ht="21.3" customHeight="1">
      <c r="A682" s="27" t="s">
        <v>612</v>
      </c>
      <c r="B682" s="26" t="s">
        <v>21</v>
      </c>
      <c r="C682" s="136" t="s">
        <v>1365</v>
      </c>
      <c r="D682" s="27" t="s">
        <v>8820</v>
      </c>
      <c r="E682" s="27" t="s">
        <v>8821</v>
      </c>
      <c r="F682" s="95" t="s">
        <v>1280</v>
      </c>
      <c r="G682" s="101" t="s">
        <v>1367</v>
      </c>
      <c r="H682" s="92">
        <v>44599</v>
      </c>
      <c r="I682" s="73">
        <v>41944</v>
      </c>
      <c r="J682" s="73">
        <v>41944</v>
      </c>
      <c r="K682" s="73">
        <v>35211</v>
      </c>
      <c r="L682" s="19" t="s">
        <v>82</v>
      </c>
      <c r="M682" s="3" t="s">
        <v>101</v>
      </c>
      <c r="N682" s="115" t="s">
        <v>14</v>
      </c>
      <c r="O682" s="104" t="s">
        <v>52</v>
      </c>
      <c r="P682" s="104" t="s">
        <v>52</v>
      </c>
      <c r="Q682" s="105"/>
      <c r="R682" s="26" t="s">
        <v>607</v>
      </c>
      <c r="S682" s="225">
        <f t="shared" si="10"/>
        <v>57254</v>
      </c>
      <c r="T682" s="166" t="s">
        <v>7705</v>
      </c>
      <c r="U682" s="7" t="s">
        <v>62</v>
      </c>
      <c r="V682" s="162" t="str" cm="1">
        <f t="array" ref="V682">_xlfn.IFS(C682="","",COUNTIF(C682,"ตำแหน่งว่าง*"),"ว่าง",COUNTIF(C682,"&lt;&gt;ตำแหน่งว่าง*"),"คนครอง")</f>
        <v>คนครอง</v>
      </c>
      <c r="W682" s="49" cm="1">
        <f t="array" ref="W682">_xlfn.IFS(COUNTIF(F682,"ผบ.หมู่*"),51,COUNTIF(F682,"รอง สว.*"),43)</f>
        <v>51</v>
      </c>
      <c r="X682" s="4" t="s">
        <v>1366</v>
      </c>
      <c r="Y682" s="4" t="s">
        <v>52</v>
      </c>
    </row>
    <row r="683" spans="1:25" s="37" customFormat="1" ht="21.3" customHeight="1">
      <c r="A683" s="65" t="s">
        <v>169</v>
      </c>
      <c r="B683" s="66" t="s">
        <v>21</v>
      </c>
      <c r="C683" s="137" t="s">
        <v>1368</v>
      </c>
      <c r="D683" s="27" t="s">
        <v>8822</v>
      </c>
      <c r="E683" s="27" t="s">
        <v>8823</v>
      </c>
      <c r="F683" s="65" t="s">
        <v>1280</v>
      </c>
      <c r="G683" s="101" t="s">
        <v>1370</v>
      </c>
      <c r="H683" s="81">
        <v>44986</v>
      </c>
      <c r="I683" s="77">
        <v>44986</v>
      </c>
      <c r="J683" s="77">
        <v>44986</v>
      </c>
      <c r="K683" s="77">
        <v>34808</v>
      </c>
      <c r="L683" s="64" t="s">
        <v>82</v>
      </c>
      <c r="M683" s="62" t="s">
        <v>47</v>
      </c>
      <c r="N683" s="117" t="s">
        <v>14</v>
      </c>
      <c r="O683" s="104" t="s">
        <v>52</v>
      </c>
      <c r="P683" s="104" t="s">
        <v>52</v>
      </c>
      <c r="Q683" s="107"/>
      <c r="R683" s="66" t="s">
        <v>861</v>
      </c>
      <c r="S683" s="225">
        <f t="shared" si="10"/>
        <v>56888</v>
      </c>
      <c r="T683" s="166" t="s">
        <v>7705</v>
      </c>
      <c r="U683" s="7" t="s">
        <v>62</v>
      </c>
      <c r="V683" s="162" t="str" cm="1">
        <f t="array" ref="V683">_xlfn.IFS(C683="","",COUNTIF(C683,"ตำแหน่งว่าง*"),"ว่าง",COUNTIF(C683,"&lt;&gt;ตำแหน่งว่าง*"),"คนครอง")</f>
        <v>คนครอง</v>
      </c>
      <c r="W683" s="49" cm="1">
        <f t="array" ref="W683">_xlfn.IFS(COUNTIF(F683,"ผบ.หมู่*"),51,COUNTIF(F683,"รอง สว.*"),43)</f>
        <v>51</v>
      </c>
      <c r="X683" s="62" t="s">
        <v>1369</v>
      </c>
      <c r="Y683" s="62" t="s">
        <v>52</v>
      </c>
    </row>
    <row r="684" spans="1:25" s="37" customFormat="1" ht="21.3" customHeight="1">
      <c r="A684" s="65" t="s">
        <v>169</v>
      </c>
      <c r="B684" s="66" t="s">
        <v>21</v>
      </c>
      <c r="C684" s="137" t="s">
        <v>1371</v>
      </c>
      <c r="D684" s="27" t="s">
        <v>8346</v>
      </c>
      <c r="E684" s="27" t="s">
        <v>8824</v>
      </c>
      <c r="F684" s="65" t="s">
        <v>1280</v>
      </c>
      <c r="G684" s="101" t="s">
        <v>1373</v>
      </c>
      <c r="H684" s="81">
        <v>44986</v>
      </c>
      <c r="I684" s="77">
        <v>44986</v>
      </c>
      <c r="J684" s="77">
        <v>44986</v>
      </c>
      <c r="K684" s="77">
        <v>36043</v>
      </c>
      <c r="L684" s="64" t="s">
        <v>82</v>
      </c>
      <c r="M684" s="62" t="s">
        <v>28</v>
      </c>
      <c r="N684" s="117" t="s">
        <v>14</v>
      </c>
      <c r="O684" s="104" t="s">
        <v>52</v>
      </c>
      <c r="P684" s="104" t="s">
        <v>52</v>
      </c>
      <c r="Q684" s="107"/>
      <c r="R684" s="66" t="s">
        <v>861</v>
      </c>
      <c r="S684" s="225">
        <f t="shared" si="10"/>
        <v>57984</v>
      </c>
      <c r="T684" s="166" t="s">
        <v>7705</v>
      </c>
      <c r="U684" s="7" t="s">
        <v>62</v>
      </c>
      <c r="V684" s="162" t="str" cm="1">
        <f t="array" ref="V684">_xlfn.IFS(C684="","",COUNTIF(C684,"ตำแหน่งว่าง*"),"ว่าง",COUNTIF(C684,"&lt;&gt;ตำแหน่งว่าง*"),"คนครอง")</f>
        <v>คนครอง</v>
      </c>
      <c r="W684" s="49" cm="1">
        <f t="array" ref="W684">_xlfn.IFS(COUNTIF(F684,"ผบ.หมู่*"),51,COUNTIF(F684,"รอง สว.*"),43)</f>
        <v>51</v>
      </c>
      <c r="X684" s="62" t="s">
        <v>1372</v>
      </c>
      <c r="Y684" s="62" t="s">
        <v>52</v>
      </c>
    </row>
    <row r="685" spans="1:25" s="37" customFormat="1" ht="21.3" customHeight="1">
      <c r="A685" s="65" t="s">
        <v>169</v>
      </c>
      <c r="B685" s="66" t="s">
        <v>21</v>
      </c>
      <c r="C685" s="137" t="s">
        <v>1374</v>
      </c>
      <c r="D685" s="27" t="s">
        <v>7977</v>
      </c>
      <c r="E685" s="27" t="s">
        <v>8825</v>
      </c>
      <c r="F685" s="65" t="s">
        <v>1280</v>
      </c>
      <c r="G685" s="101" t="s">
        <v>1376</v>
      </c>
      <c r="H685" s="81">
        <v>44986</v>
      </c>
      <c r="I685" s="77">
        <v>44986</v>
      </c>
      <c r="J685" s="77">
        <v>44986</v>
      </c>
      <c r="K685" s="77">
        <v>35604</v>
      </c>
      <c r="L685" s="64" t="s">
        <v>82</v>
      </c>
      <c r="M685" s="62" t="s">
        <v>16</v>
      </c>
      <c r="N685" s="117" t="s">
        <v>14</v>
      </c>
      <c r="O685" s="104" t="s">
        <v>52</v>
      </c>
      <c r="P685" s="104" t="s">
        <v>52</v>
      </c>
      <c r="Q685" s="107"/>
      <c r="R685" s="66" t="s">
        <v>861</v>
      </c>
      <c r="S685" s="225">
        <f t="shared" si="10"/>
        <v>57619</v>
      </c>
      <c r="T685" s="166" t="s">
        <v>7705</v>
      </c>
      <c r="U685" s="7" t="s">
        <v>62</v>
      </c>
      <c r="V685" s="162" t="str" cm="1">
        <f t="array" ref="V685">_xlfn.IFS(C685="","",COUNTIF(C685,"ตำแหน่งว่าง*"),"ว่าง",COUNTIF(C685,"&lt;&gt;ตำแหน่งว่าง*"),"คนครอง")</f>
        <v>คนครอง</v>
      </c>
      <c r="W685" s="49" cm="1">
        <f t="array" ref="W685">_xlfn.IFS(COUNTIF(F685,"ผบ.หมู่*"),51,COUNTIF(F685,"รอง สว.*"),43)</f>
        <v>51</v>
      </c>
      <c r="X685" s="62" t="s">
        <v>1375</v>
      </c>
      <c r="Y685" s="62" t="s">
        <v>52</v>
      </c>
    </row>
    <row r="686" spans="1:25" s="37" customFormat="1" ht="21.3" customHeight="1">
      <c r="A686" s="65" t="s">
        <v>169</v>
      </c>
      <c r="B686" s="66" t="s">
        <v>21</v>
      </c>
      <c r="C686" s="137" t="s">
        <v>1377</v>
      </c>
      <c r="D686" s="27" t="s">
        <v>8826</v>
      </c>
      <c r="E686" s="27" t="s">
        <v>8827</v>
      </c>
      <c r="F686" s="65" t="s">
        <v>1280</v>
      </c>
      <c r="G686" s="101" t="s">
        <v>1379</v>
      </c>
      <c r="H686" s="81">
        <v>44986</v>
      </c>
      <c r="I686" s="77">
        <v>44986</v>
      </c>
      <c r="J686" s="77">
        <v>44986</v>
      </c>
      <c r="K686" s="77">
        <v>36958</v>
      </c>
      <c r="L686" s="64" t="s">
        <v>82</v>
      </c>
      <c r="M686" s="62" t="s">
        <v>32</v>
      </c>
      <c r="N686" s="117" t="s">
        <v>14</v>
      </c>
      <c r="O686" s="104" t="s">
        <v>52</v>
      </c>
      <c r="P686" s="104" t="s">
        <v>52</v>
      </c>
      <c r="Q686" s="107"/>
      <c r="R686" s="66" t="s">
        <v>861</v>
      </c>
      <c r="S686" s="225">
        <f t="shared" si="10"/>
        <v>59080</v>
      </c>
      <c r="T686" s="166" t="s">
        <v>7705</v>
      </c>
      <c r="U686" s="7" t="s">
        <v>62</v>
      </c>
      <c r="V686" s="162" t="str" cm="1">
        <f t="array" ref="V686">_xlfn.IFS(C686="","",COUNTIF(C686,"ตำแหน่งว่าง*"),"ว่าง",COUNTIF(C686,"&lt;&gt;ตำแหน่งว่าง*"),"คนครอง")</f>
        <v>คนครอง</v>
      </c>
      <c r="W686" s="49" cm="1">
        <f t="array" ref="W686">_xlfn.IFS(COUNTIF(F686,"ผบ.หมู่*"),51,COUNTIF(F686,"รอง สว.*"),43)</f>
        <v>51</v>
      </c>
      <c r="X686" s="62" t="s">
        <v>1378</v>
      </c>
      <c r="Y686" s="62" t="s">
        <v>52</v>
      </c>
    </row>
    <row r="687" spans="1:25" s="37" customFormat="1" ht="21.3" customHeight="1">
      <c r="A687" s="65" t="s">
        <v>169</v>
      </c>
      <c r="B687" s="66" t="s">
        <v>21</v>
      </c>
      <c r="C687" s="137" t="s">
        <v>1380</v>
      </c>
      <c r="D687" s="27" t="s">
        <v>8305</v>
      </c>
      <c r="E687" s="27" t="s">
        <v>8828</v>
      </c>
      <c r="F687" s="65" t="s">
        <v>1280</v>
      </c>
      <c r="G687" s="101" t="s">
        <v>1382</v>
      </c>
      <c r="H687" s="81">
        <v>44986</v>
      </c>
      <c r="I687" s="77">
        <v>44986</v>
      </c>
      <c r="J687" s="77">
        <v>44986</v>
      </c>
      <c r="K687" s="77">
        <v>34718</v>
      </c>
      <c r="L687" s="64" t="s">
        <v>82</v>
      </c>
      <c r="M687" s="62" t="s">
        <v>592</v>
      </c>
      <c r="N687" s="117" t="s">
        <v>14</v>
      </c>
      <c r="O687" s="104" t="s">
        <v>52</v>
      </c>
      <c r="P687" s="104" t="s">
        <v>52</v>
      </c>
      <c r="Q687" s="107"/>
      <c r="R687" s="66" t="s">
        <v>861</v>
      </c>
      <c r="S687" s="225">
        <f t="shared" si="10"/>
        <v>56888</v>
      </c>
      <c r="T687" s="166" t="s">
        <v>7705</v>
      </c>
      <c r="U687" s="7" t="s">
        <v>62</v>
      </c>
      <c r="V687" s="162" t="str" cm="1">
        <f t="array" ref="V687">_xlfn.IFS(C687="","",COUNTIF(C687,"ตำแหน่งว่าง*"),"ว่าง",COUNTIF(C687,"&lt;&gt;ตำแหน่งว่าง*"),"คนครอง")</f>
        <v>คนครอง</v>
      </c>
      <c r="W687" s="49" cm="1">
        <f t="array" ref="W687">_xlfn.IFS(COUNTIF(F687,"ผบ.หมู่*"),51,COUNTIF(F687,"รอง สว.*"),43)</f>
        <v>51</v>
      </c>
      <c r="X687" s="62" t="s">
        <v>1381</v>
      </c>
      <c r="Y687" s="62" t="s">
        <v>52</v>
      </c>
    </row>
    <row r="688" spans="1:25" s="37" customFormat="1" ht="21.3" customHeight="1">
      <c r="A688" s="65" t="s">
        <v>169</v>
      </c>
      <c r="B688" s="66" t="s">
        <v>12</v>
      </c>
      <c r="C688" s="137" t="s">
        <v>1383</v>
      </c>
      <c r="D688" s="27" t="s">
        <v>8123</v>
      </c>
      <c r="E688" s="27" t="s">
        <v>8829</v>
      </c>
      <c r="F688" s="65" t="s">
        <v>1280</v>
      </c>
      <c r="G688" s="101" t="s">
        <v>1385</v>
      </c>
      <c r="H688" s="81">
        <v>44986</v>
      </c>
      <c r="I688" s="77">
        <v>44986</v>
      </c>
      <c r="J688" s="77">
        <v>44986</v>
      </c>
      <c r="K688" s="77">
        <v>34059</v>
      </c>
      <c r="L688" s="64" t="s">
        <v>82</v>
      </c>
      <c r="M688" s="62" t="s">
        <v>15</v>
      </c>
      <c r="N688" s="117" t="s">
        <v>14</v>
      </c>
      <c r="O688" s="104" t="s">
        <v>52</v>
      </c>
      <c r="P688" s="104" t="s">
        <v>52</v>
      </c>
      <c r="Q688" s="107"/>
      <c r="R688" s="66" t="s">
        <v>861</v>
      </c>
      <c r="S688" s="225">
        <f t="shared" si="10"/>
        <v>56158</v>
      </c>
      <c r="T688" s="166" t="s">
        <v>7705</v>
      </c>
      <c r="U688" s="7" t="s">
        <v>62</v>
      </c>
      <c r="V688" s="162" t="str" cm="1">
        <f t="array" ref="V688">_xlfn.IFS(C688="","",COUNTIF(C688,"ตำแหน่งว่าง*"),"ว่าง",COUNTIF(C688,"&lt;&gt;ตำแหน่งว่าง*"),"คนครอง")</f>
        <v>คนครอง</v>
      </c>
      <c r="W688" s="49" cm="1">
        <f t="array" ref="W688">_xlfn.IFS(COUNTIF(F688,"ผบ.หมู่*"),51,COUNTIF(F688,"รอง สว.*"),43)</f>
        <v>51</v>
      </c>
      <c r="X688" s="62" t="s">
        <v>1384</v>
      </c>
      <c r="Y688" s="62" t="s">
        <v>52</v>
      </c>
    </row>
    <row r="689" spans="1:25" s="36" customFormat="1" ht="21.3" customHeight="1">
      <c r="A689" s="27" t="s">
        <v>44</v>
      </c>
      <c r="B689" s="135" t="s">
        <v>21</v>
      </c>
      <c r="C689" s="136" t="s">
        <v>1386</v>
      </c>
      <c r="D689" s="27" t="s">
        <v>8258</v>
      </c>
      <c r="E689" s="27" t="s">
        <v>8830</v>
      </c>
      <c r="F689" s="95" t="s">
        <v>1309</v>
      </c>
      <c r="G689" s="101" t="s">
        <v>1388</v>
      </c>
      <c r="H689" s="88">
        <v>40063</v>
      </c>
      <c r="I689" s="76">
        <v>40063</v>
      </c>
      <c r="J689" s="76">
        <v>34729</v>
      </c>
      <c r="K689" s="76">
        <v>25313</v>
      </c>
      <c r="L689" s="46" t="s">
        <v>1389</v>
      </c>
      <c r="M689" s="4" t="s">
        <v>70</v>
      </c>
      <c r="N689" s="115" t="s">
        <v>14</v>
      </c>
      <c r="O689" s="104" t="s">
        <v>52</v>
      </c>
      <c r="P689" s="104" t="s">
        <v>52</v>
      </c>
      <c r="Q689" s="108"/>
      <c r="R689" s="135" t="s">
        <v>603</v>
      </c>
      <c r="S689" s="225">
        <f t="shared" si="10"/>
        <v>47392</v>
      </c>
      <c r="T689" s="165" t="s">
        <v>7705</v>
      </c>
      <c r="U689" s="7" t="s">
        <v>62</v>
      </c>
      <c r="V689" s="162" t="str" cm="1">
        <f t="array" ref="V689">_xlfn.IFS(C689="","",COUNTIF(C689,"ตำแหน่งว่าง*"),"ว่าง",COUNTIF(C689,"&lt;&gt;ตำแหน่งว่าง*"),"คนครอง")</f>
        <v>คนครอง</v>
      </c>
      <c r="W689" s="49" cm="1">
        <f t="array" ref="W689">_xlfn.IFS(COUNTIF(F689,"ผบ.หมู่*"),51,COUNTIF(F689,"รอง สว.*"),43)</f>
        <v>43</v>
      </c>
      <c r="X689" s="4" t="s">
        <v>1387</v>
      </c>
      <c r="Y689" s="4" t="s">
        <v>52</v>
      </c>
    </row>
    <row r="690" spans="1:25" s="37" customFormat="1" ht="21.3" customHeight="1">
      <c r="A690" s="65" t="s">
        <v>169</v>
      </c>
      <c r="B690" s="66" t="s">
        <v>12</v>
      </c>
      <c r="C690" s="137" t="s">
        <v>1390</v>
      </c>
      <c r="D690" s="27" t="s">
        <v>8831</v>
      </c>
      <c r="E690" s="27" t="s">
        <v>8832</v>
      </c>
      <c r="F690" s="65" t="s">
        <v>1280</v>
      </c>
      <c r="G690" s="101" t="s">
        <v>1392</v>
      </c>
      <c r="H690" s="81">
        <v>44986</v>
      </c>
      <c r="I690" s="77">
        <v>44986</v>
      </c>
      <c r="J690" s="77">
        <v>44986</v>
      </c>
      <c r="K690" s="77">
        <v>35391</v>
      </c>
      <c r="L690" s="64" t="s">
        <v>82</v>
      </c>
      <c r="M690" s="62" t="s">
        <v>64</v>
      </c>
      <c r="N690" s="117" t="s">
        <v>14</v>
      </c>
      <c r="O690" s="104" t="s">
        <v>52</v>
      </c>
      <c r="P690" s="104" t="s">
        <v>52</v>
      </c>
      <c r="Q690" s="107"/>
      <c r="R690" s="66" t="s">
        <v>861</v>
      </c>
      <c r="S690" s="225">
        <f t="shared" si="10"/>
        <v>57619</v>
      </c>
      <c r="T690" s="166" t="s">
        <v>7705</v>
      </c>
      <c r="U690" s="7" t="s">
        <v>62</v>
      </c>
      <c r="V690" s="162" t="str" cm="1">
        <f t="array" ref="V690">_xlfn.IFS(C690="","",COUNTIF(C690,"ตำแหน่งว่าง*"),"ว่าง",COUNTIF(C690,"&lt;&gt;ตำแหน่งว่าง*"),"คนครอง")</f>
        <v>คนครอง</v>
      </c>
      <c r="W690" s="49" cm="1">
        <f t="array" ref="W690">_xlfn.IFS(COUNTIF(F690,"ผบ.หมู่*"),51,COUNTIF(F690,"รอง สว.*"),43)</f>
        <v>51</v>
      </c>
      <c r="X690" s="62" t="s">
        <v>1391</v>
      </c>
      <c r="Y690" s="62" t="s">
        <v>52</v>
      </c>
    </row>
    <row r="691" spans="1:25" s="37" customFormat="1" ht="21.3" customHeight="1">
      <c r="A691" s="65" t="s">
        <v>169</v>
      </c>
      <c r="B691" s="66" t="s">
        <v>12</v>
      </c>
      <c r="C691" s="137" t="s">
        <v>1393</v>
      </c>
      <c r="D691" s="27" t="s">
        <v>8833</v>
      </c>
      <c r="E691" s="27" t="s">
        <v>8834</v>
      </c>
      <c r="F691" s="65" t="s">
        <v>1280</v>
      </c>
      <c r="G691" s="101" t="s">
        <v>1395</v>
      </c>
      <c r="H691" s="81">
        <v>44986</v>
      </c>
      <c r="I691" s="77">
        <v>44986</v>
      </c>
      <c r="J691" s="77">
        <v>44986</v>
      </c>
      <c r="K691" s="77">
        <v>33558</v>
      </c>
      <c r="L691" s="64" t="s">
        <v>82</v>
      </c>
      <c r="M691" s="62" t="s">
        <v>72</v>
      </c>
      <c r="N691" s="117" t="s">
        <v>14</v>
      </c>
      <c r="O691" s="104" t="s">
        <v>52</v>
      </c>
      <c r="P691" s="104" t="s">
        <v>52</v>
      </c>
      <c r="Q691" s="107"/>
      <c r="R691" s="66" t="s">
        <v>861</v>
      </c>
      <c r="S691" s="225">
        <f t="shared" si="10"/>
        <v>55793</v>
      </c>
      <c r="T691" s="166" t="s">
        <v>7705</v>
      </c>
      <c r="U691" s="7" t="s">
        <v>62</v>
      </c>
      <c r="V691" s="162" t="str" cm="1">
        <f t="array" ref="V691">_xlfn.IFS(C691="","",COUNTIF(C691,"ตำแหน่งว่าง*"),"ว่าง",COUNTIF(C691,"&lt;&gt;ตำแหน่งว่าง*"),"คนครอง")</f>
        <v>คนครอง</v>
      </c>
      <c r="W691" s="49" cm="1">
        <f t="array" ref="W691">_xlfn.IFS(COUNTIF(F691,"ผบ.หมู่*"),51,COUNTIF(F691,"รอง สว.*"),43)</f>
        <v>51</v>
      </c>
      <c r="X691" s="62" t="s">
        <v>1394</v>
      </c>
      <c r="Y691" s="62" t="s">
        <v>52</v>
      </c>
    </row>
    <row r="692" spans="1:25" s="37" customFormat="1" ht="21.3" customHeight="1">
      <c r="A692" s="65" t="s">
        <v>169</v>
      </c>
      <c r="B692" s="66" t="s">
        <v>12</v>
      </c>
      <c r="C692" s="137" t="s">
        <v>1396</v>
      </c>
      <c r="D692" s="27" t="s">
        <v>8835</v>
      </c>
      <c r="E692" s="27" t="s">
        <v>8836</v>
      </c>
      <c r="F692" s="65" t="s">
        <v>1280</v>
      </c>
      <c r="G692" s="101" t="s">
        <v>1398</v>
      </c>
      <c r="H692" s="81">
        <v>44986</v>
      </c>
      <c r="I692" s="77">
        <v>44986</v>
      </c>
      <c r="J692" s="77">
        <v>44986</v>
      </c>
      <c r="K692" s="77">
        <v>35284</v>
      </c>
      <c r="L692" s="64" t="s">
        <v>82</v>
      </c>
      <c r="M692" s="62" t="s">
        <v>16</v>
      </c>
      <c r="N692" s="117" t="s">
        <v>14</v>
      </c>
      <c r="O692" s="104" t="s">
        <v>52</v>
      </c>
      <c r="P692" s="104" t="s">
        <v>52</v>
      </c>
      <c r="Q692" s="107"/>
      <c r="R692" s="66" t="s">
        <v>861</v>
      </c>
      <c r="S692" s="225">
        <f t="shared" si="10"/>
        <v>57254</v>
      </c>
      <c r="T692" s="166" t="s">
        <v>7705</v>
      </c>
      <c r="U692" s="7" t="s">
        <v>62</v>
      </c>
      <c r="V692" s="162" t="str" cm="1">
        <f t="array" ref="V692">_xlfn.IFS(C692="","",COUNTIF(C692,"ตำแหน่งว่าง*"),"ว่าง",COUNTIF(C692,"&lt;&gt;ตำแหน่งว่าง*"),"คนครอง")</f>
        <v>คนครอง</v>
      </c>
      <c r="W692" s="49" cm="1">
        <f t="array" ref="W692">_xlfn.IFS(COUNTIF(F692,"ผบ.หมู่*"),51,COUNTIF(F692,"รอง สว.*"),43)</f>
        <v>51</v>
      </c>
      <c r="X692" s="62" t="s">
        <v>1397</v>
      </c>
      <c r="Y692" s="62" t="s">
        <v>52</v>
      </c>
    </row>
    <row r="693" spans="1:25" s="37" customFormat="1" ht="21.3" customHeight="1">
      <c r="A693" s="65" t="s">
        <v>169</v>
      </c>
      <c r="B693" s="66" t="s">
        <v>12</v>
      </c>
      <c r="C693" s="137" t="s">
        <v>1399</v>
      </c>
      <c r="D693" s="27" t="s">
        <v>8123</v>
      </c>
      <c r="E693" s="27" t="s">
        <v>8837</v>
      </c>
      <c r="F693" s="65" t="s">
        <v>1280</v>
      </c>
      <c r="G693" s="101" t="s">
        <v>1401</v>
      </c>
      <c r="H693" s="81">
        <v>44986</v>
      </c>
      <c r="I693" s="77">
        <v>44986</v>
      </c>
      <c r="J693" s="77">
        <v>44986</v>
      </c>
      <c r="K693" s="77">
        <v>35548</v>
      </c>
      <c r="L693" s="64" t="s">
        <v>112</v>
      </c>
      <c r="M693" s="62" t="s">
        <v>32</v>
      </c>
      <c r="N693" s="117" t="s">
        <v>14</v>
      </c>
      <c r="O693" s="104" t="s">
        <v>52</v>
      </c>
      <c r="P693" s="104" t="s">
        <v>52</v>
      </c>
      <c r="Q693" s="107"/>
      <c r="R693" s="66" t="s">
        <v>861</v>
      </c>
      <c r="S693" s="225">
        <f t="shared" si="10"/>
        <v>57619</v>
      </c>
      <c r="T693" s="166" t="s">
        <v>7705</v>
      </c>
      <c r="U693" s="7" t="s">
        <v>62</v>
      </c>
      <c r="V693" s="162" t="str" cm="1">
        <f t="array" ref="V693">_xlfn.IFS(C693="","",COUNTIF(C693,"ตำแหน่งว่าง*"),"ว่าง",COUNTIF(C693,"&lt;&gt;ตำแหน่งว่าง*"),"คนครอง")</f>
        <v>คนครอง</v>
      </c>
      <c r="W693" s="49" cm="1">
        <f t="array" ref="W693">_xlfn.IFS(COUNTIF(F693,"ผบ.หมู่*"),51,COUNTIF(F693,"รอง สว.*"),43)</f>
        <v>51</v>
      </c>
      <c r="X693" s="62" t="s">
        <v>1400</v>
      </c>
      <c r="Y693" s="62" t="s">
        <v>52</v>
      </c>
    </row>
    <row r="694" spans="1:25" s="37" customFormat="1" ht="21.3" customHeight="1">
      <c r="A694" s="65" t="s">
        <v>169</v>
      </c>
      <c r="B694" s="66" t="s">
        <v>12</v>
      </c>
      <c r="C694" s="137" t="s">
        <v>1402</v>
      </c>
      <c r="D694" s="27" t="s">
        <v>8838</v>
      </c>
      <c r="E694" s="27" t="s">
        <v>8839</v>
      </c>
      <c r="F694" s="65" t="s">
        <v>1280</v>
      </c>
      <c r="G694" s="101" t="s">
        <v>1404</v>
      </c>
      <c r="H694" s="81">
        <v>44986</v>
      </c>
      <c r="I694" s="77">
        <v>44986</v>
      </c>
      <c r="J694" s="77">
        <v>44986</v>
      </c>
      <c r="K694" s="77">
        <v>35699</v>
      </c>
      <c r="L694" s="64" t="s">
        <v>82</v>
      </c>
      <c r="M694" s="62" t="s">
        <v>88</v>
      </c>
      <c r="N694" s="117" t="s">
        <v>14</v>
      </c>
      <c r="O694" s="104" t="s">
        <v>52</v>
      </c>
      <c r="P694" s="104" t="s">
        <v>52</v>
      </c>
      <c r="Q694" s="107"/>
      <c r="R694" s="66" t="s">
        <v>861</v>
      </c>
      <c r="S694" s="225">
        <f t="shared" si="10"/>
        <v>57619</v>
      </c>
      <c r="T694" s="166" t="s">
        <v>7705</v>
      </c>
      <c r="U694" s="7" t="s">
        <v>62</v>
      </c>
      <c r="V694" s="162" t="str" cm="1">
        <f t="array" ref="V694">_xlfn.IFS(C694="","",COUNTIF(C694,"ตำแหน่งว่าง*"),"ว่าง",COUNTIF(C694,"&lt;&gt;ตำแหน่งว่าง*"),"คนครอง")</f>
        <v>คนครอง</v>
      </c>
      <c r="W694" s="49" cm="1">
        <f t="array" ref="W694">_xlfn.IFS(COUNTIF(F694,"ผบ.หมู่*"),51,COUNTIF(F694,"รอง สว.*"),43)</f>
        <v>51</v>
      </c>
      <c r="X694" s="62" t="s">
        <v>1403</v>
      </c>
      <c r="Y694" s="62" t="s">
        <v>52</v>
      </c>
    </row>
    <row r="695" spans="1:25" s="38" customFormat="1" ht="21.3" customHeight="1">
      <c r="A695" s="134" t="s">
        <v>157</v>
      </c>
      <c r="B695" s="26" t="s">
        <v>21</v>
      </c>
      <c r="C695" s="134" t="s">
        <v>1405</v>
      </c>
      <c r="D695" s="27" t="s">
        <v>8840</v>
      </c>
      <c r="E695" s="27" t="s">
        <v>8841</v>
      </c>
      <c r="F695" s="27" t="s">
        <v>1280</v>
      </c>
      <c r="G695" s="101" t="s">
        <v>1407</v>
      </c>
      <c r="H695" s="75">
        <v>40063</v>
      </c>
      <c r="I695" s="73">
        <v>40063</v>
      </c>
      <c r="J695" s="73">
        <v>34729</v>
      </c>
      <c r="K695" s="73">
        <v>26421</v>
      </c>
      <c r="L695" s="19" t="s">
        <v>1408</v>
      </c>
      <c r="M695" s="3" t="s">
        <v>38</v>
      </c>
      <c r="N695" s="116" t="s">
        <v>14</v>
      </c>
      <c r="O695" s="104" t="s">
        <v>52</v>
      </c>
      <c r="P695" s="104" t="s">
        <v>52</v>
      </c>
      <c r="Q695" s="105"/>
      <c r="R695" s="26" t="s">
        <v>603</v>
      </c>
      <c r="S695" s="225">
        <f t="shared" si="10"/>
        <v>48488</v>
      </c>
      <c r="T695" s="15" t="s">
        <v>7705</v>
      </c>
      <c r="U695" s="7" t="s">
        <v>62</v>
      </c>
      <c r="V695" s="162" t="str" cm="1">
        <f t="array" ref="V695">_xlfn.IFS(C695="","",COUNTIF(C695,"ตำแหน่งว่าง*"),"ว่าง",COUNTIF(C695,"&lt;&gt;ตำแหน่งว่าง*"),"คนครอง")</f>
        <v>คนครอง</v>
      </c>
      <c r="W695" s="49" cm="1">
        <f t="array" ref="W695">_xlfn.IFS(COUNTIF(F695,"ผบ.หมู่*"),51,COUNTIF(F695,"รอง สว.*"),43)</f>
        <v>51</v>
      </c>
      <c r="X695" s="3" t="s">
        <v>1406</v>
      </c>
      <c r="Y695" s="3" t="s">
        <v>52</v>
      </c>
    </row>
    <row r="696" spans="1:25" s="37" customFormat="1" ht="21.3" customHeight="1">
      <c r="A696" s="65" t="s">
        <v>169</v>
      </c>
      <c r="B696" s="66" t="s">
        <v>12</v>
      </c>
      <c r="C696" s="137" t="s">
        <v>1409</v>
      </c>
      <c r="D696" s="27" t="s">
        <v>8842</v>
      </c>
      <c r="E696" s="27" t="s">
        <v>8843</v>
      </c>
      <c r="F696" s="65" t="s">
        <v>1280</v>
      </c>
      <c r="G696" s="101" t="s">
        <v>1411</v>
      </c>
      <c r="H696" s="81">
        <v>44986</v>
      </c>
      <c r="I696" s="77">
        <v>44986</v>
      </c>
      <c r="J696" s="77">
        <v>44986</v>
      </c>
      <c r="K696" s="77">
        <v>37526</v>
      </c>
      <c r="L696" s="64" t="s">
        <v>82</v>
      </c>
      <c r="M696" s="62" t="s">
        <v>71</v>
      </c>
      <c r="N696" s="117" t="s">
        <v>14</v>
      </c>
      <c r="O696" s="104" t="s">
        <v>52</v>
      </c>
      <c r="P696" s="104" t="s">
        <v>52</v>
      </c>
      <c r="Q696" s="107"/>
      <c r="R696" s="66" t="s">
        <v>861</v>
      </c>
      <c r="S696" s="225">
        <f t="shared" si="10"/>
        <v>59445</v>
      </c>
      <c r="T696" s="166" t="s">
        <v>7705</v>
      </c>
      <c r="U696" s="7" t="s">
        <v>62</v>
      </c>
      <c r="V696" s="162" t="str" cm="1">
        <f t="array" ref="V696">_xlfn.IFS(C696="","",COUNTIF(C696,"ตำแหน่งว่าง*"),"ว่าง",COUNTIF(C696,"&lt;&gt;ตำแหน่งว่าง*"),"คนครอง")</f>
        <v>คนครอง</v>
      </c>
      <c r="W696" s="49" cm="1">
        <f t="array" ref="W696">_xlfn.IFS(COUNTIF(F696,"ผบ.หมู่*"),51,COUNTIF(F696,"รอง สว.*"),43)</f>
        <v>51</v>
      </c>
      <c r="X696" s="62" t="s">
        <v>1410</v>
      </c>
      <c r="Y696" s="62" t="s">
        <v>52</v>
      </c>
    </row>
    <row r="697" spans="1:25" s="36" customFormat="1" ht="21.3" customHeight="1">
      <c r="A697" s="27" t="s">
        <v>157</v>
      </c>
      <c r="B697" s="26" t="s">
        <v>12</v>
      </c>
      <c r="C697" s="136" t="s">
        <v>1412</v>
      </c>
      <c r="D697" s="27" t="s">
        <v>7969</v>
      </c>
      <c r="E697" s="27" t="s">
        <v>8844</v>
      </c>
      <c r="F697" s="27" t="s">
        <v>1280</v>
      </c>
      <c r="G697" s="101" t="s">
        <v>1414</v>
      </c>
      <c r="H697" s="75">
        <v>41864</v>
      </c>
      <c r="I697" s="73">
        <v>43952</v>
      </c>
      <c r="J697" s="73">
        <v>41864</v>
      </c>
      <c r="K697" s="73">
        <v>33319</v>
      </c>
      <c r="L697" s="19" t="s">
        <v>1415</v>
      </c>
      <c r="M697" s="3" t="s">
        <v>23</v>
      </c>
      <c r="N697" s="115" t="s">
        <v>14</v>
      </c>
      <c r="O697" s="104" t="s">
        <v>52</v>
      </c>
      <c r="P697" s="104" t="s">
        <v>52</v>
      </c>
      <c r="Q697" s="105"/>
      <c r="R697" s="26" t="s">
        <v>1025</v>
      </c>
      <c r="S697" s="225">
        <f t="shared" si="10"/>
        <v>55427</v>
      </c>
      <c r="T697" s="165" t="s">
        <v>7705</v>
      </c>
      <c r="U697" s="7" t="s">
        <v>62</v>
      </c>
      <c r="V697" s="162" t="str" cm="1">
        <f t="array" ref="V697">_xlfn.IFS(C697="","",COUNTIF(C697,"ตำแหน่งว่าง*"),"ว่าง",COUNTIF(C697,"&lt;&gt;ตำแหน่งว่าง*"),"คนครอง")</f>
        <v>คนครอง</v>
      </c>
      <c r="W697" s="49" cm="1">
        <f t="array" ref="W697">_xlfn.IFS(COUNTIF(F697,"ผบ.หมู่*"),51,COUNTIF(F697,"รอง สว.*"),43)</f>
        <v>51</v>
      </c>
      <c r="X697" s="4" t="s">
        <v>1413</v>
      </c>
      <c r="Y697" s="4" t="s">
        <v>52</v>
      </c>
    </row>
    <row r="698" spans="1:25" s="37" customFormat="1" ht="21.3" customHeight="1">
      <c r="A698" s="65" t="s">
        <v>169</v>
      </c>
      <c r="B698" s="66" t="s">
        <v>12</v>
      </c>
      <c r="C698" s="137" t="s">
        <v>1416</v>
      </c>
      <c r="D698" s="27" t="s">
        <v>8845</v>
      </c>
      <c r="E698" s="27" t="s">
        <v>8846</v>
      </c>
      <c r="F698" s="65" t="s">
        <v>1280</v>
      </c>
      <c r="G698" s="101" t="s">
        <v>1418</v>
      </c>
      <c r="H698" s="81">
        <v>44986</v>
      </c>
      <c r="I698" s="77">
        <v>44986</v>
      </c>
      <c r="J698" s="77">
        <v>44986</v>
      </c>
      <c r="K698" s="77">
        <v>35649</v>
      </c>
      <c r="L698" s="64" t="s">
        <v>82</v>
      </c>
      <c r="M698" s="62" t="s">
        <v>93</v>
      </c>
      <c r="N698" s="117" t="s">
        <v>14</v>
      </c>
      <c r="O698" s="104" t="s">
        <v>52</v>
      </c>
      <c r="P698" s="104" t="s">
        <v>52</v>
      </c>
      <c r="Q698" s="107"/>
      <c r="R698" s="66" t="s">
        <v>861</v>
      </c>
      <c r="S698" s="225">
        <f t="shared" si="10"/>
        <v>57619</v>
      </c>
      <c r="T698" s="166" t="s">
        <v>7705</v>
      </c>
      <c r="U698" s="7" t="s">
        <v>62</v>
      </c>
      <c r="V698" s="162" t="str" cm="1">
        <f t="array" ref="V698">_xlfn.IFS(C698="","",COUNTIF(C698,"ตำแหน่งว่าง*"),"ว่าง",COUNTIF(C698,"&lt;&gt;ตำแหน่งว่าง*"),"คนครอง")</f>
        <v>คนครอง</v>
      </c>
      <c r="W698" s="49" cm="1">
        <f t="array" ref="W698">_xlfn.IFS(COUNTIF(F698,"ผบ.หมู่*"),51,COUNTIF(F698,"รอง สว.*"),43)</f>
        <v>51</v>
      </c>
      <c r="X698" s="62" t="s">
        <v>1417</v>
      </c>
      <c r="Y698" s="62" t="s">
        <v>52</v>
      </c>
    </row>
    <row r="699" spans="1:25" s="37" customFormat="1" ht="21.3" customHeight="1">
      <c r="A699" s="65" t="s">
        <v>169</v>
      </c>
      <c r="B699" s="66" t="s">
        <v>12</v>
      </c>
      <c r="C699" s="137" t="s">
        <v>1419</v>
      </c>
      <c r="D699" s="27" t="s">
        <v>8847</v>
      </c>
      <c r="E699" s="27" t="s">
        <v>8214</v>
      </c>
      <c r="F699" s="65" t="s">
        <v>1280</v>
      </c>
      <c r="G699" s="101" t="s">
        <v>1421</v>
      </c>
      <c r="H699" s="81">
        <v>44986</v>
      </c>
      <c r="I699" s="77">
        <v>44986</v>
      </c>
      <c r="J699" s="77">
        <v>44986</v>
      </c>
      <c r="K699" s="77">
        <v>36875</v>
      </c>
      <c r="L699" s="64" t="s">
        <v>82</v>
      </c>
      <c r="M699" s="62" t="s">
        <v>34</v>
      </c>
      <c r="N699" s="117" t="s">
        <v>14</v>
      </c>
      <c r="O699" s="104" t="s">
        <v>52</v>
      </c>
      <c r="P699" s="104" t="s">
        <v>52</v>
      </c>
      <c r="Q699" s="107"/>
      <c r="R699" s="66" t="s">
        <v>861</v>
      </c>
      <c r="S699" s="225">
        <f t="shared" si="10"/>
        <v>59080</v>
      </c>
      <c r="T699" s="166" t="s">
        <v>7705</v>
      </c>
      <c r="U699" s="7" t="s">
        <v>62</v>
      </c>
      <c r="V699" s="162" t="str" cm="1">
        <f t="array" ref="V699">_xlfn.IFS(C699="","",COUNTIF(C699,"ตำแหน่งว่าง*"),"ว่าง",COUNTIF(C699,"&lt;&gt;ตำแหน่งว่าง*"),"คนครอง")</f>
        <v>คนครอง</v>
      </c>
      <c r="W699" s="49" cm="1">
        <f t="array" ref="W699">_xlfn.IFS(COUNTIF(F699,"ผบ.หมู่*"),51,COUNTIF(F699,"รอง สว.*"),43)</f>
        <v>51</v>
      </c>
      <c r="X699" s="62" t="s">
        <v>1420</v>
      </c>
      <c r="Y699" s="62" t="s">
        <v>52</v>
      </c>
    </row>
    <row r="700" spans="1:25" s="37" customFormat="1" ht="21.3" customHeight="1">
      <c r="A700" s="65" t="s">
        <v>169</v>
      </c>
      <c r="B700" s="66" t="s">
        <v>12</v>
      </c>
      <c r="C700" s="137" t="s">
        <v>1422</v>
      </c>
      <c r="D700" s="27" t="s">
        <v>8848</v>
      </c>
      <c r="E700" s="27" t="s">
        <v>8849</v>
      </c>
      <c r="F700" s="65" t="s">
        <v>1280</v>
      </c>
      <c r="G700" s="101" t="s">
        <v>1424</v>
      </c>
      <c r="H700" s="81">
        <v>44986</v>
      </c>
      <c r="I700" s="77">
        <v>44986</v>
      </c>
      <c r="J700" s="77">
        <v>44986</v>
      </c>
      <c r="K700" s="77">
        <v>36473</v>
      </c>
      <c r="L700" s="64" t="s">
        <v>82</v>
      </c>
      <c r="M700" s="62" t="s">
        <v>99</v>
      </c>
      <c r="N700" s="117" t="s">
        <v>14</v>
      </c>
      <c r="O700" s="104" t="s">
        <v>52</v>
      </c>
      <c r="P700" s="104" t="s">
        <v>52</v>
      </c>
      <c r="Q700" s="107"/>
      <c r="R700" s="66" t="s">
        <v>861</v>
      </c>
      <c r="S700" s="225">
        <f t="shared" si="10"/>
        <v>58715</v>
      </c>
      <c r="T700" s="166" t="s">
        <v>7705</v>
      </c>
      <c r="U700" s="7" t="s">
        <v>62</v>
      </c>
      <c r="V700" s="162" t="str" cm="1">
        <f t="array" ref="V700">_xlfn.IFS(C700="","",COUNTIF(C700,"ตำแหน่งว่าง*"),"ว่าง",COUNTIF(C700,"&lt;&gt;ตำแหน่งว่าง*"),"คนครอง")</f>
        <v>คนครอง</v>
      </c>
      <c r="W700" s="49" cm="1">
        <f t="array" ref="W700">_xlfn.IFS(COUNTIF(F700,"ผบ.หมู่*"),51,COUNTIF(F700,"รอง สว.*"),43)</f>
        <v>51</v>
      </c>
      <c r="X700" s="62" t="s">
        <v>1423</v>
      </c>
      <c r="Y700" s="62" t="s">
        <v>52</v>
      </c>
    </row>
    <row r="701" spans="1:25" s="37" customFormat="1" ht="21.3" customHeight="1">
      <c r="A701" s="65" t="s">
        <v>169</v>
      </c>
      <c r="B701" s="66" t="s">
        <v>12</v>
      </c>
      <c r="C701" s="137" t="s">
        <v>1425</v>
      </c>
      <c r="D701" s="27" t="s">
        <v>8157</v>
      </c>
      <c r="E701" s="27" t="s">
        <v>8850</v>
      </c>
      <c r="F701" s="65" t="s">
        <v>1280</v>
      </c>
      <c r="G701" s="101" t="s">
        <v>1427</v>
      </c>
      <c r="H701" s="81">
        <v>44986</v>
      </c>
      <c r="I701" s="77">
        <v>44986</v>
      </c>
      <c r="J701" s="77">
        <v>44986</v>
      </c>
      <c r="K701" s="77">
        <v>35761</v>
      </c>
      <c r="L701" s="64" t="s">
        <v>112</v>
      </c>
      <c r="M701" s="62" t="s">
        <v>86</v>
      </c>
      <c r="N701" s="117" t="s">
        <v>14</v>
      </c>
      <c r="O701" s="104" t="s">
        <v>52</v>
      </c>
      <c r="P701" s="104" t="s">
        <v>52</v>
      </c>
      <c r="Q701" s="107"/>
      <c r="R701" s="66" t="s">
        <v>861</v>
      </c>
      <c r="S701" s="225">
        <f t="shared" si="10"/>
        <v>57984</v>
      </c>
      <c r="T701" s="166" t="s">
        <v>7705</v>
      </c>
      <c r="U701" s="7" t="s">
        <v>62</v>
      </c>
      <c r="V701" s="162" t="str" cm="1">
        <f t="array" ref="V701">_xlfn.IFS(C701="","",COUNTIF(C701,"ตำแหน่งว่าง*"),"ว่าง",COUNTIF(C701,"&lt;&gt;ตำแหน่งว่าง*"),"คนครอง")</f>
        <v>คนครอง</v>
      </c>
      <c r="W701" s="49" cm="1">
        <f t="array" ref="W701">_xlfn.IFS(COUNTIF(F701,"ผบ.หมู่*"),51,COUNTIF(F701,"รอง สว.*"),43)</f>
        <v>51</v>
      </c>
      <c r="X701" s="62" t="s">
        <v>1426</v>
      </c>
      <c r="Y701" s="62" t="s">
        <v>52</v>
      </c>
    </row>
    <row r="702" spans="1:25" s="36" customFormat="1" ht="21.3" customHeight="1">
      <c r="A702" s="134" t="s">
        <v>157</v>
      </c>
      <c r="B702" s="26" t="s">
        <v>12</v>
      </c>
      <c r="C702" s="136" t="s">
        <v>1428</v>
      </c>
      <c r="D702" s="27" t="s">
        <v>8851</v>
      </c>
      <c r="E702" s="27" t="s">
        <v>8852</v>
      </c>
      <c r="F702" s="27" t="s">
        <v>1280</v>
      </c>
      <c r="G702" s="101" t="s">
        <v>1430</v>
      </c>
      <c r="H702" s="75">
        <v>40063</v>
      </c>
      <c r="I702" s="73">
        <v>42430</v>
      </c>
      <c r="J702" s="73">
        <v>37316</v>
      </c>
      <c r="K702" s="73">
        <v>28258</v>
      </c>
      <c r="L702" s="19" t="s">
        <v>112</v>
      </c>
      <c r="M702" s="3" t="s">
        <v>34</v>
      </c>
      <c r="N702" s="115" t="s">
        <v>14</v>
      </c>
      <c r="O702" s="104" t="s">
        <v>52</v>
      </c>
      <c r="P702" s="104" t="s">
        <v>52</v>
      </c>
      <c r="Q702" s="105"/>
      <c r="R702" s="26" t="s">
        <v>603</v>
      </c>
      <c r="S702" s="225">
        <f t="shared" si="10"/>
        <v>50314</v>
      </c>
      <c r="T702" s="165" t="s">
        <v>7705</v>
      </c>
      <c r="U702" s="7" t="s">
        <v>62</v>
      </c>
      <c r="V702" s="162" t="str" cm="1">
        <f t="array" ref="V702">_xlfn.IFS(C702="","",COUNTIF(C702,"ตำแหน่งว่าง*"),"ว่าง",COUNTIF(C702,"&lt;&gt;ตำแหน่งว่าง*"),"คนครอง")</f>
        <v>คนครอง</v>
      </c>
      <c r="W702" s="49" cm="1">
        <f t="array" ref="W702">_xlfn.IFS(COUNTIF(F702,"ผบ.หมู่*"),51,COUNTIF(F702,"รอง สว.*"),43)</f>
        <v>51</v>
      </c>
      <c r="X702" s="4" t="s">
        <v>1429</v>
      </c>
      <c r="Y702" s="4" t="s">
        <v>52</v>
      </c>
    </row>
    <row r="703" spans="1:25" s="37" customFormat="1" ht="21.3" customHeight="1">
      <c r="A703" s="65" t="s">
        <v>169</v>
      </c>
      <c r="B703" s="66" t="s">
        <v>12</v>
      </c>
      <c r="C703" s="137" t="s">
        <v>1431</v>
      </c>
      <c r="D703" s="27" t="s">
        <v>8853</v>
      </c>
      <c r="E703" s="27" t="s">
        <v>8854</v>
      </c>
      <c r="F703" s="65" t="s">
        <v>1280</v>
      </c>
      <c r="G703" s="101" t="s">
        <v>1433</v>
      </c>
      <c r="H703" s="81">
        <v>44986</v>
      </c>
      <c r="I703" s="77">
        <v>44986</v>
      </c>
      <c r="J703" s="77">
        <v>44986</v>
      </c>
      <c r="K703" s="77">
        <v>35683</v>
      </c>
      <c r="L703" s="64" t="s">
        <v>82</v>
      </c>
      <c r="M703" s="62" t="s">
        <v>81</v>
      </c>
      <c r="N703" s="117" t="s">
        <v>14</v>
      </c>
      <c r="O703" s="104" t="s">
        <v>52</v>
      </c>
      <c r="P703" s="104" t="s">
        <v>52</v>
      </c>
      <c r="Q703" s="107"/>
      <c r="R703" s="66" t="s">
        <v>861</v>
      </c>
      <c r="S703" s="225">
        <f t="shared" si="10"/>
        <v>57619</v>
      </c>
      <c r="T703" s="166" t="s">
        <v>7705</v>
      </c>
      <c r="U703" s="7" t="s">
        <v>62</v>
      </c>
      <c r="V703" s="162" t="str" cm="1">
        <f t="array" ref="V703">_xlfn.IFS(C703="","",COUNTIF(C703,"ตำแหน่งว่าง*"),"ว่าง",COUNTIF(C703,"&lt;&gt;ตำแหน่งว่าง*"),"คนครอง")</f>
        <v>คนครอง</v>
      </c>
      <c r="W703" s="49" cm="1">
        <f t="array" ref="W703">_xlfn.IFS(COUNTIF(F703,"ผบ.หมู่*"),51,COUNTIF(F703,"รอง สว.*"),43)</f>
        <v>51</v>
      </c>
      <c r="X703" s="62" t="s">
        <v>1432</v>
      </c>
      <c r="Y703" s="62" t="s">
        <v>52</v>
      </c>
    </row>
    <row r="704" spans="1:25" s="36" customFormat="1" ht="21.3" customHeight="1">
      <c r="A704" s="134" t="s">
        <v>157</v>
      </c>
      <c r="B704" s="26" t="s">
        <v>12</v>
      </c>
      <c r="C704" s="136" t="s">
        <v>1434</v>
      </c>
      <c r="D704" s="27" t="s">
        <v>8855</v>
      </c>
      <c r="E704" s="27" t="s">
        <v>8856</v>
      </c>
      <c r="F704" s="27" t="s">
        <v>1280</v>
      </c>
      <c r="G704" s="101" t="s">
        <v>1436</v>
      </c>
      <c r="H704" s="75">
        <v>40063</v>
      </c>
      <c r="I704" s="73">
        <v>42430</v>
      </c>
      <c r="J704" s="73">
        <v>37316</v>
      </c>
      <c r="K704" s="73">
        <v>28571</v>
      </c>
      <c r="L704" s="19" t="s">
        <v>1437</v>
      </c>
      <c r="M704" s="3" t="s">
        <v>46</v>
      </c>
      <c r="N704" s="115" t="s">
        <v>14</v>
      </c>
      <c r="O704" s="104" t="s">
        <v>52</v>
      </c>
      <c r="P704" s="104" t="s">
        <v>52</v>
      </c>
      <c r="Q704" s="105"/>
      <c r="R704" s="26" t="s">
        <v>603</v>
      </c>
      <c r="S704" s="225">
        <f t="shared" si="10"/>
        <v>50679</v>
      </c>
      <c r="T704" s="165" t="s">
        <v>7705</v>
      </c>
      <c r="U704" s="7" t="s">
        <v>62</v>
      </c>
      <c r="V704" s="162" t="str" cm="1">
        <f t="array" ref="V704">_xlfn.IFS(C704="","",COUNTIF(C704,"ตำแหน่งว่าง*"),"ว่าง",COUNTIF(C704,"&lt;&gt;ตำแหน่งว่าง*"),"คนครอง")</f>
        <v>คนครอง</v>
      </c>
      <c r="W704" s="49" cm="1">
        <f t="array" ref="W704">_xlfn.IFS(COUNTIF(F704,"ผบ.หมู่*"),51,COUNTIF(F704,"รอง สว.*"),43)</f>
        <v>51</v>
      </c>
      <c r="X704" s="4" t="s">
        <v>1435</v>
      </c>
      <c r="Y704" s="4" t="s">
        <v>52</v>
      </c>
    </row>
    <row r="705" spans="1:25" s="37" customFormat="1" ht="21.3" customHeight="1">
      <c r="A705" s="65" t="s">
        <v>169</v>
      </c>
      <c r="B705" s="66" t="s">
        <v>12</v>
      </c>
      <c r="C705" s="137" t="s">
        <v>1438</v>
      </c>
      <c r="D705" s="27" t="s">
        <v>7969</v>
      </c>
      <c r="E705" s="27" t="s">
        <v>8857</v>
      </c>
      <c r="F705" s="65" t="s">
        <v>1280</v>
      </c>
      <c r="G705" s="101" t="s">
        <v>1440</v>
      </c>
      <c r="H705" s="81">
        <v>44986</v>
      </c>
      <c r="I705" s="77">
        <v>44986</v>
      </c>
      <c r="J705" s="77">
        <v>44986</v>
      </c>
      <c r="K705" s="77">
        <v>34945</v>
      </c>
      <c r="L705" s="64" t="s">
        <v>82</v>
      </c>
      <c r="M705" s="62" t="s">
        <v>98</v>
      </c>
      <c r="N705" s="117" t="s">
        <v>14</v>
      </c>
      <c r="O705" s="104" t="s">
        <v>52</v>
      </c>
      <c r="P705" s="104" t="s">
        <v>52</v>
      </c>
      <c r="Q705" s="107"/>
      <c r="R705" s="66" t="s">
        <v>861</v>
      </c>
      <c r="S705" s="225">
        <f t="shared" si="10"/>
        <v>56888</v>
      </c>
      <c r="T705" s="166" t="s">
        <v>7705</v>
      </c>
      <c r="U705" s="7" t="s">
        <v>62</v>
      </c>
      <c r="V705" s="162" t="str" cm="1">
        <f t="array" ref="V705">_xlfn.IFS(C705="","",COUNTIF(C705,"ตำแหน่งว่าง*"),"ว่าง",COUNTIF(C705,"&lt;&gt;ตำแหน่งว่าง*"),"คนครอง")</f>
        <v>คนครอง</v>
      </c>
      <c r="W705" s="49" cm="1">
        <f t="array" ref="W705">_xlfn.IFS(COUNTIF(F705,"ผบ.หมู่*"),51,COUNTIF(F705,"รอง สว.*"),43)</f>
        <v>51</v>
      </c>
      <c r="X705" s="62" t="s">
        <v>1439</v>
      </c>
      <c r="Y705" s="62" t="s">
        <v>52</v>
      </c>
    </row>
    <row r="706" spans="1:25" s="37" customFormat="1" ht="21.3" customHeight="1">
      <c r="A706" s="65" t="s">
        <v>169</v>
      </c>
      <c r="B706" s="66" t="s">
        <v>12</v>
      </c>
      <c r="C706" s="137" t="s">
        <v>1441</v>
      </c>
      <c r="D706" s="27" t="s">
        <v>8858</v>
      </c>
      <c r="E706" s="27" t="s">
        <v>8859</v>
      </c>
      <c r="F706" s="65" t="s">
        <v>1280</v>
      </c>
      <c r="G706" s="101" t="s">
        <v>1443</v>
      </c>
      <c r="H706" s="81">
        <v>44986</v>
      </c>
      <c r="I706" s="77">
        <v>44986</v>
      </c>
      <c r="J706" s="77">
        <v>44986</v>
      </c>
      <c r="K706" s="77">
        <v>32903</v>
      </c>
      <c r="L706" s="64" t="s">
        <v>82</v>
      </c>
      <c r="M706" s="62" t="s">
        <v>57</v>
      </c>
      <c r="N706" s="117" t="s">
        <v>14</v>
      </c>
      <c r="O706" s="104" t="s">
        <v>52</v>
      </c>
      <c r="P706" s="104" t="s">
        <v>52</v>
      </c>
      <c r="Q706" s="107"/>
      <c r="R706" s="66" t="s">
        <v>861</v>
      </c>
      <c r="S706" s="225">
        <f t="shared" ref="S706:S769" si="11">IF(K706&lt;&gt;"",DATE(YEAR(K706)+60+(K706&gt;=DATE(YEAR(K706),10,2)),10,1),"")</f>
        <v>55062</v>
      </c>
      <c r="T706" s="166" t="s">
        <v>7705</v>
      </c>
      <c r="U706" s="7" t="s">
        <v>62</v>
      </c>
      <c r="V706" s="162" t="str" cm="1">
        <f t="array" ref="V706">_xlfn.IFS(C706="","",COUNTIF(C706,"ตำแหน่งว่าง*"),"ว่าง",COUNTIF(C706,"&lt;&gt;ตำแหน่งว่าง*"),"คนครอง")</f>
        <v>คนครอง</v>
      </c>
      <c r="W706" s="49" cm="1">
        <f t="array" ref="W706">_xlfn.IFS(COUNTIF(F706,"ผบ.หมู่*"),51,COUNTIF(F706,"รอง สว.*"),43)</f>
        <v>51</v>
      </c>
      <c r="X706" s="62" t="s">
        <v>1442</v>
      </c>
      <c r="Y706" s="62" t="s">
        <v>52</v>
      </c>
    </row>
    <row r="707" spans="1:25" s="37" customFormat="1" ht="21.3" customHeight="1">
      <c r="A707" s="68"/>
      <c r="B707" s="30"/>
      <c r="C707" s="94" t="s">
        <v>18</v>
      </c>
      <c r="D707" s="27"/>
      <c r="E707" s="27"/>
      <c r="F707" s="68" t="s">
        <v>1280</v>
      </c>
      <c r="G707" s="121" t="s">
        <v>1445</v>
      </c>
      <c r="H707" s="80"/>
      <c r="I707" s="74"/>
      <c r="J707" s="74"/>
      <c r="K707" s="74"/>
      <c r="L707" s="44"/>
      <c r="M707" s="8"/>
      <c r="N707" s="172" t="s">
        <v>14</v>
      </c>
      <c r="O707" s="122" t="s">
        <v>52</v>
      </c>
      <c r="P707" s="122" t="s">
        <v>52</v>
      </c>
      <c r="Q707" s="106"/>
      <c r="R707" s="30"/>
      <c r="S707" s="225" t="str">
        <f t="shared" si="11"/>
        <v/>
      </c>
      <c r="T707" s="166" t="s">
        <v>7705</v>
      </c>
      <c r="U707" s="7" t="s">
        <v>62</v>
      </c>
      <c r="V707" s="171" t="str" cm="1">
        <f t="array" ref="V707">_xlfn.IFS(C707="","",COUNTIF(C707,"ตำแหน่งว่าง*"),"ว่าง",COUNTIF(C707,"&lt;&gt;ตำแหน่งว่าง*"),"คนครอง")</f>
        <v>ว่าง</v>
      </c>
      <c r="W707" s="49" cm="1">
        <f t="array" ref="W707">_xlfn.IFS(COUNTIF(F707,"ผบ.หมู่*"),51,COUNTIF(F707,"รอง สว.*"),43)</f>
        <v>51</v>
      </c>
      <c r="X707" s="62" t="s">
        <v>1444</v>
      </c>
      <c r="Y707" s="62" t="s">
        <v>52</v>
      </c>
    </row>
    <row r="708" spans="1:25" s="37" customFormat="1" ht="21.3" customHeight="1">
      <c r="A708" s="65" t="s">
        <v>169</v>
      </c>
      <c r="B708" s="66" t="s">
        <v>12</v>
      </c>
      <c r="C708" s="137" t="s">
        <v>1446</v>
      </c>
      <c r="D708" s="27" t="s">
        <v>8273</v>
      </c>
      <c r="E708" s="27" t="s">
        <v>8006</v>
      </c>
      <c r="F708" s="65" t="s">
        <v>1280</v>
      </c>
      <c r="G708" s="101" t="s">
        <v>1448</v>
      </c>
      <c r="H708" s="81">
        <v>44986</v>
      </c>
      <c r="I708" s="77">
        <v>44986</v>
      </c>
      <c r="J708" s="77">
        <v>44986</v>
      </c>
      <c r="K708" s="77">
        <v>36661</v>
      </c>
      <c r="L708" s="64" t="s">
        <v>82</v>
      </c>
      <c r="M708" s="62" t="s">
        <v>23</v>
      </c>
      <c r="N708" s="117" t="s">
        <v>14</v>
      </c>
      <c r="O708" s="104" t="s">
        <v>52</v>
      </c>
      <c r="P708" s="104" t="s">
        <v>52</v>
      </c>
      <c r="Q708" s="107"/>
      <c r="R708" s="66" t="s">
        <v>861</v>
      </c>
      <c r="S708" s="225">
        <f t="shared" si="11"/>
        <v>58715</v>
      </c>
      <c r="T708" s="166" t="s">
        <v>7705</v>
      </c>
      <c r="U708" s="7" t="s">
        <v>62</v>
      </c>
      <c r="V708" s="162" t="str" cm="1">
        <f t="array" ref="V708">_xlfn.IFS(C708="","",COUNTIF(C708,"ตำแหน่งว่าง*"),"ว่าง",COUNTIF(C708,"&lt;&gt;ตำแหน่งว่าง*"),"คนครอง")</f>
        <v>คนครอง</v>
      </c>
      <c r="W708" s="49" cm="1">
        <f t="array" ref="W708">_xlfn.IFS(COUNTIF(F708,"ผบ.หมู่*"),51,COUNTIF(F708,"รอง สว.*"),43)</f>
        <v>51</v>
      </c>
      <c r="X708" s="62" t="s">
        <v>1447</v>
      </c>
      <c r="Y708" s="62" t="s">
        <v>52</v>
      </c>
    </row>
    <row r="709" spans="1:25" s="37" customFormat="1" ht="21.3" customHeight="1">
      <c r="A709" s="65" t="s">
        <v>169</v>
      </c>
      <c r="B709" s="66" t="s">
        <v>12</v>
      </c>
      <c r="C709" s="137" t="s">
        <v>1449</v>
      </c>
      <c r="D709" s="27" t="s">
        <v>7995</v>
      </c>
      <c r="E709" s="27" t="s">
        <v>8860</v>
      </c>
      <c r="F709" s="65" t="s">
        <v>1280</v>
      </c>
      <c r="G709" s="101" t="s">
        <v>1451</v>
      </c>
      <c r="H709" s="81">
        <v>44986</v>
      </c>
      <c r="I709" s="77">
        <v>44986</v>
      </c>
      <c r="J709" s="77">
        <v>44986</v>
      </c>
      <c r="K709" s="77">
        <v>33640</v>
      </c>
      <c r="L709" s="64" t="s">
        <v>82</v>
      </c>
      <c r="M709" s="62" t="s">
        <v>80</v>
      </c>
      <c r="N709" s="117" t="s">
        <v>14</v>
      </c>
      <c r="O709" s="104" t="s">
        <v>52</v>
      </c>
      <c r="P709" s="104" t="s">
        <v>52</v>
      </c>
      <c r="Q709" s="107"/>
      <c r="R709" s="66" t="s">
        <v>861</v>
      </c>
      <c r="S709" s="225">
        <f t="shared" si="11"/>
        <v>55793</v>
      </c>
      <c r="T709" s="166" t="s">
        <v>7705</v>
      </c>
      <c r="U709" s="7" t="s">
        <v>62</v>
      </c>
      <c r="V709" s="162" t="str" cm="1">
        <f t="array" ref="V709">_xlfn.IFS(C709="","",COUNTIF(C709,"ตำแหน่งว่าง*"),"ว่าง",COUNTIF(C709,"&lt;&gt;ตำแหน่งว่าง*"),"คนครอง")</f>
        <v>คนครอง</v>
      </c>
      <c r="W709" s="49" cm="1">
        <f t="array" ref="W709">_xlfn.IFS(COUNTIF(F709,"ผบ.หมู่*"),51,COUNTIF(F709,"รอง สว.*"),43)</f>
        <v>51</v>
      </c>
      <c r="X709" s="62" t="s">
        <v>1450</v>
      </c>
      <c r="Y709" s="62" t="s">
        <v>52</v>
      </c>
    </row>
    <row r="710" spans="1:25" s="38" customFormat="1" ht="21.3" customHeight="1">
      <c r="A710" s="134" t="s">
        <v>157</v>
      </c>
      <c r="B710" s="26" t="s">
        <v>21</v>
      </c>
      <c r="C710" s="134" t="s">
        <v>1452</v>
      </c>
      <c r="D710" s="27" t="s">
        <v>8861</v>
      </c>
      <c r="E710" s="27" t="s">
        <v>8862</v>
      </c>
      <c r="F710" s="27" t="s">
        <v>1280</v>
      </c>
      <c r="G710" s="101" t="s">
        <v>1454</v>
      </c>
      <c r="H710" s="75">
        <v>40063</v>
      </c>
      <c r="I710" s="73">
        <v>42430</v>
      </c>
      <c r="J710" s="73">
        <v>37316</v>
      </c>
      <c r="K710" s="73">
        <v>29512</v>
      </c>
      <c r="L710" s="19" t="s">
        <v>1455</v>
      </c>
      <c r="M710" s="3" t="s">
        <v>50</v>
      </c>
      <c r="N710" s="116" t="s">
        <v>14</v>
      </c>
      <c r="O710" s="104" t="s">
        <v>52</v>
      </c>
      <c r="P710" s="104" t="s">
        <v>52</v>
      </c>
      <c r="Q710" s="105"/>
      <c r="R710" s="26" t="s">
        <v>603</v>
      </c>
      <c r="S710" s="225">
        <f t="shared" si="11"/>
        <v>51775</v>
      </c>
      <c r="T710" s="15" t="s">
        <v>7705</v>
      </c>
      <c r="U710" s="7" t="s">
        <v>62</v>
      </c>
      <c r="V710" s="162" t="str" cm="1">
        <f t="array" ref="V710">_xlfn.IFS(C710="","",COUNTIF(C710,"ตำแหน่งว่าง*"),"ว่าง",COUNTIF(C710,"&lt;&gt;ตำแหน่งว่าง*"),"คนครอง")</f>
        <v>คนครอง</v>
      </c>
      <c r="W710" s="49" cm="1">
        <f t="array" ref="W710">_xlfn.IFS(COUNTIF(F710,"ผบ.หมู่*"),51,COUNTIF(F710,"รอง สว.*"),43)</f>
        <v>51</v>
      </c>
      <c r="X710" s="3" t="s">
        <v>1453</v>
      </c>
      <c r="Y710" s="3" t="s">
        <v>52</v>
      </c>
    </row>
    <row r="711" spans="1:25" s="37" customFormat="1" ht="21.3" customHeight="1">
      <c r="A711" s="65" t="s">
        <v>169</v>
      </c>
      <c r="B711" s="66" t="s">
        <v>12</v>
      </c>
      <c r="C711" s="137" t="s">
        <v>1456</v>
      </c>
      <c r="D711" s="27" t="s">
        <v>8863</v>
      </c>
      <c r="E711" s="27" t="s">
        <v>8864</v>
      </c>
      <c r="F711" s="65" t="s">
        <v>1280</v>
      </c>
      <c r="G711" s="101" t="s">
        <v>1458</v>
      </c>
      <c r="H711" s="81">
        <v>44986</v>
      </c>
      <c r="I711" s="77">
        <v>44986</v>
      </c>
      <c r="J711" s="77">
        <v>44986</v>
      </c>
      <c r="K711" s="77">
        <v>33679</v>
      </c>
      <c r="L711" s="64" t="s">
        <v>112</v>
      </c>
      <c r="M711" s="62" t="s">
        <v>47</v>
      </c>
      <c r="N711" s="117" t="s">
        <v>14</v>
      </c>
      <c r="O711" s="104" t="s">
        <v>52</v>
      </c>
      <c r="P711" s="104" t="s">
        <v>52</v>
      </c>
      <c r="Q711" s="107"/>
      <c r="R711" s="66" t="s">
        <v>861</v>
      </c>
      <c r="S711" s="225">
        <f t="shared" si="11"/>
        <v>55793</v>
      </c>
      <c r="T711" s="166" t="s">
        <v>7705</v>
      </c>
      <c r="U711" s="7" t="s">
        <v>62</v>
      </c>
      <c r="V711" s="162" t="str" cm="1">
        <f t="array" ref="V711">_xlfn.IFS(C711="","",COUNTIF(C711,"ตำแหน่งว่าง*"),"ว่าง",COUNTIF(C711,"&lt;&gt;ตำแหน่งว่าง*"),"คนครอง")</f>
        <v>คนครอง</v>
      </c>
      <c r="W711" s="49" cm="1">
        <f t="array" ref="W711">_xlfn.IFS(COUNTIF(F711,"ผบ.หมู่*"),51,COUNTIF(F711,"รอง สว.*"),43)</f>
        <v>51</v>
      </c>
      <c r="X711" s="62" t="s">
        <v>1457</v>
      </c>
      <c r="Y711" s="62" t="s">
        <v>52</v>
      </c>
    </row>
    <row r="712" spans="1:25" s="37" customFormat="1" ht="21.3" customHeight="1">
      <c r="A712" s="65" t="s">
        <v>169</v>
      </c>
      <c r="B712" s="66" t="s">
        <v>12</v>
      </c>
      <c r="C712" s="137" t="s">
        <v>1459</v>
      </c>
      <c r="D712" s="27" t="s">
        <v>8865</v>
      </c>
      <c r="E712" s="27" t="s">
        <v>8866</v>
      </c>
      <c r="F712" s="65" t="s">
        <v>1280</v>
      </c>
      <c r="G712" s="101" t="s">
        <v>1461</v>
      </c>
      <c r="H712" s="81">
        <v>44986</v>
      </c>
      <c r="I712" s="77">
        <v>44986</v>
      </c>
      <c r="J712" s="77">
        <v>44986</v>
      </c>
      <c r="K712" s="77">
        <v>34795</v>
      </c>
      <c r="L712" s="64" t="s">
        <v>82</v>
      </c>
      <c r="M712" s="62" t="s">
        <v>140</v>
      </c>
      <c r="N712" s="117" t="s">
        <v>14</v>
      </c>
      <c r="O712" s="104" t="s">
        <v>52</v>
      </c>
      <c r="P712" s="104" t="s">
        <v>52</v>
      </c>
      <c r="Q712" s="107"/>
      <c r="R712" s="66" t="s">
        <v>861</v>
      </c>
      <c r="S712" s="225">
        <f t="shared" si="11"/>
        <v>56888</v>
      </c>
      <c r="T712" s="166" t="s">
        <v>7705</v>
      </c>
      <c r="U712" s="7" t="s">
        <v>62</v>
      </c>
      <c r="V712" s="162" t="str" cm="1">
        <f t="array" ref="V712">_xlfn.IFS(C712="","",COUNTIF(C712,"ตำแหน่งว่าง*"),"ว่าง",COUNTIF(C712,"&lt;&gt;ตำแหน่งว่าง*"),"คนครอง")</f>
        <v>คนครอง</v>
      </c>
      <c r="W712" s="49" cm="1">
        <f t="array" ref="W712">_xlfn.IFS(COUNTIF(F712,"ผบ.หมู่*"),51,COUNTIF(F712,"รอง สว.*"),43)</f>
        <v>51</v>
      </c>
      <c r="X712" s="62" t="s">
        <v>1460</v>
      </c>
      <c r="Y712" s="62" t="s">
        <v>52</v>
      </c>
    </row>
    <row r="713" spans="1:25" s="37" customFormat="1" ht="21.3" customHeight="1">
      <c r="A713" s="65" t="s">
        <v>169</v>
      </c>
      <c r="B713" s="66" t="s">
        <v>12</v>
      </c>
      <c r="C713" s="137" t="s">
        <v>1462</v>
      </c>
      <c r="D713" s="27" t="s">
        <v>8865</v>
      </c>
      <c r="E713" s="27" t="s">
        <v>8326</v>
      </c>
      <c r="F713" s="65" t="s">
        <v>1280</v>
      </c>
      <c r="G713" s="101" t="s">
        <v>1464</v>
      </c>
      <c r="H713" s="81">
        <v>44986</v>
      </c>
      <c r="I713" s="77">
        <v>44986</v>
      </c>
      <c r="J713" s="77">
        <v>44986</v>
      </c>
      <c r="K713" s="77">
        <v>34886</v>
      </c>
      <c r="L713" s="64" t="s">
        <v>82</v>
      </c>
      <c r="M713" s="62" t="s">
        <v>56</v>
      </c>
      <c r="N713" s="117" t="s">
        <v>14</v>
      </c>
      <c r="O713" s="104" t="s">
        <v>52</v>
      </c>
      <c r="P713" s="104" t="s">
        <v>52</v>
      </c>
      <c r="Q713" s="107"/>
      <c r="R713" s="66" t="s">
        <v>861</v>
      </c>
      <c r="S713" s="225">
        <f t="shared" si="11"/>
        <v>56888</v>
      </c>
      <c r="T713" s="166" t="s">
        <v>7705</v>
      </c>
      <c r="U713" s="7" t="s">
        <v>62</v>
      </c>
      <c r="V713" s="162" t="str" cm="1">
        <f t="array" ref="V713">_xlfn.IFS(C713="","",COUNTIF(C713,"ตำแหน่งว่าง*"),"ว่าง",COUNTIF(C713,"&lt;&gt;ตำแหน่งว่าง*"),"คนครอง")</f>
        <v>คนครอง</v>
      </c>
      <c r="W713" s="49" cm="1">
        <f t="array" ref="W713">_xlfn.IFS(COUNTIF(F713,"ผบ.หมู่*"),51,COUNTIF(F713,"รอง สว.*"),43)</f>
        <v>51</v>
      </c>
      <c r="X713" s="62" t="s">
        <v>1463</v>
      </c>
      <c r="Y713" s="62" t="s">
        <v>52</v>
      </c>
    </row>
    <row r="714" spans="1:25" s="37" customFormat="1" ht="21.3" customHeight="1">
      <c r="A714" s="65" t="s">
        <v>169</v>
      </c>
      <c r="B714" s="66" t="s">
        <v>12</v>
      </c>
      <c r="C714" s="137" t="s">
        <v>1465</v>
      </c>
      <c r="D714" s="27" t="s">
        <v>8867</v>
      </c>
      <c r="E714" s="27" t="s">
        <v>8868</v>
      </c>
      <c r="F714" s="65" t="s">
        <v>1280</v>
      </c>
      <c r="G714" s="101" t="s">
        <v>1467</v>
      </c>
      <c r="H714" s="81">
        <v>44986</v>
      </c>
      <c r="I714" s="77">
        <v>44986</v>
      </c>
      <c r="J714" s="77">
        <v>44986</v>
      </c>
      <c r="K714" s="77">
        <v>33949</v>
      </c>
      <c r="L714" s="64" t="s">
        <v>82</v>
      </c>
      <c r="M714" s="62" t="s">
        <v>36</v>
      </c>
      <c r="N714" s="117" t="s">
        <v>14</v>
      </c>
      <c r="O714" s="104" t="s">
        <v>52</v>
      </c>
      <c r="P714" s="104" t="s">
        <v>52</v>
      </c>
      <c r="Q714" s="107"/>
      <c r="R714" s="66" t="s">
        <v>861</v>
      </c>
      <c r="S714" s="225">
        <f t="shared" si="11"/>
        <v>56158</v>
      </c>
      <c r="T714" s="166" t="s">
        <v>7705</v>
      </c>
      <c r="U714" s="7" t="s">
        <v>62</v>
      </c>
      <c r="V714" s="162" t="str" cm="1">
        <f t="array" ref="V714">_xlfn.IFS(C714="","",COUNTIF(C714,"ตำแหน่งว่าง*"),"ว่าง",COUNTIF(C714,"&lt;&gt;ตำแหน่งว่าง*"),"คนครอง")</f>
        <v>คนครอง</v>
      </c>
      <c r="W714" s="49" cm="1">
        <f t="array" ref="W714">_xlfn.IFS(COUNTIF(F714,"ผบ.หมู่*"),51,COUNTIF(F714,"รอง สว.*"),43)</f>
        <v>51</v>
      </c>
      <c r="X714" s="62" t="s">
        <v>1466</v>
      </c>
      <c r="Y714" s="62" t="s">
        <v>52</v>
      </c>
    </row>
    <row r="715" spans="1:25" s="37" customFormat="1" ht="21.3" customHeight="1">
      <c r="A715" s="65" t="s">
        <v>169</v>
      </c>
      <c r="B715" s="66" t="s">
        <v>12</v>
      </c>
      <c r="C715" s="137" t="s">
        <v>1468</v>
      </c>
      <c r="D715" s="27" t="s">
        <v>8869</v>
      </c>
      <c r="E715" s="27" t="s">
        <v>8870</v>
      </c>
      <c r="F715" s="65" t="s">
        <v>1280</v>
      </c>
      <c r="G715" s="101" t="s">
        <v>1470</v>
      </c>
      <c r="H715" s="81">
        <v>44986</v>
      </c>
      <c r="I715" s="77">
        <v>44986</v>
      </c>
      <c r="J715" s="77">
        <v>44986</v>
      </c>
      <c r="K715" s="77">
        <v>36616</v>
      </c>
      <c r="L715" s="64" t="s">
        <v>82</v>
      </c>
      <c r="M715" s="62" t="s">
        <v>70</v>
      </c>
      <c r="N715" s="117" t="s">
        <v>14</v>
      </c>
      <c r="O715" s="104" t="s">
        <v>52</v>
      </c>
      <c r="P715" s="104" t="s">
        <v>52</v>
      </c>
      <c r="Q715" s="107"/>
      <c r="R715" s="66" t="s">
        <v>861</v>
      </c>
      <c r="S715" s="225">
        <f t="shared" si="11"/>
        <v>58715</v>
      </c>
      <c r="T715" s="166" t="s">
        <v>7705</v>
      </c>
      <c r="U715" s="7" t="s">
        <v>62</v>
      </c>
      <c r="V715" s="162" t="str" cm="1">
        <f t="array" ref="V715">_xlfn.IFS(C715="","",COUNTIF(C715,"ตำแหน่งว่าง*"),"ว่าง",COUNTIF(C715,"&lt;&gt;ตำแหน่งว่าง*"),"คนครอง")</f>
        <v>คนครอง</v>
      </c>
      <c r="W715" s="49" cm="1">
        <f t="array" ref="W715">_xlfn.IFS(COUNTIF(F715,"ผบ.หมู่*"),51,COUNTIF(F715,"รอง สว.*"),43)</f>
        <v>51</v>
      </c>
      <c r="X715" s="62" t="s">
        <v>1469</v>
      </c>
      <c r="Y715" s="62" t="s">
        <v>52</v>
      </c>
    </row>
    <row r="716" spans="1:25" s="37" customFormat="1" ht="21.3" customHeight="1">
      <c r="A716" s="65" t="s">
        <v>169</v>
      </c>
      <c r="B716" s="66" t="s">
        <v>12</v>
      </c>
      <c r="C716" s="137" t="s">
        <v>1471</v>
      </c>
      <c r="D716" s="27" t="s">
        <v>8871</v>
      </c>
      <c r="E716" s="27" t="s">
        <v>8872</v>
      </c>
      <c r="F716" s="65" t="s">
        <v>1280</v>
      </c>
      <c r="G716" s="101" t="s">
        <v>1473</v>
      </c>
      <c r="H716" s="81">
        <v>44986</v>
      </c>
      <c r="I716" s="77">
        <v>44986</v>
      </c>
      <c r="J716" s="77">
        <v>44986</v>
      </c>
      <c r="K716" s="77">
        <v>34928</v>
      </c>
      <c r="L716" s="64" t="s">
        <v>82</v>
      </c>
      <c r="M716" s="62" t="s">
        <v>123</v>
      </c>
      <c r="N716" s="117" t="s">
        <v>14</v>
      </c>
      <c r="O716" s="104" t="s">
        <v>52</v>
      </c>
      <c r="P716" s="104" t="s">
        <v>52</v>
      </c>
      <c r="Q716" s="107"/>
      <c r="R716" s="66" t="s">
        <v>861</v>
      </c>
      <c r="S716" s="225">
        <f t="shared" si="11"/>
        <v>56888</v>
      </c>
      <c r="T716" s="166" t="s">
        <v>7705</v>
      </c>
      <c r="U716" s="7" t="s">
        <v>62</v>
      </c>
      <c r="V716" s="162" t="str" cm="1">
        <f t="array" ref="V716">_xlfn.IFS(C716="","",COUNTIF(C716,"ตำแหน่งว่าง*"),"ว่าง",COUNTIF(C716,"&lt;&gt;ตำแหน่งว่าง*"),"คนครอง")</f>
        <v>คนครอง</v>
      </c>
      <c r="W716" s="49" cm="1">
        <f t="array" ref="W716">_xlfn.IFS(COUNTIF(F716,"ผบ.หมู่*"),51,COUNTIF(F716,"รอง สว.*"),43)</f>
        <v>51</v>
      </c>
      <c r="X716" s="62" t="s">
        <v>1472</v>
      </c>
      <c r="Y716" s="62" t="s">
        <v>52</v>
      </c>
    </row>
    <row r="717" spans="1:25" s="38" customFormat="1" ht="21.3" customHeight="1">
      <c r="A717" s="134" t="s">
        <v>157</v>
      </c>
      <c r="B717" s="26" t="s">
        <v>21</v>
      </c>
      <c r="C717" s="134" t="s">
        <v>1474</v>
      </c>
      <c r="D717" s="27" t="s">
        <v>7970</v>
      </c>
      <c r="E717" s="27" t="s">
        <v>7979</v>
      </c>
      <c r="F717" s="27" t="s">
        <v>1280</v>
      </c>
      <c r="G717" s="101" t="s">
        <v>1476</v>
      </c>
      <c r="H717" s="75">
        <v>40063</v>
      </c>
      <c r="I717" s="73">
        <v>42430</v>
      </c>
      <c r="J717" s="73">
        <v>37316</v>
      </c>
      <c r="K717" s="73">
        <v>30075</v>
      </c>
      <c r="L717" s="19" t="s">
        <v>1477</v>
      </c>
      <c r="M717" s="3" t="s">
        <v>592</v>
      </c>
      <c r="N717" s="116" t="s">
        <v>14</v>
      </c>
      <c r="O717" s="104" t="s">
        <v>52</v>
      </c>
      <c r="P717" s="104" t="s">
        <v>52</v>
      </c>
      <c r="Q717" s="105"/>
      <c r="R717" s="26" t="s">
        <v>603</v>
      </c>
      <c r="S717" s="225">
        <f t="shared" si="11"/>
        <v>52140</v>
      </c>
      <c r="T717" s="15" t="s">
        <v>7705</v>
      </c>
      <c r="U717" s="7" t="s">
        <v>62</v>
      </c>
      <c r="V717" s="162" t="str" cm="1">
        <f t="array" ref="V717">_xlfn.IFS(C717="","",COUNTIF(C717,"ตำแหน่งว่าง*"),"ว่าง",COUNTIF(C717,"&lt;&gt;ตำแหน่งว่าง*"),"คนครอง")</f>
        <v>คนครอง</v>
      </c>
      <c r="W717" s="49" cm="1">
        <f t="array" ref="W717">_xlfn.IFS(COUNTIF(F717,"ผบ.หมู่*"),51,COUNTIF(F717,"รอง สว.*"),43)</f>
        <v>51</v>
      </c>
      <c r="X717" s="3" t="s">
        <v>1475</v>
      </c>
      <c r="Y717" s="3" t="s">
        <v>52</v>
      </c>
    </row>
    <row r="718" spans="1:25" s="37" customFormat="1" ht="21.3" customHeight="1">
      <c r="A718" s="65" t="s">
        <v>169</v>
      </c>
      <c r="B718" s="66" t="s">
        <v>12</v>
      </c>
      <c r="C718" s="137" t="s">
        <v>1478</v>
      </c>
      <c r="D718" s="27" t="s">
        <v>8012</v>
      </c>
      <c r="E718" s="27" t="s">
        <v>8873</v>
      </c>
      <c r="F718" s="65" t="s">
        <v>1280</v>
      </c>
      <c r="G718" s="101" t="s">
        <v>1480</v>
      </c>
      <c r="H718" s="81">
        <v>44986</v>
      </c>
      <c r="I718" s="77">
        <v>44986</v>
      </c>
      <c r="J718" s="77">
        <v>44986</v>
      </c>
      <c r="K718" s="77">
        <v>37692</v>
      </c>
      <c r="L718" s="64" t="s">
        <v>82</v>
      </c>
      <c r="M718" s="62" t="s">
        <v>15</v>
      </c>
      <c r="N718" s="117" t="s">
        <v>14</v>
      </c>
      <c r="O718" s="104" t="s">
        <v>52</v>
      </c>
      <c r="P718" s="104" t="s">
        <v>52</v>
      </c>
      <c r="Q718" s="107"/>
      <c r="R718" s="66" t="s">
        <v>861</v>
      </c>
      <c r="S718" s="225">
        <f t="shared" si="11"/>
        <v>59810</v>
      </c>
      <c r="T718" s="166" t="s">
        <v>7705</v>
      </c>
      <c r="U718" s="7" t="s">
        <v>62</v>
      </c>
      <c r="V718" s="162" t="str" cm="1">
        <f t="array" ref="V718">_xlfn.IFS(C718="","",COUNTIF(C718,"ตำแหน่งว่าง*"),"ว่าง",COUNTIF(C718,"&lt;&gt;ตำแหน่งว่าง*"),"คนครอง")</f>
        <v>คนครอง</v>
      </c>
      <c r="W718" s="49" cm="1">
        <f t="array" ref="W718">_xlfn.IFS(COUNTIF(F718,"ผบ.หมู่*"),51,COUNTIF(F718,"รอง สว.*"),43)</f>
        <v>51</v>
      </c>
      <c r="X718" s="62" t="s">
        <v>1479</v>
      </c>
      <c r="Y718" s="62" t="s">
        <v>52</v>
      </c>
    </row>
    <row r="719" spans="1:25" s="37" customFormat="1" ht="21.3" customHeight="1">
      <c r="A719" s="65" t="s">
        <v>169</v>
      </c>
      <c r="B719" s="66" t="s">
        <v>12</v>
      </c>
      <c r="C719" s="137" t="s">
        <v>1481</v>
      </c>
      <c r="D719" s="27" t="s">
        <v>8874</v>
      </c>
      <c r="E719" s="27" t="s">
        <v>8875</v>
      </c>
      <c r="F719" s="65" t="s">
        <v>1280</v>
      </c>
      <c r="G719" s="101" t="s">
        <v>1483</v>
      </c>
      <c r="H719" s="81">
        <v>44986</v>
      </c>
      <c r="I719" s="77">
        <v>44986</v>
      </c>
      <c r="J719" s="77">
        <v>44986</v>
      </c>
      <c r="K719" s="77">
        <v>36436</v>
      </c>
      <c r="L719" s="64" t="s">
        <v>112</v>
      </c>
      <c r="M719" s="62" t="s">
        <v>50</v>
      </c>
      <c r="N719" s="117" t="s">
        <v>14</v>
      </c>
      <c r="O719" s="104" t="s">
        <v>52</v>
      </c>
      <c r="P719" s="104" t="s">
        <v>52</v>
      </c>
      <c r="Q719" s="107"/>
      <c r="R719" s="66" t="s">
        <v>861</v>
      </c>
      <c r="S719" s="225">
        <f t="shared" si="11"/>
        <v>58715</v>
      </c>
      <c r="T719" s="166" t="s">
        <v>7705</v>
      </c>
      <c r="U719" s="7" t="s">
        <v>62</v>
      </c>
      <c r="V719" s="162" t="str" cm="1">
        <f t="array" ref="V719">_xlfn.IFS(C719="","",COUNTIF(C719,"ตำแหน่งว่าง*"),"ว่าง",COUNTIF(C719,"&lt;&gt;ตำแหน่งว่าง*"),"คนครอง")</f>
        <v>คนครอง</v>
      </c>
      <c r="W719" s="49" cm="1">
        <f t="array" ref="W719">_xlfn.IFS(COUNTIF(F719,"ผบ.หมู่*"),51,COUNTIF(F719,"รอง สว.*"),43)</f>
        <v>51</v>
      </c>
      <c r="X719" s="62" t="s">
        <v>1482</v>
      </c>
      <c r="Y719" s="62" t="s">
        <v>52</v>
      </c>
    </row>
    <row r="720" spans="1:25" s="37" customFormat="1" ht="21.3" customHeight="1">
      <c r="A720" s="65" t="s">
        <v>169</v>
      </c>
      <c r="B720" s="66" t="s">
        <v>12</v>
      </c>
      <c r="C720" s="137" t="s">
        <v>1484</v>
      </c>
      <c r="D720" s="27" t="s">
        <v>8005</v>
      </c>
      <c r="E720" s="27" t="s">
        <v>8876</v>
      </c>
      <c r="F720" s="65" t="s">
        <v>1280</v>
      </c>
      <c r="G720" s="101" t="s">
        <v>1486</v>
      </c>
      <c r="H720" s="81">
        <v>44986</v>
      </c>
      <c r="I720" s="77">
        <v>44986</v>
      </c>
      <c r="J720" s="77">
        <v>44986</v>
      </c>
      <c r="K720" s="77">
        <v>35922</v>
      </c>
      <c r="L720" s="64" t="s">
        <v>82</v>
      </c>
      <c r="M720" s="62" t="s">
        <v>592</v>
      </c>
      <c r="N720" s="117" t="s">
        <v>14</v>
      </c>
      <c r="O720" s="104" t="s">
        <v>52</v>
      </c>
      <c r="P720" s="104" t="s">
        <v>52</v>
      </c>
      <c r="Q720" s="107"/>
      <c r="R720" s="66" t="s">
        <v>861</v>
      </c>
      <c r="S720" s="225">
        <f t="shared" si="11"/>
        <v>57984</v>
      </c>
      <c r="T720" s="166" t="s">
        <v>7705</v>
      </c>
      <c r="U720" s="7" t="s">
        <v>62</v>
      </c>
      <c r="V720" s="162" t="str" cm="1">
        <f t="array" ref="V720">_xlfn.IFS(C720="","",COUNTIF(C720,"ตำแหน่งว่าง*"),"ว่าง",COUNTIF(C720,"&lt;&gt;ตำแหน่งว่าง*"),"คนครอง")</f>
        <v>คนครอง</v>
      </c>
      <c r="W720" s="49" cm="1">
        <f t="array" ref="W720">_xlfn.IFS(COUNTIF(F720,"ผบ.หมู่*"),51,COUNTIF(F720,"รอง สว.*"),43)</f>
        <v>51</v>
      </c>
      <c r="X720" s="62" t="s">
        <v>1485</v>
      </c>
      <c r="Y720" s="62" t="s">
        <v>52</v>
      </c>
    </row>
    <row r="721" spans="1:25" s="37" customFormat="1" ht="21.3" customHeight="1">
      <c r="A721" s="65" t="s">
        <v>169</v>
      </c>
      <c r="B721" s="66" t="s">
        <v>12</v>
      </c>
      <c r="C721" s="137" t="s">
        <v>1487</v>
      </c>
      <c r="D721" s="27" t="s">
        <v>8877</v>
      </c>
      <c r="E721" s="27" t="s">
        <v>8878</v>
      </c>
      <c r="F721" s="65" t="s">
        <v>1280</v>
      </c>
      <c r="G721" s="101" t="s">
        <v>1489</v>
      </c>
      <c r="H721" s="81">
        <v>44986</v>
      </c>
      <c r="I721" s="77">
        <v>44986</v>
      </c>
      <c r="J721" s="77">
        <v>44986</v>
      </c>
      <c r="K721" s="77">
        <v>34005</v>
      </c>
      <c r="L721" s="64" t="s">
        <v>82</v>
      </c>
      <c r="M721" s="62" t="s">
        <v>34</v>
      </c>
      <c r="N721" s="117" t="s">
        <v>14</v>
      </c>
      <c r="O721" s="104" t="s">
        <v>52</v>
      </c>
      <c r="P721" s="104" t="s">
        <v>52</v>
      </c>
      <c r="Q721" s="107"/>
      <c r="R721" s="66" t="s">
        <v>861</v>
      </c>
      <c r="S721" s="225">
        <f t="shared" si="11"/>
        <v>56158</v>
      </c>
      <c r="T721" s="166" t="s">
        <v>7705</v>
      </c>
      <c r="U721" s="7" t="s">
        <v>62</v>
      </c>
      <c r="V721" s="162" t="str" cm="1">
        <f t="array" ref="V721">_xlfn.IFS(C721="","",COUNTIF(C721,"ตำแหน่งว่าง*"),"ว่าง",COUNTIF(C721,"&lt;&gt;ตำแหน่งว่าง*"),"คนครอง")</f>
        <v>คนครอง</v>
      </c>
      <c r="W721" s="49" cm="1">
        <f t="array" ref="W721">_xlfn.IFS(COUNTIF(F721,"ผบ.หมู่*"),51,COUNTIF(F721,"รอง สว.*"),43)</f>
        <v>51</v>
      </c>
      <c r="X721" s="62" t="s">
        <v>1488</v>
      </c>
      <c r="Y721" s="62" t="s">
        <v>52</v>
      </c>
    </row>
    <row r="722" spans="1:25" s="37" customFormat="1" ht="21.3" customHeight="1">
      <c r="A722" s="68"/>
      <c r="B722" s="30"/>
      <c r="C722" s="29" t="s">
        <v>18</v>
      </c>
      <c r="D722" s="27"/>
      <c r="E722" s="27"/>
      <c r="F722" s="68" t="s">
        <v>1280</v>
      </c>
      <c r="G722" s="121" t="s">
        <v>1491</v>
      </c>
      <c r="H722" s="80"/>
      <c r="I722" s="74"/>
      <c r="J722" s="74"/>
      <c r="K722" s="74"/>
      <c r="L722" s="44"/>
      <c r="M722" s="8"/>
      <c r="N722" s="172" t="s">
        <v>14</v>
      </c>
      <c r="O722" s="122" t="s">
        <v>52</v>
      </c>
      <c r="P722" s="122" t="s">
        <v>52</v>
      </c>
      <c r="Q722" s="106"/>
      <c r="R722" s="30"/>
      <c r="S722" s="225" t="str">
        <f t="shared" si="11"/>
        <v/>
      </c>
      <c r="T722" s="166" t="s">
        <v>7705</v>
      </c>
      <c r="U722" s="7" t="s">
        <v>62</v>
      </c>
      <c r="V722" s="171" t="str" cm="1">
        <f t="array" ref="V722">_xlfn.IFS(C722="","",COUNTIF(C722,"ตำแหน่งว่าง*"),"ว่าง",COUNTIF(C722,"&lt;&gt;ตำแหน่งว่าง*"),"คนครอง")</f>
        <v>ว่าง</v>
      </c>
      <c r="W722" s="49" cm="1">
        <f t="array" ref="W722">_xlfn.IFS(COUNTIF(F722,"ผบ.หมู่*"),51,COUNTIF(F722,"รอง สว.*"),43)</f>
        <v>51</v>
      </c>
      <c r="X722" s="62" t="s">
        <v>1490</v>
      </c>
      <c r="Y722" s="62" t="s">
        <v>52</v>
      </c>
    </row>
    <row r="723" spans="1:25" s="37" customFormat="1" ht="21.3" customHeight="1">
      <c r="A723" s="65" t="s">
        <v>169</v>
      </c>
      <c r="B723" s="66" t="s">
        <v>12</v>
      </c>
      <c r="C723" s="137" t="s">
        <v>1492</v>
      </c>
      <c r="D723" s="27" t="s">
        <v>8879</v>
      </c>
      <c r="E723" s="27" t="s">
        <v>8880</v>
      </c>
      <c r="F723" s="65" t="s">
        <v>1280</v>
      </c>
      <c r="G723" s="101" t="s">
        <v>1494</v>
      </c>
      <c r="H723" s="81">
        <v>44986</v>
      </c>
      <c r="I723" s="77">
        <v>44986</v>
      </c>
      <c r="J723" s="77">
        <v>44986</v>
      </c>
      <c r="K723" s="77">
        <v>33201</v>
      </c>
      <c r="L723" s="64" t="s">
        <v>82</v>
      </c>
      <c r="M723" s="62" t="s">
        <v>50</v>
      </c>
      <c r="N723" s="117" t="s">
        <v>14</v>
      </c>
      <c r="O723" s="104" t="s">
        <v>52</v>
      </c>
      <c r="P723" s="104" t="s">
        <v>52</v>
      </c>
      <c r="Q723" s="107"/>
      <c r="R723" s="66" t="s">
        <v>861</v>
      </c>
      <c r="S723" s="225">
        <f t="shared" si="11"/>
        <v>55427</v>
      </c>
      <c r="T723" s="166" t="s">
        <v>7705</v>
      </c>
      <c r="U723" s="7" t="s">
        <v>62</v>
      </c>
      <c r="V723" s="162" t="str" cm="1">
        <f t="array" ref="V723">_xlfn.IFS(C723="","",COUNTIF(C723,"ตำแหน่งว่าง*"),"ว่าง",COUNTIF(C723,"&lt;&gt;ตำแหน่งว่าง*"),"คนครอง")</f>
        <v>คนครอง</v>
      </c>
      <c r="W723" s="49" cm="1">
        <f t="array" ref="W723">_xlfn.IFS(COUNTIF(F723,"ผบ.หมู่*"),51,COUNTIF(F723,"รอง สว.*"),43)</f>
        <v>51</v>
      </c>
      <c r="X723" s="62" t="s">
        <v>1493</v>
      </c>
      <c r="Y723" s="62" t="s">
        <v>52</v>
      </c>
    </row>
    <row r="724" spans="1:25" s="37" customFormat="1" ht="21.3" customHeight="1">
      <c r="A724" s="68"/>
      <c r="B724" s="30"/>
      <c r="C724" s="94" t="s">
        <v>18</v>
      </c>
      <c r="D724" s="27"/>
      <c r="E724" s="27"/>
      <c r="F724" s="68" t="s">
        <v>1280</v>
      </c>
      <c r="G724" s="121" t="s">
        <v>1496</v>
      </c>
      <c r="H724" s="80"/>
      <c r="I724" s="74"/>
      <c r="J724" s="74"/>
      <c r="K724" s="74"/>
      <c r="L724" s="44"/>
      <c r="M724" s="8"/>
      <c r="N724" s="172" t="s">
        <v>14</v>
      </c>
      <c r="O724" s="122" t="s">
        <v>52</v>
      </c>
      <c r="P724" s="122" t="s">
        <v>52</v>
      </c>
      <c r="Q724" s="106"/>
      <c r="R724" s="30"/>
      <c r="S724" s="225" t="str">
        <f t="shared" si="11"/>
        <v/>
      </c>
      <c r="T724" s="166" t="s">
        <v>7705</v>
      </c>
      <c r="U724" s="7" t="s">
        <v>62</v>
      </c>
      <c r="V724" s="171" t="str" cm="1">
        <f t="array" ref="V724">_xlfn.IFS(C724="","",COUNTIF(C724,"ตำแหน่งว่าง*"),"ว่าง",COUNTIF(C724,"&lt;&gt;ตำแหน่งว่าง*"),"คนครอง")</f>
        <v>ว่าง</v>
      </c>
      <c r="W724" s="49" cm="1">
        <f t="array" ref="W724">_xlfn.IFS(COUNTIF(F724,"ผบ.หมู่*"),51,COUNTIF(F724,"รอง สว.*"),43)</f>
        <v>51</v>
      </c>
      <c r="X724" s="62" t="s">
        <v>1495</v>
      </c>
      <c r="Y724" s="62" t="s">
        <v>52</v>
      </c>
    </row>
    <row r="725" spans="1:25" s="37" customFormat="1" ht="21.3" customHeight="1">
      <c r="A725" s="65" t="s">
        <v>169</v>
      </c>
      <c r="B725" s="66" t="s">
        <v>12</v>
      </c>
      <c r="C725" s="137" t="s">
        <v>1497</v>
      </c>
      <c r="D725" s="27" t="s">
        <v>8881</v>
      </c>
      <c r="E725" s="27" t="s">
        <v>8882</v>
      </c>
      <c r="F725" s="65" t="s">
        <v>1280</v>
      </c>
      <c r="G725" s="101" t="s">
        <v>1499</v>
      </c>
      <c r="H725" s="81">
        <v>44986</v>
      </c>
      <c r="I725" s="77">
        <v>44986</v>
      </c>
      <c r="J725" s="77">
        <v>44986</v>
      </c>
      <c r="K725" s="77">
        <v>36343</v>
      </c>
      <c r="L725" s="64" t="s">
        <v>82</v>
      </c>
      <c r="M725" s="62" t="s">
        <v>58</v>
      </c>
      <c r="N725" s="117" t="s">
        <v>14</v>
      </c>
      <c r="O725" s="104" t="s">
        <v>52</v>
      </c>
      <c r="P725" s="104" t="s">
        <v>52</v>
      </c>
      <c r="Q725" s="107"/>
      <c r="R725" s="66" t="s">
        <v>861</v>
      </c>
      <c r="S725" s="225">
        <f t="shared" si="11"/>
        <v>58349</v>
      </c>
      <c r="T725" s="166" t="s">
        <v>7705</v>
      </c>
      <c r="U725" s="7" t="s">
        <v>62</v>
      </c>
      <c r="V725" s="162" t="str" cm="1">
        <f t="array" ref="V725">_xlfn.IFS(C725="","",COUNTIF(C725,"ตำแหน่งว่าง*"),"ว่าง",COUNTIF(C725,"&lt;&gt;ตำแหน่งว่าง*"),"คนครอง")</f>
        <v>คนครอง</v>
      </c>
      <c r="W725" s="49" cm="1">
        <f t="array" ref="W725">_xlfn.IFS(COUNTIF(F725,"ผบ.หมู่*"),51,COUNTIF(F725,"รอง สว.*"),43)</f>
        <v>51</v>
      </c>
      <c r="X725" s="62" t="s">
        <v>1498</v>
      </c>
      <c r="Y725" s="62" t="s">
        <v>52</v>
      </c>
    </row>
    <row r="726" spans="1:25" s="37" customFormat="1" ht="21.3" customHeight="1">
      <c r="A726" s="65" t="s">
        <v>169</v>
      </c>
      <c r="B726" s="66" t="s">
        <v>12</v>
      </c>
      <c r="C726" s="137" t="s">
        <v>1500</v>
      </c>
      <c r="D726" s="27" t="s">
        <v>8883</v>
      </c>
      <c r="E726" s="27" t="s">
        <v>8884</v>
      </c>
      <c r="F726" s="65" t="s">
        <v>1280</v>
      </c>
      <c r="G726" s="101" t="s">
        <v>1502</v>
      </c>
      <c r="H726" s="81">
        <v>44986</v>
      </c>
      <c r="I726" s="77">
        <v>44986</v>
      </c>
      <c r="J726" s="77">
        <v>44986</v>
      </c>
      <c r="K726" s="77">
        <v>33855</v>
      </c>
      <c r="L726" s="64" t="s">
        <v>82</v>
      </c>
      <c r="M726" s="62" t="s">
        <v>118</v>
      </c>
      <c r="N726" s="117" t="s">
        <v>14</v>
      </c>
      <c r="O726" s="104" t="s">
        <v>52</v>
      </c>
      <c r="P726" s="104" t="s">
        <v>52</v>
      </c>
      <c r="Q726" s="107"/>
      <c r="R726" s="66" t="s">
        <v>861</v>
      </c>
      <c r="S726" s="225">
        <f t="shared" si="11"/>
        <v>55793</v>
      </c>
      <c r="T726" s="166" t="s">
        <v>7705</v>
      </c>
      <c r="U726" s="7" t="s">
        <v>62</v>
      </c>
      <c r="V726" s="162" t="str" cm="1">
        <f t="array" ref="V726">_xlfn.IFS(C726="","",COUNTIF(C726,"ตำแหน่งว่าง*"),"ว่าง",COUNTIF(C726,"&lt;&gt;ตำแหน่งว่าง*"),"คนครอง")</f>
        <v>คนครอง</v>
      </c>
      <c r="W726" s="49" cm="1">
        <f t="array" ref="W726">_xlfn.IFS(COUNTIF(F726,"ผบ.หมู่*"),51,COUNTIF(F726,"รอง สว.*"),43)</f>
        <v>51</v>
      </c>
      <c r="X726" s="62" t="s">
        <v>1501</v>
      </c>
      <c r="Y726" s="62" t="s">
        <v>52</v>
      </c>
    </row>
    <row r="727" spans="1:25" s="37" customFormat="1" ht="21.3" customHeight="1">
      <c r="A727" s="65" t="s">
        <v>169</v>
      </c>
      <c r="B727" s="66" t="s">
        <v>12</v>
      </c>
      <c r="C727" s="137" t="s">
        <v>1503</v>
      </c>
      <c r="D727" s="27" t="s">
        <v>8351</v>
      </c>
      <c r="E727" s="27" t="s">
        <v>8885</v>
      </c>
      <c r="F727" s="65" t="s">
        <v>1280</v>
      </c>
      <c r="G727" s="101" t="s">
        <v>1505</v>
      </c>
      <c r="H727" s="81">
        <v>44986</v>
      </c>
      <c r="I727" s="77">
        <v>44986</v>
      </c>
      <c r="J727" s="77">
        <v>44986</v>
      </c>
      <c r="K727" s="77">
        <v>34232</v>
      </c>
      <c r="L727" s="64" t="s">
        <v>82</v>
      </c>
      <c r="M727" s="62" t="s">
        <v>77</v>
      </c>
      <c r="N727" s="117" t="s">
        <v>14</v>
      </c>
      <c r="O727" s="104" t="s">
        <v>52</v>
      </c>
      <c r="P727" s="104" t="s">
        <v>52</v>
      </c>
      <c r="Q727" s="107"/>
      <c r="R727" s="66" t="s">
        <v>861</v>
      </c>
      <c r="S727" s="225">
        <f t="shared" si="11"/>
        <v>56158</v>
      </c>
      <c r="T727" s="166" t="s">
        <v>7705</v>
      </c>
      <c r="U727" s="7" t="s">
        <v>62</v>
      </c>
      <c r="V727" s="162" t="str" cm="1">
        <f t="array" ref="V727">_xlfn.IFS(C727="","",COUNTIF(C727,"ตำแหน่งว่าง*"),"ว่าง",COUNTIF(C727,"&lt;&gt;ตำแหน่งว่าง*"),"คนครอง")</f>
        <v>คนครอง</v>
      </c>
      <c r="W727" s="49" cm="1">
        <f t="array" ref="W727">_xlfn.IFS(COUNTIF(F727,"ผบ.หมู่*"),51,COUNTIF(F727,"รอง สว.*"),43)</f>
        <v>51</v>
      </c>
      <c r="X727" s="62" t="s">
        <v>1504</v>
      </c>
      <c r="Y727" s="62" t="s">
        <v>52</v>
      </c>
    </row>
    <row r="728" spans="1:25" s="38" customFormat="1" ht="21.3" customHeight="1">
      <c r="A728" s="134" t="s">
        <v>157</v>
      </c>
      <c r="B728" s="26" t="s">
        <v>21</v>
      </c>
      <c r="C728" s="134" t="s">
        <v>1506</v>
      </c>
      <c r="D728" s="27" t="s">
        <v>8886</v>
      </c>
      <c r="E728" s="27" t="s">
        <v>8887</v>
      </c>
      <c r="F728" s="27" t="s">
        <v>1280</v>
      </c>
      <c r="G728" s="101" t="s">
        <v>1508</v>
      </c>
      <c r="H728" s="75">
        <v>40063</v>
      </c>
      <c r="I728" s="73">
        <v>39717</v>
      </c>
      <c r="J728" s="73">
        <v>39717</v>
      </c>
      <c r="K728" s="73">
        <v>27250</v>
      </c>
      <c r="L728" s="19" t="s">
        <v>1509</v>
      </c>
      <c r="M728" s="3" t="s">
        <v>592</v>
      </c>
      <c r="N728" s="116" t="s">
        <v>14</v>
      </c>
      <c r="O728" s="104" t="s">
        <v>52</v>
      </c>
      <c r="P728" s="104" t="s">
        <v>52</v>
      </c>
      <c r="Q728" s="105"/>
      <c r="R728" s="26" t="s">
        <v>603</v>
      </c>
      <c r="S728" s="225">
        <f t="shared" si="11"/>
        <v>49218</v>
      </c>
      <c r="T728" s="15" t="s">
        <v>7705</v>
      </c>
      <c r="U728" s="7" t="s">
        <v>62</v>
      </c>
      <c r="V728" s="162" t="str" cm="1">
        <f t="array" ref="V728">_xlfn.IFS(C728="","",COUNTIF(C728,"ตำแหน่งว่าง*"),"ว่าง",COUNTIF(C728,"&lt;&gt;ตำแหน่งว่าง*"),"คนครอง")</f>
        <v>คนครอง</v>
      </c>
      <c r="W728" s="49" cm="1">
        <f t="array" ref="W728">_xlfn.IFS(COUNTIF(F728,"ผบ.หมู่*"),51,COUNTIF(F728,"รอง สว.*"),43)</f>
        <v>51</v>
      </c>
      <c r="X728" s="3" t="s">
        <v>1507</v>
      </c>
      <c r="Y728" s="3" t="s">
        <v>52</v>
      </c>
    </row>
    <row r="729" spans="1:25" s="38" customFormat="1" ht="21.3" customHeight="1">
      <c r="A729" s="134" t="s">
        <v>157</v>
      </c>
      <c r="B729" s="26" t="s">
        <v>21</v>
      </c>
      <c r="C729" s="134" t="s">
        <v>1510</v>
      </c>
      <c r="D729" s="27" t="s">
        <v>8009</v>
      </c>
      <c r="E729" s="27" t="s">
        <v>8888</v>
      </c>
      <c r="F729" s="27" t="s">
        <v>1280</v>
      </c>
      <c r="G729" s="101" t="s">
        <v>1512</v>
      </c>
      <c r="H729" s="75">
        <v>40063</v>
      </c>
      <c r="I729" s="73">
        <v>39717</v>
      </c>
      <c r="J729" s="73">
        <v>39717</v>
      </c>
      <c r="K729" s="73">
        <v>30090</v>
      </c>
      <c r="L729" s="19" t="s">
        <v>1513</v>
      </c>
      <c r="M729" s="3" t="s">
        <v>33</v>
      </c>
      <c r="N729" s="116" t="s">
        <v>14</v>
      </c>
      <c r="O729" s="104" t="s">
        <v>52</v>
      </c>
      <c r="P729" s="104" t="s">
        <v>52</v>
      </c>
      <c r="Q729" s="105"/>
      <c r="R729" s="26" t="s">
        <v>603</v>
      </c>
      <c r="S729" s="225">
        <f t="shared" si="11"/>
        <v>52140</v>
      </c>
      <c r="T729" s="15" t="s">
        <v>7705</v>
      </c>
      <c r="U729" s="7" t="s">
        <v>62</v>
      </c>
      <c r="V729" s="162" t="str" cm="1">
        <f t="array" ref="V729">_xlfn.IFS(C729="","",COUNTIF(C729,"ตำแหน่งว่าง*"),"ว่าง",COUNTIF(C729,"&lt;&gt;ตำแหน่งว่าง*"),"คนครอง")</f>
        <v>คนครอง</v>
      </c>
      <c r="W729" s="49" cm="1">
        <f t="array" ref="W729">_xlfn.IFS(COUNTIF(F729,"ผบ.หมู่*"),51,COUNTIF(F729,"รอง สว.*"),43)</f>
        <v>51</v>
      </c>
      <c r="X729" s="3" t="s">
        <v>1511</v>
      </c>
      <c r="Y729" s="3" t="s">
        <v>52</v>
      </c>
    </row>
    <row r="730" spans="1:25" s="37" customFormat="1" ht="21.3" customHeight="1">
      <c r="A730" s="65" t="s">
        <v>169</v>
      </c>
      <c r="B730" s="66" t="s">
        <v>12</v>
      </c>
      <c r="C730" s="137" t="s">
        <v>1514</v>
      </c>
      <c r="D730" s="27" t="s">
        <v>8889</v>
      </c>
      <c r="E730" s="27" t="s">
        <v>8890</v>
      </c>
      <c r="F730" s="65" t="s">
        <v>1280</v>
      </c>
      <c r="G730" s="101" t="s">
        <v>1516</v>
      </c>
      <c r="H730" s="81">
        <v>44986</v>
      </c>
      <c r="I730" s="77">
        <v>44986</v>
      </c>
      <c r="J730" s="77">
        <v>44986</v>
      </c>
      <c r="K730" s="77">
        <v>33497</v>
      </c>
      <c r="L730" s="64" t="s">
        <v>112</v>
      </c>
      <c r="M730" s="62" t="s">
        <v>34</v>
      </c>
      <c r="N730" s="117" t="s">
        <v>14</v>
      </c>
      <c r="O730" s="104" t="s">
        <v>52</v>
      </c>
      <c r="P730" s="104" t="s">
        <v>52</v>
      </c>
      <c r="Q730" s="107"/>
      <c r="R730" s="66" t="s">
        <v>861</v>
      </c>
      <c r="S730" s="225">
        <f t="shared" si="11"/>
        <v>55427</v>
      </c>
      <c r="T730" s="166" t="s">
        <v>7705</v>
      </c>
      <c r="U730" s="7" t="s">
        <v>62</v>
      </c>
      <c r="V730" s="162" t="str" cm="1">
        <f t="array" ref="V730">_xlfn.IFS(C730="","",COUNTIF(C730,"ตำแหน่งว่าง*"),"ว่าง",COUNTIF(C730,"&lt;&gt;ตำแหน่งว่าง*"),"คนครอง")</f>
        <v>คนครอง</v>
      </c>
      <c r="W730" s="49" cm="1">
        <f t="array" ref="W730">_xlfn.IFS(COUNTIF(F730,"ผบ.หมู่*"),51,COUNTIF(F730,"รอง สว.*"),43)</f>
        <v>51</v>
      </c>
      <c r="X730" s="62" t="s">
        <v>1515</v>
      </c>
      <c r="Y730" s="62" t="s">
        <v>52</v>
      </c>
    </row>
    <row r="731" spans="1:25" s="37" customFormat="1" ht="21.3" customHeight="1">
      <c r="A731" s="65" t="s">
        <v>169</v>
      </c>
      <c r="B731" s="66" t="s">
        <v>12</v>
      </c>
      <c r="C731" s="137" t="s">
        <v>1517</v>
      </c>
      <c r="D731" s="27" t="s">
        <v>8891</v>
      </c>
      <c r="E731" s="27" t="s">
        <v>8892</v>
      </c>
      <c r="F731" s="65" t="s">
        <v>1280</v>
      </c>
      <c r="G731" s="101" t="s">
        <v>1519</v>
      </c>
      <c r="H731" s="81">
        <v>44986</v>
      </c>
      <c r="I731" s="77">
        <v>44986</v>
      </c>
      <c r="J731" s="77">
        <v>44986</v>
      </c>
      <c r="K731" s="77">
        <v>32136</v>
      </c>
      <c r="L731" s="64" t="s">
        <v>82</v>
      </c>
      <c r="M731" s="62" t="s">
        <v>17</v>
      </c>
      <c r="N731" s="117" t="s">
        <v>14</v>
      </c>
      <c r="O731" s="104" t="s">
        <v>52</v>
      </c>
      <c r="P731" s="104" t="s">
        <v>52</v>
      </c>
      <c r="Q731" s="107"/>
      <c r="R731" s="66" t="s">
        <v>861</v>
      </c>
      <c r="S731" s="225">
        <f t="shared" si="11"/>
        <v>54332</v>
      </c>
      <c r="T731" s="166" t="s">
        <v>7705</v>
      </c>
      <c r="U731" s="7" t="s">
        <v>62</v>
      </c>
      <c r="V731" s="162" t="str" cm="1">
        <f t="array" ref="V731">_xlfn.IFS(C731="","",COUNTIF(C731,"ตำแหน่งว่าง*"),"ว่าง",COUNTIF(C731,"&lt;&gt;ตำแหน่งว่าง*"),"คนครอง")</f>
        <v>คนครอง</v>
      </c>
      <c r="W731" s="49" cm="1">
        <f t="array" ref="W731">_xlfn.IFS(COUNTIF(F731,"ผบ.หมู่*"),51,COUNTIF(F731,"รอง สว.*"),43)</f>
        <v>51</v>
      </c>
      <c r="X731" s="62" t="s">
        <v>1518</v>
      </c>
      <c r="Y731" s="62" t="s">
        <v>52</v>
      </c>
    </row>
    <row r="732" spans="1:25" s="37" customFormat="1" ht="21.3" customHeight="1">
      <c r="A732" s="134"/>
      <c r="B732" s="26"/>
      <c r="C732" s="30" t="s">
        <v>18</v>
      </c>
      <c r="D732" s="27"/>
      <c r="E732" s="27"/>
      <c r="F732" s="68" t="s">
        <v>1280</v>
      </c>
      <c r="G732" s="121" t="s">
        <v>1521</v>
      </c>
      <c r="H732" s="91" t="s">
        <v>19</v>
      </c>
      <c r="I732" s="73" t="s">
        <v>19</v>
      </c>
      <c r="J732" s="73" t="s">
        <v>19</v>
      </c>
      <c r="K732" s="73" t="s">
        <v>19</v>
      </c>
      <c r="L732" s="19"/>
      <c r="M732" s="3"/>
      <c r="N732" s="172" t="s">
        <v>14</v>
      </c>
      <c r="O732" s="122" t="s">
        <v>52</v>
      </c>
      <c r="P732" s="122" t="s">
        <v>52</v>
      </c>
      <c r="Q732" s="105"/>
      <c r="R732" s="26"/>
      <c r="S732" s="225" t="str">
        <f t="shared" si="11"/>
        <v/>
      </c>
      <c r="T732" s="166" t="s">
        <v>7705</v>
      </c>
      <c r="U732" s="7" t="s">
        <v>62</v>
      </c>
      <c r="V732" s="171" t="str" cm="1">
        <f t="array" ref="V732">_xlfn.IFS(C732="","",COUNTIF(C732,"ตำแหน่งว่าง*"),"ว่าง",COUNTIF(C732,"&lt;&gt;ตำแหน่งว่าง*"),"คนครอง")</f>
        <v>ว่าง</v>
      </c>
      <c r="W732" s="49" cm="1">
        <f t="array" ref="W732">_xlfn.IFS(COUNTIF(F732,"ผบ.หมู่*"),51,COUNTIF(F732,"รอง สว.*"),43)</f>
        <v>51</v>
      </c>
      <c r="X732" s="8" t="s">
        <v>1520</v>
      </c>
      <c r="Y732" s="8" t="s">
        <v>52</v>
      </c>
    </row>
    <row r="733" spans="1:25" s="37" customFormat="1" ht="21.3" customHeight="1">
      <c r="A733" s="27" t="s">
        <v>612</v>
      </c>
      <c r="B733" s="26" t="s">
        <v>21</v>
      </c>
      <c r="C733" s="134" t="s">
        <v>1522</v>
      </c>
      <c r="D733" s="27" t="s">
        <v>8893</v>
      </c>
      <c r="E733" s="27" t="s">
        <v>8894</v>
      </c>
      <c r="F733" s="27" t="s">
        <v>1280</v>
      </c>
      <c r="G733" s="101" t="s">
        <v>1524</v>
      </c>
      <c r="H733" s="91">
        <v>44999</v>
      </c>
      <c r="I733" s="73">
        <v>42416</v>
      </c>
      <c r="J733" s="73">
        <v>42416</v>
      </c>
      <c r="K733" s="73">
        <v>33137</v>
      </c>
      <c r="L733" s="19" t="s">
        <v>82</v>
      </c>
      <c r="M733" s="3" t="s">
        <v>47</v>
      </c>
      <c r="N733" s="116" t="s">
        <v>14</v>
      </c>
      <c r="O733" s="104" t="s">
        <v>52</v>
      </c>
      <c r="P733" s="104" t="s">
        <v>52</v>
      </c>
      <c r="Q733" s="105"/>
      <c r="R733" s="26" t="s">
        <v>74</v>
      </c>
      <c r="S733" s="225">
        <f t="shared" si="11"/>
        <v>55062</v>
      </c>
      <c r="T733" s="166" t="s">
        <v>7705</v>
      </c>
      <c r="U733" s="7" t="s">
        <v>62</v>
      </c>
      <c r="V733" s="162" t="str" cm="1">
        <f t="array" ref="V733">_xlfn.IFS(C733="","",COUNTIF(C733,"ตำแหน่งว่าง*"),"ว่าง",COUNTIF(C733,"&lt;&gt;ตำแหน่งว่าง*"),"คนครอง")</f>
        <v>คนครอง</v>
      </c>
      <c r="W733" s="49" cm="1">
        <f t="array" ref="W733">_xlfn.IFS(COUNTIF(F733,"ผบ.หมู่*"),51,COUNTIF(F733,"รอง สว.*"),43)</f>
        <v>51</v>
      </c>
      <c r="X733" s="3" t="s">
        <v>1523</v>
      </c>
      <c r="Y733" s="3" t="s">
        <v>52</v>
      </c>
    </row>
    <row r="734" spans="1:25" s="37" customFormat="1" ht="21.3" customHeight="1">
      <c r="A734" s="27" t="s">
        <v>612</v>
      </c>
      <c r="B734" s="26" t="s">
        <v>12</v>
      </c>
      <c r="C734" s="134" t="s">
        <v>1525</v>
      </c>
      <c r="D734" s="27" t="s">
        <v>8109</v>
      </c>
      <c r="E734" s="27" t="s">
        <v>8314</v>
      </c>
      <c r="F734" s="27" t="s">
        <v>1280</v>
      </c>
      <c r="G734" s="101" t="s">
        <v>1527</v>
      </c>
      <c r="H734" s="91">
        <v>44999</v>
      </c>
      <c r="I734" s="73">
        <v>42416</v>
      </c>
      <c r="J734" s="73">
        <v>42416</v>
      </c>
      <c r="K734" s="73">
        <v>33253</v>
      </c>
      <c r="L734" s="19" t="s">
        <v>82</v>
      </c>
      <c r="M734" s="3" t="s">
        <v>61</v>
      </c>
      <c r="N734" s="116" t="s">
        <v>14</v>
      </c>
      <c r="O734" s="104" t="s">
        <v>52</v>
      </c>
      <c r="P734" s="104" t="s">
        <v>52</v>
      </c>
      <c r="Q734" s="105"/>
      <c r="R734" s="26" t="s">
        <v>74</v>
      </c>
      <c r="S734" s="225">
        <f t="shared" si="11"/>
        <v>55427</v>
      </c>
      <c r="T734" s="166" t="s">
        <v>7705</v>
      </c>
      <c r="U734" s="7" t="s">
        <v>62</v>
      </c>
      <c r="V734" s="162" t="str" cm="1">
        <f t="array" ref="V734">_xlfn.IFS(C734="","",COUNTIF(C734,"ตำแหน่งว่าง*"),"ว่าง",COUNTIF(C734,"&lt;&gt;ตำแหน่งว่าง*"),"คนครอง")</f>
        <v>คนครอง</v>
      </c>
      <c r="W734" s="49" cm="1">
        <f t="array" ref="W734">_xlfn.IFS(COUNTIF(F734,"ผบ.หมู่*"),51,COUNTIF(F734,"รอง สว.*"),43)</f>
        <v>51</v>
      </c>
      <c r="X734" s="3" t="s">
        <v>1526</v>
      </c>
      <c r="Y734" s="3" t="s">
        <v>52</v>
      </c>
    </row>
    <row r="735" spans="1:25" s="37" customFormat="1" ht="21.3" customHeight="1">
      <c r="A735" s="195" t="s">
        <v>169</v>
      </c>
      <c r="B735" s="194" t="s">
        <v>21</v>
      </c>
      <c r="C735" s="192" t="s">
        <v>7896</v>
      </c>
      <c r="D735" s="27" t="s">
        <v>8895</v>
      </c>
      <c r="E735" s="27" t="s">
        <v>8896</v>
      </c>
      <c r="F735" s="192" t="s">
        <v>1280</v>
      </c>
      <c r="G735" s="101" t="s">
        <v>1529</v>
      </c>
      <c r="H735" s="73">
        <v>45463</v>
      </c>
      <c r="I735" s="73">
        <v>45463</v>
      </c>
      <c r="J735" s="73">
        <v>45463</v>
      </c>
      <c r="K735" s="73">
        <v>37285</v>
      </c>
      <c r="L735" s="2" t="s">
        <v>82</v>
      </c>
      <c r="M735" s="3"/>
      <c r="N735" s="116" t="s">
        <v>14</v>
      </c>
      <c r="O735" s="104" t="s">
        <v>52</v>
      </c>
      <c r="P735" s="104" t="s">
        <v>52</v>
      </c>
      <c r="Q735" s="105"/>
      <c r="R735" s="28" t="s">
        <v>7961</v>
      </c>
      <c r="S735" s="174">
        <f t="shared" si="11"/>
        <v>59445</v>
      </c>
      <c r="T735" s="15" t="s">
        <v>7705</v>
      </c>
      <c r="U735" s="2" t="s">
        <v>62</v>
      </c>
      <c r="V735" s="162" t="str" cm="1">
        <f t="array" ref="V735">_xlfn.IFS(C735="","",COUNTIF(C735,"ตำแหน่งว่าง*"),"ว่าง",COUNTIF(C735,"&lt;&gt;ตำแหน่งว่าง*"),"คนครอง")</f>
        <v>คนครอง</v>
      </c>
      <c r="W735" s="49" cm="1">
        <f t="array" ref="W735">_xlfn.IFS(COUNTIF(F735,"ผบ.หมู่*"),51,COUNTIF(F735,"รอง สว.*"),43)</f>
        <v>51</v>
      </c>
      <c r="X735" s="3" t="s">
        <v>1528</v>
      </c>
      <c r="Y735" s="3" t="s">
        <v>52</v>
      </c>
    </row>
    <row r="736" spans="1:25" s="37" customFormat="1" ht="21.3" customHeight="1">
      <c r="A736" s="195" t="s">
        <v>169</v>
      </c>
      <c r="B736" s="194" t="s">
        <v>21</v>
      </c>
      <c r="C736" s="192" t="s">
        <v>7897</v>
      </c>
      <c r="D736" s="27" t="s">
        <v>8153</v>
      </c>
      <c r="E736" s="27" t="s">
        <v>8358</v>
      </c>
      <c r="F736" s="192" t="s">
        <v>1280</v>
      </c>
      <c r="G736" s="101" t="s">
        <v>1531</v>
      </c>
      <c r="H736" s="73">
        <v>45463</v>
      </c>
      <c r="I736" s="73">
        <v>45463</v>
      </c>
      <c r="J736" s="73">
        <v>45463</v>
      </c>
      <c r="K736" s="73">
        <v>37108</v>
      </c>
      <c r="L736" s="2" t="s">
        <v>82</v>
      </c>
      <c r="M736" s="3"/>
      <c r="N736" s="116" t="s">
        <v>14</v>
      </c>
      <c r="O736" s="104" t="s">
        <v>52</v>
      </c>
      <c r="P736" s="104" t="s">
        <v>52</v>
      </c>
      <c r="Q736" s="105"/>
      <c r="R736" s="28" t="s">
        <v>7961</v>
      </c>
      <c r="S736" s="174">
        <f t="shared" si="11"/>
        <v>59080</v>
      </c>
      <c r="T736" s="15" t="s">
        <v>7705</v>
      </c>
      <c r="U736" s="2" t="s">
        <v>62</v>
      </c>
      <c r="V736" s="162" t="str" cm="1">
        <f t="array" ref="V736">_xlfn.IFS(C736="","",COUNTIF(C736,"ตำแหน่งว่าง*"),"ว่าง",COUNTIF(C736,"&lt;&gt;ตำแหน่งว่าง*"),"คนครอง")</f>
        <v>คนครอง</v>
      </c>
      <c r="W736" s="49" cm="1">
        <f t="array" ref="W736">_xlfn.IFS(COUNTIF(F736,"ผบ.หมู่*"),51,COUNTIF(F736,"รอง สว.*"),43)</f>
        <v>51</v>
      </c>
      <c r="X736" s="3" t="s">
        <v>1530</v>
      </c>
      <c r="Y736" s="3" t="s">
        <v>52</v>
      </c>
    </row>
    <row r="737" spans="1:25" s="37" customFormat="1" ht="21.3" customHeight="1">
      <c r="A737" s="195" t="s">
        <v>169</v>
      </c>
      <c r="B737" s="194" t="s">
        <v>21</v>
      </c>
      <c r="C737" s="192" t="s">
        <v>7898</v>
      </c>
      <c r="D737" s="27" t="s">
        <v>8897</v>
      </c>
      <c r="E737" s="27" t="s">
        <v>8898</v>
      </c>
      <c r="F737" s="192" t="s">
        <v>1280</v>
      </c>
      <c r="G737" s="101" t="s">
        <v>1533</v>
      </c>
      <c r="H737" s="73">
        <v>45463</v>
      </c>
      <c r="I737" s="73">
        <v>45463</v>
      </c>
      <c r="J737" s="73">
        <v>45463</v>
      </c>
      <c r="K737" s="73">
        <v>36578</v>
      </c>
      <c r="L737" s="2" t="s">
        <v>82</v>
      </c>
      <c r="M737" s="3"/>
      <c r="N737" s="116" t="s">
        <v>14</v>
      </c>
      <c r="O737" s="104" t="s">
        <v>52</v>
      </c>
      <c r="P737" s="104" t="s">
        <v>52</v>
      </c>
      <c r="Q737" s="105"/>
      <c r="R737" s="28" t="s">
        <v>7961</v>
      </c>
      <c r="S737" s="174">
        <f t="shared" si="11"/>
        <v>58715</v>
      </c>
      <c r="T737" s="15" t="s">
        <v>7705</v>
      </c>
      <c r="U737" s="2" t="s">
        <v>62</v>
      </c>
      <c r="V737" s="162" t="str" cm="1">
        <f t="array" ref="V737">_xlfn.IFS(C737="","",COUNTIF(C737,"ตำแหน่งว่าง*"),"ว่าง",COUNTIF(C737,"&lt;&gt;ตำแหน่งว่าง*"),"คนครอง")</f>
        <v>คนครอง</v>
      </c>
      <c r="W737" s="49" cm="1">
        <f t="array" ref="W737">_xlfn.IFS(COUNTIF(F737,"ผบ.หมู่*"),51,COUNTIF(F737,"รอง สว.*"),43)</f>
        <v>51</v>
      </c>
      <c r="X737" s="3" t="s">
        <v>1532</v>
      </c>
      <c r="Y737" s="3" t="s">
        <v>52</v>
      </c>
    </row>
    <row r="738" spans="1:25" s="38" customFormat="1" ht="21.3" customHeight="1">
      <c r="A738" s="134" t="s">
        <v>157</v>
      </c>
      <c r="B738" s="26" t="s">
        <v>21</v>
      </c>
      <c r="C738" s="134" t="s">
        <v>1534</v>
      </c>
      <c r="D738" s="27" t="s">
        <v>8899</v>
      </c>
      <c r="E738" s="27" t="s">
        <v>8900</v>
      </c>
      <c r="F738" s="27" t="s">
        <v>1280</v>
      </c>
      <c r="G738" s="101" t="s">
        <v>1536</v>
      </c>
      <c r="H738" s="75">
        <v>40814</v>
      </c>
      <c r="I738" s="73">
        <v>43952</v>
      </c>
      <c r="J738" s="73">
        <v>40814</v>
      </c>
      <c r="K738" s="73">
        <v>29618</v>
      </c>
      <c r="L738" s="19" t="s">
        <v>1537</v>
      </c>
      <c r="M738" s="3" t="s">
        <v>127</v>
      </c>
      <c r="N738" s="116" t="s">
        <v>14</v>
      </c>
      <c r="O738" s="104" t="s">
        <v>52</v>
      </c>
      <c r="P738" s="104" t="s">
        <v>52</v>
      </c>
      <c r="Q738" s="105"/>
      <c r="R738" s="26" t="s">
        <v>1538</v>
      </c>
      <c r="S738" s="225">
        <f t="shared" si="11"/>
        <v>51775</v>
      </c>
      <c r="T738" s="15" t="s">
        <v>7705</v>
      </c>
      <c r="U738" s="7" t="s">
        <v>62</v>
      </c>
      <c r="V738" s="162" t="str" cm="1">
        <f t="array" ref="V738">_xlfn.IFS(C738="","",COUNTIF(C738,"ตำแหน่งว่าง*"),"ว่าง",COUNTIF(C738,"&lt;&gt;ตำแหน่งว่าง*"),"คนครอง")</f>
        <v>คนครอง</v>
      </c>
      <c r="W738" s="49" cm="1">
        <f t="array" ref="W738">_xlfn.IFS(COUNTIF(F738,"ผบ.หมู่*"),51,COUNTIF(F738,"รอง สว.*"),43)</f>
        <v>51</v>
      </c>
      <c r="X738" s="3" t="s">
        <v>1535</v>
      </c>
      <c r="Y738" s="3" t="s">
        <v>52</v>
      </c>
    </row>
    <row r="739" spans="1:25" s="37" customFormat="1" ht="21.3" customHeight="1">
      <c r="A739" s="134"/>
      <c r="B739" s="29"/>
      <c r="C739" s="30" t="s">
        <v>18</v>
      </c>
      <c r="D739" s="27"/>
      <c r="E739" s="27"/>
      <c r="F739" s="68" t="s">
        <v>1280</v>
      </c>
      <c r="G739" s="121" t="s">
        <v>1540</v>
      </c>
      <c r="H739" s="75" t="s">
        <v>19</v>
      </c>
      <c r="I739" s="73" t="s">
        <v>19</v>
      </c>
      <c r="J739" s="73" t="s">
        <v>19</v>
      </c>
      <c r="K739" s="73" t="s">
        <v>19</v>
      </c>
      <c r="L739" s="19"/>
      <c r="M739" s="3"/>
      <c r="N739" s="172" t="s">
        <v>14</v>
      </c>
      <c r="O739" s="122" t="s">
        <v>52</v>
      </c>
      <c r="P739" s="122" t="s">
        <v>52</v>
      </c>
      <c r="Q739" s="106"/>
      <c r="R739" s="29"/>
      <c r="S739" s="225" t="str">
        <f t="shared" si="11"/>
        <v/>
      </c>
      <c r="T739" s="166" t="s">
        <v>7705</v>
      </c>
      <c r="U739" s="7" t="s">
        <v>62</v>
      </c>
      <c r="V739" s="171" t="str" cm="1">
        <f t="array" ref="V739">_xlfn.IFS(C739="","",COUNTIF(C739,"ตำแหน่งว่าง*"),"ว่าง",COUNTIF(C739,"&lt;&gt;ตำแหน่งว่าง*"),"คนครอง")</f>
        <v>ว่าง</v>
      </c>
      <c r="W739" s="49" cm="1">
        <f t="array" ref="W739">_xlfn.IFS(COUNTIF(F739,"ผบ.หมู่*"),51,COUNTIF(F739,"รอง สว.*"),43)</f>
        <v>51</v>
      </c>
      <c r="X739" s="8" t="s">
        <v>1539</v>
      </c>
      <c r="Y739" s="8" t="s">
        <v>52</v>
      </c>
    </row>
    <row r="740" spans="1:25" s="37" customFormat="1" ht="21.3" customHeight="1">
      <c r="A740" s="134"/>
      <c r="B740" s="29"/>
      <c r="C740" s="30" t="s">
        <v>18</v>
      </c>
      <c r="D740" s="27"/>
      <c r="E740" s="27"/>
      <c r="F740" s="68" t="s">
        <v>1280</v>
      </c>
      <c r="G740" s="121" t="s">
        <v>1542</v>
      </c>
      <c r="H740" s="75" t="s">
        <v>19</v>
      </c>
      <c r="I740" s="73" t="s">
        <v>19</v>
      </c>
      <c r="J740" s="73" t="s">
        <v>19</v>
      </c>
      <c r="K740" s="73" t="s">
        <v>19</v>
      </c>
      <c r="L740" s="19"/>
      <c r="M740" s="3"/>
      <c r="N740" s="172" t="s">
        <v>14</v>
      </c>
      <c r="O740" s="122" t="s">
        <v>52</v>
      </c>
      <c r="P740" s="122" t="s">
        <v>52</v>
      </c>
      <c r="Q740" s="106"/>
      <c r="R740" s="29"/>
      <c r="S740" s="225" t="str">
        <f t="shared" si="11"/>
        <v/>
      </c>
      <c r="T740" s="166" t="s">
        <v>7705</v>
      </c>
      <c r="U740" s="7" t="s">
        <v>62</v>
      </c>
      <c r="V740" s="171" t="str" cm="1">
        <f t="array" ref="V740">_xlfn.IFS(C740="","",COUNTIF(C740,"ตำแหน่งว่าง*"),"ว่าง",COUNTIF(C740,"&lt;&gt;ตำแหน่งว่าง*"),"คนครอง")</f>
        <v>ว่าง</v>
      </c>
      <c r="W740" s="49" cm="1">
        <f t="array" ref="W740">_xlfn.IFS(COUNTIF(F740,"ผบ.หมู่*"),51,COUNTIF(F740,"รอง สว.*"),43)</f>
        <v>51</v>
      </c>
      <c r="X740" s="8" t="s">
        <v>1541</v>
      </c>
      <c r="Y740" s="8" t="s">
        <v>52</v>
      </c>
    </row>
    <row r="741" spans="1:25" s="38" customFormat="1" ht="21.3" customHeight="1">
      <c r="A741" s="134" t="s">
        <v>157</v>
      </c>
      <c r="B741" s="26" t="s">
        <v>21</v>
      </c>
      <c r="C741" s="134" t="s">
        <v>1543</v>
      </c>
      <c r="D741" s="27" t="s">
        <v>8072</v>
      </c>
      <c r="E741" s="27" t="s">
        <v>8901</v>
      </c>
      <c r="F741" s="27" t="s">
        <v>1280</v>
      </c>
      <c r="G741" s="101" t="s">
        <v>1545</v>
      </c>
      <c r="H741" s="75">
        <v>40814</v>
      </c>
      <c r="I741" s="73">
        <v>43952</v>
      </c>
      <c r="J741" s="73">
        <v>40814</v>
      </c>
      <c r="K741" s="73">
        <v>29240</v>
      </c>
      <c r="L741" s="19" t="s">
        <v>1546</v>
      </c>
      <c r="M741" s="3" t="s">
        <v>53</v>
      </c>
      <c r="N741" s="116" t="s">
        <v>14</v>
      </c>
      <c r="O741" s="104" t="s">
        <v>52</v>
      </c>
      <c r="P741" s="104" t="s">
        <v>52</v>
      </c>
      <c r="Q741" s="105"/>
      <c r="R741" s="26" t="s">
        <v>1538</v>
      </c>
      <c r="S741" s="225">
        <f t="shared" si="11"/>
        <v>51410</v>
      </c>
      <c r="T741" s="15" t="s">
        <v>7705</v>
      </c>
      <c r="U741" s="7" t="s">
        <v>62</v>
      </c>
      <c r="V741" s="162" t="str" cm="1">
        <f t="array" ref="V741">_xlfn.IFS(C741="","",COUNTIF(C741,"ตำแหน่งว่าง*"),"ว่าง",COUNTIF(C741,"&lt;&gt;ตำแหน่งว่าง*"),"คนครอง")</f>
        <v>คนครอง</v>
      </c>
      <c r="W741" s="49" cm="1">
        <f t="array" ref="W741">_xlfn.IFS(COUNTIF(F741,"ผบ.หมู่*"),51,COUNTIF(F741,"รอง สว.*"),43)</f>
        <v>51</v>
      </c>
      <c r="X741" s="3" t="s">
        <v>1544</v>
      </c>
      <c r="Y741" s="3" t="s">
        <v>52</v>
      </c>
    </row>
    <row r="742" spans="1:25" s="37" customFormat="1" ht="21.3" customHeight="1">
      <c r="A742" s="134"/>
      <c r="B742" s="26"/>
      <c r="C742" s="30" t="s">
        <v>18</v>
      </c>
      <c r="D742" s="27"/>
      <c r="E742" s="27"/>
      <c r="F742" s="68" t="s">
        <v>1280</v>
      </c>
      <c r="G742" s="121" t="s">
        <v>1548</v>
      </c>
      <c r="H742" s="75" t="s">
        <v>19</v>
      </c>
      <c r="I742" s="73" t="s">
        <v>19</v>
      </c>
      <c r="J742" s="73" t="s">
        <v>19</v>
      </c>
      <c r="K742" s="73" t="s">
        <v>19</v>
      </c>
      <c r="L742" s="19"/>
      <c r="M742" s="3"/>
      <c r="N742" s="172" t="s">
        <v>14</v>
      </c>
      <c r="O742" s="122" t="s">
        <v>52</v>
      </c>
      <c r="P742" s="122" t="s">
        <v>52</v>
      </c>
      <c r="Q742" s="105"/>
      <c r="R742" s="26"/>
      <c r="S742" s="225" t="str">
        <f t="shared" si="11"/>
        <v/>
      </c>
      <c r="T742" s="166" t="s">
        <v>7705</v>
      </c>
      <c r="U742" s="7" t="s">
        <v>62</v>
      </c>
      <c r="V742" s="171" t="str" cm="1">
        <f t="array" ref="V742">_xlfn.IFS(C742="","",COUNTIF(C742,"ตำแหน่งว่าง*"),"ว่าง",COUNTIF(C742,"&lt;&gt;ตำแหน่งว่าง*"),"คนครอง")</f>
        <v>ว่าง</v>
      </c>
      <c r="W742" s="49" cm="1">
        <f t="array" ref="W742">_xlfn.IFS(COUNTIF(F742,"ผบ.หมู่*"),51,COUNTIF(F742,"รอง สว.*"),43)</f>
        <v>51</v>
      </c>
      <c r="X742" s="8" t="s">
        <v>1547</v>
      </c>
      <c r="Y742" s="8" t="s">
        <v>52</v>
      </c>
    </row>
    <row r="743" spans="1:25" s="37" customFormat="1" ht="21.3" customHeight="1">
      <c r="A743" s="134"/>
      <c r="B743" s="29"/>
      <c r="C743" s="30" t="s">
        <v>18</v>
      </c>
      <c r="D743" s="27"/>
      <c r="E743" s="27"/>
      <c r="F743" s="68" t="s">
        <v>1280</v>
      </c>
      <c r="G743" s="121" t="s">
        <v>1550</v>
      </c>
      <c r="H743" s="75" t="s">
        <v>19</v>
      </c>
      <c r="I743" s="73" t="s">
        <v>19</v>
      </c>
      <c r="J743" s="73" t="s">
        <v>19</v>
      </c>
      <c r="K743" s="73" t="s">
        <v>19</v>
      </c>
      <c r="L743" s="19"/>
      <c r="M743" s="3"/>
      <c r="N743" s="172" t="s">
        <v>14</v>
      </c>
      <c r="O743" s="122" t="s">
        <v>52</v>
      </c>
      <c r="P743" s="122" t="s">
        <v>52</v>
      </c>
      <c r="Q743" s="106"/>
      <c r="R743" s="29"/>
      <c r="S743" s="225" t="str">
        <f t="shared" si="11"/>
        <v/>
      </c>
      <c r="T743" s="166" t="s">
        <v>7705</v>
      </c>
      <c r="U743" s="7" t="s">
        <v>62</v>
      </c>
      <c r="V743" s="171" t="str" cm="1">
        <f t="array" ref="V743">_xlfn.IFS(C743="","",COUNTIF(C743,"ตำแหน่งว่าง*"),"ว่าง",COUNTIF(C743,"&lt;&gt;ตำแหน่งว่าง*"),"คนครอง")</f>
        <v>ว่าง</v>
      </c>
      <c r="W743" s="49" cm="1">
        <f t="array" ref="W743">_xlfn.IFS(COUNTIF(F743,"ผบ.หมู่*"),51,COUNTIF(F743,"รอง สว.*"),43)</f>
        <v>51</v>
      </c>
      <c r="X743" s="8" t="s">
        <v>1549</v>
      </c>
      <c r="Y743" s="8" t="s">
        <v>52</v>
      </c>
    </row>
    <row r="744" spans="1:25" s="38" customFormat="1" ht="21.3" customHeight="1">
      <c r="A744" s="134" t="s">
        <v>157</v>
      </c>
      <c r="B744" s="26" t="s">
        <v>21</v>
      </c>
      <c r="C744" s="134" t="s">
        <v>1551</v>
      </c>
      <c r="D744" s="27" t="s">
        <v>8374</v>
      </c>
      <c r="E744" s="27" t="s">
        <v>8902</v>
      </c>
      <c r="F744" s="27" t="s">
        <v>1280</v>
      </c>
      <c r="G744" s="101" t="s">
        <v>1553</v>
      </c>
      <c r="H744" s="75">
        <v>40814</v>
      </c>
      <c r="I744" s="73">
        <v>43952</v>
      </c>
      <c r="J744" s="73">
        <v>40814</v>
      </c>
      <c r="K744" s="73">
        <v>32029</v>
      </c>
      <c r="L744" s="19" t="s">
        <v>1554</v>
      </c>
      <c r="M744" s="3" t="s">
        <v>36</v>
      </c>
      <c r="N744" s="116" t="s">
        <v>14</v>
      </c>
      <c r="O744" s="104" t="s">
        <v>52</v>
      </c>
      <c r="P744" s="104" t="s">
        <v>52</v>
      </c>
      <c r="Q744" s="105"/>
      <c r="R744" s="26" t="s">
        <v>1538</v>
      </c>
      <c r="S744" s="225">
        <f t="shared" si="11"/>
        <v>53966</v>
      </c>
      <c r="T744" s="15" t="s">
        <v>7705</v>
      </c>
      <c r="U744" s="7" t="s">
        <v>62</v>
      </c>
      <c r="V744" s="162" t="str" cm="1">
        <f t="array" ref="V744">_xlfn.IFS(C744="","",COUNTIF(C744,"ตำแหน่งว่าง*"),"ว่าง",COUNTIF(C744,"&lt;&gt;ตำแหน่งว่าง*"),"คนครอง")</f>
        <v>คนครอง</v>
      </c>
      <c r="W744" s="49" cm="1">
        <f t="array" ref="W744">_xlfn.IFS(COUNTIF(F744,"ผบ.หมู่*"),51,COUNTIF(F744,"รอง สว.*"),43)</f>
        <v>51</v>
      </c>
      <c r="X744" s="3" t="s">
        <v>1552</v>
      </c>
      <c r="Y744" s="3" t="s">
        <v>52</v>
      </c>
    </row>
    <row r="745" spans="1:25" s="36" customFormat="1" ht="21.3" customHeight="1">
      <c r="A745" s="134"/>
      <c r="B745" s="26"/>
      <c r="C745" s="30" t="s">
        <v>18</v>
      </c>
      <c r="D745" s="27"/>
      <c r="E745" s="27"/>
      <c r="F745" s="68" t="s">
        <v>1280</v>
      </c>
      <c r="G745" s="121" t="s">
        <v>1556</v>
      </c>
      <c r="H745" s="91" t="s">
        <v>19</v>
      </c>
      <c r="I745" s="73" t="s">
        <v>19</v>
      </c>
      <c r="J745" s="73" t="s">
        <v>19</v>
      </c>
      <c r="K745" s="73" t="s">
        <v>19</v>
      </c>
      <c r="L745" s="19"/>
      <c r="M745" s="3"/>
      <c r="N745" s="172" t="s">
        <v>14</v>
      </c>
      <c r="O745" s="122" t="s">
        <v>52</v>
      </c>
      <c r="P745" s="122" t="s">
        <v>52</v>
      </c>
      <c r="Q745" s="105"/>
      <c r="R745" s="26"/>
      <c r="S745" s="225" t="str">
        <f t="shared" si="11"/>
        <v/>
      </c>
      <c r="T745" s="165" t="s">
        <v>7705</v>
      </c>
      <c r="U745" s="7" t="s">
        <v>62</v>
      </c>
      <c r="V745" s="171" t="str" cm="1">
        <f t="array" ref="V745">_xlfn.IFS(C745="","",COUNTIF(C745,"ตำแหน่งว่าง*"),"ว่าง",COUNTIF(C745,"&lt;&gt;ตำแหน่งว่าง*"),"คนครอง")</f>
        <v>ว่าง</v>
      </c>
      <c r="W745" s="49" cm="1">
        <f t="array" ref="W745">_xlfn.IFS(COUNTIF(F745,"ผบ.หมู่*"),51,COUNTIF(F745,"รอง สว.*"),43)</f>
        <v>51</v>
      </c>
      <c r="X745" s="8" t="s">
        <v>1555</v>
      </c>
      <c r="Y745" s="8" t="s">
        <v>52</v>
      </c>
    </row>
    <row r="746" spans="1:25" s="37" customFormat="1" ht="21.3" customHeight="1">
      <c r="A746" s="134"/>
      <c r="B746" s="26"/>
      <c r="C746" s="30" t="s">
        <v>18</v>
      </c>
      <c r="D746" s="27"/>
      <c r="E746" s="27"/>
      <c r="F746" s="68" t="s">
        <v>1280</v>
      </c>
      <c r="G746" s="121" t="s">
        <v>1558</v>
      </c>
      <c r="H746" s="91" t="s">
        <v>19</v>
      </c>
      <c r="I746" s="73" t="s">
        <v>19</v>
      </c>
      <c r="J746" s="73" t="s">
        <v>19</v>
      </c>
      <c r="K746" s="73" t="s">
        <v>19</v>
      </c>
      <c r="L746" s="19"/>
      <c r="M746" s="3"/>
      <c r="N746" s="172" t="s">
        <v>14</v>
      </c>
      <c r="O746" s="122" t="s">
        <v>52</v>
      </c>
      <c r="P746" s="122" t="s">
        <v>52</v>
      </c>
      <c r="Q746" s="105"/>
      <c r="R746" s="26"/>
      <c r="S746" s="225" t="str">
        <f t="shared" si="11"/>
        <v/>
      </c>
      <c r="T746" s="166" t="s">
        <v>7705</v>
      </c>
      <c r="U746" s="7" t="s">
        <v>62</v>
      </c>
      <c r="V746" s="171" t="str" cm="1">
        <f t="array" ref="V746">_xlfn.IFS(C746="","",COUNTIF(C746,"ตำแหน่งว่าง*"),"ว่าง",COUNTIF(C746,"&lt;&gt;ตำแหน่งว่าง*"),"คนครอง")</f>
        <v>ว่าง</v>
      </c>
      <c r="W746" s="49" cm="1">
        <f t="array" ref="W746">_xlfn.IFS(COUNTIF(F746,"ผบ.หมู่*"),51,COUNTIF(F746,"รอง สว.*"),43)</f>
        <v>51</v>
      </c>
      <c r="X746" s="8" t="s">
        <v>1557</v>
      </c>
      <c r="Y746" s="8" t="s">
        <v>52</v>
      </c>
    </row>
    <row r="747" spans="1:25" s="37" customFormat="1" ht="21.3" customHeight="1">
      <c r="A747" s="134"/>
      <c r="B747" s="26"/>
      <c r="C747" s="30" t="s">
        <v>18</v>
      </c>
      <c r="D747" s="27"/>
      <c r="E747" s="27"/>
      <c r="F747" s="68" t="s">
        <v>1280</v>
      </c>
      <c r="G747" s="121" t="s">
        <v>1560</v>
      </c>
      <c r="H747" s="91" t="s">
        <v>19</v>
      </c>
      <c r="I747" s="73" t="s">
        <v>19</v>
      </c>
      <c r="J747" s="73" t="s">
        <v>19</v>
      </c>
      <c r="K747" s="73" t="s">
        <v>19</v>
      </c>
      <c r="L747" s="19"/>
      <c r="M747" s="3"/>
      <c r="N747" s="172" t="s">
        <v>14</v>
      </c>
      <c r="O747" s="122" t="s">
        <v>52</v>
      </c>
      <c r="P747" s="122" t="s">
        <v>52</v>
      </c>
      <c r="Q747" s="105"/>
      <c r="R747" s="26"/>
      <c r="S747" s="225" t="str">
        <f t="shared" si="11"/>
        <v/>
      </c>
      <c r="T747" s="166" t="s">
        <v>7705</v>
      </c>
      <c r="U747" s="7" t="s">
        <v>62</v>
      </c>
      <c r="V747" s="171" t="str" cm="1">
        <f t="array" ref="V747">_xlfn.IFS(C747="","",COUNTIF(C747,"ตำแหน่งว่าง*"),"ว่าง",COUNTIF(C747,"&lt;&gt;ตำแหน่งว่าง*"),"คนครอง")</f>
        <v>ว่าง</v>
      </c>
      <c r="W747" s="49" cm="1">
        <f t="array" ref="W747">_xlfn.IFS(COUNTIF(F747,"ผบ.หมู่*"),51,COUNTIF(F747,"รอง สว.*"),43)</f>
        <v>51</v>
      </c>
      <c r="X747" s="8" t="s">
        <v>1559</v>
      </c>
      <c r="Y747" s="8" t="s">
        <v>52</v>
      </c>
    </row>
    <row r="748" spans="1:25" s="38" customFormat="1" ht="21.3" customHeight="1">
      <c r="A748" s="134"/>
      <c r="B748" s="26"/>
      <c r="C748" s="30" t="s">
        <v>18</v>
      </c>
      <c r="D748" s="27"/>
      <c r="E748" s="27"/>
      <c r="F748" s="68" t="s">
        <v>1280</v>
      </c>
      <c r="G748" s="121" t="s">
        <v>1562</v>
      </c>
      <c r="H748" s="75" t="s">
        <v>19</v>
      </c>
      <c r="I748" s="73" t="s">
        <v>19</v>
      </c>
      <c r="J748" s="73" t="s">
        <v>19</v>
      </c>
      <c r="K748" s="73" t="s">
        <v>19</v>
      </c>
      <c r="L748" s="19"/>
      <c r="M748" s="3"/>
      <c r="N748" s="172" t="s">
        <v>14</v>
      </c>
      <c r="O748" s="122" t="s">
        <v>52</v>
      </c>
      <c r="P748" s="122" t="s">
        <v>52</v>
      </c>
      <c r="Q748" s="105"/>
      <c r="R748" s="26"/>
      <c r="S748" s="225" t="str">
        <f t="shared" si="11"/>
        <v/>
      </c>
      <c r="T748" s="15" t="s">
        <v>7705</v>
      </c>
      <c r="U748" s="7" t="s">
        <v>62</v>
      </c>
      <c r="V748" s="171" t="str" cm="1">
        <f t="array" ref="V748">_xlfn.IFS(C748="","",COUNTIF(C748,"ตำแหน่งว่าง*"),"ว่าง",COUNTIF(C748,"&lt;&gt;ตำแหน่งว่าง*"),"คนครอง")</f>
        <v>ว่าง</v>
      </c>
      <c r="W748" s="49" cm="1">
        <f t="array" ref="W748">_xlfn.IFS(COUNTIF(F748,"ผบ.หมู่*"),51,COUNTIF(F748,"รอง สว.*"),43)</f>
        <v>51</v>
      </c>
      <c r="X748" s="8" t="s">
        <v>1561</v>
      </c>
      <c r="Y748" s="8" t="s">
        <v>52</v>
      </c>
    </row>
    <row r="749" spans="1:25" s="37" customFormat="1" ht="21.3" customHeight="1">
      <c r="A749" s="134"/>
      <c r="B749" s="29"/>
      <c r="C749" s="30" t="s">
        <v>18</v>
      </c>
      <c r="D749" s="27"/>
      <c r="E749" s="27"/>
      <c r="F749" s="68" t="s">
        <v>1280</v>
      </c>
      <c r="G749" s="121" t="s">
        <v>1564</v>
      </c>
      <c r="H749" s="75" t="s">
        <v>19</v>
      </c>
      <c r="I749" s="73" t="s">
        <v>19</v>
      </c>
      <c r="J749" s="73" t="s">
        <v>19</v>
      </c>
      <c r="K749" s="73" t="s">
        <v>19</v>
      </c>
      <c r="L749" s="19"/>
      <c r="M749" s="3"/>
      <c r="N749" s="172" t="s">
        <v>14</v>
      </c>
      <c r="O749" s="122" t="s">
        <v>52</v>
      </c>
      <c r="P749" s="122" t="s">
        <v>52</v>
      </c>
      <c r="Q749" s="106"/>
      <c r="R749" s="29"/>
      <c r="S749" s="225" t="str">
        <f t="shared" si="11"/>
        <v/>
      </c>
      <c r="T749" s="166" t="s">
        <v>7705</v>
      </c>
      <c r="U749" s="7" t="s">
        <v>62</v>
      </c>
      <c r="V749" s="171" t="str" cm="1">
        <f t="array" ref="V749">_xlfn.IFS(C749="","",COUNTIF(C749,"ตำแหน่งว่าง*"),"ว่าง",COUNTIF(C749,"&lt;&gt;ตำแหน่งว่าง*"),"คนครอง")</f>
        <v>ว่าง</v>
      </c>
      <c r="W749" s="49" cm="1">
        <f t="array" ref="W749">_xlfn.IFS(COUNTIF(F749,"ผบ.หมู่*"),51,COUNTIF(F749,"รอง สว.*"),43)</f>
        <v>51</v>
      </c>
      <c r="X749" s="8" t="s">
        <v>1563</v>
      </c>
      <c r="Y749" s="8" t="s">
        <v>52</v>
      </c>
    </row>
    <row r="750" spans="1:25" s="53" customFormat="1" ht="21.3" customHeight="1">
      <c r="A750" s="94"/>
      <c r="B750" s="29"/>
      <c r="C750" s="30" t="s">
        <v>18</v>
      </c>
      <c r="D750" s="27"/>
      <c r="E750" s="27"/>
      <c r="F750" s="68" t="s">
        <v>1280</v>
      </c>
      <c r="G750" s="121" t="s">
        <v>1566</v>
      </c>
      <c r="H750" s="80" t="s">
        <v>19</v>
      </c>
      <c r="I750" s="80" t="s">
        <v>19</v>
      </c>
      <c r="J750" s="80" t="s">
        <v>19</v>
      </c>
      <c r="K750" s="80" t="s">
        <v>19</v>
      </c>
      <c r="L750" s="52"/>
      <c r="M750" s="29"/>
      <c r="N750" s="172" t="s">
        <v>14</v>
      </c>
      <c r="O750" s="122" t="s">
        <v>52</v>
      </c>
      <c r="P750" s="122" t="s">
        <v>52</v>
      </c>
      <c r="Q750" s="106"/>
      <c r="R750" s="29"/>
      <c r="S750" s="225" t="str">
        <f t="shared" si="11"/>
        <v/>
      </c>
      <c r="T750" s="94" t="s">
        <v>7705</v>
      </c>
      <c r="U750" s="7" t="s">
        <v>62</v>
      </c>
      <c r="V750" s="171" t="str" cm="1">
        <f t="array" ref="V750">_xlfn.IFS(C750="","",COUNTIF(C750,"ตำแหน่งว่าง*"),"ว่าง",COUNTIF(C750,"&lt;&gt;ตำแหน่งว่าง*"),"คนครอง")</f>
        <v>ว่าง</v>
      </c>
      <c r="W750" s="49" cm="1">
        <f t="array" ref="W750">_xlfn.IFS(COUNTIF(F750,"ผบ.หมู่*"),51,COUNTIF(F750,"รอง สว.*"),43)</f>
        <v>51</v>
      </c>
      <c r="X750" s="29" t="s">
        <v>1565</v>
      </c>
      <c r="Y750" s="29" t="s">
        <v>52</v>
      </c>
    </row>
    <row r="751" spans="1:25" s="38" customFormat="1" ht="21.3" customHeight="1">
      <c r="A751" s="27" t="s">
        <v>612</v>
      </c>
      <c r="B751" s="26" t="s">
        <v>21</v>
      </c>
      <c r="C751" s="134" t="s">
        <v>1567</v>
      </c>
      <c r="D751" s="27" t="s">
        <v>8903</v>
      </c>
      <c r="E751" s="27" t="s">
        <v>8904</v>
      </c>
      <c r="F751" s="27" t="s">
        <v>1280</v>
      </c>
      <c r="G751" s="101" t="s">
        <v>1569</v>
      </c>
      <c r="H751" s="75">
        <v>41944</v>
      </c>
      <c r="I751" s="73">
        <v>41944</v>
      </c>
      <c r="J751" s="73">
        <v>41944</v>
      </c>
      <c r="K751" s="73">
        <v>32152</v>
      </c>
      <c r="L751" s="19" t="s">
        <v>1105</v>
      </c>
      <c r="M751" s="3" t="s">
        <v>79</v>
      </c>
      <c r="N751" s="116" t="s">
        <v>14</v>
      </c>
      <c r="O751" s="104" t="s">
        <v>52</v>
      </c>
      <c r="P751" s="104" t="s">
        <v>52</v>
      </c>
      <c r="Q751" s="105"/>
      <c r="R751" s="26" t="s">
        <v>641</v>
      </c>
      <c r="S751" s="225">
        <f t="shared" si="11"/>
        <v>54332</v>
      </c>
      <c r="T751" s="15" t="s">
        <v>7705</v>
      </c>
      <c r="U751" s="7" t="s">
        <v>62</v>
      </c>
      <c r="V751" s="162" t="str" cm="1">
        <f t="array" ref="V751">_xlfn.IFS(C751="","",COUNTIF(C751,"ตำแหน่งว่าง*"),"ว่าง",COUNTIF(C751,"&lt;&gt;ตำแหน่งว่าง*"),"คนครอง")</f>
        <v>คนครอง</v>
      </c>
      <c r="W751" s="49" cm="1">
        <f t="array" ref="W751">_xlfn.IFS(COUNTIF(F751,"ผบ.หมู่*"),51,COUNTIF(F751,"รอง สว.*"),43)</f>
        <v>51</v>
      </c>
      <c r="X751" s="3" t="s">
        <v>1568</v>
      </c>
      <c r="Y751" s="3" t="s">
        <v>52</v>
      </c>
    </row>
    <row r="752" spans="1:25" s="38" customFormat="1" ht="21.3" customHeight="1">
      <c r="A752" s="27" t="s">
        <v>612</v>
      </c>
      <c r="B752" s="26" t="s">
        <v>12</v>
      </c>
      <c r="C752" s="134" t="s">
        <v>1570</v>
      </c>
      <c r="D752" s="27" t="s">
        <v>8278</v>
      </c>
      <c r="E752" s="27" t="s">
        <v>8905</v>
      </c>
      <c r="F752" s="27" t="s">
        <v>1280</v>
      </c>
      <c r="G752" s="101" t="s">
        <v>1572</v>
      </c>
      <c r="H752" s="75">
        <v>41944</v>
      </c>
      <c r="I752" s="73">
        <v>41944</v>
      </c>
      <c r="J752" s="73">
        <v>41944</v>
      </c>
      <c r="K752" s="73">
        <v>32869</v>
      </c>
      <c r="L752" s="19" t="s">
        <v>1573</v>
      </c>
      <c r="M752" s="3" t="s">
        <v>15</v>
      </c>
      <c r="N752" s="116" t="s">
        <v>14</v>
      </c>
      <c r="O752" s="104" t="s">
        <v>52</v>
      </c>
      <c r="P752" s="104" t="s">
        <v>52</v>
      </c>
      <c r="Q752" s="105"/>
      <c r="R752" s="26" t="s">
        <v>641</v>
      </c>
      <c r="S752" s="225">
        <f t="shared" si="11"/>
        <v>55062</v>
      </c>
      <c r="T752" s="15" t="s">
        <v>7705</v>
      </c>
      <c r="U752" s="7" t="s">
        <v>62</v>
      </c>
      <c r="V752" s="162" t="str" cm="1">
        <f t="array" ref="V752">_xlfn.IFS(C752="","",COUNTIF(C752,"ตำแหน่งว่าง*"),"ว่าง",COUNTIF(C752,"&lt;&gt;ตำแหน่งว่าง*"),"คนครอง")</f>
        <v>คนครอง</v>
      </c>
      <c r="W752" s="49" cm="1">
        <f t="array" ref="W752">_xlfn.IFS(COUNTIF(F752,"ผบ.หมู่*"),51,COUNTIF(F752,"รอง สว.*"),43)</f>
        <v>51</v>
      </c>
      <c r="X752" s="3" t="s">
        <v>1571</v>
      </c>
      <c r="Y752" s="3" t="s">
        <v>52</v>
      </c>
    </row>
    <row r="753" spans="1:25" s="37" customFormat="1" ht="21.3" customHeight="1">
      <c r="A753" s="134"/>
      <c r="B753" s="26"/>
      <c r="C753" s="30" t="s">
        <v>18</v>
      </c>
      <c r="D753" s="27"/>
      <c r="E753" s="27"/>
      <c r="F753" s="68" t="s">
        <v>1280</v>
      </c>
      <c r="G753" s="121" t="s">
        <v>1575</v>
      </c>
      <c r="H753" s="75" t="s">
        <v>19</v>
      </c>
      <c r="I753" s="73" t="s">
        <v>19</v>
      </c>
      <c r="J753" s="73" t="s">
        <v>19</v>
      </c>
      <c r="K753" s="73" t="s">
        <v>19</v>
      </c>
      <c r="L753" s="19"/>
      <c r="M753" s="3"/>
      <c r="N753" s="172" t="s">
        <v>14</v>
      </c>
      <c r="O753" s="122" t="s">
        <v>52</v>
      </c>
      <c r="P753" s="122" t="s">
        <v>52</v>
      </c>
      <c r="Q753" s="105"/>
      <c r="R753" s="26"/>
      <c r="S753" s="225" t="str">
        <f t="shared" si="11"/>
        <v/>
      </c>
      <c r="T753" s="166" t="s">
        <v>7705</v>
      </c>
      <c r="U753" s="7" t="s">
        <v>62</v>
      </c>
      <c r="V753" s="171" t="str" cm="1">
        <f t="array" ref="V753">_xlfn.IFS(C753="","",COUNTIF(C753,"ตำแหน่งว่าง*"),"ว่าง",COUNTIF(C753,"&lt;&gt;ตำแหน่งว่าง*"),"คนครอง")</f>
        <v>ว่าง</v>
      </c>
      <c r="W753" s="49" cm="1">
        <f t="array" ref="W753">_xlfn.IFS(COUNTIF(F753,"ผบ.หมู่*"),51,COUNTIF(F753,"รอง สว.*"),43)</f>
        <v>51</v>
      </c>
      <c r="X753" s="8" t="s">
        <v>1574</v>
      </c>
      <c r="Y753" s="8" t="s">
        <v>52</v>
      </c>
    </row>
    <row r="754" spans="1:25" s="37" customFormat="1" ht="21.3" customHeight="1">
      <c r="A754" s="134"/>
      <c r="B754" s="26"/>
      <c r="C754" s="30" t="s">
        <v>18</v>
      </c>
      <c r="D754" s="27"/>
      <c r="E754" s="27"/>
      <c r="F754" s="68" t="s">
        <v>1280</v>
      </c>
      <c r="G754" s="121" t="s">
        <v>1577</v>
      </c>
      <c r="H754" s="75" t="s">
        <v>19</v>
      </c>
      <c r="I754" s="73" t="s">
        <v>19</v>
      </c>
      <c r="J754" s="73" t="s">
        <v>19</v>
      </c>
      <c r="K754" s="73" t="s">
        <v>19</v>
      </c>
      <c r="L754" s="19"/>
      <c r="M754" s="3"/>
      <c r="N754" s="172" t="s">
        <v>14</v>
      </c>
      <c r="O754" s="122" t="s">
        <v>52</v>
      </c>
      <c r="P754" s="122" t="s">
        <v>52</v>
      </c>
      <c r="Q754" s="105"/>
      <c r="R754" s="26"/>
      <c r="S754" s="225" t="str">
        <f t="shared" si="11"/>
        <v/>
      </c>
      <c r="T754" s="166" t="s">
        <v>7705</v>
      </c>
      <c r="U754" s="7" t="s">
        <v>62</v>
      </c>
      <c r="V754" s="171" t="str" cm="1">
        <f t="array" ref="V754">_xlfn.IFS(C754="","",COUNTIF(C754,"ตำแหน่งว่าง*"),"ว่าง",COUNTIF(C754,"&lt;&gt;ตำแหน่งว่าง*"),"คนครอง")</f>
        <v>ว่าง</v>
      </c>
      <c r="W754" s="49" cm="1">
        <f t="array" ref="W754">_xlfn.IFS(COUNTIF(F754,"ผบ.หมู่*"),51,COUNTIF(F754,"รอง สว.*"),43)</f>
        <v>51</v>
      </c>
      <c r="X754" s="8" t="s">
        <v>1576</v>
      </c>
      <c r="Y754" s="8" t="s">
        <v>52</v>
      </c>
    </row>
    <row r="755" spans="1:25" s="38" customFormat="1" ht="21.3" customHeight="1">
      <c r="A755" s="27" t="s">
        <v>612</v>
      </c>
      <c r="B755" s="26" t="s">
        <v>21</v>
      </c>
      <c r="C755" s="134" t="s">
        <v>1578</v>
      </c>
      <c r="D755" s="27" t="s">
        <v>8906</v>
      </c>
      <c r="E755" s="27" t="s">
        <v>8907</v>
      </c>
      <c r="F755" s="27" t="s">
        <v>1280</v>
      </c>
      <c r="G755" s="101" t="s">
        <v>1580</v>
      </c>
      <c r="H755" s="75">
        <v>41944</v>
      </c>
      <c r="I755" s="73">
        <v>41944</v>
      </c>
      <c r="J755" s="73">
        <v>41944</v>
      </c>
      <c r="K755" s="73">
        <v>29444</v>
      </c>
      <c r="L755" s="19" t="s">
        <v>1105</v>
      </c>
      <c r="M755" s="3" t="s">
        <v>64</v>
      </c>
      <c r="N755" s="116" t="s">
        <v>14</v>
      </c>
      <c r="O755" s="104" t="s">
        <v>52</v>
      </c>
      <c r="P755" s="104" t="s">
        <v>52</v>
      </c>
      <c r="Q755" s="105"/>
      <c r="R755" s="26" t="s">
        <v>641</v>
      </c>
      <c r="S755" s="225">
        <f t="shared" si="11"/>
        <v>51410</v>
      </c>
      <c r="T755" s="15" t="s">
        <v>7705</v>
      </c>
      <c r="U755" s="7" t="s">
        <v>62</v>
      </c>
      <c r="V755" s="162" t="str" cm="1">
        <f t="array" ref="V755">_xlfn.IFS(C755="","",COUNTIF(C755,"ตำแหน่งว่าง*"),"ว่าง",COUNTIF(C755,"&lt;&gt;ตำแหน่งว่าง*"),"คนครอง")</f>
        <v>คนครอง</v>
      </c>
      <c r="W755" s="49" cm="1">
        <f t="array" ref="W755">_xlfn.IFS(COUNTIF(F755,"ผบ.หมู่*"),51,COUNTIF(F755,"รอง สว.*"),43)</f>
        <v>51</v>
      </c>
      <c r="X755" s="3" t="s">
        <v>1579</v>
      </c>
      <c r="Y755" s="3" t="s">
        <v>52</v>
      </c>
    </row>
    <row r="756" spans="1:25" s="37" customFormat="1" ht="21.3" customHeight="1">
      <c r="A756" s="134"/>
      <c r="B756" s="26"/>
      <c r="C756" s="30" t="s">
        <v>18</v>
      </c>
      <c r="D756" s="27"/>
      <c r="E756" s="27"/>
      <c r="F756" s="68" t="s">
        <v>1280</v>
      </c>
      <c r="G756" s="121" t="s">
        <v>1582</v>
      </c>
      <c r="H756" s="91" t="s">
        <v>19</v>
      </c>
      <c r="I756" s="73" t="s">
        <v>19</v>
      </c>
      <c r="J756" s="73" t="s">
        <v>19</v>
      </c>
      <c r="K756" s="73" t="s">
        <v>19</v>
      </c>
      <c r="L756" s="19"/>
      <c r="M756" s="3"/>
      <c r="N756" s="172" t="s">
        <v>14</v>
      </c>
      <c r="O756" s="122" t="s">
        <v>52</v>
      </c>
      <c r="P756" s="122" t="s">
        <v>52</v>
      </c>
      <c r="Q756" s="105"/>
      <c r="R756" s="26"/>
      <c r="S756" s="225" t="str">
        <f t="shared" si="11"/>
        <v/>
      </c>
      <c r="T756" s="166" t="s">
        <v>7705</v>
      </c>
      <c r="U756" s="7" t="s">
        <v>62</v>
      </c>
      <c r="V756" s="171" t="str" cm="1">
        <f t="array" ref="V756">_xlfn.IFS(C756="","",COUNTIF(C756,"ตำแหน่งว่าง*"),"ว่าง",COUNTIF(C756,"&lt;&gt;ตำแหน่งว่าง*"),"คนครอง")</f>
        <v>ว่าง</v>
      </c>
      <c r="W756" s="49" cm="1">
        <f t="array" ref="W756">_xlfn.IFS(COUNTIF(F756,"ผบ.หมู่*"),51,COUNTIF(F756,"รอง สว.*"),43)</f>
        <v>51</v>
      </c>
      <c r="X756" s="8" t="s">
        <v>1581</v>
      </c>
      <c r="Y756" s="8" t="s">
        <v>52</v>
      </c>
    </row>
    <row r="757" spans="1:25" s="37" customFormat="1" ht="21.3" customHeight="1">
      <c r="A757" s="134"/>
      <c r="B757" s="26"/>
      <c r="C757" s="30" t="s">
        <v>18</v>
      </c>
      <c r="D757" s="27"/>
      <c r="E757" s="27"/>
      <c r="F757" s="68" t="s">
        <v>1280</v>
      </c>
      <c r="G757" s="121" t="s">
        <v>1584</v>
      </c>
      <c r="H757" s="91" t="s">
        <v>19</v>
      </c>
      <c r="I757" s="73" t="s">
        <v>19</v>
      </c>
      <c r="J757" s="73" t="s">
        <v>19</v>
      </c>
      <c r="K757" s="73" t="s">
        <v>19</v>
      </c>
      <c r="L757" s="19"/>
      <c r="M757" s="3"/>
      <c r="N757" s="172" t="s">
        <v>14</v>
      </c>
      <c r="O757" s="122" t="s">
        <v>52</v>
      </c>
      <c r="P757" s="122" t="s">
        <v>52</v>
      </c>
      <c r="Q757" s="105"/>
      <c r="R757" s="26"/>
      <c r="S757" s="225" t="str">
        <f t="shared" si="11"/>
        <v/>
      </c>
      <c r="T757" s="166" t="s">
        <v>7705</v>
      </c>
      <c r="U757" s="7" t="s">
        <v>62</v>
      </c>
      <c r="V757" s="171" t="str" cm="1">
        <f t="array" ref="V757">_xlfn.IFS(C757="","",COUNTIF(C757,"ตำแหน่งว่าง*"),"ว่าง",COUNTIF(C757,"&lt;&gt;ตำแหน่งว่าง*"),"คนครอง")</f>
        <v>ว่าง</v>
      </c>
      <c r="W757" s="49" cm="1">
        <f t="array" ref="W757">_xlfn.IFS(COUNTIF(F757,"ผบ.หมู่*"),51,COUNTIF(F757,"รอง สว.*"),43)</f>
        <v>51</v>
      </c>
      <c r="X757" s="8" t="s">
        <v>1583</v>
      </c>
      <c r="Y757" s="8" t="s">
        <v>52</v>
      </c>
    </row>
    <row r="758" spans="1:25" s="37" customFormat="1" ht="21.3" customHeight="1">
      <c r="A758" s="134"/>
      <c r="B758" s="26"/>
      <c r="C758" s="30" t="s">
        <v>18</v>
      </c>
      <c r="D758" s="27"/>
      <c r="E758" s="27"/>
      <c r="F758" s="68" t="s">
        <v>1280</v>
      </c>
      <c r="G758" s="121" t="s">
        <v>1586</v>
      </c>
      <c r="H758" s="91" t="s">
        <v>19</v>
      </c>
      <c r="I758" s="73" t="s">
        <v>19</v>
      </c>
      <c r="J758" s="73" t="s">
        <v>19</v>
      </c>
      <c r="K758" s="73" t="s">
        <v>19</v>
      </c>
      <c r="L758" s="19"/>
      <c r="M758" s="3"/>
      <c r="N758" s="172" t="s">
        <v>14</v>
      </c>
      <c r="O758" s="122" t="s">
        <v>52</v>
      </c>
      <c r="P758" s="122" t="s">
        <v>52</v>
      </c>
      <c r="Q758" s="105"/>
      <c r="R758" s="26"/>
      <c r="S758" s="225" t="str">
        <f t="shared" si="11"/>
        <v/>
      </c>
      <c r="T758" s="166" t="s">
        <v>7705</v>
      </c>
      <c r="U758" s="7" t="s">
        <v>62</v>
      </c>
      <c r="V758" s="171" t="str" cm="1">
        <f t="array" ref="V758">_xlfn.IFS(C758="","",COUNTIF(C758,"ตำแหน่งว่าง*"),"ว่าง",COUNTIF(C758,"&lt;&gt;ตำแหน่งว่าง*"),"คนครอง")</f>
        <v>ว่าง</v>
      </c>
      <c r="W758" s="49" cm="1">
        <f t="array" ref="W758">_xlfn.IFS(COUNTIF(F758,"ผบ.หมู่*"),51,COUNTIF(F758,"รอง สว.*"),43)</f>
        <v>51</v>
      </c>
      <c r="X758" s="8" t="s">
        <v>1585</v>
      </c>
      <c r="Y758" s="8" t="s">
        <v>52</v>
      </c>
    </row>
    <row r="759" spans="1:25" s="38" customFormat="1" ht="21.3" customHeight="1">
      <c r="A759" s="94"/>
      <c r="B759" s="29"/>
      <c r="C759" s="30" t="s">
        <v>18</v>
      </c>
      <c r="D759" s="27"/>
      <c r="E759" s="27"/>
      <c r="F759" s="68" t="s">
        <v>1280</v>
      </c>
      <c r="G759" s="121" t="s">
        <v>1588</v>
      </c>
      <c r="H759" s="80" t="s">
        <v>19</v>
      </c>
      <c r="I759" s="74" t="s">
        <v>19</v>
      </c>
      <c r="J759" s="74" t="s">
        <v>19</v>
      </c>
      <c r="K759" s="74" t="s">
        <v>19</v>
      </c>
      <c r="L759" s="44"/>
      <c r="M759" s="8"/>
      <c r="N759" s="172" t="s">
        <v>14</v>
      </c>
      <c r="O759" s="122" t="s">
        <v>52</v>
      </c>
      <c r="P759" s="122" t="s">
        <v>52</v>
      </c>
      <c r="Q759" s="106"/>
      <c r="R759" s="29"/>
      <c r="S759" s="225" t="str">
        <f t="shared" si="11"/>
        <v/>
      </c>
      <c r="T759" s="15" t="s">
        <v>7705</v>
      </c>
      <c r="U759" s="7" t="s">
        <v>62</v>
      </c>
      <c r="V759" s="171" t="str" cm="1">
        <f t="array" ref="V759">_xlfn.IFS(C759="","",COUNTIF(C759,"ตำแหน่งว่าง*"),"ว่าง",COUNTIF(C759,"&lt;&gt;ตำแหน่งว่าง*"),"คนครอง")</f>
        <v>ว่าง</v>
      </c>
      <c r="W759" s="49" cm="1">
        <f t="array" ref="W759">_xlfn.IFS(COUNTIF(F759,"ผบ.หมู่*"),51,COUNTIF(F759,"รอง สว.*"),43)</f>
        <v>51</v>
      </c>
      <c r="X759" s="8" t="s">
        <v>1587</v>
      </c>
      <c r="Y759" s="8" t="s">
        <v>52</v>
      </c>
    </row>
    <row r="760" spans="1:25" s="38" customFormat="1" ht="21.3" customHeight="1">
      <c r="A760" s="27" t="s">
        <v>612</v>
      </c>
      <c r="B760" s="26" t="s">
        <v>21</v>
      </c>
      <c r="C760" s="134" t="s">
        <v>1589</v>
      </c>
      <c r="D760" s="27" t="s">
        <v>8057</v>
      </c>
      <c r="E760" s="27" t="s">
        <v>8908</v>
      </c>
      <c r="F760" s="27" t="s">
        <v>1280</v>
      </c>
      <c r="G760" s="101" t="s">
        <v>1591</v>
      </c>
      <c r="H760" s="75">
        <v>41944</v>
      </c>
      <c r="I760" s="73">
        <v>41944</v>
      </c>
      <c r="J760" s="73">
        <v>41944</v>
      </c>
      <c r="K760" s="73">
        <v>34168</v>
      </c>
      <c r="L760" s="19" t="s">
        <v>1592</v>
      </c>
      <c r="M760" s="3" t="s">
        <v>56</v>
      </c>
      <c r="N760" s="116" t="s">
        <v>14</v>
      </c>
      <c r="O760" s="104" t="s">
        <v>52</v>
      </c>
      <c r="P760" s="104" t="s">
        <v>52</v>
      </c>
      <c r="Q760" s="105"/>
      <c r="R760" s="26" t="s">
        <v>641</v>
      </c>
      <c r="S760" s="225">
        <f t="shared" si="11"/>
        <v>56158</v>
      </c>
      <c r="T760" s="15" t="s">
        <v>7705</v>
      </c>
      <c r="U760" s="7" t="s">
        <v>62</v>
      </c>
      <c r="V760" s="162" t="str" cm="1">
        <f t="array" ref="V760">_xlfn.IFS(C760="","",COUNTIF(C760,"ตำแหน่งว่าง*"),"ว่าง",COUNTIF(C760,"&lt;&gt;ตำแหน่งว่าง*"),"คนครอง")</f>
        <v>คนครอง</v>
      </c>
      <c r="W760" s="49" cm="1">
        <f t="array" ref="W760">_xlfn.IFS(COUNTIF(F760,"ผบ.หมู่*"),51,COUNTIF(F760,"รอง สว.*"),43)</f>
        <v>51</v>
      </c>
      <c r="X760" s="3" t="s">
        <v>1590</v>
      </c>
      <c r="Y760" s="3" t="s">
        <v>52</v>
      </c>
    </row>
    <row r="761" spans="1:25" s="37" customFormat="1" ht="21.3" customHeight="1">
      <c r="A761" s="134"/>
      <c r="B761" s="29"/>
      <c r="C761" s="30" t="s">
        <v>18</v>
      </c>
      <c r="D761" s="27"/>
      <c r="E761" s="27"/>
      <c r="F761" s="68" t="s">
        <v>1280</v>
      </c>
      <c r="G761" s="121" t="s">
        <v>1594</v>
      </c>
      <c r="H761" s="91" t="s">
        <v>19</v>
      </c>
      <c r="I761" s="73" t="s">
        <v>19</v>
      </c>
      <c r="J761" s="73" t="s">
        <v>19</v>
      </c>
      <c r="K761" s="73" t="s">
        <v>19</v>
      </c>
      <c r="L761" s="19"/>
      <c r="M761" s="3"/>
      <c r="N761" s="172" t="s">
        <v>14</v>
      </c>
      <c r="O761" s="122" t="s">
        <v>52</v>
      </c>
      <c r="P761" s="122" t="s">
        <v>52</v>
      </c>
      <c r="Q761" s="105"/>
      <c r="R761" s="26"/>
      <c r="S761" s="225" t="str">
        <f t="shared" si="11"/>
        <v/>
      </c>
      <c r="T761" s="166" t="s">
        <v>7705</v>
      </c>
      <c r="U761" s="7" t="s">
        <v>62</v>
      </c>
      <c r="V761" s="171" t="str" cm="1">
        <f t="array" ref="V761">_xlfn.IFS(C761="","",COUNTIF(C761,"ตำแหน่งว่าง*"),"ว่าง",COUNTIF(C761,"&lt;&gt;ตำแหน่งว่าง*"),"คนครอง")</f>
        <v>ว่าง</v>
      </c>
      <c r="W761" s="49" cm="1">
        <f t="array" ref="W761">_xlfn.IFS(COUNTIF(F761,"ผบ.หมู่*"),51,COUNTIF(F761,"รอง สว.*"),43)</f>
        <v>51</v>
      </c>
      <c r="X761" s="8" t="s">
        <v>1593</v>
      </c>
      <c r="Y761" s="8" t="s">
        <v>52</v>
      </c>
    </row>
    <row r="762" spans="1:25" s="37" customFormat="1" ht="21.3" customHeight="1">
      <c r="A762" s="134"/>
      <c r="B762" s="26"/>
      <c r="C762" s="30" t="s">
        <v>18</v>
      </c>
      <c r="D762" s="27"/>
      <c r="E762" s="27"/>
      <c r="F762" s="68" t="s">
        <v>1280</v>
      </c>
      <c r="G762" s="121" t="s">
        <v>1596</v>
      </c>
      <c r="H762" s="91" t="s">
        <v>19</v>
      </c>
      <c r="I762" s="73" t="s">
        <v>19</v>
      </c>
      <c r="J762" s="73" t="s">
        <v>19</v>
      </c>
      <c r="K762" s="73" t="s">
        <v>19</v>
      </c>
      <c r="L762" s="19"/>
      <c r="M762" s="3"/>
      <c r="N762" s="172" t="s">
        <v>14</v>
      </c>
      <c r="O762" s="122" t="s">
        <v>52</v>
      </c>
      <c r="P762" s="122" t="s">
        <v>52</v>
      </c>
      <c r="Q762" s="105"/>
      <c r="R762" s="26"/>
      <c r="S762" s="225" t="str">
        <f t="shared" si="11"/>
        <v/>
      </c>
      <c r="T762" s="166" t="s">
        <v>7705</v>
      </c>
      <c r="U762" s="7" t="s">
        <v>62</v>
      </c>
      <c r="V762" s="171" t="str" cm="1">
        <f t="array" ref="V762">_xlfn.IFS(C762="","",COUNTIF(C762,"ตำแหน่งว่าง*"),"ว่าง",COUNTIF(C762,"&lt;&gt;ตำแหน่งว่าง*"),"คนครอง")</f>
        <v>ว่าง</v>
      </c>
      <c r="W762" s="49" cm="1">
        <f t="array" ref="W762">_xlfn.IFS(COUNTIF(F762,"ผบ.หมู่*"),51,COUNTIF(F762,"รอง สว.*"),43)</f>
        <v>51</v>
      </c>
      <c r="X762" s="8" t="s">
        <v>1595</v>
      </c>
      <c r="Y762" s="8" t="s">
        <v>52</v>
      </c>
    </row>
    <row r="763" spans="1:25" s="37" customFormat="1" ht="21.3" customHeight="1">
      <c r="A763" s="134"/>
      <c r="B763" s="26"/>
      <c r="C763" s="30" t="s">
        <v>18</v>
      </c>
      <c r="D763" s="27"/>
      <c r="E763" s="27"/>
      <c r="F763" s="68" t="s">
        <v>1280</v>
      </c>
      <c r="G763" s="121" t="s">
        <v>1598</v>
      </c>
      <c r="H763" s="91" t="s">
        <v>19</v>
      </c>
      <c r="I763" s="73" t="s">
        <v>19</v>
      </c>
      <c r="J763" s="73" t="s">
        <v>19</v>
      </c>
      <c r="K763" s="73" t="s">
        <v>19</v>
      </c>
      <c r="L763" s="19"/>
      <c r="M763" s="3"/>
      <c r="N763" s="172" t="s">
        <v>14</v>
      </c>
      <c r="O763" s="122" t="s">
        <v>52</v>
      </c>
      <c r="P763" s="122" t="s">
        <v>52</v>
      </c>
      <c r="Q763" s="105"/>
      <c r="R763" s="26"/>
      <c r="S763" s="225" t="str">
        <f t="shared" si="11"/>
        <v/>
      </c>
      <c r="T763" s="166" t="s">
        <v>7705</v>
      </c>
      <c r="U763" s="7" t="s">
        <v>62</v>
      </c>
      <c r="V763" s="171" t="str" cm="1">
        <f t="array" ref="V763">_xlfn.IFS(C763="","",COUNTIF(C763,"ตำแหน่งว่าง*"),"ว่าง",COUNTIF(C763,"&lt;&gt;ตำแหน่งว่าง*"),"คนครอง")</f>
        <v>ว่าง</v>
      </c>
      <c r="W763" s="49" cm="1">
        <f t="array" ref="W763">_xlfn.IFS(COUNTIF(F763,"ผบ.หมู่*"),51,COUNTIF(F763,"รอง สว.*"),43)</f>
        <v>51</v>
      </c>
      <c r="X763" s="8" t="s">
        <v>1597</v>
      </c>
      <c r="Y763" s="8" t="s">
        <v>52</v>
      </c>
    </row>
    <row r="764" spans="1:25" s="37" customFormat="1" ht="21.3" customHeight="1">
      <c r="A764" s="134"/>
      <c r="B764" s="29"/>
      <c r="C764" s="30" t="s">
        <v>18</v>
      </c>
      <c r="D764" s="27"/>
      <c r="E764" s="27"/>
      <c r="F764" s="68" t="s">
        <v>1280</v>
      </c>
      <c r="G764" s="121" t="s">
        <v>1600</v>
      </c>
      <c r="H764" s="91" t="s">
        <v>19</v>
      </c>
      <c r="I764" s="73" t="s">
        <v>19</v>
      </c>
      <c r="J764" s="73" t="s">
        <v>19</v>
      </c>
      <c r="K764" s="73" t="s">
        <v>19</v>
      </c>
      <c r="L764" s="19"/>
      <c r="M764" s="3"/>
      <c r="N764" s="172" t="s">
        <v>14</v>
      </c>
      <c r="O764" s="122" t="s">
        <v>52</v>
      </c>
      <c r="P764" s="122" t="s">
        <v>52</v>
      </c>
      <c r="Q764" s="106"/>
      <c r="R764" s="29"/>
      <c r="S764" s="225" t="str">
        <f t="shared" si="11"/>
        <v/>
      </c>
      <c r="T764" s="166" t="s">
        <v>7705</v>
      </c>
      <c r="U764" s="7" t="s">
        <v>62</v>
      </c>
      <c r="V764" s="171" t="str" cm="1">
        <f t="array" ref="V764">_xlfn.IFS(C764="","",COUNTIF(C764,"ตำแหน่งว่าง*"),"ว่าง",COUNTIF(C764,"&lt;&gt;ตำแหน่งว่าง*"),"คนครอง")</f>
        <v>ว่าง</v>
      </c>
      <c r="W764" s="49" cm="1">
        <f t="array" ref="W764">_xlfn.IFS(COUNTIF(F764,"ผบ.หมู่*"),51,COUNTIF(F764,"รอง สว.*"),43)</f>
        <v>51</v>
      </c>
      <c r="X764" s="8" t="s">
        <v>1599</v>
      </c>
      <c r="Y764" s="8" t="s">
        <v>52</v>
      </c>
    </row>
    <row r="765" spans="1:25" s="38" customFormat="1" ht="21.3" customHeight="1">
      <c r="A765" s="27" t="s">
        <v>612</v>
      </c>
      <c r="B765" s="26" t="s">
        <v>12</v>
      </c>
      <c r="C765" s="134" t="s">
        <v>1601</v>
      </c>
      <c r="D765" s="27" t="s">
        <v>8909</v>
      </c>
      <c r="E765" s="27" t="s">
        <v>8910</v>
      </c>
      <c r="F765" s="27" t="s">
        <v>1280</v>
      </c>
      <c r="G765" s="101" t="s">
        <v>1603</v>
      </c>
      <c r="H765" s="75">
        <v>41944</v>
      </c>
      <c r="I765" s="73">
        <v>41944</v>
      </c>
      <c r="J765" s="73">
        <v>41944</v>
      </c>
      <c r="K765" s="73">
        <v>32527</v>
      </c>
      <c r="L765" s="19" t="s">
        <v>1604</v>
      </c>
      <c r="M765" s="3" t="s">
        <v>80</v>
      </c>
      <c r="N765" s="116" t="s">
        <v>14</v>
      </c>
      <c r="O765" s="104" t="s">
        <v>52</v>
      </c>
      <c r="P765" s="104" t="s">
        <v>52</v>
      </c>
      <c r="Q765" s="105"/>
      <c r="R765" s="26" t="s">
        <v>641</v>
      </c>
      <c r="S765" s="225">
        <f t="shared" si="11"/>
        <v>54697</v>
      </c>
      <c r="T765" s="15" t="s">
        <v>7705</v>
      </c>
      <c r="U765" s="7" t="s">
        <v>62</v>
      </c>
      <c r="V765" s="162" t="str" cm="1">
        <f t="array" ref="V765">_xlfn.IFS(C765="","",COUNTIF(C765,"ตำแหน่งว่าง*"),"ว่าง",COUNTIF(C765,"&lt;&gt;ตำแหน่งว่าง*"),"คนครอง")</f>
        <v>คนครอง</v>
      </c>
      <c r="W765" s="49" cm="1">
        <f t="array" ref="W765">_xlfn.IFS(COUNTIF(F765,"ผบ.หมู่*"),51,COUNTIF(F765,"รอง สว.*"),43)</f>
        <v>51</v>
      </c>
      <c r="X765" s="3" t="s">
        <v>1602</v>
      </c>
      <c r="Y765" s="3" t="s">
        <v>52</v>
      </c>
    </row>
    <row r="766" spans="1:25" s="38" customFormat="1" ht="21.3" customHeight="1">
      <c r="A766" s="134"/>
      <c r="B766" s="26"/>
      <c r="C766" s="30" t="s">
        <v>18</v>
      </c>
      <c r="D766" s="27"/>
      <c r="E766" s="27"/>
      <c r="F766" s="68" t="s">
        <v>1280</v>
      </c>
      <c r="G766" s="121" t="s">
        <v>1606</v>
      </c>
      <c r="H766" s="75" t="s">
        <v>19</v>
      </c>
      <c r="I766" s="73" t="s">
        <v>19</v>
      </c>
      <c r="J766" s="73" t="s">
        <v>19</v>
      </c>
      <c r="K766" s="73" t="s">
        <v>19</v>
      </c>
      <c r="L766" s="19"/>
      <c r="M766" s="3"/>
      <c r="N766" s="172" t="s">
        <v>14</v>
      </c>
      <c r="O766" s="122" t="s">
        <v>52</v>
      </c>
      <c r="P766" s="122" t="s">
        <v>52</v>
      </c>
      <c r="Q766" s="105"/>
      <c r="R766" s="26"/>
      <c r="S766" s="225" t="str">
        <f t="shared" si="11"/>
        <v/>
      </c>
      <c r="T766" s="15" t="s">
        <v>7705</v>
      </c>
      <c r="U766" s="7" t="s">
        <v>62</v>
      </c>
      <c r="V766" s="171" t="str" cm="1">
        <f t="array" ref="V766">_xlfn.IFS(C766="","",COUNTIF(C766,"ตำแหน่งว่าง*"),"ว่าง",COUNTIF(C766,"&lt;&gt;ตำแหน่งว่าง*"),"คนครอง")</f>
        <v>ว่าง</v>
      </c>
      <c r="W766" s="49" cm="1">
        <f t="array" ref="W766">_xlfn.IFS(COUNTIF(F766,"ผบ.หมู่*"),51,COUNTIF(F766,"รอง สว.*"),43)</f>
        <v>51</v>
      </c>
      <c r="X766" s="8" t="s">
        <v>1605</v>
      </c>
      <c r="Y766" s="8" t="s">
        <v>52</v>
      </c>
    </row>
    <row r="767" spans="1:25" s="37" customFormat="1" ht="21.3" customHeight="1">
      <c r="A767" s="134"/>
      <c r="B767" s="26"/>
      <c r="C767" s="30" t="s">
        <v>18</v>
      </c>
      <c r="D767" s="27"/>
      <c r="E767" s="27"/>
      <c r="F767" s="68" t="s">
        <v>1280</v>
      </c>
      <c r="G767" s="121" t="s">
        <v>1608</v>
      </c>
      <c r="H767" s="75" t="s">
        <v>19</v>
      </c>
      <c r="I767" s="73" t="s">
        <v>19</v>
      </c>
      <c r="J767" s="73" t="s">
        <v>19</v>
      </c>
      <c r="K767" s="73" t="s">
        <v>19</v>
      </c>
      <c r="L767" s="19"/>
      <c r="M767" s="3"/>
      <c r="N767" s="172" t="s">
        <v>14</v>
      </c>
      <c r="O767" s="122" t="s">
        <v>52</v>
      </c>
      <c r="P767" s="122" t="s">
        <v>52</v>
      </c>
      <c r="Q767" s="105"/>
      <c r="R767" s="26"/>
      <c r="S767" s="225" t="str">
        <f t="shared" si="11"/>
        <v/>
      </c>
      <c r="T767" s="166" t="s">
        <v>7705</v>
      </c>
      <c r="U767" s="7" t="s">
        <v>62</v>
      </c>
      <c r="V767" s="171" t="str" cm="1">
        <f t="array" ref="V767">_xlfn.IFS(C767="","",COUNTIF(C767,"ตำแหน่งว่าง*"),"ว่าง",COUNTIF(C767,"&lt;&gt;ตำแหน่งว่าง*"),"คนครอง")</f>
        <v>ว่าง</v>
      </c>
      <c r="W767" s="49" cm="1">
        <f t="array" ref="W767">_xlfn.IFS(COUNTIF(F767,"ผบ.หมู่*"),51,COUNTIF(F767,"รอง สว.*"),43)</f>
        <v>51</v>
      </c>
      <c r="X767" s="8" t="s">
        <v>1607</v>
      </c>
      <c r="Y767" s="8" t="s">
        <v>52</v>
      </c>
    </row>
    <row r="768" spans="1:25" s="37" customFormat="1" ht="21.3" customHeight="1">
      <c r="A768" s="134"/>
      <c r="B768" s="26"/>
      <c r="C768" s="30" t="s">
        <v>18</v>
      </c>
      <c r="D768" s="27"/>
      <c r="E768" s="27"/>
      <c r="F768" s="68" t="s">
        <v>1280</v>
      </c>
      <c r="G768" s="121" t="s">
        <v>1610</v>
      </c>
      <c r="H768" s="75" t="s">
        <v>19</v>
      </c>
      <c r="I768" s="73" t="s">
        <v>19</v>
      </c>
      <c r="J768" s="73" t="s">
        <v>19</v>
      </c>
      <c r="K768" s="73" t="s">
        <v>19</v>
      </c>
      <c r="L768" s="19"/>
      <c r="M768" s="3"/>
      <c r="N768" s="172" t="s">
        <v>14</v>
      </c>
      <c r="O768" s="122" t="s">
        <v>52</v>
      </c>
      <c r="P768" s="122" t="s">
        <v>52</v>
      </c>
      <c r="Q768" s="105"/>
      <c r="R768" s="26"/>
      <c r="S768" s="225" t="str">
        <f t="shared" si="11"/>
        <v/>
      </c>
      <c r="T768" s="166" t="s">
        <v>7705</v>
      </c>
      <c r="U768" s="7" t="s">
        <v>62</v>
      </c>
      <c r="V768" s="171" t="str" cm="1">
        <f t="array" ref="V768">_xlfn.IFS(C768="","",COUNTIF(C768,"ตำแหน่งว่าง*"),"ว่าง",COUNTIF(C768,"&lt;&gt;ตำแหน่งว่าง*"),"คนครอง")</f>
        <v>ว่าง</v>
      </c>
      <c r="W768" s="49" cm="1">
        <f t="array" ref="W768">_xlfn.IFS(COUNTIF(F768,"ผบ.หมู่*"),51,COUNTIF(F768,"รอง สว.*"),43)</f>
        <v>51</v>
      </c>
      <c r="X768" s="8" t="s">
        <v>1609</v>
      </c>
      <c r="Y768" s="8" t="s">
        <v>52</v>
      </c>
    </row>
    <row r="769" spans="1:25" s="37" customFormat="1" ht="21.3" customHeight="1">
      <c r="A769" s="134"/>
      <c r="B769" s="29"/>
      <c r="C769" s="30" t="s">
        <v>18</v>
      </c>
      <c r="D769" s="27"/>
      <c r="E769" s="27"/>
      <c r="F769" s="68" t="s">
        <v>1280</v>
      </c>
      <c r="G769" s="121" t="s">
        <v>1612</v>
      </c>
      <c r="H769" s="75" t="s">
        <v>19</v>
      </c>
      <c r="I769" s="73" t="s">
        <v>19</v>
      </c>
      <c r="J769" s="73" t="s">
        <v>19</v>
      </c>
      <c r="K769" s="73" t="s">
        <v>19</v>
      </c>
      <c r="L769" s="19"/>
      <c r="M769" s="3"/>
      <c r="N769" s="172" t="s">
        <v>14</v>
      </c>
      <c r="O769" s="122" t="s">
        <v>52</v>
      </c>
      <c r="P769" s="122" t="s">
        <v>52</v>
      </c>
      <c r="Q769" s="106"/>
      <c r="R769" s="29"/>
      <c r="S769" s="225" t="str">
        <f t="shared" si="11"/>
        <v/>
      </c>
      <c r="T769" s="166" t="s">
        <v>7705</v>
      </c>
      <c r="U769" s="7" t="s">
        <v>62</v>
      </c>
      <c r="V769" s="171" t="str" cm="1">
        <f t="array" ref="V769">_xlfn.IFS(C769="","",COUNTIF(C769,"ตำแหน่งว่าง*"),"ว่าง",COUNTIF(C769,"&lt;&gt;ตำแหน่งว่าง*"),"คนครอง")</f>
        <v>ว่าง</v>
      </c>
      <c r="W769" s="49" cm="1">
        <f t="array" ref="W769">_xlfn.IFS(COUNTIF(F769,"ผบ.หมู่*"),51,COUNTIF(F769,"รอง สว.*"),43)</f>
        <v>51</v>
      </c>
      <c r="X769" s="8" t="s">
        <v>1611</v>
      </c>
      <c r="Y769" s="8" t="s">
        <v>52</v>
      </c>
    </row>
    <row r="770" spans="1:25" s="38" customFormat="1" ht="21.3" customHeight="1">
      <c r="A770" s="94"/>
      <c r="B770" s="29"/>
      <c r="C770" s="30" t="s">
        <v>18</v>
      </c>
      <c r="D770" s="27"/>
      <c r="E770" s="27"/>
      <c r="F770" s="68" t="s">
        <v>1280</v>
      </c>
      <c r="G770" s="121" t="s">
        <v>1614</v>
      </c>
      <c r="H770" s="80" t="s">
        <v>19</v>
      </c>
      <c r="I770" s="74" t="s">
        <v>19</v>
      </c>
      <c r="J770" s="74" t="s">
        <v>19</v>
      </c>
      <c r="K770" s="74" t="s">
        <v>19</v>
      </c>
      <c r="L770" s="44"/>
      <c r="M770" s="8"/>
      <c r="N770" s="172" t="s">
        <v>14</v>
      </c>
      <c r="O770" s="122" t="s">
        <v>52</v>
      </c>
      <c r="P770" s="122" t="s">
        <v>52</v>
      </c>
      <c r="Q770" s="106"/>
      <c r="R770" s="29"/>
      <c r="S770" s="225" t="str">
        <f t="shared" ref="S770:S833" si="12">IF(K770&lt;&gt;"",DATE(YEAR(K770)+60+(K770&gt;=DATE(YEAR(K770),10,2)),10,1),"")</f>
        <v/>
      </c>
      <c r="T770" s="15" t="s">
        <v>7705</v>
      </c>
      <c r="U770" s="7" t="s">
        <v>62</v>
      </c>
      <c r="V770" s="171" t="str" cm="1">
        <f t="array" ref="V770">_xlfn.IFS(C770="","",COUNTIF(C770,"ตำแหน่งว่าง*"),"ว่าง",COUNTIF(C770,"&lt;&gt;ตำแหน่งว่าง*"),"คนครอง")</f>
        <v>ว่าง</v>
      </c>
      <c r="W770" s="49" cm="1">
        <f t="array" ref="W770">_xlfn.IFS(COUNTIF(F770,"ผบ.หมู่*"),51,COUNTIF(F770,"รอง สว.*"),43)</f>
        <v>51</v>
      </c>
      <c r="X770" s="8" t="s">
        <v>1613</v>
      </c>
      <c r="Y770" s="8" t="s">
        <v>52</v>
      </c>
    </row>
    <row r="771" spans="1:25" s="37" customFormat="1" ht="21.3" customHeight="1">
      <c r="A771" s="134"/>
      <c r="B771" s="26"/>
      <c r="C771" s="30" t="s">
        <v>18</v>
      </c>
      <c r="D771" s="27"/>
      <c r="E771" s="27"/>
      <c r="F771" s="68" t="s">
        <v>1280</v>
      </c>
      <c r="G771" s="121" t="s">
        <v>1616</v>
      </c>
      <c r="H771" s="75" t="s">
        <v>19</v>
      </c>
      <c r="I771" s="73" t="s">
        <v>19</v>
      </c>
      <c r="J771" s="73" t="s">
        <v>19</v>
      </c>
      <c r="K771" s="73" t="s">
        <v>19</v>
      </c>
      <c r="L771" s="19"/>
      <c r="M771" s="3"/>
      <c r="N771" s="172" t="s">
        <v>14</v>
      </c>
      <c r="O771" s="122" t="s">
        <v>52</v>
      </c>
      <c r="P771" s="122" t="s">
        <v>52</v>
      </c>
      <c r="Q771" s="105"/>
      <c r="R771" s="26"/>
      <c r="S771" s="225" t="str">
        <f t="shared" si="12"/>
        <v/>
      </c>
      <c r="T771" s="166" t="s">
        <v>7705</v>
      </c>
      <c r="U771" s="7" t="s">
        <v>62</v>
      </c>
      <c r="V771" s="171" t="str" cm="1">
        <f t="array" ref="V771">_xlfn.IFS(C771="","",COUNTIF(C771,"ตำแหน่งว่าง*"),"ว่าง",COUNTIF(C771,"&lt;&gt;ตำแหน่งว่าง*"),"คนครอง")</f>
        <v>ว่าง</v>
      </c>
      <c r="W771" s="49" cm="1">
        <f t="array" ref="W771">_xlfn.IFS(COUNTIF(F771,"ผบ.หมู่*"),51,COUNTIF(F771,"รอง สว.*"),43)</f>
        <v>51</v>
      </c>
      <c r="X771" s="8" t="s">
        <v>1615</v>
      </c>
      <c r="Y771" s="8" t="s">
        <v>52</v>
      </c>
    </row>
    <row r="772" spans="1:25" s="37" customFormat="1" ht="21.3" customHeight="1">
      <c r="A772" s="134"/>
      <c r="B772" s="26"/>
      <c r="C772" s="30" t="s">
        <v>18</v>
      </c>
      <c r="D772" s="27"/>
      <c r="E772" s="27"/>
      <c r="F772" s="68" t="s">
        <v>1280</v>
      </c>
      <c r="G772" s="121" t="s">
        <v>1618</v>
      </c>
      <c r="H772" s="91" t="s">
        <v>19</v>
      </c>
      <c r="I772" s="73" t="s">
        <v>19</v>
      </c>
      <c r="J772" s="73" t="s">
        <v>19</v>
      </c>
      <c r="K772" s="73" t="s">
        <v>19</v>
      </c>
      <c r="L772" s="19"/>
      <c r="M772" s="3"/>
      <c r="N772" s="172" t="s">
        <v>14</v>
      </c>
      <c r="O772" s="122" t="s">
        <v>52</v>
      </c>
      <c r="P772" s="122" t="s">
        <v>52</v>
      </c>
      <c r="Q772" s="105"/>
      <c r="R772" s="26"/>
      <c r="S772" s="225" t="str">
        <f t="shared" si="12"/>
        <v/>
      </c>
      <c r="T772" s="166" t="s">
        <v>7705</v>
      </c>
      <c r="U772" s="7" t="s">
        <v>62</v>
      </c>
      <c r="V772" s="171" t="str" cm="1">
        <f t="array" ref="V772">_xlfn.IFS(C772="","",COUNTIF(C772,"ตำแหน่งว่าง*"),"ว่าง",COUNTIF(C772,"&lt;&gt;ตำแหน่งว่าง*"),"คนครอง")</f>
        <v>ว่าง</v>
      </c>
      <c r="W772" s="49" cm="1">
        <f t="array" ref="W772">_xlfn.IFS(COUNTIF(F772,"ผบ.หมู่*"),51,COUNTIF(F772,"รอง สว.*"),43)</f>
        <v>51</v>
      </c>
      <c r="X772" s="8" t="s">
        <v>1617</v>
      </c>
      <c r="Y772" s="8" t="s">
        <v>52</v>
      </c>
    </row>
    <row r="773" spans="1:25" s="37" customFormat="1" ht="21.3" customHeight="1">
      <c r="A773" s="134"/>
      <c r="B773" s="26"/>
      <c r="C773" s="30" t="s">
        <v>18</v>
      </c>
      <c r="D773" s="27"/>
      <c r="E773" s="27"/>
      <c r="F773" s="68" t="s">
        <v>1280</v>
      </c>
      <c r="G773" s="121" t="s">
        <v>1620</v>
      </c>
      <c r="H773" s="91" t="s">
        <v>19</v>
      </c>
      <c r="I773" s="73" t="s">
        <v>19</v>
      </c>
      <c r="J773" s="73" t="s">
        <v>19</v>
      </c>
      <c r="K773" s="73" t="s">
        <v>19</v>
      </c>
      <c r="L773" s="19"/>
      <c r="M773" s="3"/>
      <c r="N773" s="172" t="s">
        <v>14</v>
      </c>
      <c r="O773" s="122" t="s">
        <v>52</v>
      </c>
      <c r="P773" s="122" t="s">
        <v>52</v>
      </c>
      <c r="Q773" s="105"/>
      <c r="R773" s="26"/>
      <c r="S773" s="225" t="str">
        <f t="shared" si="12"/>
        <v/>
      </c>
      <c r="T773" s="166" t="s">
        <v>7705</v>
      </c>
      <c r="U773" s="7" t="s">
        <v>62</v>
      </c>
      <c r="V773" s="171" t="str" cm="1">
        <f t="array" ref="V773">_xlfn.IFS(C773="","",COUNTIF(C773,"ตำแหน่งว่าง*"),"ว่าง",COUNTIF(C773,"&lt;&gt;ตำแหน่งว่าง*"),"คนครอง")</f>
        <v>ว่าง</v>
      </c>
      <c r="W773" s="49" cm="1">
        <f t="array" ref="W773">_xlfn.IFS(COUNTIF(F773,"ผบ.หมู่*"),51,COUNTIF(F773,"รอง สว.*"),43)</f>
        <v>51</v>
      </c>
      <c r="X773" s="8" t="s">
        <v>1619</v>
      </c>
      <c r="Y773" s="8" t="s">
        <v>52</v>
      </c>
    </row>
    <row r="774" spans="1:25" s="37" customFormat="1" ht="21.3" customHeight="1">
      <c r="A774" s="134"/>
      <c r="B774" s="26"/>
      <c r="C774" s="30" t="s">
        <v>18</v>
      </c>
      <c r="D774" s="27"/>
      <c r="E774" s="27"/>
      <c r="F774" s="68" t="s">
        <v>1280</v>
      </c>
      <c r="G774" s="121" t="s">
        <v>1622</v>
      </c>
      <c r="H774" s="91" t="s">
        <v>19</v>
      </c>
      <c r="I774" s="73" t="s">
        <v>19</v>
      </c>
      <c r="J774" s="73" t="s">
        <v>19</v>
      </c>
      <c r="K774" s="73" t="s">
        <v>19</v>
      </c>
      <c r="L774" s="19"/>
      <c r="M774" s="3"/>
      <c r="N774" s="172" t="s">
        <v>14</v>
      </c>
      <c r="O774" s="122" t="s">
        <v>52</v>
      </c>
      <c r="P774" s="122" t="s">
        <v>52</v>
      </c>
      <c r="Q774" s="105"/>
      <c r="R774" s="26"/>
      <c r="S774" s="225" t="str">
        <f t="shared" si="12"/>
        <v/>
      </c>
      <c r="T774" s="166" t="s">
        <v>7705</v>
      </c>
      <c r="U774" s="7" t="s">
        <v>62</v>
      </c>
      <c r="V774" s="171" t="str" cm="1">
        <f t="array" ref="V774">_xlfn.IFS(C774="","",COUNTIF(C774,"ตำแหน่งว่าง*"),"ว่าง",COUNTIF(C774,"&lt;&gt;ตำแหน่งว่าง*"),"คนครอง")</f>
        <v>ว่าง</v>
      </c>
      <c r="W774" s="49" cm="1">
        <f t="array" ref="W774">_xlfn.IFS(COUNTIF(F774,"ผบ.หมู่*"),51,COUNTIF(F774,"รอง สว.*"),43)</f>
        <v>51</v>
      </c>
      <c r="X774" s="8" t="s">
        <v>1621</v>
      </c>
      <c r="Y774" s="8" t="s">
        <v>52</v>
      </c>
    </row>
    <row r="775" spans="1:25" s="37" customFormat="1" ht="21.3" customHeight="1">
      <c r="A775" s="134"/>
      <c r="B775" s="26"/>
      <c r="C775" s="30" t="s">
        <v>18</v>
      </c>
      <c r="D775" s="27"/>
      <c r="E775" s="27"/>
      <c r="F775" s="68" t="s">
        <v>1280</v>
      </c>
      <c r="G775" s="121" t="s">
        <v>1624</v>
      </c>
      <c r="H775" s="91" t="s">
        <v>19</v>
      </c>
      <c r="I775" s="73" t="s">
        <v>19</v>
      </c>
      <c r="J775" s="73" t="s">
        <v>19</v>
      </c>
      <c r="K775" s="73" t="s">
        <v>19</v>
      </c>
      <c r="L775" s="19"/>
      <c r="M775" s="3"/>
      <c r="N775" s="172" t="s">
        <v>14</v>
      </c>
      <c r="O775" s="122" t="s">
        <v>52</v>
      </c>
      <c r="P775" s="122" t="s">
        <v>52</v>
      </c>
      <c r="Q775" s="105"/>
      <c r="R775" s="26"/>
      <c r="S775" s="225" t="str">
        <f t="shared" si="12"/>
        <v/>
      </c>
      <c r="T775" s="166" t="s">
        <v>7705</v>
      </c>
      <c r="U775" s="7" t="s">
        <v>62</v>
      </c>
      <c r="V775" s="171" t="str" cm="1">
        <f t="array" ref="V775">_xlfn.IFS(C775="","",COUNTIF(C775,"ตำแหน่งว่าง*"),"ว่าง",COUNTIF(C775,"&lt;&gt;ตำแหน่งว่าง*"),"คนครอง")</f>
        <v>ว่าง</v>
      </c>
      <c r="W775" s="49" cm="1">
        <f t="array" ref="W775">_xlfn.IFS(COUNTIF(F775,"ผบ.หมู่*"),51,COUNTIF(F775,"รอง สว.*"),43)</f>
        <v>51</v>
      </c>
      <c r="X775" s="8" t="s">
        <v>1623</v>
      </c>
      <c r="Y775" s="8" t="s">
        <v>52</v>
      </c>
    </row>
    <row r="776" spans="1:25" s="37" customFormat="1" ht="21.3" customHeight="1">
      <c r="A776" s="134"/>
      <c r="B776" s="26"/>
      <c r="C776" s="30" t="s">
        <v>18</v>
      </c>
      <c r="D776" s="27"/>
      <c r="E776" s="27"/>
      <c r="F776" s="68" t="s">
        <v>1280</v>
      </c>
      <c r="G776" s="121" t="s">
        <v>1626</v>
      </c>
      <c r="H776" s="91" t="s">
        <v>19</v>
      </c>
      <c r="I776" s="73" t="s">
        <v>19</v>
      </c>
      <c r="J776" s="73" t="s">
        <v>19</v>
      </c>
      <c r="K776" s="73" t="s">
        <v>19</v>
      </c>
      <c r="L776" s="19"/>
      <c r="M776" s="3"/>
      <c r="N776" s="172" t="s">
        <v>14</v>
      </c>
      <c r="O776" s="122" t="s">
        <v>52</v>
      </c>
      <c r="P776" s="122" t="s">
        <v>52</v>
      </c>
      <c r="Q776" s="105"/>
      <c r="R776" s="26"/>
      <c r="S776" s="225" t="str">
        <f t="shared" si="12"/>
        <v/>
      </c>
      <c r="T776" s="166" t="s">
        <v>7705</v>
      </c>
      <c r="U776" s="7" t="s">
        <v>62</v>
      </c>
      <c r="V776" s="171" t="str" cm="1">
        <f t="array" ref="V776">_xlfn.IFS(C776="","",COUNTIF(C776,"ตำแหน่งว่าง*"),"ว่าง",COUNTIF(C776,"&lt;&gt;ตำแหน่งว่าง*"),"คนครอง")</f>
        <v>ว่าง</v>
      </c>
      <c r="W776" s="49" cm="1">
        <f t="array" ref="W776">_xlfn.IFS(COUNTIF(F776,"ผบ.หมู่*"),51,COUNTIF(F776,"รอง สว.*"),43)</f>
        <v>51</v>
      </c>
      <c r="X776" s="8" t="s">
        <v>1625</v>
      </c>
      <c r="Y776" s="8" t="s">
        <v>52</v>
      </c>
    </row>
    <row r="777" spans="1:25" s="10" customFormat="1" ht="21.3" customHeight="1">
      <c r="A777" s="134"/>
      <c r="B777" s="26"/>
      <c r="C777" s="30" t="s">
        <v>18</v>
      </c>
      <c r="D777" s="27"/>
      <c r="E777" s="27"/>
      <c r="F777" s="68" t="s">
        <v>1280</v>
      </c>
      <c r="G777" s="121" t="s">
        <v>1628</v>
      </c>
      <c r="H777" s="91" t="s">
        <v>19</v>
      </c>
      <c r="I777" s="73" t="s">
        <v>19</v>
      </c>
      <c r="J777" s="73" t="s">
        <v>19</v>
      </c>
      <c r="K777" s="73" t="s">
        <v>19</v>
      </c>
      <c r="L777" s="19"/>
      <c r="M777" s="3"/>
      <c r="N777" s="172" t="s">
        <v>14</v>
      </c>
      <c r="O777" s="122" t="s">
        <v>52</v>
      </c>
      <c r="P777" s="122" t="s">
        <v>52</v>
      </c>
      <c r="Q777" s="105"/>
      <c r="R777" s="26"/>
      <c r="S777" s="225" t="str">
        <f t="shared" si="12"/>
        <v/>
      </c>
      <c r="T777" s="7" t="s">
        <v>7705</v>
      </c>
      <c r="U777" s="7" t="s">
        <v>62</v>
      </c>
      <c r="V777" s="171" t="str" cm="1">
        <f t="array" ref="V777">_xlfn.IFS(C777="","",COUNTIF(C777,"ตำแหน่งว่าง*"),"ว่าง",COUNTIF(C777,"&lt;&gt;ตำแหน่งว่าง*"),"คนครอง")</f>
        <v>ว่าง</v>
      </c>
      <c r="W777" s="49" cm="1">
        <f t="array" ref="W777">_xlfn.IFS(COUNTIF(F777,"ผบ.หมู่*"),51,COUNTIF(F777,"รอง สว.*"),43)</f>
        <v>51</v>
      </c>
      <c r="X777" s="8" t="s">
        <v>1627</v>
      </c>
      <c r="Y777" s="8" t="s">
        <v>52</v>
      </c>
    </row>
    <row r="778" spans="1:25" s="10" customFormat="1" ht="21.3" customHeight="1">
      <c r="A778" s="134"/>
      <c r="B778" s="26"/>
      <c r="C778" s="30" t="s">
        <v>18</v>
      </c>
      <c r="D778" s="27"/>
      <c r="E778" s="27"/>
      <c r="F778" s="68" t="s">
        <v>1280</v>
      </c>
      <c r="G778" s="121" t="s">
        <v>1630</v>
      </c>
      <c r="H778" s="91" t="s">
        <v>19</v>
      </c>
      <c r="I778" s="73" t="s">
        <v>19</v>
      </c>
      <c r="J778" s="73" t="s">
        <v>19</v>
      </c>
      <c r="K778" s="73" t="s">
        <v>19</v>
      </c>
      <c r="L778" s="19"/>
      <c r="M778" s="3"/>
      <c r="N778" s="172" t="s">
        <v>14</v>
      </c>
      <c r="O778" s="122" t="s">
        <v>52</v>
      </c>
      <c r="P778" s="122" t="s">
        <v>52</v>
      </c>
      <c r="Q778" s="105"/>
      <c r="R778" s="26"/>
      <c r="S778" s="225" t="str">
        <f t="shared" si="12"/>
        <v/>
      </c>
      <c r="T778" s="7" t="s">
        <v>7705</v>
      </c>
      <c r="U778" s="7" t="s">
        <v>62</v>
      </c>
      <c r="V778" s="171" t="str" cm="1">
        <f t="array" ref="V778">_xlfn.IFS(C778="","",COUNTIF(C778,"ตำแหน่งว่าง*"),"ว่าง",COUNTIF(C778,"&lt;&gt;ตำแหน่งว่าง*"),"คนครอง")</f>
        <v>ว่าง</v>
      </c>
      <c r="W778" s="49" cm="1">
        <f t="array" ref="W778">_xlfn.IFS(COUNTIF(F778,"ผบ.หมู่*"),51,COUNTIF(F778,"รอง สว.*"),43)</f>
        <v>51</v>
      </c>
      <c r="X778" s="8" t="s">
        <v>1629</v>
      </c>
      <c r="Y778" s="8" t="s">
        <v>52</v>
      </c>
    </row>
    <row r="779" spans="1:25" s="10" customFormat="1" ht="21.3" customHeight="1">
      <c r="A779" s="134"/>
      <c r="B779" s="26"/>
      <c r="C779" s="30" t="s">
        <v>18</v>
      </c>
      <c r="D779" s="27"/>
      <c r="E779" s="27"/>
      <c r="F779" s="68" t="s">
        <v>1280</v>
      </c>
      <c r="G779" s="121" t="s">
        <v>1632</v>
      </c>
      <c r="H779" s="91" t="s">
        <v>19</v>
      </c>
      <c r="I779" s="73" t="s">
        <v>19</v>
      </c>
      <c r="J779" s="73" t="s">
        <v>19</v>
      </c>
      <c r="K779" s="73" t="s">
        <v>19</v>
      </c>
      <c r="L779" s="19"/>
      <c r="M779" s="3"/>
      <c r="N779" s="172" t="s">
        <v>14</v>
      </c>
      <c r="O779" s="122" t="s">
        <v>52</v>
      </c>
      <c r="P779" s="122" t="s">
        <v>52</v>
      </c>
      <c r="Q779" s="105"/>
      <c r="R779" s="26"/>
      <c r="S779" s="225" t="str">
        <f t="shared" si="12"/>
        <v/>
      </c>
      <c r="T779" s="7" t="s">
        <v>7705</v>
      </c>
      <c r="U779" s="7" t="s">
        <v>62</v>
      </c>
      <c r="V779" s="171" t="str" cm="1">
        <f t="array" ref="V779">_xlfn.IFS(C779="","",COUNTIF(C779,"ตำแหน่งว่าง*"),"ว่าง",COUNTIF(C779,"&lt;&gt;ตำแหน่งว่าง*"),"คนครอง")</f>
        <v>ว่าง</v>
      </c>
      <c r="W779" s="49" cm="1">
        <f t="array" ref="W779">_xlfn.IFS(COUNTIF(F779,"ผบ.หมู่*"),51,COUNTIF(F779,"รอง สว.*"),43)</f>
        <v>51</v>
      </c>
      <c r="X779" s="8" t="s">
        <v>1631</v>
      </c>
      <c r="Y779" s="8" t="s">
        <v>52</v>
      </c>
    </row>
    <row r="780" spans="1:25" s="54" customFormat="1" ht="21.3" customHeight="1">
      <c r="A780" s="68"/>
      <c r="B780" s="30"/>
      <c r="C780" s="30" t="s">
        <v>18</v>
      </c>
      <c r="D780" s="27"/>
      <c r="E780" s="27"/>
      <c r="F780" s="68" t="s">
        <v>1633</v>
      </c>
      <c r="G780" s="121" t="s">
        <v>1635</v>
      </c>
      <c r="H780" s="93" t="s">
        <v>19</v>
      </c>
      <c r="I780" s="74" t="s">
        <v>19</v>
      </c>
      <c r="J780" s="74" t="s">
        <v>19</v>
      </c>
      <c r="K780" s="74" t="s">
        <v>19</v>
      </c>
      <c r="L780" s="16"/>
      <c r="M780" s="6"/>
      <c r="N780" s="113" t="s">
        <v>14</v>
      </c>
      <c r="O780" s="122" t="s">
        <v>27</v>
      </c>
      <c r="P780" s="122"/>
      <c r="Q780" s="106"/>
      <c r="R780" s="29"/>
      <c r="S780" s="225" t="str">
        <f t="shared" si="12"/>
        <v/>
      </c>
      <c r="T780" s="163" t="s">
        <v>7697</v>
      </c>
      <c r="U780" s="7" t="s">
        <v>62</v>
      </c>
      <c r="V780" s="171" t="str" cm="1">
        <f t="array" ref="V780">_xlfn.IFS(C780="","",COUNTIF(C780,"ตำแหน่งว่าง*"),"ว่าง",COUNTIF(C780,"&lt;&gt;ตำแหน่งว่าง*"),"คนครอง")</f>
        <v>ว่าง</v>
      </c>
      <c r="W780" s="49" cm="1">
        <f t="array" ref="W780">_xlfn.IFS(COUNTIF(F780,"ผบ.หมู่*"),51,COUNTIF(F780,"รอง สว.*"),43)</f>
        <v>51</v>
      </c>
      <c r="X780" s="8" t="s">
        <v>1634</v>
      </c>
      <c r="Y780" s="6" t="s">
        <v>27</v>
      </c>
    </row>
    <row r="781" spans="1:25" s="10" customFormat="1" ht="21.3" customHeight="1">
      <c r="A781" s="27"/>
      <c r="B781" s="30"/>
      <c r="C781" s="30" t="s">
        <v>18</v>
      </c>
      <c r="D781" s="27"/>
      <c r="E781" s="27"/>
      <c r="F781" s="68" t="s">
        <v>1633</v>
      </c>
      <c r="G781" s="121" t="s">
        <v>1637</v>
      </c>
      <c r="H781" s="91" t="s">
        <v>19</v>
      </c>
      <c r="I781" s="73" t="s">
        <v>19</v>
      </c>
      <c r="J781" s="73" t="s">
        <v>19</v>
      </c>
      <c r="K781" s="73" t="s">
        <v>19</v>
      </c>
      <c r="L781" s="11"/>
      <c r="M781" s="1"/>
      <c r="N781" s="113" t="s">
        <v>14</v>
      </c>
      <c r="O781" s="122" t="s">
        <v>27</v>
      </c>
      <c r="P781" s="122"/>
      <c r="Q781" s="106"/>
      <c r="R781" s="29"/>
      <c r="S781" s="225" t="str">
        <f t="shared" si="12"/>
        <v/>
      </c>
      <c r="T781" s="163" t="s">
        <v>7697</v>
      </c>
      <c r="U781" s="7" t="s">
        <v>62</v>
      </c>
      <c r="V781" s="171" t="str" cm="1">
        <f t="array" ref="V781">_xlfn.IFS(C781="","",COUNTIF(C781,"ตำแหน่งว่าง*"),"ว่าง",COUNTIF(C781,"&lt;&gt;ตำแหน่งว่าง*"),"คนครอง")</f>
        <v>ว่าง</v>
      </c>
      <c r="W781" s="49" cm="1">
        <f t="array" ref="W781">_xlfn.IFS(COUNTIF(F781,"ผบ.หมู่*"),51,COUNTIF(F781,"รอง สว.*"),43)</f>
        <v>51</v>
      </c>
      <c r="X781" s="8" t="s">
        <v>1636</v>
      </c>
      <c r="Y781" s="6" t="s">
        <v>27</v>
      </c>
    </row>
    <row r="782" spans="1:25" s="10" customFormat="1" ht="21.3" customHeight="1">
      <c r="A782" s="27"/>
      <c r="B782" s="28"/>
      <c r="C782" s="30" t="s">
        <v>18</v>
      </c>
      <c r="D782" s="27"/>
      <c r="E782" s="27"/>
      <c r="F782" s="68" t="s">
        <v>1633</v>
      </c>
      <c r="G782" s="121" t="s">
        <v>1639</v>
      </c>
      <c r="H782" s="91" t="s">
        <v>19</v>
      </c>
      <c r="I782" s="73" t="s">
        <v>19</v>
      </c>
      <c r="J782" s="73" t="s">
        <v>19</v>
      </c>
      <c r="K782" s="73" t="s">
        <v>19</v>
      </c>
      <c r="L782" s="11"/>
      <c r="M782" s="1"/>
      <c r="N782" s="113" t="s">
        <v>14</v>
      </c>
      <c r="O782" s="122" t="s">
        <v>27</v>
      </c>
      <c r="P782" s="122"/>
      <c r="Q782" s="105"/>
      <c r="R782" s="26"/>
      <c r="S782" s="225" t="str">
        <f t="shared" si="12"/>
        <v/>
      </c>
      <c r="T782" s="163" t="s">
        <v>7697</v>
      </c>
      <c r="U782" s="7" t="s">
        <v>62</v>
      </c>
      <c r="V782" s="171" t="str" cm="1">
        <f t="array" ref="V782">_xlfn.IFS(C782="","",COUNTIF(C782,"ตำแหน่งว่าง*"),"ว่าง",COUNTIF(C782,"&lt;&gt;ตำแหน่งว่าง*"),"คนครอง")</f>
        <v>ว่าง</v>
      </c>
      <c r="W782" s="49" cm="1">
        <f t="array" ref="W782">_xlfn.IFS(COUNTIF(F782,"ผบ.หมู่*"),51,COUNTIF(F782,"รอง สว.*"),43)</f>
        <v>51</v>
      </c>
      <c r="X782" s="8" t="s">
        <v>1638</v>
      </c>
      <c r="Y782" s="6" t="s">
        <v>27</v>
      </c>
    </row>
    <row r="783" spans="1:25" s="10" customFormat="1" ht="21.3" customHeight="1">
      <c r="A783" s="152" t="s">
        <v>105</v>
      </c>
      <c r="B783" s="153"/>
      <c r="C783" s="125"/>
      <c r="D783" s="27"/>
      <c r="E783" s="158"/>
      <c r="F783" s="158"/>
      <c r="G783" s="125"/>
      <c r="H783" s="154" t="s">
        <v>19</v>
      </c>
      <c r="I783" s="126" t="s">
        <v>19</v>
      </c>
      <c r="J783" s="126" t="s">
        <v>19</v>
      </c>
      <c r="K783" s="126" t="s">
        <v>19</v>
      </c>
      <c r="L783" s="127"/>
      <c r="M783" s="128"/>
      <c r="N783" s="125"/>
      <c r="O783" s="125"/>
      <c r="P783" s="125"/>
      <c r="Q783" s="160"/>
      <c r="R783" s="128"/>
      <c r="S783" s="226" t="str">
        <f t="shared" si="12"/>
        <v/>
      </c>
      <c r="T783" s="158"/>
      <c r="U783" s="158"/>
      <c r="V783" s="171" t="str" cm="1">
        <f t="array" ref="V783">_xlfn.IFS(C783="","",COUNTIF(C783,"ตำแหน่งว่าง*"),"ว่าง",COUNTIF(C783,"&lt;&gt;ตำแหน่งว่าง*"),"คนครอง")</f>
        <v/>
      </c>
      <c r="W783" s="125"/>
      <c r="X783" s="125"/>
      <c r="Y783" s="125"/>
    </row>
    <row r="784" spans="1:25" s="10" customFormat="1" ht="21.3" customHeight="1">
      <c r="A784" s="27"/>
      <c r="B784" s="28"/>
      <c r="C784" s="30" t="s">
        <v>18</v>
      </c>
      <c r="D784" s="27"/>
      <c r="E784" s="27"/>
      <c r="F784" s="68" t="s">
        <v>2228</v>
      </c>
      <c r="G784" s="121" t="s">
        <v>2230</v>
      </c>
      <c r="H784" s="91" t="s">
        <v>19</v>
      </c>
      <c r="I784" s="73" t="s">
        <v>19</v>
      </c>
      <c r="J784" s="73" t="s">
        <v>19</v>
      </c>
      <c r="K784" s="73" t="s">
        <v>19</v>
      </c>
      <c r="L784" s="11"/>
      <c r="M784" s="1"/>
      <c r="N784" s="113" t="s">
        <v>14</v>
      </c>
      <c r="O784" s="122" t="s">
        <v>27</v>
      </c>
      <c r="P784" s="122"/>
      <c r="Q784" s="105"/>
      <c r="R784" s="28"/>
      <c r="S784" s="225" t="str">
        <f t="shared" si="12"/>
        <v/>
      </c>
      <c r="T784" s="7" t="s">
        <v>105</v>
      </c>
      <c r="U784" s="7" t="s">
        <v>105</v>
      </c>
      <c r="V784" s="171" t="str" cm="1">
        <f t="array" ref="V784">_xlfn.IFS(C784="","",COUNTIF(C784,"ตำแหน่งว่าง*"),"ว่าง",COUNTIF(C784,"&lt;&gt;ตำแหน่งว่าง*"),"คนครอง")</f>
        <v>ว่าง</v>
      </c>
      <c r="W784" s="49" cm="1">
        <f t="array" ref="W784">_xlfn.IFS(COUNTIF(F784,"ผบ.หมู่*"),51,COUNTIF(F784,"รอง สว.*"),43)</f>
        <v>51</v>
      </c>
      <c r="X784" s="6" t="s">
        <v>2229</v>
      </c>
      <c r="Y784" s="6" t="s">
        <v>27</v>
      </c>
    </row>
    <row r="785" spans="1:25" s="10" customFormat="1" ht="21.3" customHeight="1">
      <c r="A785" s="27"/>
      <c r="B785" s="28"/>
      <c r="C785" s="30" t="s">
        <v>18</v>
      </c>
      <c r="D785" s="27"/>
      <c r="E785" s="27"/>
      <c r="F785" s="68" t="s">
        <v>2228</v>
      </c>
      <c r="G785" s="121" t="s">
        <v>2232</v>
      </c>
      <c r="H785" s="91" t="s">
        <v>19</v>
      </c>
      <c r="I785" s="73" t="s">
        <v>19</v>
      </c>
      <c r="J785" s="73" t="s">
        <v>19</v>
      </c>
      <c r="K785" s="73" t="s">
        <v>19</v>
      </c>
      <c r="L785" s="11"/>
      <c r="M785" s="1"/>
      <c r="N785" s="113" t="s">
        <v>14</v>
      </c>
      <c r="O785" s="122" t="s">
        <v>27</v>
      </c>
      <c r="P785" s="122"/>
      <c r="Q785" s="105"/>
      <c r="R785" s="28"/>
      <c r="S785" s="225" t="str">
        <f t="shared" si="12"/>
        <v/>
      </c>
      <c r="T785" s="7" t="s">
        <v>105</v>
      </c>
      <c r="U785" s="7" t="s">
        <v>105</v>
      </c>
      <c r="V785" s="171" t="str" cm="1">
        <f t="array" ref="V785">_xlfn.IFS(C785="","",COUNTIF(C785,"ตำแหน่งว่าง*"),"ว่าง",COUNTIF(C785,"&lt;&gt;ตำแหน่งว่าง*"),"คนครอง")</f>
        <v>ว่าง</v>
      </c>
      <c r="W785" s="49" cm="1">
        <f t="array" ref="W785">_xlfn.IFS(COUNTIF(F785,"ผบ.หมู่*"),51,COUNTIF(F785,"รอง สว.*"),43)</f>
        <v>51</v>
      </c>
      <c r="X785" s="6" t="s">
        <v>2231</v>
      </c>
      <c r="Y785" s="6" t="s">
        <v>27</v>
      </c>
    </row>
    <row r="786" spans="1:25" s="10" customFormat="1" ht="21.3" customHeight="1">
      <c r="A786" s="27"/>
      <c r="B786" s="28"/>
      <c r="C786" s="30" t="s">
        <v>18</v>
      </c>
      <c r="D786" s="27"/>
      <c r="E786" s="27"/>
      <c r="F786" s="68" t="s">
        <v>2228</v>
      </c>
      <c r="G786" s="121" t="s">
        <v>2234</v>
      </c>
      <c r="H786" s="91" t="s">
        <v>19</v>
      </c>
      <c r="I786" s="73" t="s">
        <v>19</v>
      </c>
      <c r="J786" s="73" t="s">
        <v>19</v>
      </c>
      <c r="K786" s="73" t="s">
        <v>19</v>
      </c>
      <c r="L786" s="11"/>
      <c r="M786" s="1"/>
      <c r="N786" s="113" t="s">
        <v>14</v>
      </c>
      <c r="O786" s="122" t="s">
        <v>27</v>
      </c>
      <c r="P786" s="122"/>
      <c r="Q786" s="105"/>
      <c r="R786" s="28"/>
      <c r="S786" s="225" t="str">
        <f t="shared" si="12"/>
        <v/>
      </c>
      <c r="T786" s="7" t="s">
        <v>105</v>
      </c>
      <c r="U786" s="7" t="s">
        <v>105</v>
      </c>
      <c r="V786" s="171" t="str" cm="1">
        <f t="array" ref="V786">_xlfn.IFS(C786="","",COUNTIF(C786,"ตำแหน่งว่าง*"),"ว่าง",COUNTIF(C786,"&lt;&gt;ตำแหน่งว่าง*"),"คนครอง")</f>
        <v>ว่าง</v>
      </c>
      <c r="W786" s="49" cm="1">
        <f t="array" ref="W786">_xlfn.IFS(COUNTIF(F786,"ผบ.หมู่*"),51,COUNTIF(F786,"รอง สว.*"),43)</f>
        <v>51</v>
      </c>
      <c r="X786" s="6" t="s">
        <v>2233</v>
      </c>
      <c r="Y786" s="6" t="s">
        <v>27</v>
      </c>
    </row>
    <row r="787" spans="1:25" s="9" customFormat="1" ht="21.3" customHeight="1">
      <c r="A787" s="27" t="s">
        <v>182</v>
      </c>
      <c r="B787" s="28" t="s">
        <v>21</v>
      </c>
      <c r="C787" s="27" t="s">
        <v>2235</v>
      </c>
      <c r="D787" s="27" t="s">
        <v>8911</v>
      </c>
      <c r="E787" s="27" t="s">
        <v>8912</v>
      </c>
      <c r="F787" s="27" t="s">
        <v>2236</v>
      </c>
      <c r="G787" s="101" t="s">
        <v>2238</v>
      </c>
      <c r="H787" s="75">
        <v>43868</v>
      </c>
      <c r="I787" s="73">
        <v>43868</v>
      </c>
      <c r="J787" s="73">
        <v>43868</v>
      </c>
      <c r="K787" s="73">
        <v>34537</v>
      </c>
      <c r="L787" s="11" t="s">
        <v>7854</v>
      </c>
      <c r="M787" s="1" t="s">
        <v>100</v>
      </c>
      <c r="N787" s="112" t="s">
        <v>14</v>
      </c>
      <c r="O787" s="104" t="s">
        <v>27</v>
      </c>
      <c r="P787" s="104"/>
      <c r="Q787" s="105"/>
      <c r="R787" s="28" t="s">
        <v>338</v>
      </c>
      <c r="S787" s="225">
        <f t="shared" si="12"/>
        <v>56523</v>
      </c>
      <c r="T787" s="2" t="s">
        <v>7698</v>
      </c>
      <c r="U787" s="7" t="s">
        <v>105</v>
      </c>
      <c r="V787" s="162" t="str" cm="1">
        <f t="array" ref="V787">_xlfn.IFS(C787="","",COUNTIF(C787,"ตำแหน่งว่าง*"),"ว่าง",COUNTIF(C787,"&lt;&gt;ตำแหน่งว่าง*"),"คนครอง")</f>
        <v>คนครอง</v>
      </c>
      <c r="W787" s="49" cm="1">
        <f t="array" ref="W787">_xlfn.IFS(COUNTIF(F787,"ผบ.หมู่*"),51,COUNTIF(F787,"รอง สว.*"),43)</f>
        <v>51</v>
      </c>
      <c r="X787" s="1" t="s">
        <v>2237</v>
      </c>
      <c r="Y787" s="1" t="s">
        <v>27</v>
      </c>
    </row>
    <row r="788" spans="1:25" s="10" customFormat="1" ht="21.3" customHeight="1">
      <c r="A788" s="27"/>
      <c r="B788" s="28"/>
      <c r="C788" s="30" t="s">
        <v>18</v>
      </c>
      <c r="D788" s="27"/>
      <c r="E788" s="27"/>
      <c r="F788" s="68" t="s">
        <v>2236</v>
      </c>
      <c r="G788" s="121" t="s">
        <v>2240</v>
      </c>
      <c r="H788" s="91" t="s">
        <v>19</v>
      </c>
      <c r="I788" s="73" t="s">
        <v>19</v>
      </c>
      <c r="J788" s="73" t="s">
        <v>19</v>
      </c>
      <c r="K788" s="73" t="s">
        <v>19</v>
      </c>
      <c r="L788" s="11"/>
      <c r="M788" s="1"/>
      <c r="N788" s="113" t="s">
        <v>14</v>
      </c>
      <c r="O788" s="122" t="s">
        <v>27</v>
      </c>
      <c r="P788" s="122"/>
      <c r="Q788" s="105"/>
      <c r="R788" s="28"/>
      <c r="S788" s="225" t="str">
        <f t="shared" si="12"/>
        <v/>
      </c>
      <c r="T788" s="7" t="s">
        <v>7698</v>
      </c>
      <c r="U788" s="7" t="s">
        <v>105</v>
      </c>
      <c r="V788" s="171" t="str" cm="1">
        <f t="array" ref="V788">_xlfn.IFS(C788="","",COUNTIF(C788,"ตำแหน่งว่าง*"),"ว่าง",COUNTIF(C788,"&lt;&gt;ตำแหน่งว่าง*"),"คนครอง")</f>
        <v>ว่าง</v>
      </c>
      <c r="W788" s="49" cm="1">
        <f t="array" ref="W788">_xlfn.IFS(COUNTIF(F788,"ผบ.หมู่*"),51,COUNTIF(F788,"รอง สว.*"),43)</f>
        <v>51</v>
      </c>
      <c r="X788" s="6" t="s">
        <v>2239</v>
      </c>
      <c r="Y788" s="6" t="s">
        <v>27</v>
      </c>
    </row>
    <row r="789" spans="1:25" s="10" customFormat="1" ht="21.3" customHeight="1">
      <c r="A789" s="27"/>
      <c r="B789" s="28"/>
      <c r="C789" s="30" t="s">
        <v>18</v>
      </c>
      <c r="D789" s="27"/>
      <c r="E789" s="27"/>
      <c r="F789" s="68" t="s">
        <v>2236</v>
      </c>
      <c r="G789" s="121" t="s">
        <v>2242</v>
      </c>
      <c r="H789" s="91" t="s">
        <v>19</v>
      </c>
      <c r="I789" s="73" t="s">
        <v>19</v>
      </c>
      <c r="J789" s="73" t="s">
        <v>19</v>
      </c>
      <c r="K789" s="73" t="s">
        <v>19</v>
      </c>
      <c r="L789" s="11"/>
      <c r="M789" s="1"/>
      <c r="N789" s="113" t="s">
        <v>14</v>
      </c>
      <c r="O789" s="122" t="s">
        <v>27</v>
      </c>
      <c r="P789" s="122"/>
      <c r="Q789" s="105"/>
      <c r="R789" s="28"/>
      <c r="S789" s="225" t="str">
        <f t="shared" si="12"/>
        <v/>
      </c>
      <c r="T789" s="7" t="s">
        <v>7698</v>
      </c>
      <c r="U789" s="7" t="s">
        <v>105</v>
      </c>
      <c r="V789" s="171" t="str" cm="1">
        <f t="array" ref="V789">_xlfn.IFS(C789="","",COUNTIF(C789,"ตำแหน่งว่าง*"),"ว่าง",COUNTIF(C789,"&lt;&gt;ตำแหน่งว่าง*"),"คนครอง")</f>
        <v>ว่าง</v>
      </c>
      <c r="W789" s="49" cm="1">
        <f t="array" ref="W789">_xlfn.IFS(COUNTIF(F789,"ผบ.หมู่*"),51,COUNTIF(F789,"รอง สว.*"),43)</f>
        <v>51</v>
      </c>
      <c r="X789" s="6" t="s">
        <v>2241</v>
      </c>
      <c r="Y789" s="6" t="s">
        <v>27</v>
      </c>
    </row>
    <row r="790" spans="1:25" s="10" customFormat="1" ht="21.3" customHeight="1">
      <c r="A790" s="27"/>
      <c r="B790" s="28"/>
      <c r="C790" s="30" t="s">
        <v>18</v>
      </c>
      <c r="D790" s="27"/>
      <c r="E790" s="27"/>
      <c r="F790" s="68" t="s">
        <v>2236</v>
      </c>
      <c r="G790" s="121" t="s">
        <v>2244</v>
      </c>
      <c r="H790" s="91" t="s">
        <v>19</v>
      </c>
      <c r="I790" s="73" t="s">
        <v>19</v>
      </c>
      <c r="J790" s="73" t="s">
        <v>19</v>
      </c>
      <c r="K790" s="73" t="s">
        <v>19</v>
      </c>
      <c r="L790" s="11"/>
      <c r="M790" s="1"/>
      <c r="N790" s="113" t="s">
        <v>14</v>
      </c>
      <c r="O790" s="122" t="s">
        <v>27</v>
      </c>
      <c r="P790" s="122"/>
      <c r="Q790" s="105"/>
      <c r="R790" s="28"/>
      <c r="S790" s="225" t="str">
        <f t="shared" si="12"/>
        <v/>
      </c>
      <c r="T790" s="7" t="s">
        <v>7698</v>
      </c>
      <c r="U790" s="7" t="s">
        <v>105</v>
      </c>
      <c r="V790" s="171" t="str" cm="1">
        <f t="array" ref="V790">_xlfn.IFS(C790="","",COUNTIF(C790,"ตำแหน่งว่าง*"),"ว่าง",COUNTIF(C790,"&lt;&gt;ตำแหน่งว่าง*"),"คนครอง")</f>
        <v>ว่าง</v>
      </c>
      <c r="W790" s="49" cm="1">
        <f t="array" ref="W790">_xlfn.IFS(COUNTIF(F790,"ผบ.หมู่*"),51,COUNTIF(F790,"รอง สว.*"),43)</f>
        <v>51</v>
      </c>
      <c r="X790" s="6" t="s">
        <v>2243</v>
      </c>
      <c r="Y790" s="6" t="s">
        <v>27</v>
      </c>
    </row>
    <row r="791" spans="1:25" s="10" customFormat="1" ht="21.3" customHeight="1">
      <c r="A791" s="27"/>
      <c r="B791" s="28"/>
      <c r="C791" s="30" t="s">
        <v>18</v>
      </c>
      <c r="D791" s="27"/>
      <c r="E791" s="27"/>
      <c r="F791" s="68" t="s">
        <v>2236</v>
      </c>
      <c r="G791" s="121" t="s">
        <v>2246</v>
      </c>
      <c r="H791" s="91" t="s">
        <v>19</v>
      </c>
      <c r="I791" s="73" t="s">
        <v>19</v>
      </c>
      <c r="J791" s="73" t="s">
        <v>19</v>
      </c>
      <c r="K791" s="73" t="s">
        <v>19</v>
      </c>
      <c r="L791" s="11"/>
      <c r="M791" s="1"/>
      <c r="N791" s="113" t="s">
        <v>14</v>
      </c>
      <c r="O791" s="122" t="s">
        <v>27</v>
      </c>
      <c r="P791" s="122"/>
      <c r="Q791" s="105"/>
      <c r="R791" s="28"/>
      <c r="S791" s="225" t="str">
        <f t="shared" si="12"/>
        <v/>
      </c>
      <c r="T791" s="7" t="s">
        <v>7698</v>
      </c>
      <c r="U791" s="7" t="s">
        <v>105</v>
      </c>
      <c r="V791" s="171" t="str" cm="1">
        <f t="array" ref="V791">_xlfn.IFS(C791="","",COUNTIF(C791,"ตำแหน่งว่าง*"),"ว่าง",COUNTIF(C791,"&lt;&gt;ตำแหน่งว่าง*"),"คนครอง")</f>
        <v>ว่าง</v>
      </c>
      <c r="W791" s="49" cm="1">
        <f t="array" ref="W791">_xlfn.IFS(COUNTIF(F791,"ผบ.หมู่*"),51,COUNTIF(F791,"รอง สว.*"),43)</f>
        <v>51</v>
      </c>
      <c r="X791" s="6" t="s">
        <v>2245</v>
      </c>
      <c r="Y791" s="6" t="s">
        <v>27</v>
      </c>
    </row>
    <row r="792" spans="1:25" s="10" customFormat="1" ht="21.3" customHeight="1">
      <c r="A792" s="68"/>
      <c r="B792" s="30"/>
      <c r="C792" s="30" t="s">
        <v>18</v>
      </c>
      <c r="D792" s="27"/>
      <c r="E792" s="27"/>
      <c r="F792" s="68" t="s">
        <v>2236</v>
      </c>
      <c r="G792" s="121" t="s">
        <v>2248</v>
      </c>
      <c r="H792" s="93" t="s">
        <v>19</v>
      </c>
      <c r="I792" s="74" t="s">
        <v>19</v>
      </c>
      <c r="J792" s="74" t="s">
        <v>19</v>
      </c>
      <c r="K792" s="74" t="s">
        <v>19</v>
      </c>
      <c r="L792" s="16"/>
      <c r="M792" s="6"/>
      <c r="N792" s="113" t="s">
        <v>14</v>
      </c>
      <c r="O792" s="122" t="s">
        <v>27</v>
      </c>
      <c r="P792" s="122"/>
      <c r="Q792" s="106"/>
      <c r="R792" s="30"/>
      <c r="S792" s="225" t="str">
        <f t="shared" si="12"/>
        <v/>
      </c>
      <c r="T792" s="7" t="s">
        <v>7698</v>
      </c>
      <c r="U792" s="7" t="s">
        <v>105</v>
      </c>
      <c r="V792" s="171" t="str" cm="1">
        <f t="array" ref="V792">_xlfn.IFS(C792="","",COUNTIF(C792,"ตำแหน่งว่าง*"),"ว่าง",COUNTIF(C792,"&lt;&gt;ตำแหน่งว่าง*"),"คนครอง")</f>
        <v>ว่าง</v>
      </c>
      <c r="W792" s="49" cm="1">
        <f t="array" ref="W792">_xlfn.IFS(COUNTIF(F792,"ผบ.หมู่*"),51,COUNTIF(F792,"รอง สว.*"),43)</f>
        <v>51</v>
      </c>
      <c r="X792" s="6" t="s">
        <v>2247</v>
      </c>
      <c r="Y792" s="6" t="s">
        <v>27</v>
      </c>
    </row>
    <row r="793" spans="1:25" s="10" customFormat="1" ht="21.3" customHeight="1">
      <c r="A793" s="27" t="s">
        <v>169</v>
      </c>
      <c r="B793" s="28" t="s">
        <v>21</v>
      </c>
      <c r="C793" s="27" t="s">
        <v>2249</v>
      </c>
      <c r="D793" s="27" t="s">
        <v>8913</v>
      </c>
      <c r="E793" s="27" t="s">
        <v>8914</v>
      </c>
      <c r="F793" s="27" t="s">
        <v>2236</v>
      </c>
      <c r="G793" s="101" t="s">
        <v>2251</v>
      </c>
      <c r="H793" s="87">
        <v>45092</v>
      </c>
      <c r="I793" s="73">
        <v>45092</v>
      </c>
      <c r="J793" s="72">
        <v>45092</v>
      </c>
      <c r="K793" s="73">
        <v>35751</v>
      </c>
      <c r="L793" s="11" t="s">
        <v>82</v>
      </c>
      <c r="M793" s="1" t="s">
        <v>103</v>
      </c>
      <c r="N793" s="112" t="s">
        <v>14</v>
      </c>
      <c r="O793" s="104" t="s">
        <v>27</v>
      </c>
      <c r="P793" s="104"/>
      <c r="Q793" s="105"/>
      <c r="R793" s="28" t="s">
        <v>174</v>
      </c>
      <c r="S793" s="225">
        <f t="shared" si="12"/>
        <v>57984</v>
      </c>
      <c r="T793" s="7" t="s">
        <v>7698</v>
      </c>
      <c r="U793" s="7" t="s">
        <v>105</v>
      </c>
      <c r="V793" s="162" t="str" cm="1">
        <f t="array" ref="V793">_xlfn.IFS(C793="","",COUNTIF(C793,"ตำแหน่งว่าง*"),"ว่าง",COUNTIF(C793,"&lt;&gt;ตำแหน่งว่าง*"),"คนครอง")</f>
        <v>คนครอง</v>
      </c>
      <c r="W793" s="49" cm="1">
        <f t="array" ref="W793">_xlfn.IFS(COUNTIF(F793,"ผบ.หมู่*"),51,COUNTIF(F793,"รอง สว.*"),43)</f>
        <v>51</v>
      </c>
      <c r="X793" s="1" t="s">
        <v>2250</v>
      </c>
      <c r="Y793" s="1" t="s">
        <v>27</v>
      </c>
    </row>
    <row r="794" spans="1:25" s="10" customFormat="1" ht="21.3" customHeight="1">
      <c r="A794" s="27" t="s">
        <v>169</v>
      </c>
      <c r="B794" s="28" t="s">
        <v>21</v>
      </c>
      <c r="C794" s="27" t="s">
        <v>2252</v>
      </c>
      <c r="D794" s="27" t="s">
        <v>8915</v>
      </c>
      <c r="E794" s="27" t="s">
        <v>8916</v>
      </c>
      <c r="F794" s="27" t="s">
        <v>2236</v>
      </c>
      <c r="G794" s="101" t="s">
        <v>2254</v>
      </c>
      <c r="H794" s="87">
        <v>45092</v>
      </c>
      <c r="I794" s="73">
        <v>45092</v>
      </c>
      <c r="J794" s="72">
        <v>45092</v>
      </c>
      <c r="K794" s="73">
        <v>35099</v>
      </c>
      <c r="L794" s="11" t="s">
        <v>82</v>
      </c>
      <c r="M794" s="1" t="s">
        <v>28</v>
      </c>
      <c r="N794" s="112" t="s">
        <v>14</v>
      </c>
      <c r="O794" s="104" t="s">
        <v>27</v>
      </c>
      <c r="P794" s="104"/>
      <c r="Q794" s="105"/>
      <c r="R794" s="28" t="s">
        <v>174</v>
      </c>
      <c r="S794" s="225">
        <f t="shared" si="12"/>
        <v>57254</v>
      </c>
      <c r="T794" s="7" t="s">
        <v>7698</v>
      </c>
      <c r="U794" s="7" t="s">
        <v>105</v>
      </c>
      <c r="V794" s="162" t="str" cm="1">
        <f t="array" ref="V794">_xlfn.IFS(C794="","",COUNTIF(C794,"ตำแหน่งว่าง*"),"ว่าง",COUNTIF(C794,"&lt;&gt;ตำแหน่งว่าง*"),"คนครอง")</f>
        <v>คนครอง</v>
      </c>
      <c r="W794" s="49" cm="1">
        <f t="array" ref="W794">_xlfn.IFS(COUNTIF(F794,"ผบ.หมู่*"),51,COUNTIF(F794,"รอง สว.*"),43)</f>
        <v>51</v>
      </c>
      <c r="X794" s="1" t="s">
        <v>2253</v>
      </c>
      <c r="Y794" s="1" t="s">
        <v>27</v>
      </c>
    </row>
    <row r="795" spans="1:25" s="12" customFormat="1" ht="21.3" customHeight="1">
      <c r="A795" s="27"/>
      <c r="B795" s="28"/>
      <c r="C795" s="30" t="s">
        <v>18</v>
      </c>
      <c r="D795" s="27"/>
      <c r="E795" s="27"/>
      <c r="F795" s="68" t="s">
        <v>2236</v>
      </c>
      <c r="G795" s="121" t="s">
        <v>2256</v>
      </c>
      <c r="H795" s="91" t="s">
        <v>19</v>
      </c>
      <c r="I795" s="73" t="s">
        <v>19</v>
      </c>
      <c r="J795" s="73" t="s">
        <v>19</v>
      </c>
      <c r="K795" s="73" t="s">
        <v>19</v>
      </c>
      <c r="L795" s="11"/>
      <c r="M795" s="1"/>
      <c r="N795" s="113" t="s">
        <v>14</v>
      </c>
      <c r="O795" s="122" t="s">
        <v>27</v>
      </c>
      <c r="P795" s="122"/>
      <c r="Q795" s="105"/>
      <c r="R795" s="28"/>
      <c r="S795" s="225" t="str">
        <f t="shared" si="12"/>
        <v/>
      </c>
      <c r="T795" s="162" t="s">
        <v>7698</v>
      </c>
      <c r="U795" s="7" t="s">
        <v>105</v>
      </c>
      <c r="V795" s="171" t="str" cm="1">
        <f t="array" ref="V795">_xlfn.IFS(C795="","",COUNTIF(C795,"ตำแหน่งว่าง*"),"ว่าง",COUNTIF(C795,"&lt;&gt;ตำแหน่งว่าง*"),"คนครอง")</f>
        <v>ว่าง</v>
      </c>
      <c r="W795" s="49" cm="1">
        <f t="array" ref="W795">_xlfn.IFS(COUNTIF(F795,"ผบ.หมู่*"),51,COUNTIF(F795,"รอง สว.*"),43)</f>
        <v>51</v>
      </c>
      <c r="X795" s="6" t="s">
        <v>2255</v>
      </c>
      <c r="Y795" s="6" t="s">
        <v>27</v>
      </c>
    </row>
    <row r="796" spans="1:25" s="10" customFormat="1" ht="21.3" customHeight="1">
      <c r="A796" s="27"/>
      <c r="B796" s="28"/>
      <c r="C796" s="30" t="s">
        <v>18</v>
      </c>
      <c r="D796" s="27"/>
      <c r="E796" s="27"/>
      <c r="F796" s="68" t="s">
        <v>2236</v>
      </c>
      <c r="G796" s="121" t="s">
        <v>2258</v>
      </c>
      <c r="H796" s="91" t="s">
        <v>19</v>
      </c>
      <c r="I796" s="73" t="s">
        <v>19</v>
      </c>
      <c r="J796" s="73" t="s">
        <v>19</v>
      </c>
      <c r="K796" s="73" t="s">
        <v>19</v>
      </c>
      <c r="L796" s="11"/>
      <c r="M796" s="1"/>
      <c r="N796" s="113" t="s">
        <v>14</v>
      </c>
      <c r="O796" s="122" t="s">
        <v>27</v>
      </c>
      <c r="P796" s="122"/>
      <c r="Q796" s="105"/>
      <c r="R796" s="28"/>
      <c r="S796" s="225" t="str">
        <f t="shared" si="12"/>
        <v/>
      </c>
      <c r="T796" s="7" t="s">
        <v>7698</v>
      </c>
      <c r="U796" s="7" t="s">
        <v>105</v>
      </c>
      <c r="V796" s="171" t="str" cm="1">
        <f t="array" ref="V796">_xlfn.IFS(C796="","",COUNTIF(C796,"ตำแหน่งว่าง*"),"ว่าง",COUNTIF(C796,"&lt;&gt;ตำแหน่งว่าง*"),"คนครอง")</f>
        <v>ว่าง</v>
      </c>
      <c r="W796" s="49" cm="1">
        <f t="array" ref="W796">_xlfn.IFS(COUNTIF(F796,"ผบ.หมู่*"),51,COUNTIF(F796,"รอง สว.*"),43)</f>
        <v>51</v>
      </c>
      <c r="X796" s="6" t="s">
        <v>2257</v>
      </c>
      <c r="Y796" s="6" t="s">
        <v>27</v>
      </c>
    </row>
    <row r="797" spans="1:25" s="9" customFormat="1" ht="21.3" customHeight="1">
      <c r="A797" s="27"/>
      <c r="B797" s="28"/>
      <c r="C797" s="27" t="s">
        <v>18</v>
      </c>
      <c r="D797" s="27"/>
      <c r="E797" s="27"/>
      <c r="F797" s="27" t="s">
        <v>2259</v>
      </c>
      <c r="G797" s="101" t="s">
        <v>2261</v>
      </c>
      <c r="H797" s="75"/>
      <c r="I797" s="73"/>
      <c r="J797" s="73"/>
      <c r="K797" s="73"/>
      <c r="L797" s="11"/>
      <c r="M797" s="1"/>
      <c r="N797" s="112" t="s">
        <v>14</v>
      </c>
      <c r="O797" s="104" t="s">
        <v>27</v>
      </c>
      <c r="P797" s="104"/>
      <c r="Q797" s="105"/>
      <c r="R797" s="28"/>
      <c r="S797" s="174" t="str">
        <f t="shared" si="12"/>
        <v/>
      </c>
      <c r="T797" s="2" t="s">
        <v>7678</v>
      </c>
      <c r="U797" s="2" t="s">
        <v>105</v>
      </c>
      <c r="V797" s="2" t="str" cm="1">
        <f t="array" ref="V797">_xlfn.IFS(C797="","",COUNTIF(C797,"ตำแหน่งว่าง*"),"ว่าง",COUNTIF(C797,"&lt;&gt;ตำแหน่งว่าง*"),"คนครอง")</f>
        <v>ว่าง</v>
      </c>
      <c r="W797" s="170" cm="1">
        <f t="array" ref="W797">_xlfn.IFS(COUNTIF(F797,"ผบ.หมู่*"),51,COUNTIF(F797,"รอง สว.*"),43)</f>
        <v>51</v>
      </c>
      <c r="X797" s="1" t="s">
        <v>2260</v>
      </c>
      <c r="Y797" s="1" t="s">
        <v>27</v>
      </c>
    </row>
    <row r="798" spans="1:25" s="10" customFormat="1" ht="21.3" customHeight="1">
      <c r="A798" s="27" t="s">
        <v>169</v>
      </c>
      <c r="B798" s="28" t="s">
        <v>21</v>
      </c>
      <c r="C798" s="27" t="s">
        <v>2262</v>
      </c>
      <c r="D798" s="27" t="s">
        <v>8334</v>
      </c>
      <c r="E798" s="27" t="s">
        <v>8918</v>
      </c>
      <c r="F798" s="27" t="s">
        <v>2259</v>
      </c>
      <c r="G798" s="101" t="s">
        <v>2264</v>
      </c>
      <c r="H798" s="87">
        <v>45092</v>
      </c>
      <c r="I798" s="73">
        <v>45092</v>
      </c>
      <c r="J798" s="72">
        <v>45092</v>
      </c>
      <c r="K798" s="73">
        <v>35618</v>
      </c>
      <c r="L798" s="11" t="s">
        <v>82</v>
      </c>
      <c r="M798" s="1" t="s">
        <v>25</v>
      </c>
      <c r="N798" s="112" t="s">
        <v>14</v>
      </c>
      <c r="O798" s="104" t="s">
        <v>27</v>
      </c>
      <c r="P798" s="104"/>
      <c r="Q798" s="105"/>
      <c r="R798" s="28" t="s">
        <v>174</v>
      </c>
      <c r="S798" s="225">
        <f t="shared" si="12"/>
        <v>57619</v>
      </c>
      <c r="T798" s="7" t="s">
        <v>7678</v>
      </c>
      <c r="U798" s="7" t="s">
        <v>105</v>
      </c>
      <c r="V798" s="162" t="str" cm="1">
        <f t="array" ref="V798">_xlfn.IFS(C798="","",COUNTIF(C798,"ตำแหน่งว่าง*"),"ว่าง",COUNTIF(C798,"&lt;&gt;ตำแหน่งว่าง*"),"คนครอง")</f>
        <v>คนครอง</v>
      </c>
      <c r="W798" s="49" cm="1">
        <f t="array" ref="W798">_xlfn.IFS(COUNTIF(F798,"ผบ.หมู่*"),51,COUNTIF(F798,"รอง สว.*"),43)</f>
        <v>51</v>
      </c>
      <c r="X798" s="1" t="s">
        <v>2263</v>
      </c>
      <c r="Y798" s="1" t="s">
        <v>27</v>
      </c>
    </row>
    <row r="799" spans="1:25" s="10" customFormat="1" ht="21.3" customHeight="1">
      <c r="A799" s="27" t="s">
        <v>169</v>
      </c>
      <c r="B799" s="28" t="s">
        <v>21</v>
      </c>
      <c r="C799" s="27" t="s">
        <v>2265</v>
      </c>
      <c r="D799" s="27" t="s">
        <v>8267</v>
      </c>
      <c r="E799" s="27" t="s">
        <v>8919</v>
      </c>
      <c r="F799" s="27" t="s">
        <v>2259</v>
      </c>
      <c r="G799" s="101" t="s">
        <v>2267</v>
      </c>
      <c r="H799" s="87">
        <v>45092</v>
      </c>
      <c r="I799" s="73">
        <v>45092</v>
      </c>
      <c r="J799" s="72">
        <v>45092</v>
      </c>
      <c r="K799" s="73">
        <v>36286</v>
      </c>
      <c r="L799" s="11" t="s">
        <v>82</v>
      </c>
      <c r="M799" s="1" t="s">
        <v>42</v>
      </c>
      <c r="N799" s="112" t="s">
        <v>14</v>
      </c>
      <c r="O799" s="104" t="s">
        <v>27</v>
      </c>
      <c r="P799" s="104"/>
      <c r="Q799" s="105"/>
      <c r="R799" s="28" t="s">
        <v>174</v>
      </c>
      <c r="S799" s="225">
        <f t="shared" si="12"/>
        <v>58349</v>
      </c>
      <c r="T799" s="7" t="s">
        <v>7678</v>
      </c>
      <c r="U799" s="7" t="s">
        <v>105</v>
      </c>
      <c r="V799" s="162" t="str" cm="1">
        <f t="array" ref="V799">_xlfn.IFS(C799="","",COUNTIF(C799,"ตำแหน่งว่าง*"),"ว่าง",COUNTIF(C799,"&lt;&gt;ตำแหน่งว่าง*"),"คนครอง")</f>
        <v>คนครอง</v>
      </c>
      <c r="W799" s="49" cm="1">
        <f t="array" ref="W799">_xlfn.IFS(COUNTIF(F799,"ผบ.หมู่*"),51,COUNTIF(F799,"รอง สว.*"),43)</f>
        <v>51</v>
      </c>
      <c r="X799" s="1" t="s">
        <v>2266</v>
      </c>
      <c r="Y799" s="1" t="s">
        <v>27</v>
      </c>
    </row>
    <row r="800" spans="1:25" s="10" customFormat="1" ht="21.3" customHeight="1">
      <c r="A800" s="27"/>
      <c r="B800" s="28"/>
      <c r="C800" s="30" t="s">
        <v>18</v>
      </c>
      <c r="D800" s="27"/>
      <c r="E800" s="27"/>
      <c r="F800" s="68" t="s">
        <v>2259</v>
      </c>
      <c r="G800" s="121" t="s">
        <v>2269</v>
      </c>
      <c r="H800" s="91" t="s">
        <v>19</v>
      </c>
      <c r="I800" s="73" t="s">
        <v>19</v>
      </c>
      <c r="J800" s="73" t="s">
        <v>19</v>
      </c>
      <c r="K800" s="73" t="s">
        <v>19</v>
      </c>
      <c r="L800" s="11"/>
      <c r="M800" s="1"/>
      <c r="N800" s="113" t="s">
        <v>14</v>
      </c>
      <c r="O800" s="122" t="s">
        <v>27</v>
      </c>
      <c r="P800" s="122"/>
      <c r="Q800" s="105"/>
      <c r="R800" s="28"/>
      <c r="S800" s="225" t="str">
        <f t="shared" si="12"/>
        <v/>
      </c>
      <c r="T800" s="7" t="s">
        <v>7678</v>
      </c>
      <c r="U800" s="7" t="s">
        <v>105</v>
      </c>
      <c r="V800" s="171" t="str" cm="1">
        <f t="array" ref="V800">_xlfn.IFS(C800="","",COUNTIF(C800,"ตำแหน่งว่าง*"),"ว่าง",COUNTIF(C800,"&lt;&gt;ตำแหน่งว่าง*"),"คนครอง")</f>
        <v>ว่าง</v>
      </c>
      <c r="W800" s="49" cm="1">
        <f t="array" ref="W800">_xlfn.IFS(COUNTIF(F800,"ผบ.หมู่*"),51,COUNTIF(F800,"รอง สว.*"),43)</f>
        <v>51</v>
      </c>
      <c r="X800" s="6" t="s">
        <v>2268</v>
      </c>
      <c r="Y800" s="6" t="s">
        <v>27</v>
      </c>
    </row>
    <row r="801" spans="1:25" s="10" customFormat="1" ht="21.3" customHeight="1">
      <c r="A801" s="27"/>
      <c r="B801" s="28"/>
      <c r="C801" s="30" t="s">
        <v>18</v>
      </c>
      <c r="D801" s="27"/>
      <c r="E801" s="27"/>
      <c r="F801" s="68" t="s">
        <v>2259</v>
      </c>
      <c r="G801" s="121" t="s">
        <v>2271</v>
      </c>
      <c r="H801" s="91" t="s">
        <v>19</v>
      </c>
      <c r="I801" s="73" t="s">
        <v>19</v>
      </c>
      <c r="J801" s="73" t="s">
        <v>19</v>
      </c>
      <c r="K801" s="73" t="s">
        <v>19</v>
      </c>
      <c r="L801" s="11"/>
      <c r="M801" s="1"/>
      <c r="N801" s="113" t="s">
        <v>14</v>
      </c>
      <c r="O801" s="122" t="s">
        <v>27</v>
      </c>
      <c r="P801" s="122"/>
      <c r="Q801" s="105"/>
      <c r="R801" s="28"/>
      <c r="S801" s="225" t="str">
        <f t="shared" si="12"/>
        <v/>
      </c>
      <c r="T801" s="7" t="s">
        <v>7678</v>
      </c>
      <c r="U801" s="7" t="s">
        <v>105</v>
      </c>
      <c r="V801" s="171" t="str" cm="1">
        <f t="array" ref="V801">_xlfn.IFS(C801="","",COUNTIF(C801,"ตำแหน่งว่าง*"),"ว่าง",COUNTIF(C801,"&lt;&gt;ตำแหน่งว่าง*"),"คนครอง")</f>
        <v>ว่าง</v>
      </c>
      <c r="W801" s="49" cm="1">
        <f t="array" ref="W801">_xlfn.IFS(COUNTIF(F801,"ผบ.หมู่*"),51,COUNTIF(F801,"รอง สว.*"),43)</f>
        <v>51</v>
      </c>
      <c r="X801" s="6" t="s">
        <v>2270</v>
      </c>
      <c r="Y801" s="6" t="s">
        <v>27</v>
      </c>
    </row>
    <row r="802" spans="1:25" s="10" customFormat="1" ht="21.3" customHeight="1">
      <c r="A802" s="27"/>
      <c r="B802" s="28"/>
      <c r="C802" s="30" t="s">
        <v>18</v>
      </c>
      <c r="D802" s="27"/>
      <c r="E802" s="27"/>
      <c r="F802" s="68" t="s">
        <v>2259</v>
      </c>
      <c r="G802" s="121" t="s">
        <v>2273</v>
      </c>
      <c r="H802" s="91" t="s">
        <v>19</v>
      </c>
      <c r="I802" s="73" t="s">
        <v>19</v>
      </c>
      <c r="J802" s="73" t="s">
        <v>19</v>
      </c>
      <c r="K802" s="73" t="s">
        <v>19</v>
      </c>
      <c r="L802" s="11"/>
      <c r="M802" s="1"/>
      <c r="N802" s="113" t="s">
        <v>14</v>
      </c>
      <c r="O802" s="122" t="s">
        <v>27</v>
      </c>
      <c r="P802" s="122"/>
      <c r="Q802" s="105"/>
      <c r="R802" s="28"/>
      <c r="S802" s="225" t="str">
        <f t="shared" si="12"/>
        <v/>
      </c>
      <c r="T802" s="7" t="s">
        <v>7678</v>
      </c>
      <c r="U802" s="7" t="s">
        <v>105</v>
      </c>
      <c r="V802" s="171" t="str" cm="1">
        <f t="array" ref="V802">_xlfn.IFS(C802="","",COUNTIF(C802,"ตำแหน่งว่าง*"),"ว่าง",COUNTIF(C802,"&lt;&gt;ตำแหน่งว่าง*"),"คนครอง")</f>
        <v>ว่าง</v>
      </c>
      <c r="W802" s="49" cm="1">
        <f t="array" ref="W802">_xlfn.IFS(COUNTIF(F802,"ผบ.หมู่*"),51,COUNTIF(F802,"รอง สว.*"),43)</f>
        <v>51</v>
      </c>
      <c r="X802" s="6" t="s">
        <v>2272</v>
      </c>
      <c r="Y802" s="6" t="s">
        <v>27</v>
      </c>
    </row>
    <row r="803" spans="1:25" s="10" customFormat="1" ht="21.3" customHeight="1">
      <c r="A803" s="27"/>
      <c r="B803" s="28"/>
      <c r="C803" s="30" t="s">
        <v>18</v>
      </c>
      <c r="D803" s="27"/>
      <c r="E803" s="27"/>
      <c r="F803" s="68" t="s">
        <v>2259</v>
      </c>
      <c r="G803" s="121" t="s">
        <v>2275</v>
      </c>
      <c r="H803" s="91" t="s">
        <v>19</v>
      </c>
      <c r="I803" s="73" t="s">
        <v>19</v>
      </c>
      <c r="J803" s="73" t="s">
        <v>19</v>
      </c>
      <c r="K803" s="73" t="s">
        <v>19</v>
      </c>
      <c r="L803" s="11"/>
      <c r="M803" s="1"/>
      <c r="N803" s="113" t="s">
        <v>14</v>
      </c>
      <c r="O803" s="122" t="s">
        <v>27</v>
      </c>
      <c r="P803" s="122"/>
      <c r="Q803" s="105"/>
      <c r="R803" s="28"/>
      <c r="S803" s="225" t="str">
        <f t="shared" si="12"/>
        <v/>
      </c>
      <c r="T803" s="7" t="s">
        <v>7678</v>
      </c>
      <c r="U803" s="7" t="s">
        <v>105</v>
      </c>
      <c r="V803" s="171" t="str" cm="1">
        <f t="array" ref="V803">_xlfn.IFS(C803="","",COUNTIF(C803,"ตำแหน่งว่าง*"),"ว่าง",COUNTIF(C803,"&lt;&gt;ตำแหน่งว่าง*"),"คนครอง")</f>
        <v>ว่าง</v>
      </c>
      <c r="W803" s="49" cm="1">
        <f t="array" ref="W803">_xlfn.IFS(COUNTIF(F803,"ผบ.หมู่*"),51,COUNTIF(F803,"รอง สว.*"),43)</f>
        <v>51</v>
      </c>
      <c r="X803" s="6" t="s">
        <v>2274</v>
      </c>
      <c r="Y803" s="6" t="s">
        <v>27</v>
      </c>
    </row>
    <row r="804" spans="1:25" s="10" customFormat="1" ht="21.3" customHeight="1">
      <c r="A804" s="27"/>
      <c r="B804" s="28"/>
      <c r="C804" s="30" t="s">
        <v>18</v>
      </c>
      <c r="D804" s="27"/>
      <c r="E804" s="27"/>
      <c r="F804" s="68" t="s">
        <v>2259</v>
      </c>
      <c r="G804" s="121" t="s">
        <v>2277</v>
      </c>
      <c r="H804" s="91" t="s">
        <v>19</v>
      </c>
      <c r="I804" s="73" t="s">
        <v>19</v>
      </c>
      <c r="J804" s="73" t="s">
        <v>19</v>
      </c>
      <c r="K804" s="73" t="s">
        <v>19</v>
      </c>
      <c r="L804" s="11"/>
      <c r="M804" s="1"/>
      <c r="N804" s="113" t="s">
        <v>14</v>
      </c>
      <c r="O804" s="122" t="s">
        <v>27</v>
      </c>
      <c r="P804" s="122"/>
      <c r="Q804" s="105"/>
      <c r="R804" s="28"/>
      <c r="S804" s="225" t="str">
        <f t="shared" si="12"/>
        <v/>
      </c>
      <c r="T804" s="7" t="s">
        <v>7678</v>
      </c>
      <c r="U804" s="7" t="s">
        <v>105</v>
      </c>
      <c r="V804" s="171" t="str" cm="1">
        <f t="array" ref="V804">_xlfn.IFS(C804="","",COUNTIF(C804,"ตำแหน่งว่าง*"),"ว่าง",COUNTIF(C804,"&lt;&gt;ตำแหน่งว่าง*"),"คนครอง")</f>
        <v>ว่าง</v>
      </c>
      <c r="W804" s="49" cm="1">
        <f t="array" ref="W804">_xlfn.IFS(COUNTIF(F804,"ผบ.หมู่*"),51,COUNTIF(F804,"รอง สว.*"),43)</f>
        <v>51</v>
      </c>
      <c r="X804" s="6" t="s">
        <v>2276</v>
      </c>
      <c r="Y804" s="6" t="s">
        <v>27</v>
      </c>
    </row>
    <row r="805" spans="1:25" s="10" customFormat="1" ht="21.3" customHeight="1">
      <c r="A805" s="27"/>
      <c r="B805" s="28"/>
      <c r="C805" s="30" t="s">
        <v>18</v>
      </c>
      <c r="D805" s="27"/>
      <c r="E805" s="27"/>
      <c r="F805" s="68" t="s">
        <v>2259</v>
      </c>
      <c r="G805" s="121" t="s">
        <v>2279</v>
      </c>
      <c r="H805" s="91" t="s">
        <v>19</v>
      </c>
      <c r="I805" s="73" t="s">
        <v>19</v>
      </c>
      <c r="J805" s="73" t="s">
        <v>19</v>
      </c>
      <c r="K805" s="73" t="s">
        <v>19</v>
      </c>
      <c r="L805" s="11"/>
      <c r="M805" s="1"/>
      <c r="N805" s="113" t="s">
        <v>14</v>
      </c>
      <c r="O805" s="122" t="s">
        <v>27</v>
      </c>
      <c r="P805" s="122"/>
      <c r="Q805" s="105"/>
      <c r="R805" s="28"/>
      <c r="S805" s="225" t="str">
        <f t="shared" si="12"/>
        <v/>
      </c>
      <c r="T805" s="7" t="s">
        <v>7678</v>
      </c>
      <c r="U805" s="7" t="s">
        <v>105</v>
      </c>
      <c r="V805" s="171" t="str" cm="1">
        <f t="array" ref="V805">_xlfn.IFS(C805="","",COUNTIF(C805,"ตำแหน่งว่าง*"),"ว่าง",COUNTIF(C805,"&lt;&gt;ตำแหน่งว่าง*"),"คนครอง")</f>
        <v>ว่าง</v>
      </c>
      <c r="W805" s="49" cm="1">
        <f t="array" ref="W805">_xlfn.IFS(COUNTIF(F805,"ผบ.หมู่*"),51,COUNTIF(F805,"รอง สว.*"),43)</f>
        <v>51</v>
      </c>
      <c r="X805" s="6" t="s">
        <v>2278</v>
      </c>
      <c r="Y805" s="6" t="s">
        <v>27</v>
      </c>
    </row>
    <row r="806" spans="1:25" s="10" customFormat="1" ht="21.3" customHeight="1">
      <c r="A806" s="27"/>
      <c r="B806" s="28"/>
      <c r="C806" s="30" t="s">
        <v>18</v>
      </c>
      <c r="D806" s="27"/>
      <c r="E806" s="27"/>
      <c r="F806" s="68" t="s">
        <v>2259</v>
      </c>
      <c r="G806" s="121" t="s">
        <v>2281</v>
      </c>
      <c r="H806" s="91" t="s">
        <v>19</v>
      </c>
      <c r="I806" s="73" t="s">
        <v>19</v>
      </c>
      <c r="J806" s="73" t="s">
        <v>19</v>
      </c>
      <c r="K806" s="73" t="s">
        <v>19</v>
      </c>
      <c r="L806" s="11"/>
      <c r="M806" s="1"/>
      <c r="N806" s="113" t="s">
        <v>14</v>
      </c>
      <c r="O806" s="122" t="s">
        <v>27</v>
      </c>
      <c r="P806" s="122"/>
      <c r="Q806" s="105"/>
      <c r="R806" s="28"/>
      <c r="S806" s="225" t="str">
        <f t="shared" si="12"/>
        <v/>
      </c>
      <c r="T806" s="7" t="s">
        <v>7678</v>
      </c>
      <c r="U806" s="7" t="s">
        <v>105</v>
      </c>
      <c r="V806" s="171" t="str" cm="1">
        <f t="array" ref="V806">_xlfn.IFS(C806="","",COUNTIF(C806,"ตำแหน่งว่าง*"),"ว่าง",COUNTIF(C806,"&lt;&gt;ตำแหน่งว่าง*"),"คนครอง")</f>
        <v>ว่าง</v>
      </c>
      <c r="W806" s="49" cm="1">
        <f t="array" ref="W806">_xlfn.IFS(COUNTIF(F806,"ผบ.หมู่*"),51,COUNTIF(F806,"รอง สว.*"),43)</f>
        <v>51</v>
      </c>
      <c r="X806" s="6" t="s">
        <v>2280</v>
      </c>
      <c r="Y806" s="6" t="s">
        <v>27</v>
      </c>
    </row>
    <row r="807" spans="1:25" s="10" customFormat="1" ht="21.3" customHeight="1">
      <c r="A807" s="27"/>
      <c r="B807" s="28"/>
      <c r="C807" s="30" t="s">
        <v>18</v>
      </c>
      <c r="D807" s="27"/>
      <c r="E807" s="27"/>
      <c r="F807" s="68" t="s">
        <v>2259</v>
      </c>
      <c r="G807" s="121" t="s">
        <v>2283</v>
      </c>
      <c r="H807" s="91" t="s">
        <v>19</v>
      </c>
      <c r="I807" s="73" t="s">
        <v>19</v>
      </c>
      <c r="J807" s="73" t="s">
        <v>19</v>
      </c>
      <c r="K807" s="73" t="s">
        <v>19</v>
      </c>
      <c r="L807" s="11"/>
      <c r="M807" s="1"/>
      <c r="N807" s="113" t="s">
        <v>14</v>
      </c>
      <c r="O807" s="122" t="s">
        <v>27</v>
      </c>
      <c r="P807" s="122"/>
      <c r="Q807" s="105"/>
      <c r="R807" s="28"/>
      <c r="S807" s="225" t="str">
        <f t="shared" si="12"/>
        <v/>
      </c>
      <c r="T807" s="7" t="s">
        <v>7678</v>
      </c>
      <c r="U807" s="7" t="s">
        <v>105</v>
      </c>
      <c r="V807" s="171" t="str" cm="1">
        <f t="array" ref="V807">_xlfn.IFS(C807="","",COUNTIF(C807,"ตำแหน่งว่าง*"),"ว่าง",COUNTIF(C807,"&lt;&gt;ตำแหน่งว่าง*"),"คนครอง")</f>
        <v>ว่าง</v>
      </c>
      <c r="W807" s="49" cm="1">
        <f t="array" ref="W807">_xlfn.IFS(COUNTIF(F807,"ผบ.หมู่*"),51,COUNTIF(F807,"รอง สว.*"),43)</f>
        <v>51</v>
      </c>
      <c r="X807" s="6" t="s">
        <v>2282</v>
      </c>
      <c r="Y807" s="6" t="s">
        <v>27</v>
      </c>
    </row>
    <row r="808" spans="1:25" s="10" customFormat="1" ht="21.3" customHeight="1">
      <c r="A808" s="27"/>
      <c r="B808" s="28"/>
      <c r="C808" s="30" t="s">
        <v>18</v>
      </c>
      <c r="D808" s="27"/>
      <c r="E808" s="27"/>
      <c r="F808" s="68" t="s">
        <v>2259</v>
      </c>
      <c r="G808" s="121" t="s">
        <v>2285</v>
      </c>
      <c r="H808" s="91" t="s">
        <v>19</v>
      </c>
      <c r="I808" s="73" t="s">
        <v>19</v>
      </c>
      <c r="J808" s="73" t="s">
        <v>19</v>
      </c>
      <c r="K808" s="73" t="s">
        <v>19</v>
      </c>
      <c r="L808" s="11"/>
      <c r="M808" s="1"/>
      <c r="N808" s="113" t="s">
        <v>14</v>
      </c>
      <c r="O808" s="122" t="s">
        <v>27</v>
      </c>
      <c r="P808" s="122"/>
      <c r="Q808" s="105"/>
      <c r="R808" s="28"/>
      <c r="S808" s="225" t="str">
        <f t="shared" si="12"/>
        <v/>
      </c>
      <c r="T808" s="7" t="s">
        <v>7678</v>
      </c>
      <c r="U808" s="7" t="s">
        <v>105</v>
      </c>
      <c r="V808" s="171" t="str" cm="1">
        <f t="array" ref="V808">_xlfn.IFS(C808="","",COUNTIF(C808,"ตำแหน่งว่าง*"),"ว่าง",COUNTIF(C808,"&lt;&gt;ตำแหน่งว่าง*"),"คนครอง")</f>
        <v>ว่าง</v>
      </c>
      <c r="W808" s="49" cm="1">
        <f t="array" ref="W808">_xlfn.IFS(COUNTIF(F808,"ผบ.หมู่*"),51,COUNTIF(F808,"รอง สว.*"),43)</f>
        <v>51</v>
      </c>
      <c r="X808" s="6" t="s">
        <v>2284</v>
      </c>
      <c r="Y808" s="6" t="s">
        <v>27</v>
      </c>
    </row>
    <row r="809" spans="1:25" s="10" customFormat="1" ht="21.3" customHeight="1">
      <c r="A809" s="27"/>
      <c r="B809" s="28"/>
      <c r="C809" s="30" t="s">
        <v>18</v>
      </c>
      <c r="D809" s="27"/>
      <c r="E809" s="27"/>
      <c r="F809" s="68" t="s">
        <v>2259</v>
      </c>
      <c r="G809" s="121" t="s">
        <v>2287</v>
      </c>
      <c r="H809" s="91" t="s">
        <v>19</v>
      </c>
      <c r="I809" s="73" t="s">
        <v>19</v>
      </c>
      <c r="J809" s="73" t="s">
        <v>19</v>
      </c>
      <c r="K809" s="73" t="s">
        <v>19</v>
      </c>
      <c r="L809" s="11"/>
      <c r="M809" s="1"/>
      <c r="N809" s="113" t="s">
        <v>14</v>
      </c>
      <c r="O809" s="122" t="s">
        <v>27</v>
      </c>
      <c r="P809" s="122"/>
      <c r="Q809" s="105"/>
      <c r="R809" s="28"/>
      <c r="S809" s="225" t="str">
        <f t="shared" si="12"/>
        <v/>
      </c>
      <c r="T809" s="7" t="s">
        <v>7678</v>
      </c>
      <c r="U809" s="7" t="s">
        <v>105</v>
      </c>
      <c r="V809" s="171" t="str" cm="1">
        <f t="array" ref="V809">_xlfn.IFS(C809="","",COUNTIF(C809,"ตำแหน่งว่าง*"),"ว่าง",COUNTIF(C809,"&lt;&gt;ตำแหน่งว่าง*"),"คนครอง")</f>
        <v>ว่าง</v>
      </c>
      <c r="W809" s="49" cm="1">
        <f t="array" ref="W809">_xlfn.IFS(COUNTIF(F809,"ผบ.หมู่*"),51,COUNTIF(F809,"รอง สว.*"),43)</f>
        <v>51</v>
      </c>
      <c r="X809" s="6" t="s">
        <v>2286</v>
      </c>
      <c r="Y809" s="6" t="s">
        <v>27</v>
      </c>
    </row>
    <row r="810" spans="1:25" s="10" customFormat="1" ht="21.3" customHeight="1">
      <c r="A810" s="27" t="s">
        <v>169</v>
      </c>
      <c r="B810" s="28" t="s">
        <v>12</v>
      </c>
      <c r="C810" s="27" t="s">
        <v>2288</v>
      </c>
      <c r="D810" s="27" t="s">
        <v>8920</v>
      </c>
      <c r="E810" s="27" t="s">
        <v>8921</v>
      </c>
      <c r="F810" s="27" t="s">
        <v>2289</v>
      </c>
      <c r="G810" s="101" t="s">
        <v>2291</v>
      </c>
      <c r="H810" s="87">
        <v>45092</v>
      </c>
      <c r="I810" s="73">
        <v>45092</v>
      </c>
      <c r="J810" s="72">
        <v>45092</v>
      </c>
      <c r="K810" s="73">
        <v>33641</v>
      </c>
      <c r="L810" s="11" t="s">
        <v>82</v>
      </c>
      <c r="M810" s="1" t="s">
        <v>32</v>
      </c>
      <c r="N810" s="112" t="s">
        <v>14</v>
      </c>
      <c r="O810" s="104" t="s">
        <v>27</v>
      </c>
      <c r="P810" s="104"/>
      <c r="Q810" s="105"/>
      <c r="R810" s="28" t="s">
        <v>174</v>
      </c>
      <c r="S810" s="225">
        <f t="shared" si="12"/>
        <v>55793</v>
      </c>
      <c r="T810" s="7" t="s">
        <v>7679</v>
      </c>
      <c r="U810" s="7" t="s">
        <v>105</v>
      </c>
      <c r="V810" s="162" t="str" cm="1">
        <f t="array" ref="V810">_xlfn.IFS(C810="","",COUNTIF(C810,"ตำแหน่งว่าง*"),"ว่าง",COUNTIF(C810,"&lt;&gt;ตำแหน่งว่าง*"),"คนครอง")</f>
        <v>คนครอง</v>
      </c>
      <c r="W810" s="49" cm="1">
        <f t="array" ref="W810">_xlfn.IFS(COUNTIF(F810,"ผบ.หมู่*"),51,COUNTIF(F810,"รอง สว.*"),43)</f>
        <v>51</v>
      </c>
      <c r="X810" s="1" t="s">
        <v>2290</v>
      </c>
      <c r="Y810" s="1" t="s">
        <v>27</v>
      </c>
    </row>
    <row r="811" spans="1:25" s="10" customFormat="1" ht="21.3" customHeight="1">
      <c r="A811" s="27" t="s">
        <v>169</v>
      </c>
      <c r="B811" s="28" t="s">
        <v>21</v>
      </c>
      <c r="C811" s="27" t="s">
        <v>2292</v>
      </c>
      <c r="D811" s="27" t="s">
        <v>8267</v>
      </c>
      <c r="E811" s="27" t="s">
        <v>8922</v>
      </c>
      <c r="F811" s="27" t="s">
        <v>2289</v>
      </c>
      <c r="G811" s="101" t="s">
        <v>2294</v>
      </c>
      <c r="H811" s="87">
        <v>45092</v>
      </c>
      <c r="I811" s="73">
        <v>45092</v>
      </c>
      <c r="J811" s="72">
        <v>45092</v>
      </c>
      <c r="K811" s="73">
        <v>36253</v>
      </c>
      <c r="L811" s="11" t="s">
        <v>112</v>
      </c>
      <c r="M811" s="1" t="s">
        <v>28</v>
      </c>
      <c r="N811" s="112" t="s">
        <v>14</v>
      </c>
      <c r="O811" s="104" t="s">
        <v>27</v>
      </c>
      <c r="P811" s="104"/>
      <c r="Q811" s="105"/>
      <c r="R811" s="28" t="s">
        <v>174</v>
      </c>
      <c r="S811" s="225">
        <f t="shared" si="12"/>
        <v>58349</v>
      </c>
      <c r="T811" s="7" t="s">
        <v>7679</v>
      </c>
      <c r="U811" s="7" t="s">
        <v>105</v>
      </c>
      <c r="V811" s="162" t="str" cm="1">
        <f t="array" ref="V811">_xlfn.IFS(C811="","",COUNTIF(C811,"ตำแหน่งว่าง*"),"ว่าง",COUNTIF(C811,"&lt;&gt;ตำแหน่งว่าง*"),"คนครอง")</f>
        <v>คนครอง</v>
      </c>
      <c r="W811" s="49" cm="1">
        <f t="array" ref="W811">_xlfn.IFS(COUNTIF(F811,"ผบ.หมู่*"),51,COUNTIF(F811,"รอง สว.*"),43)</f>
        <v>51</v>
      </c>
      <c r="X811" s="1" t="s">
        <v>2293</v>
      </c>
      <c r="Y811" s="1" t="s">
        <v>27</v>
      </c>
    </row>
    <row r="812" spans="1:25" s="10" customFormat="1" ht="21.3" customHeight="1">
      <c r="A812" s="68"/>
      <c r="B812" s="30"/>
      <c r="C812" s="30" t="s">
        <v>18</v>
      </c>
      <c r="D812" s="27"/>
      <c r="E812" s="27"/>
      <c r="F812" s="68" t="s">
        <v>2289</v>
      </c>
      <c r="G812" s="121" t="s">
        <v>2296</v>
      </c>
      <c r="H812" s="93" t="s">
        <v>19</v>
      </c>
      <c r="I812" s="74" t="s">
        <v>19</v>
      </c>
      <c r="J812" s="74" t="s">
        <v>19</v>
      </c>
      <c r="K812" s="74" t="s">
        <v>19</v>
      </c>
      <c r="L812" s="16"/>
      <c r="M812" s="6"/>
      <c r="N812" s="113" t="s">
        <v>14</v>
      </c>
      <c r="O812" s="122" t="s">
        <v>27</v>
      </c>
      <c r="P812" s="122"/>
      <c r="Q812" s="106"/>
      <c r="R812" s="30"/>
      <c r="S812" s="225" t="str">
        <f t="shared" si="12"/>
        <v/>
      </c>
      <c r="T812" s="7" t="s">
        <v>7679</v>
      </c>
      <c r="U812" s="7" t="s">
        <v>105</v>
      </c>
      <c r="V812" s="171" t="str" cm="1">
        <f t="array" ref="V812">_xlfn.IFS(C812="","",COUNTIF(C812,"ตำแหน่งว่าง*"),"ว่าง",COUNTIF(C812,"&lt;&gt;ตำแหน่งว่าง*"),"คนครอง")</f>
        <v>ว่าง</v>
      </c>
      <c r="W812" s="49" cm="1">
        <f t="array" ref="W812">_xlfn.IFS(COUNTIF(F812,"ผบ.หมู่*"),51,COUNTIF(F812,"รอง สว.*"),43)</f>
        <v>51</v>
      </c>
      <c r="X812" s="6" t="s">
        <v>2295</v>
      </c>
      <c r="Y812" s="6" t="s">
        <v>27</v>
      </c>
    </row>
    <row r="813" spans="1:25" s="10" customFormat="1" ht="21.3" customHeight="1">
      <c r="A813" s="27"/>
      <c r="B813" s="28"/>
      <c r="C813" s="30" t="s">
        <v>18</v>
      </c>
      <c r="D813" s="27"/>
      <c r="E813" s="27"/>
      <c r="F813" s="68" t="s">
        <v>2289</v>
      </c>
      <c r="G813" s="121" t="s">
        <v>2298</v>
      </c>
      <c r="H813" s="91" t="s">
        <v>19</v>
      </c>
      <c r="I813" s="73" t="s">
        <v>19</v>
      </c>
      <c r="J813" s="73" t="s">
        <v>19</v>
      </c>
      <c r="K813" s="73" t="s">
        <v>19</v>
      </c>
      <c r="L813" s="11"/>
      <c r="M813" s="1"/>
      <c r="N813" s="113" t="s">
        <v>14</v>
      </c>
      <c r="O813" s="122" t="s">
        <v>27</v>
      </c>
      <c r="P813" s="122"/>
      <c r="Q813" s="105"/>
      <c r="R813" s="28"/>
      <c r="S813" s="225" t="str">
        <f t="shared" si="12"/>
        <v/>
      </c>
      <c r="T813" s="7" t="s">
        <v>7679</v>
      </c>
      <c r="U813" s="7" t="s">
        <v>105</v>
      </c>
      <c r="V813" s="171" t="str" cm="1">
        <f t="array" ref="V813">_xlfn.IFS(C813="","",COUNTIF(C813,"ตำแหน่งว่าง*"),"ว่าง",COUNTIF(C813,"&lt;&gt;ตำแหน่งว่าง*"),"คนครอง")</f>
        <v>ว่าง</v>
      </c>
      <c r="W813" s="49" cm="1">
        <f t="array" ref="W813">_xlfn.IFS(COUNTIF(F813,"ผบ.หมู่*"),51,COUNTIF(F813,"รอง สว.*"),43)</f>
        <v>51</v>
      </c>
      <c r="X813" s="6" t="s">
        <v>2297</v>
      </c>
      <c r="Y813" s="6" t="s">
        <v>27</v>
      </c>
    </row>
    <row r="814" spans="1:25" s="10" customFormat="1" ht="21.3" customHeight="1">
      <c r="A814" s="27"/>
      <c r="B814" s="28"/>
      <c r="C814" s="30" t="s">
        <v>18</v>
      </c>
      <c r="D814" s="27"/>
      <c r="E814" s="27"/>
      <c r="F814" s="68" t="s">
        <v>2289</v>
      </c>
      <c r="G814" s="121" t="s">
        <v>2300</v>
      </c>
      <c r="H814" s="91" t="s">
        <v>19</v>
      </c>
      <c r="I814" s="73" t="s">
        <v>19</v>
      </c>
      <c r="J814" s="73" t="s">
        <v>19</v>
      </c>
      <c r="K814" s="73" t="s">
        <v>19</v>
      </c>
      <c r="L814" s="11"/>
      <c r="M814" s="1"/>
      <c r="N814" s="113" t="s">
        <v>14</v>
      </c>
      <c r="O814" s="122" t="s">
        <v>27</v>
      </c>
      <c r="P814" s="122"/>
      <c r="Q814" s="105"/>
      <c r="R814" s="28"/>
      <c r="S814" s="225" t="str">
        <f t="shared" si="12"/>
        <v/>
      </c>
      <c r="T814" s="7" t="s">
        <v>7679</v>
      </c>
      <c r="U814" s="7" t="s">
        <v>105</v>
      </c>
      <c r="V814" s="171" t="str" cm="1">
        <f t="array" ref="V814">_xlfn.IFS(C814="","",COUNTIF(C814,"ตำแหน่งว่าง*"),"ว่าง",COUNTIF(C814,"&lt;&gt;ตำแหน่งว่าง*"),"คนครอง")</f>
        <v>ว่าง</v>
      </c>
      <c r="W814" s="49" cm="1">
        <f t="array" ref="W814">_xlfn.IFS(COUNTIF(F814,"ผบ.หมู่*"),51,COUNTIF(F814,"รอง สว.*"),43)</f>
        <v>51</v>
      </c>
      <c r="X814" s="6" t="s">
        <v>2299</v>
      </c>
      <c r="Y814" s="6" t="s">
        <v>27</v>
      </c>
    </row>
    <row r="815" spans="1:25" s="10" customFormat="1" ht="21.3" customHeight="1">
      <c r="A815" s="27"/>
      <c r="B815" s="28"/>
      <c r="C815" s="30" t="s">
        <v>18</v>
      </c>
      <c r="D815" s="27"/>
      <c r="E815" s="27"/>
      <c r="F815" s="68" t="s">
        <v>2289</v>
      </c>
      <c r="G815" s="121" t="s">
        <v>2302</v>
      </c>
      <c r="H815" s="91" t="s">
        <v>19</v>
      </c>
      <c r="I815" s="73" t="s">
        <v>19</v>
      </c>
      <c r="J815" s="73" t="s">
        <v>19</v>
      </c>
      <c r="K815" s="73" t="s">
        <v>19</v>
      </c>
      <c r="L815" s="11"/>
      <c r="M815" s="1"/>
      <c r="N815" s="113" t="s">
        <v>14</v>
      </c>
      <c r="O815" s="122" t="s">
        <v>27</v>
      </c>
      <c r="P815" s="122"/>
      <c r="Q815" s="105"/>
      <c r="R815" s="28"/>
      <c r="S815" s="225" t="str">
        <f t="shared" si="12"/>
        <v/>
      </c>
      <c r="T815" s="7" t="s">
        <v>7679</v>
      </c>
      <c r="U815" s="7" t="s">
        <v>105</v>
      </c>
      <c r="V815" s="171" t="str" cm="1">
        <f t="array" ref="V815">_xlfn.IFS(C815="","",COUNTIF(C815,"ตำแหน่งว่าง*"),"ว่าง",COUNTIF(C815,"&lt;&gt;ตำแหน่งว่าง*"),"คนครอง")</f>
        <v>ว่าง</v>
      </c>
      <c r="W815" s="49" cm="1">
        <f t="array" ref="W815">_xlfn.IFS(COUNTIF(F815,"ผบ.หมู่*"),51,COUNTIF(F815,"รอง สว.*"),43)</f>
        <v>51</v>
      </c>
      <c r="X815" s="6" t="s">
        <v>2301</v>
      </c>
      <c r="Y815" s="6" t="s">
        <v>27</v>
      </c>
    </row>
    <row r="816" spans="1:25" s="10" customFormat="1" ht="21.3" customHeight="1">
      <c r="A816" s="27"/>
      <c r="B816" s="28"/>
      <c r="C816" s="30" t="s">
        <v>18</v>
      </c>
      <c r="D816" s="27"/>
      <c r="E816" s="27"/>
      <c r="F816" s="68" t="s">
        <v>2289</v>
      </c>
      <c r="G816" s="121" t="s">
        <v>2304</v>
      </c>
      <c r="H816" s="91" t="s">
        <v>19</v>
      </c>
      <c r="I816" s="73" t="s">
        <v>19</v>
      </c>
      <c r="J816" s="73" t="s">
        <v>19</v>
      </c>
      <c r="K816" s="73" t="s">
        <v>19</v>
      </c>
      <c r="L816" s="11"/>
      <c r="M816" s="1"/>
      <c r="N816" s="113" t="s">
        <v>14</v>
      </c>
      <c r="O816" s="122" t="s">
        <v>27</v>
      </c>
      <c r="P816" s="122"/>
      <c r="Q816" s="105"/>
      <c r="R816" s="28"/>
      <c r="S816" s="225" t="str">
        <f t="shared" si="12"/>
        <v/>
      </c>
      <c r="T816" s="7" t="s">
        <v>7679</v>
      </c>
      <c r="U816" s="7" t="s">
        <v>105</v>
      </c>
      <c r="V816" s="171" t="str" cm="1">
        <f t="array" ref="V816">_xlfn.IFS(C816="","",COUNTIF(C816,"ตำแหน่งว่าง*"),"ว่าง",COUNTIF(C816,"&lt;&gt;ตำแหน่งว่าง*"),"คนครอง")</f>
        <v>ว่าง</v>
      </c>
      <c r="W816" s="49" cm="1">
        <f t="array" ref="W816">_xlfn.IFS(COUNTIF(F816,"ผบ.หมู่*"),51,COUNTIF(F816,"รอง สว.*"),43)</f>
        <v>51</v>
      </c>
      <c r="X816" s="6" t="s">
        <v>2303</v>
      </c>
      <c r="Y816" s="6" t="s">
        <v>27</v>
      </c>
    </row>
    <row r="817" spans="1:25" s="10" customFormat="1" ht="21.3" customHeight="1">
      <c r="A817" s="27"/>
      <c r="B817" s="28"/>
      <c r="C817" s="30" t="s">
        <v>18</v>
      </c>
      <c r="D817" s="27"/>
      <c r="E817" s="27"/>
      <c r="F817" s="68" t="s">
        <v>2289</v>
      </c>
      <c r="G817" s="121" t="s">
        <v>2306</v>
      </c>
      <c r="H817" s="91" t="s">
        <v>19</v>
      </c>
      <c r="I817" s="73" t="s">
        <v>19</v>
      </c>
      <c r="J817" s="73" t="s">
        <v>19</v>
      </c>
      <c r="K817" s="73" t="s">
        <v>19</v>
      </c>
      <c r="L817" s="11"/>
      <c r="M817" s="1"/>
      <c r="N817" s="113" t="s">
        <v>14</v>
      </c>
      <c r="O817" s="122" t="s">
        <v>27</v>
      </c>
      <c r="P817" s="122"/>
      <c r="Q817" s="105"/>
      <c r="R817" s="28"/>
      <c r="S817" s="225" t="str">
        <f t="shared" si="12"/>
        <v/>
      </c>
      <c r="T817" s="7" t="s">
        <v>7679</v>
      </c>
      <c r="U817" s="7" t="s">
        <v>105</v>
      </c>
      <c r="V817" s="171" t="str" cm="1">
        <f t="array" ref="V817">_xlfn.IFS(C817="","",COUNTIF(C817,"ตำแหน่งว่าง*"),"ว่าง",COUNTIF(C817,"&lt;&gt;ตำแหน่งว่าง*"),"คนครอง")</f>
        <v>ว่าง</v>
      </c>
      <c r="W817" s="49" cm="1">
        <f t="array" ref="W817">_xlfn.IFS(COUNTIF(F817,"ผบ.หมู่*"),51,COUNTIF(F817,"รอง สว.*"),43)</f>
        <v>51</v>
      </c>
      <c r="X817" s="6" t="s">
        <v>2305</v>
      </c>
      <c r="Y817" s="6" t="s">
        <v>27</v>
      </c>
    </row>
    <row r="818" spans="1:25" s="10" customFormat="1" ht="21.3" customHeight="1">
      <c r="A818" s="27"/>
      <c r="B818" s="28"/>
      <c r="C818" s="30" t="s">
        <v>18</v>
      </c>
      <c r="D818" s="27"/>
      <c r="E818" s="27"/>
      <c r="F818" s="68" t="s">
        <v>2289</v>
      </c>
      <c r="G818" s="121" t="s">
        <v>2308</v>
      </c>
      <c r="H818" s="91" t="s">
        <v>19</v>
      </c>
      <c r="I818" s="73" t="s">
        <v>19</v>
      </c>
      <c r="J818" s="73" t="s">
        <v>19</v>
      </c>
      <c r="K818" s="73" t="s">
        <v>19</v>
      </c>
      <c r="L818" s="11"/>
      <c r="M818" s="1"/>
      <c r="N818" s="113" t="s">
        <v>14</v>
      </c>
      <c r="O818" s="122" t="s">
        <v>27</v>
      </c>
      <c r="P818" s="122"/>
      <c r="Q818" s="105"/>
      <c r="R818" s="28"/>
      <c r="S818" s="225" t="str">
        <f t="shared" si="12"/>
        <v/>
      </c>
      <c r="T818" s="7" t="s">
        <v>7679</v>
      </c>
      <c r="U818" s="7" t="s">
        <v>105</v>
      </c>
      <c r="V818" s="171" t="str" cm="1">
        <f t="array" ref="V818">_xlfn.IFS(C818="","",COUNTIF(C818,"ตำแหน่งว่าง*"),"ว่าง",COUNTIF(C818,"&lt;&gt;ตำแหน่งว่าง*"),"คนครอง")</f>
        <v>ว่าง</v>
      </c>
      <c r="W818" s="49" cm="1">
        <f t="array" ref="W818">_xlfn.IFS(COUNTIF(F818,"ผบ.หมู่*"),51,COUNTIF(F818,"รอง สว.*"),43)</f>
        <v>51</v>
      </c>
      <c r="X818" s="6" t="s">
        <v>2307</v>
      </c>
      <c r="Y818" s="6" t="s">
        <v>27</v>
      </c>
    </row>
    <row r="819" spans="1:25" s="10" customFormat="1" ht="21.3" customHeight="1">
      <c r="A819" s="27"/>
      <c r="B819" s="28"/>
      <c r="C819" s="30" t="s">
        <v>18</v>
      </c>
      <c r="D819" s="27"/>
      <c r="E819" s="27"/>
      <c r="F819" s="68" t="s">
        <v>2289</v>
      </c>
      <c r="G819" s="121" t="s">
        <v>2310</v>
      </c>
      <c r="H819" s="91" t="s">
        <v>19</v>
      </c>
      <c r="I819" s="73" t="s">
        <v>19</v>
      </c>
      <c r="J819" s="73" t="s">
        <v>19</v>
      </c>
      <c r="K819" s="73" t="s">
        <v>19</v>
      </c>
      <c r="L819" s="11"/>
      <c r="M819" s="1"/>
      <c r="N819" s="113" t="s">
        <v>14</v>
      </c>
      <c r="O819" s="122" t="s">
        <v>27</v>
      </c>
      <c r="P819" s="122"/>
      <c r="Q819" s="105"/>
      <c r="R819" s="28"/>
      <c r="S819" s="225" t="str">
        <f t="shared" si="12"/>
        <v/>
      </c>
      <c r="T819" s="7" t="s">
        <v>7679</v>
      </c>
      <c r="U819" s="7" t="s">
        <v>105</v>
      </c>
      <c r="V819" s="171" t="str" cm="1">
        <f t="array" ref="V819">_xlfn.IFS(C819="","",COUNTIF(C819,"ตำแหน่งว่าง*"),"ว่าง",COUNTIF(C819,"&lt;&gt;ตำแหน่งว่าง*"),"คนครอง")</f>
        <v>ว่าง</v>
      </c>
      <c r="W819" s="49" cm="1">
        <f t="array" ref="W819">_xlfn.IFS(COUNTIF(F819,"ผบ.หมู่*"),51,COUNTIF(F819,"รอง สว.*"),43)</f>
        <v>51</v>
      </c>
      <c r="X819" s="6" t="s">
        <v>2309</v>
      </c>
      <c r="Y819" s="6" t="s">
        <v>27</v>
      </c>
    </row>
    <row r="820" spans="1:25" s="9" customFormat="1" ht="21.3" customHeight="1">
      <c r="A820" s="27"/>
      <c r="B820" s="28"/>
      <c r="C820" s="95" t="s">
        <v>18</v>
      </c>
      <c r="D820" s="27"/>
      <c r="E820" s="27"/>
      <c r="F820" s="27" t="s">
        <v>2320</v>
      </c>
      <c r="G820" s="101" t="s">
        <v>2313</v>
      </c>
      <c r="H820" s="75"/>
      <c r="I820" s="73"/>
      <c r="J820" s="73"/>
      <c r="K820" s="73"/>
      <c r="L820" s="34"/>
      <c r="M820" s="1"/>
      <c r="N820" s="112" t="s">
        <v>14</v>
      </c>
      <c r="O820" s="104" t="s">
        <v>27</v>
      </c>
      <c r="P820" s="104"/>
      <c r="Q820" s="105"/>
      <c r="R820" s="28"/>
      <c r="S820" s="225" t="str">
        <f t="shared" si="12"/>
        <v/>
      </c>
      <c r="T820" s="2" t="s">
        <v>7680</v>
      </c>
      <c r="U820" s="7" t="s">
        <v>105</v>
      </c>
      <c r="V820" s="162" t="str" cm="1">
        <f t="array" ref="V820">_xlfn.IFS(C820="","",COUNTIF(C820,"ตำแหน่งว่าง*"),"ว่าง",COUNTIF(C820,"&lt;&gt;ตำแหน่งว่าง*"),"คนครอง")</f>
        <v>ว่าง</v>
      </c>
      <c r="W820" s="49" cm="1">
        <f t="array" ref="W820">_xlfn.IFS(COUNTIF(F820,"ผบ.หมู่*"),51,COUNTIF(F820,"รอง สว.*"),43)</f>
        <v>51</v>
      </c>
      <c r="X820" s="1" t="s">
        <v>2312</v>
      </c>
      <c r="Y820" s="1" t="s">
        <v>27</v>
      </c>
    </row>
    <row r="821" spans="1:25" s="9" customFormat="1" ht="21.3" customHeight="1">
      <c r="A821" s="27" t="s">
        <v>10753</v>
      </c>
      <c r="B821" s="28" t="s">
        <v>21</v>
      </c>
      <c r="C821" s="27" t="s">
        <v>2315</v>
      </c>
      <c r="D821" s="27" t="s">
        <v>8923</v>
      </c>
      <c r="E821" s="27" t="s">
        <v>8924</v>
      </c>
      <c r="F821" s="27" t="s">
        <v>2311</v>
      </c>
      <c r="G821" s="101" t="s">
        <v>2317</v>
      </c>
      <c r="H821" s="75">
        <v>45016</v>
      </c>
      <c r="I821" s="73">
        <v>45016</v>
      </c>
      <c r="J821" s="73">
        <v>34729</v>
      </c>
      <c r="K821" s="73">
        <v>25751</v>
      </c>
      <c r="L821" s="45" t="s">
        <v>2318</v>
      </c>
      <c r="M821" s="1" t="s">
        <v>42</v>
      </c>
      <c r="N821" s="112" t="s">
        <v>14</v>
      </c>
      <c r="O821" s="104" t="s">
        <v>27</v>
      </c>
      <c r="P821" s="104"/>
      <c r="Q821" s="105"/>
      <c r="R821" s="28" t="s">
        <v>483</v>
      </c>
      <c r="S821" s="225">
        <f t="shared" si="12"/>
        <v>47757</v>
      </c>
      <c r="T821" s="2" t="s">
        <v>7680</v>
      </c>
      <c r="U821" s="7" t="s">
        <v>105</v>
      </c>
      <c r="V821" s="162" t="str" cm="1">
        <f t="array" ref="V821">_xlfn.IFS(C821="","",COUNTIF(C821,"ตำแหน่งว่าง*"),"ว่าง",COUNTIF(C821,"&lt;&gt;ตำแหน่งว่าง*"),"คนครอง")</f>
        <v>คนครอง</v>
      </c>
      <c r="W821" s="49" cm="1">
        <f t="array" ref="W821">_xlfn.IFS(COUNTIF(F821,"ผบ.หมู่*"),51,COUNTIF(F821,"รอง สว.*"),43)</f>
        <v>43</v>
      </c>
      <c r="X821" s="1" t="s">
        <v>2316</v>
      </c>
      <c r="Y821" s="1" t="s">
        <v>27</v>
      </c>
    </row>
    <row r="822" spans="1:25" s="9" customFormat="1" ht="21.3" customHeight="1">
      <c r="A822" s="27" t="s">
        <v>157</v>
      </c>
      <c r="B822" s="28" t="s">
        <v>12</v>
      </c>
      <c r="C822" s="27" t="s">
        <v>2319</v>
      </c>
      <c r="D822" s="27" t="s">
        <v>88</v>
      </c>
      <c r="E822" s="27" t="s">
        <v>8925</v>
      </c>
      <c r="F822" s="27" t="s">
        <v>2320</v>
      </c>
      <c r="G822" s="101" t="s">
        <v>2322</v>
      </c>
      <c r="H822" s="75">
        <v>44243</v>
      </c>
      <c r="I822" s="73">
        <v>34001</v>
      </c>
      <c r="J822" s="73">
        <v>34001</v>
      </c>
      <c r="K822" s="73">
        <v>25995</v>
      </c>
      <c r="L822" s="45" t="s">
        <v>82</v>
      </c>
      <c r="M822" s="1" t="s">
        <v>42</v>
      </c>
      <c r="N822" s="112" t="s">
        <v>14</v>
      </c>
      <c r="O822" s="104" t="s">
        <v>27</v>
      </c>
      <c r="P822" s="104"/>
      <c r="Q822" s="105"/>
      <c r="R822" s="28" t="s">
        <v>617</v>
      </c>
      <c r="S822" s="225">
        <f t="shared" si="12"/>
        <v>48122</v>
      </c>
      <c r="T822" s="2" t="s">
        <v>7680</v>
      </c>
      <c r="U822" s="7" t="s">
        <v>105</v>
      </c>
      <c r="V822" s="162" t="str" cm="1">
        <f t="array" ref="V822">_xlfn.IFS(C822="","",COUNTIF(C822,"ตำแหน่งว่าง*"),"ว่าง",COUNTIF(C822,"&lt;&gt;ตำแหน่งว่าง*"),"คนครอง")</f>
        <v>คนครอง</v>
      </c>
      <c r="W822" s="49" cm="1">
        <f t="array" ref="W822">_xlfn.IFS(COUNTIF(F822,"ผบ.หมู่*"),51,COUNTIF(F822,"รอง สว.*"),43)</f>
        <v>51</v>
      </c>
      <c r="X822" s="1" t="s">
        <v>2321</v>
      </c>
      <c r="Y822" s="1" t="s">
        <v>27</v>
      </c>
    </row>
    <row r="823" spans="1:25" s="10" customFormat="1" ht="21.3" customHeight="1">
      <c r="A823" s="27" t="s">
        <v>169</v>
      </c>
      <c r="B823" s="28" t="s">
        <v>12</v>
      </c>
      <c r="C823" s="27" t="s">
        <v>2323</v>
      </c>
      <c r="D823" s="27" t="s">
        <v>8926</v>
      </c>
      <c r="E823" s="27" t="s">
        <v>8927</v>
      </c>
      <c r="F823" s="27" t="s">
        <v>2320</v>
      </c>
      <c r="G823" s="104" t="s">
        <v>2325</v>
      </c>
      <c r="H823" s="75">
        <v>45092</v>
      </c>
      <c r="I823" s="73">
        <v>45092</v>
      </c>
      <c r="J823" s="73">
        <v>45092</v>
      </c>
      <c r="K823" s="73">
        <v>37831</v>
      </c>
      <c r="L823" s="45" t="s">
        <v>4907</v>
      </c>
      <c r="M823" s="1" t="s">
        <v>42</v>
      </c>
      <c r="N823" s="104" t="s">
        <v>14</v>
      </c>
      <c r="O823" s="104" t="s">
        <v>27</v>
      </c>
      <c r="P823" s="104"/>
      <c r="Q823" s="26"/>
      <c r="R823" s="28" t="s">
        <v>174</v>
      </c>
      <c r="S823" s="225">
        <f t="shared" si="12"/>
        <v>59810</v>
      </c>
      <c r="T823" s="7" t="s">
        <v>7680</v>
      </c>
      <c r="U823" s="7" t="s">
        <v>105</v>
      </c>
      <c r="V823" s="162" t="str" cm="1">
        <f t="array" ref="V823">_xlfn.IFS(C823="","",COUNTIF(C823,"ตำแหน่งว่าง*"),"ว่าง",COUNTIF(C823,"&lt;&gt;ตำแหน่งว่าง*"),"คนครอง")</f>
        <v>คนครอง</v>
      </c>
      <c r="W823" s="49" cm="1">
        <f t="array" ref="W823">_xlfn.IFS(COUNTIF(F823,"ผบ.หมู่*"),51,COUNTIF(F823,"รอง สว.*"),43)</f>
        <v>51</v>
      </c>
      <c r="X823" s="1" t="s">
        <v>2324</v>
      </c>
      <c r="Y823" s="1" t="s">
        <v>27</v>
      </c>
    </row>
    <row r="824" spans="1:25" s="9" customFormat="1" ht="21.3" customHeight="1">
      <c r="A824" s="27"/>
      <c r="B824" s="28"/>
      <c r="C824" s="95" t="s">
        <v>18</v>
      </c>
      <c r="D824" s="27"/>
      <c r="E824" s="27"/>
      <c r="F824" s="27" t="s">
        <v>2320</v>
      </c>
      <c r="G824" s="101" t="s">
        <v>2327</v>
      </c>
      <c r="H824" s="91"/>
      <c r="I824" s="73"/>
      <c r="J824" s="73"/>
      <c r="K824" s="73"/>
      <c r="L824" s="45"/>
      <c r="M824" s="1"/>
      <c r="N824" s="112" t="s">
        <v>14</v>
      </c>
      <c r="O824" s="104" t="s">
        <v>27</v>
      </c>
      <c r="P824" s="104"/>
      <c r="Q824" s="105"/>
      <c r="R824" s="28"/>
      <c r="S824" s="225" t="str">
        <f t="shared" si="12"/>
        <v/>
      </c>
      <c r="T824" s="2" t="s">
        <v>7680</v>
      </c>
      <c r="U824" s="7" t="s">
        <v>105</v>
      </c>
      <c r="V824" s="162" t="str" cm="1">
        <f t="array" ref="V824">_xlfn.IFS(C824="","",COUNTIF(C824,"ตำแหน่งว่าง*"),"ว่าง",COUNTIF(C824,"&lt;&gt;ตำแหน่งว่าง*"),"คนครอง")</f>
        <v>ว่าง</v>
      </c>
      <c r="W824" s="49" cm="1">
        <f t="array" ref="W824">_xlfn.IFS(COUNTIF(F824,"ผบ.หมู่*"),51,COUNTIF(F824,"รอง สว.*"),43)</f>
        <v>51</v>
      </c>
      <c r="X824" s="1" t="s">
        <v>2326</v>
      </c>
      <c r="Y824" s="1" t="s">
        <v>27</v>
      </c>
    </row>
    <row r="825" spans="1:25" s="10" customFormat="1" ht="21.3" customHeight="1">
      <c r="A825" s="27" t="s">
        <v>169</v>
      </c>
      <c r="B825" s="28" t="s">
        <v>21</v>
      </c>
      <c r="C825" s="27" t="s">
        <v>2328</v>
      </c>
      <c r="D825" s="27" t="s">
        <v>8813</v>
      </c>
      <c r="E825" s="27" t="s">
        <v>8929</v>
      </c>
      <c r="F825" s="27" t="s">
        <v>2320</v>
      </c>
      <c r="G825" s="101" t="s">
        <v>2330</v>
      </c>
      <c r="H825" s="87">
        <v>45092</v>
      </c>
      <c r="I825" s="73">
        <v>45092</v>
      </c>
      <c r="J825" s="72">
        <v>45092</v>
      </c>
      <c r="K825" s="73">
        <v>35846</v>
      </c>
      <c r="L825" s="45" t="s">
        <v>82</v>
      </c>
      <c r="M825" s="1" t="s">
        <v>57</v>
      </c>
      <c r="N825" s="112" t="s">
        <v>14</v>
      </c>
      <c r="O825" s="104" t="s">
        <v>27</v>
      </c>
      <c r="P825" s="104"/>
      <c r="Q825" s="105"/>
      <c r="R825" s="28" t="s">
        <v>174</v>
      </c>
      <c r="S825" s="225">
        <f t="shared" si="12"/>
        <v>57984</v>
      </c>
      <c r="T825" s="7" t="s">
        <v>7680</v>
      </c>
      <c r="U825" s="7" t="s">
        <v>105</v>
      </c>
      <c r="V825" s="162" t="str" cm="1">
        <f t="array" ref="V825">_xlfn.IFS(C825="","",COUNTIF(C825,"ตำแหน่งว่าง*"),"ว่าง",COUNTIF(C825,"&lt;&gt;ตำแหน่งว่าง*"),"คนครอง")</f>
        <v>คนครอง</v>
      </c>
      <c r="W825" s="49" cm="1">
        <f t="array" ref="W825">_xlfn.IFS(COUNTIF(F825,"ผบ.หมู่*"),51,COUNTIF(F825,"รอง สว.*"),43)</f>
        <v>51</v>
      </c>
      <c r="X825" s="1" t="s">
        <v>2329</v>
      </c>
      <c r="Y825" s="1" t="s">
        <v>27</v>
      </c>
    </row>
    <row r="826" spans="1:25" s="10" customFormat="1" ht="21.3" customHeight="1">
      <c r="A826" s="27" t="s">
        <v>44</v>
      </c>
      <c r="B826" s="28" t="s">
        <v>12</v>
      </c>
      <c r="C826" s="27" t="s">
        <v>7709</v>
      </c>
      <c r="D826" s="27" t="s">
        <v>8930</v>
      </c>
      <c r="E826" s="27" t="s">
        <v>8931</v>
      </c>
      <c r="F826" s="27" t="s">
        <v>2311</v>
      </c>
      <c r="G826" s="101" t="s">
        <v>2332</v>
      </c>
      <c r="H826" s="91">
        <v>45322</v>
      </c>
      <c r="I826" s="73">
        <v>44651</v>
      </c>
      <c r="J826" s="73">
        <v>44651</v>
      </c>
      <c r="K826" s="73">
        <v>25475</v>
      </c>
      <c r="L826" s="11" t="s">
        <v>7710</v>
      </c>
      <c r="M826" s="1" t="s">
        <v>42</v>
      </c>
      <c r="N826" s="112" t="s">
        <v>14</v>
      </c>
      <c r="O826" s="104" t="s">
        <v>27</v>
      </c>
      <c r="P826" s="104"/>
      <c r="Q826" s="105"/>
      <c r="R826" s="28" t="s">
        <v>7708</v>
      </c>
      <c r="S826" s="225">
        <f t="shared" si="12"/>
        <v>47392</v>
      </c>
      <c r="T826" s="7" t="s">
        <v>7680</v>
      </c>
      <c r="U826" s="7" t="s">
        <v>105</v>
      </c>
      <c r="V826" s="162" t="str" cm="1">
        <f t="array" ref="V826">_xlfn.IFS(C826="","",COUNTIF(C826,"ตำแหน่งว่าง*"),"ว่าง",COUNTIF(C826,"&lt;&gt;ตำแหน่งว่าง*"),"คนครอง")</f>
        <v>คนครอง</v>
      </c>
      <c r="W826" s="49" cm="1">
        <f t="array" ref="W826">_xlfn.IFS(COUNTIF(F826,"ผบ.หมู่*"),51,COUNTIF(F826,"รอง สว.*"),43)</f>
        <v>43</v>
      </c>
      <c r="X826" s="1" t="s">
        <v>2331</v>
      </c>
      <c r="Y826" s="1" t="s">
        <v>27</v>
      </c>
    </row>
    <row r="827" spans="1:25" s="10" customFormat="1" ht="21.3" customHeight="1">
      <c r="A827" s="27" t="s">
        <v>26</v>
      </c>
      <c r="B827" s="28" t="s">
        <v>12</v>
      </c>
      <c r="C827" s="27" t="s">
        <v>10761</v>
      </c>
      <c r="D827" s="27" t="s">
        <v>10762</v>
      </c>
      <c r="E827" s="27" t="s">
        <v>8774</v>
      </c>
      <c r="F827" s="27" t="s">
        <v>2311</v>
      </c>
      <c r="G827" s="101" t="s">
        <v>2334</v>
      </c>
      <c r="H827" s="91">
        <v>45768</v>
      </c>
      <c r="I827" s="73" t="s">
        <v>7609</v>
      </c>
      <c r="J827" s="73" t="s">
        <v>7609</v>
      </c>
      <c r="K827" s="73">
        <v>24993</v>
      </c>
      <c r="L827" s="11" t="s">
        <v>31</v>
      </c>
      <c r="M827" s="1" t="s">
        <v>7609</v>
      </c>
      <c r="N827" s="112" t="s">
        <v>14</v>
      </c>
      <c r="O827" s="104" t="s">
        <v>27</v>
      </c>
      <c r="P827" s="104"/>
      <c r="Q827" s="105"/>
      <c r="R827" s="28" t="s">
        <v>10804</v>
      </c>
      <c r="S827" s="174">
        <f t="shared" si="12"/>
        <v>47027</v>
      </c>
      <c r="T827" s="2" t="s">
        <v>7680</v>
      </c>
      <c r="U827" s="2" t="s">
        <v>105</v>
      </c>
      <c r="V827" s="203" t="str" cm="1">
        <f t="array" ref="V827">_xlfn.IFS(C827="","",COUNTIF(C827,"ตำแหน่งว่าง*"),"ว่าง",COUNTIF(C827,"&lt;&gt;ตำแหน่งว่าง*"),"คนครอง")</f>
        <v>คนครอง</v>
      </c>
      <c r="W827" s="170" cm="1">
        <f t="array" ref="W827">_xlfn.IFS(COUNTIF(F827,"ผบ.หมู่*"),51,COUNTIF(F827,"รอง สว.*"),43)</f>
        <v>43</v>
      </c>
      <c r="X827" s="1" t="s">
        <v>2333</v>
      </c>
      <c r="Y827" s="1" t="s">
        <v>27</v>
      </c>
    </row>
    <row r="828" spans="1:25" s="10" customFormat="1" ht="21.3" customHeight="1">
      <c r="A828" s="27"/>
      <c r="B828" s="28"/>
      <c r="C828" s="30" t="s">
        <v>18</v>
      </c>
      <c r="D828" s="27"/>
      <c r="E828" s="27"/>
      <c r="F828" s="68" t="s">
        <v>2320</v>
      </c>
      <c r="G828" s="121" t="s">
        <v>2336</v>
      </c>
      <c r="H828" s="91" t="s">
        <v>19</v>
      </c>
      <c r="I828" s="73" t="s">
        <v>19</v>
      </c>
      <c r="J828" s="73" t="s">
        <v>19</v>
      </c>
      <c r="K828" s="73" t="s">
        <v>19</v>
      </c>
      <c r="L828" s="11"/>
      <c r="M828" s="1"/>
      <c r="N828" s="113" t="s">
        <v>14</v>
      </c>
      <c r="O828" s="122" t="s">
        <v>27</v>
      </c>
      <c r="P828" s="122"/>
      <c r="Q828" s="105"/>
      <c r="R828" s="28"/>
      <c r="S828" s="225" t="str">
        <f t="shared" si="12"/>
        <v/>
      </c>
      <c r="T828" s="7" t="s">
        <v>7680</v>
      </c>
      <c r="U828" s="7" t="s">
        <v>105</v>
      </c>
      <c r="V828" s="171" t="str" cm="1">
        <f t="array" ref="V828">_xlfn.IFS(C828="","",COUNTIF(C828,"ตำแหน่งว่าง*"),"ว่าง",COUNTIF(C828,"&lt;&gt;ตำแหน่งว่าง*"),"คนครอง")</f>
        <v>ว่าง</v>
      </c>
      <c r="W828" s="49" cm="1">
        <f t="array" ref="W828">_xlfn.IFS(COUNTIF(F828,"ผบ.หมู่*"),51,COUNTIF(F828,"รอง สว.*"),43)</f>
        <v>51</v>
      </c>
      <c r="X828" s="6" t="s">
        <v>2335</v>
      </c>
      <c r="Y828" s="6" t="s">
        <v>27</v>
      </c>
    </row>
    <row r="829" spans="1:25" s="10" customFormat="1" ht="21.3" customHeight="1">
      <c r="A829" s="27"/>
      <c r="B829" s="28"/>
      <c r="C829" s="30" t="s">
        <v>18</v>
      </c>
      <c r="D829" s="27"/>
      <c r="E829" s="27"/>
      <c r="F829" s="68" t="s">
        <v>2320</v>
      </c>
      <c r="G829" s="121" t="s">
        <v>2338</v>
      </c>
      <c r="H829" s="91" t="s">
        <v>19</v>
      </c>
      <c r="I829" s="73" t="s">
        <v>19</v>
      </c>
      <c r="J829" s="73" t="s">
        <v>19</v>
      </c>
      <c r="K829" s="73" t="s">
        <v>19</v>
      </c>
      <c r="L829" s="11"/>
      <c r="M829" s="1"/>
      <c r="N829" s="113" t="s">
        <v>14</v>
      </c>
      <c r="O829" s="122" t="s">
        <v>27</v>
      </c>
      <c r="P829" s="122"/>
      <c r="Q829" s="105"/>
      <c r="R829" s="28"/>
      <c r="S829" s="225" t="str">
        <f t="shared" si="12"/>
        <v/>
      </c>
      <c r="T829" s="7" t="s">
        <v>7680</v>
      </c>
      <c r="U829" s="7" t="s">
        <v>105</v>
      </c>
      <c r="V829" s="171" t="str" cm="1">
        <f t="array" ref="V829">_xlfn.IFS(C829="","",COUNTIF(C829,"ตำแหน่งว่าง*"),"ว่าง",COUNTIF(C829,"&lt;&gt;ตำแหน่งว่าง*"),"คนครอง")</f>
        <v>ว่าง</v>
      </c>
      <c r="W829" s="49" cm="1">
        <f t="array" ref="W829">_xlfn.IFS(COUNTIF(F829,"ผบ.หมู่*"),51,COUNTIF(F829,"รอง สว.*"),43)</f>
        <v>51</v>
      </c>
      <c r="X829" s="6" t="s">
        <v>2337</v>
      </c>
      <c r="Y829" s="6" t="s">
        <v>27</v>
      </c>
    </row>
    <row r="830" spans="1:25" s="10" customFormat="1" ht="21.3" customHeight="1">
      <c r="A830" s="27"/>
      <c r="B830" s="28"/>
      <c r="C830" s="30" t="s">
        <v>18</v>
      </c>
      <c r="D830" s="27"/>
      <c r="E830" s="27"/>
      <c r="F830" s="68" t="s">
        <v>2320</v>
      </c>
      <c r="G830" s="121" t="s">
        <v>2340</v>
      </c>
      <c r="H830" s="91" t="s">
        <v>19</v>
      </c>
      <c r="I830" s="73" t="s">
        <v>19</v>
      </c>
      <c r="J830" s="73" t="s">
        <v>19</v>
      </c>
      <c r="K830" s="73" t="s">
        <v>19</v>
      </c>
      <c r="L830" s="11"/>
      <c r="M830" s="1"/>
      <c r="N830" s="113" t="s">
        <v>14</v>
      </c>
      <c r="O830" s="122" t="s">
        <v>27</v>
      </c>
      <c r="P830" s="122"/>
      <c r="Q830" s="105"/>
      <c r="R830" s="28"/>
      <c r="S830" s="225" t="str">
        <f t="shared" si="12"/>
        <v/>
      </c>
      <c r="T830" s="7" t="s">
        <v>7680</v>
      </c>
      <c r="U830" s="7" t="s">
        <v>105</v>
      </c>
      <c r="V830" s="171" t="str" cm="1">
        <f t="array" ref="V830">_xlfn.IFS(C830="","",COUNTIF(C830,"ตำแหน่งว่าง*"),"ว่าง",COUNTIF(C830,"&lt;&gt;ตำแหน่งว่าง*"),"คนครอง")</f>
        <v>ว่าง</v>
      </c>
      <c r="W830" s="49" cm="1">
        <f t="array" ref="W830">_xlfn.IFS(COUNTIF(F830,"ผบ.หมู่*"),51,COUNTIF(F830,"รอง สว.*"),43)</f>
        <v>51</v>
      </c>
      <c r="X830" s="6" t="s">
        <v>2339</v>
      </c>
      <c r="Y830" s="6" t="s">
        <v>27</v>
      </c>
    </row>
    <row r="831" spans="1:25" s="10" customFormat="1" ht="21.3" customHeight="1">
      <c r="A831" s="27"/>
      <c r="B831" s="28"/>
      <c r="C831" s="30" t="s">
        <v>18</v>
      </c>
      <c r="D831" s="27"/>
      <c r="E831" s="27"/>
      <c r="F831" s="68" t="s">
        <v>2320</v>
      </c>
      <c r="G831" s="121" t="s">
        <v>2342</v>
      </c>
      <c r="H831" s="91" t="s">
        <v>19</v>
      </c>
      <c r="I831" s="73" t="s">
        <v>19</v>
      </c>
      <c r="J831" s="73" t="s">
        <v>19</v>
      </c>
      <c r="K831" s="73" t="s">
        <v>19</v>
      </c>
      <c r="L831" s="11"/>
      <c r="M831" s="1"/>
      <c r="N831" s="113" t="s">
        <v>14</v>
      </c>
      <c r="O831" s="122" t="s">
        <v>27</v>
      </c>
      <c r="P831" s="122"/>
      <c r="Q831" s="105"/>
      <c r="R831" s="28"/>
      <c r="S831" s="225" t="str">
        <f t="shared" si="12"/>
        <v/>
      </c>
      <c r="T831" s="7" t="s">
        <v>7680</v>
      </c>
      <c r="U831" s="7" t="s">
        <v>105</v>
      </c>
      <c r="V831" s="171" t="str" cm="1">
        <f t="array" ref="V831">_xlfn.IFS(C831="","",COUNTIF(C831,"ตำแหน่งว่าง*"),"ว่าง",COUNTIF(C831,"&lt;&gt;ตำแหน่งว่าง*"),"คนครอง")</f>
        <v>ว่าง</v>
      </c>
      <c r="W831" s="49" cm="1">
        <f t="array" ref="W831">_xlfn.IFS(COUNTIF(F831,"ผบ.หมู่*"),51,COUNTIF(F831,"รอง สว.*"),43)</f>
        <v>51</v>
      </c>
      <c r="X831" s="6" t="s">
        <v>2341</v>
      </c>
      <c r="Y831" s="6" t="s">
        <v>27</v>
      </c>
    </row>
    <row r="832" spans="1:25" s="10" customFormat="1" ht="21.3" customHeight="1">
      <c r="A832" s="27"/>
      <c r="B832" s="28"/>
      <c r="C832" s="30" t="s">
        <v>18</v>
      </c>
      <c r="D832" s="27"/>
      <c r="E832" s="27"/>
      <c r="F832" s="68" t="s">
        <v>2320</v>
      </c>
      <c r="G832" s="121" t="s">
        <v>2344</v>
      </c>
      <c r="H832" s="91" t="s">
        <v>19</v>
      </c>
      <c r="I832" s="73" t="s">
        <v>19</v>
      </c>
      <c r="J832" s="73" t="s">
        <v>19</v>
      </c>
      <c r="K832" s="73" t="s">
        <v>19</v>
      </c>
      <c r="L832" s="11"/>
      <c r="M832" s="1"/>
      <c r="N832" s="113" t="s">
        <v>14</v>
      </c>
      <c r="O832" s="122" t="s">
        <v>27</v>
      </c>
      <c r="P832" s="122"/>
      <c r="Q832" s="105"/>
      <c r="R832" s="28"/>
      <c r="S832" s="225" t="str">
        <f t="shared" si="12"/>
        <v/>
      </c>
      <c r="T832" s="7" t="s">
        <v>7680</v>
      </c>
      <c r="U832" s="7" t="s">
        <v>105</v>
      </c>
      <c r="V832" s="171" t="str" cm="1">
        <f t="array" ref="V832">_xlfn.IFS(C832="","",COUNTIF(C832,"ตำแหน่งว่าง*"),"ว่าง",COUNTIF(C832,"&lt;&gt;ตำแหน่งว่าง*"),"คนครอง")</f>
        <v>ว่าง</v>
      </c>
      <c r="W832" s="49" cm="1">
        <f t="array" ref="W832">_xlfn.IFS(COUNTIF(F832,"ผบ.หมู่*"),51,COUNTIF(F832,"รอง สว.*"),43)</f>
        <v>51</v>
      </c>
      <c r="X832" s="6" t="s">
        <v>2343</v>
      </c>
      <c r="Y832" s="6" t="s">
        <v>27</v>
      </c>
    </row>
    <row r="833" spans="1:25" s="10" customFormat="1" ht="21.3" customHeight="1">
      <c r="A833" s="27"/>
      <c r="B833" s="28"/>
      <c r="C833" s="30" t="s">
        <v>18</v>
      </c>
      <c r="D833" s="27"/>
      <c r="E833" s="27"/>
      <c r="F833" s="68" t="s">
        <v>2320</v>
      </c>
      <c r="G833" s="121" t="s">
        <v>2346</v>
      </c>
      <c r="H833" s="91" t="s">
        <v>19</v>
      </c>
      <c r="I833" s="73" t="s">
        <v>19</v>
      </c>
      <c r="J833" s="73" t="s">
        <v>19</v>
      </c>
      <c r="K833" s="73" t="s">
        <v>19</v>
      </c>
      <c r="L833" s="11"/>
      <c r="M833" s="1"/>
      <c r="N833" s="113" t="s">
        <v>14</v>
      </c>
      <c r="O833" s="122" t="s">
        <v>27</v>
      </c>
      <c r="P833" s="122"/>
      <c r="Q833" s="105"/>
      <c r="R833" s="28"/>
      <c r="S833" s="225" t="str">
        <f t="shared" si="12"/>
        <v/>
      </c>
      <c r="T833" s="7" t="s">
        <v>7680</v>
      </c>
      <c r="U833" s="7" t="s">
        <v>105</v>
      </c>
      <c r="V833" s="171" t="str" cm="1">
        <f t="array" ref="V833">_xlfn.IFS(C833="","",COUNTIF(C833,"ตำแหน่งว่าง*"),"ว่าง",COUNTIF(C833,"&lt;&gt;ตำแหน่งว่าง*"),"คนครอง")</f>
        <v>ว่าง</v>
      </c>
      <c r="W833" s="49" cm="1">
        <f t="array" ref="W833">_xlfn.IFS(COUNTIF(F833,"ผบ.หมู่*"),51,COUNTIF(F833,"รอง สว.*"),43)</f>
        <v>51</v>
      </c>
      <c r="X833" s="6" t="s">
        <v>2345</v>
      </c>
      <c r="Y833" s="6" t="s">
        <v>27</v>
      </c>
    </row>
    <row r="834" spans="1:25" s="10" customFormat="1" ht="21.3" customHeight="1">
      <c r="A834" s="27"/>
      <c r="B834" s="28"/>
      <c r="C834" s="30" t="s">
        <v>18</v>
      </c>
      <c r="D834" s="27"/>
      <c r="E834" s="27"/>
      <c r="F834" s="68" t="s">
        <v>2320</v>
      </c>
      <c r="G834" s="121" t="s">
        <v>2348</v>
      </c>
      <c r="H834" s="91" t="s">
        <v>19</v>
      </c>
      <c r="I834" s="73" t="s">
        <v>19</v>
      </c>
      <c r="J834" s="73" t="s">
        <v>19</v>
      </c>
      <c r="K834" s="73" t="s">
        <v>19</v>
      </c>
      <c r="L834" s="11"/>
      <c r="M834" s="1"/>
      <c r="N834" s="113" t="s">
        <v>14</v>
      </c>
      <c r="O834" s="122" t="s">
        <v>27</v>
      </c>
      <c r="P834" s="122"/>
      <c r="Q834" s="105"/>
      <c r="R834" s="28"/>
      <c r="S834" s="225" t="str">
        <f t="shared" ref="S834:S897" si="13">IF(K834&lt;&gt;"",DATE(YEAR(K834)+60+(K834&gt;=DATE(YEAR(K834),10,2)),10,1),"")</f>
        <v/>
      </c>
      <c r="T834" s="7" t="s">
        <v>7680</v>
      </c>
      <c r="U834" s="7" t="s">
        <v>105</v>
      </c>
      <c r="V834" s="171" t="str" cm="1">
        <f t="array" ref="V834">_xlfn.IFS(C834="","",COUNTIF(C834,"ตำแหน่งว่าง*"),"ว่าง",COUNTIF(C834,"&lt;&gt;ตำแหน่งว่าง*"),"คนครอง")</f>
        <v>ว่าง</v>
      </c>
      <c r="W834" s="49" cm="1">
        <f t="array" ref="W834">_xlfn.IFS(COUNTIF(F834,"ผบ.หมู่*"),51,COUNTIF(F834,"รอง สว.*"),43)</f>
        <v>51</v>
      </c>
      <c r="X834" s="6" t="s">
        <v>2347</v>
      </c>
      <c r="Y834" s="6" t="s">
        <v>27</v>
      </c>
    </row>
    <row r="835" spans="1:25" s="10" customFormat="1" ht="21.3" customHeight="1">
      <c r="A835" s="27" t="s">
        <v>169</v>
      </c>
      <c r="B835" s="28" t="s">
        <v>21</v>
      </c>
      <c r="C835" s="27" t="s">
        <v>2349</v>
      </c>
      <c r="D835" s="27" t="s">
        <v>8932</v>
      </c>
      <c r="E835" s="27" t="s">
        <v>8933</v>
      </c>
      <c r="F835" s="27" t="s">
        <v>2350</v>
      </c>
      <c r="G835" s="101" t="s">
        <v>2352</v>
      </c>
      <c r="H835" s="87">
        <v>45092</v>
      </c>
      <c r="I835" s="73">
        <v>45092</v>
      </c>
      <c r="J835" s="72">
        <v>45092</v>
      </c>
      <c r="K835" s="73">
        <v>32500</v>
      </c>
      <c r="L835" s="11" t="s">
        <v>82</v>
      </c>
      <c r="M835" s="1" t="s">
        <v>57</v>
      </c>
      <c r="N835" s="112" t="s">
        <v>14</v>
      </c>
      <c r="O835" s="104" t="s">
        <v>27</v>
      </c>
      <c r="P835" s="104"/>
      <c r="Q835" s="105"/>
      <c r="R835" s="28" t="s">
        <v>174</v>
      </c>
      <c r="S835" s="225">
        <f t="shared" si="13"/>
        <v>54697</v>
      </c>
      <c r="T835" s="7" t="s">
        <v>7681</v>
      </c>
      <c r="U835" s="7" t="s">
        <v>105</v>
      </c>
      <c r="V835" s="162" t="str" cm="1">
        <f t="array" ref="V835">_xlfn.IFS(C835="","",COUNTIF(C835,"ตำแหน่งว่าง*"),"ว่าง",COUNTIF(C835,"&lt;&gt;ตำแหน่งว่าง*"),"คนครอง")</f>
        <v>คนครอง</v>
      </c>
      <c r="W835" s="49" cm="1">
        <f t="array" ref="W835">_xlfn.IFS(COUNTIF(F835,"ผบ.หมู่*"),51,COUNTIF(F835,"รอง สว.*"),43)</f>
        <v>51</v>
      </c>
      <c r="X835" s="1" t="s">
        <v>2351</v>
      </c>
      <c r="Y835" s="1" t="s">
        <v>27</v>
      </c>
    </row>
    <row r="836" spans="1:25" s="10" customFormat="1" ht="21.3" customHeight="1">
      <c r="A836" s="27" t="s">
        <v>169</v>
      </c>
      <c r="B836" s="28" t="s">
        <v>21</v>
      </c>
      <c r="C836" s="27" t="s">
        <v>2353</v>
      </c>
      <c r="D836" s="27" t="s">
        <v>8180</v>
      </c>
      <c r="E836" s="27" t="s">
        <v>8934</v>
      </c>
      <c r="F836" s="27" t="s">
        <v>2350</v>
      </c>
      <c r="G836" s="101" t="s">
        <v>2355</v>
      </c>
      <c r="H836" s="87">
        <v>45092</v>
      </c>
      <c r="I836" s="73">
        <v>45092</v>
      </c>
      <c r="J836" s="72">
        <v>45092</v>
      </c>
      <c r="K836" s="73">
        <v>35060</v>
      </c>
      <c r="L836" s="11" t="s">
        <v>82</v>
      </c>
      <c r="M836" s="1" t="s">
        <v>16</v>
      </c>
      <c r="N836" s="112" t="s">
        <v>14</v>
      </c>
      <c r="O836" s="104" t="s">
        <v>27</v>
      </c>
      <c r="P836" s="104"/>
      <c r="Q836" s="105"/>
      <c r="R836" s="28" t="s">
        <v>174</v>
      </c>
      <c r="S836" s="225">
        <f t="shared" si="13"/>
        <v>57254</v>
      </c>
      <c r="T836" s="7" t="s">
        <v>7681</v>
      </c>
      <c r="U836" s="7" t="s">
        <v>105</v>
      </c>
      <c r="V836" s="162" t="str" cm="1">
        <f t="array" ref="V836">_xlfn.IFS(C836="","",COUNTIF(C836,"ตำแหน่งว่าง*"),"ว่าง",COUNTIF(C836,"&lt;&gt;ตำแหน่งว่าง*"),"คนครอง")</f>
        <v>คนครอง</v>
      </c>
      <c r="W836" s="49" cm="1">
        <f t="array" ref="W836">_xlfn.IFS(COUNTIF(F836,"ผบ.หมู่*"),51,COUNTIF(F836,"รอง สว.*"),43)</f>
        <v>51</v>
      </c>
      <c r="X836" s="1" t="s">
        <v>2354</v>
      </c>
      <c r="Y836" s="1" t="s">
        <v>27</v>
      </c>
    </row>
    <row r="837" spans="1:25" s="10" customFormat="1" ht="21.3" customHeight="1">
      <c r="A837" s="27"/>
      <c r="B837" s="28"/>
      <c r="C837" s="30" t="s">
        <v>18</v>
      </c>
      <c r="D837" s="27"/>
      <c r="E837" s="27"/>
      <c r="F837" s="68" t="s">
        <v>2350</v>
      </c>
      <c r="G837" s="121" t="s">
        <v>2357</v>
      </c>
      <c r="H837" s="91" t="s">
        <v>19</v>
      </c>
      <c r="I837" s="73" t="s">
        <v>19</v>
      </c>
      <c r="J837" s="73" t="s">
        <v>19</v>
      </c>
      <c r="K837" s="73" t="s">
        <v>19</v>
      </c>
      <c r="L837" s="11"/>
      <c r="M837" s="1"/>
      <c r="N837" s="113" t="s">
        <v>14</v>
      </c>
      <c r="O837" s="122" t="s">
        <v>27</v>
      </c>
      <c r="P837" s="122"/>
      <c r="Q837" s="105"/>
      <c r="R837" s="28"/>
      <c r="S837" s="225" t="str">
        <f t="shared" si="13"/>
        <v/>
      </c>
      <c r="T837" s="7" t="s">
        <v>7681</v>
      </c>
      <c r="U837" s="7" t="s">
        <v>105</v>
      </c>
      <c r="V837" s="171" t="str" cm="1">
        <f t="array" ref="V837">_xlfn.IFS(C837="","",COUNTIF(C837,"ตำแหน่งว่าง*"),"ว่าง",COUNTIF(C837,"&lt;&gt;ตำแหน่งว่าง*"),"คนครอง")</f>
        <v>ว่าง</v>
      </c>
      <c r="W837" s="49" cm="1">
        <f t="array" ref="W837">_xlfn.IFS(COUNTIF(F837,"ผบ.หมู่*"),51,COUNTIF(F837,"รอง สว.*"),43)</f>
        <v>51</v>
      </c>
      <c r="X837" s="6" t="s">
        <v>2356</v>
      </c>
      <c r="Y837" s="6" t="s">
        <v>27</v>
      </c>
    </row>
    <row r="838" spans="1:25" s="10" customFormat="1" ht="21.3" customHeight="1">
      <c r="A838" s="27"/>
      <c r="B838" s="28"/>
      <c r="C838" s="30" t="s">
        <v>18</v>
      </c>
      <c r="D838" s="27"/>
      <c r="E838" s="27"/>
      <c r="F838" s="68" t="s">
        <v>2350</v>
      </c>
      <c r="G838" s="121" t="s">
        <v>2359</v>
      </c>
      <c r="H838" s="91" t="s">
        <v>19</v>
      </c>
      <c r="I838" s="73" t="s">
        <v>19</v>
      </c>
      <c r="J838" s="73" t="s">
        <v>19</v>
      </c>
      <c r="K838" s="73" t="s">
        <v>19</v>
      </c>
      <c r="L838" s="11"/>
      <c r="M838" s="1"/>
      <c r="N838" s="113" t="s">
        <v>14</v>
      </c>
      <c r="O838" s="122" t="s">
        <v>27</v>
      </c>
      <c r="P838" s="122"/>
      <c r="Q838" s="105"/>
      <c r="R838" s="28"/>
      <c r="S838" s="225" t="str">
        <f t="shared" si="13"/>
        <v/>
      </c>
      <c r="T838" s="7" t="s">
        <v>7681</v>
      </c>
      <c r="U838" s="7" t="s">
        <v>105</v>
      </c>
      <c r="V838" s="171" t="str" cm="1">
        <f t="array" ref="V838">_xlfn.IFS(C838="","",COUNTIF(C838,"ตำแหน่งว่าง*"),"ว่าง",COUNTIF(C838,"&lt;&gt;ตำแหน่งว่าง*"),"คนครอง")</f>
        <v>ว่าง</v>
      </c>
      <c r="W838" s="49" cm="1">
        <f t="array" ref="W838">_xlfn.IFS(COUNTIF(F838,"ผบ.หมู่*"),51,COUNTIF(F838,"รอง สว.*"),43)</f>
        <v>51</v>
      </c>
      <c r="X838" s="6" t="s">
        <v>2358</v>
      </c>
      <c r="Y838" s="6" t="s">
        <v>27</v>
      </c>
    </row>
    <row r="839" spans="1:25" s="10" customFormat="1" ht="21.3" customHeight="1">
      <c r="A839" s="27"/>
      <c r="B839" s="28"/>
      <c r="C839" s="30" t="s">
        <v>18</v>
      </c>
      <c r="D839" s="27"/>
      <c r="E839" s="27"/>
      <c r="F839" s="68" t="s">
        <v>2350</v>
      </c>
      <c r="G839" s="121" t="s">
        <v>2361</v>
      </c>
      <c r="H839" s="91" t="s">
        <v>19</v>
      </c>
      <c r="I839" s="73" t="s">
        <v>19</v>
      </c>
      <c r="J839" s="73" t="s">
        <v>19</v>
      </c>
      <c r="K839" s="73" t="s">
        <v>19</v>
      </c>
      <c r="L839" s="11"/>
      <c r="M839" s="1"/>
      <c r="N839" s="113" t="s">
        <v>14</v>
      </c>
      <c r="O839" s="122" t="s">
        <v>27</v>
      </c>
      <c r="P839" s="122"/>
      <c r="Q839" s="105"/>
      <c r="R839" s="28"/>
      <c r="S839" s="225" t="str">
        <f t="shared" si="13"/>
        <v/>
      </c>
      <c r="T839" s="7" t="s">
        <v>7681</v>
      </c>
      <c r="U839" s="7" t="s">
        <v>105</v>
      </c>
      <c r="V839" s="171" t="str" cm="1">
        <f t="array" ref="V839">_xlfn.IFS(C839="","",COUNTIF(C839,"ตำแหน่งว่าง*"),"ว่าง",COUNTIF(C839,"&lt;&gt;ตำแหน่งว่าง*"),"คนครอง")</f>
        <v>ว่าง</v>
      </c>
      <c r="W839" s="49" cm="1">
        <f t="array" ref="W839">_xlfn.IFS(COUNTIF(F839,"ผบ.หมู่*"),51,COUNTIF(F839,"รอง สว.*"),43)</f>
        <v>51</v>
      </c>
      <c r="X839" s="6" t="s">
        <v>2360</v>
      </c>
      <c r="Y839" s="6" t="s">
        <v>27</v>
      </c>
    </row>
    <row r="840" spans="1:25" s="10" customFormat="1" ht="21.3" customHeight="1">
      <c r="A840" s="27"/>
      <c r="B840" s="28"/>
      <c r="C840" s="30" t="s">
        <v>18</v>
      </c>
      <c r="D840" s="27"/>
      <c r="E840" s="27"/>
      <c r="F840" s="68" t="s">
        <v>2350</v>
      </c>
      <c r="G840" s="121" t="s">
        <v>2363</v>
      </c>
      <c r="H840" s="91" t="s">
        <v>19</v>
      </c>
      <c r="I840" s="73" t="s">
        <v>19</v>
      </c>
      <c r="J840" s="73" t="s">
        <v>19</v>
      </c>
      <c r="K840" s="73" t="s">
        <v>19</v>
      </c>
      <c r="L840" s="11"/>
      <c r="M840" s="1"/>
      <c r="N840" s="113" t="s">
        <v>14</v>
      </c>
      <c r="O840" s="122" t="s">
        <v>27</v>
      </c>
      <c r="P840" s="122"/>
      <c r="Q840" s="105"/>
      <c r="R840" s="28"/>
      <c r="S840" s="225" t="str">
        <f t="shared" si="13"/>
        <v/>
      </c>
      <c r="T840" s="7" t="s">
        <v>7681</v>
      </c>
      <c r="U840" s="7" t="s">
        <v>105</v>
      </c>
      <c r="V840" s="171" t="str" cm="1">
        <f t="array" ref="V840">_xlfn.IFS(C840="","",COUNTIF(C840,"ตำแหน่งว่าง*"),"ว่าง",COUNTIF(C840,"&lt;&gt;ตำแหน่งว่าง*"),"คนครอง")</f>
        <v>ว่าง</v>
      </c>
      <c r="W840" s="49" cm="1">
        <f t="array" ref="W840">_xlfn.IFS(COUNTIF(F840,"ผบ.หมู่*"),51,COUNTIF(F840,"รอง สว.*"),43)</f>
        <v>51</v>
      </c>
      <c r="X840" s="6" t="s">
        <v>2362</v>
      </c>
      <c r="Y840" s="6" t="s">
        <v>27</v>
      </c>
    </row>
    <row r="841" spans="1:25" s="10" customFormat="1" ht="21.3" customHeight="1">
      <c r="A841" s="27"/>
      <c r="B841" s="28"/>
      <c r="C841" s="30" t="s">
        <v>18</v>
      </c>
      <c r="D841" s="27"/>
      <c r="E841" s="27"/>
      <c r="F841" s="68" t="s">
        <v>2350</v>
      </c>
      <c r="G841" s="121" t="s">
        <v>2365</v>
      </c>
      <c r="H841" s="91" t="s">
        <v>19</v>
      </c>
      <c r="I841" s="73" t="s">
        <v>19</v>
      </c>
      <c r="J841" s="73" t="s">
        <v>19</v>
      </c>
      <c r="K841" s="73" t="s">
        <v>19</v>
      </c>
      <c r="L841" s="11"/>
      <c r="M841" s="1"/>
      <c r="N841" s="113" t="s">
        <v>14</v>
      </c>
      <c r="O841" s="122" t="s">
        <v>27</v>
      </c>
      <c r="P841" s="122"/>
      <c r="Q841" s="105"/>
      <c r="R841" s="28"/>
      <c r="S841" s="225" t="str">
        <f t="shared" si="13"/>
        <v/>
      </c>
      <c r="T841" s="7" t="s">
        <v>7681</v>
      </c>
      <c r="U841" s="7" t="s">
        <v>105</v>
      </c>
      <c r="V841" s="171" t="str" cm="1">
        <f t="array" ref="V841">_xlfn.IFS(C841="","",COUNTIF(C841,"ตำแหน่งว่าง*"),"ว่าง",COUNTIF(C841,"&lt;&gt;ตำแหน่งว่าง*"),"คนครอง")</f>
        <v>ว่าง</v>
      </c>
      <c r="W841" s="49" cm="1">
        <f t="array" ref="W841">_xlfn.IFS(COUNTIF(F841,"ผบ.หมู่*"),51,COUNTIF(F841,"รอง สว.*"),43)</f>
        <v>51</v>
      </c>
      <c r="X841" s="6" t="s">
        <v>2364</v>
      </c>
      <c r="Y841" s="6" t="s">
        <v>27</v>
      </c>
    </row>
    <row r="842" spans="1:25" s="10" customFormat="1" ht="21.3" customHeight="1">
      <c r="A842" s="68"/>
      <c r="B842" s="30"/>
      <c r="C842" s="30" t="s">
        <v>18</v>
      </c>
      <c r="D842" s="27"/>
      <c r="E842" s="27"/>
      <c r="F842" s="68" t="s">
        <v>2350</v>
      </c>
      <c r="G842" s="121" t="s">
        <v>2367</v>
      </c>
      <c r="H842" s="93" t="s">
        <v>19</v>
      </c>
      <c r="I842" s="74" t="s">
        <v>19</v>
      </c>
      <c r="J842" s="74" t="s">
        <v>19</v>
      </c>
      <c r="K842" s="74" t="s">
        <v>19</v>
      </c>
      <c r="L842" s="16"/>
      <c r="M842" s="6"/>
      <c r="N842" s="113" t="s">
        <v>14</v>
      </c>
      <c r="O842" s="122" t="s">
        <v>27</v>
      </c>
      <c r="P842" s="122"/>
      <c r="Q842" s="106"/>
      <c r="R842" s="30"/>
      <c r="S842" s="225" t="str">
        <f t="shared" si="13"/>
        <v/>
      </c>
      <c r="T842" s="7" t="s">
        <v>7681</v>
      </c>
      <c r="U842" s="7" t="s">
        <v>105</v>
      </c>
      <c r="V842" s="171" t="str" cm="1">
        <f t="array" ref="V842">_xlfn.IFS(C842="","",COUNTIF(C842,"ตำแหน่งว่าง*"),"ว่าง",COUNTIF(C842,"&lt;&gt;ตำแหน่งว่าง*"),"คนครอง")</f>
        <v>ว่าง</v>
      </c>
      <c r="W842" s="49" cm="1">
        <f t="array" ref="W842">_xlfn.IFS(COUNTIF(F842,"ผบ.หมู่*"),51,COUNTIF(F842,"รอง สว.*"),43)</f>
        <v>51</v>
      </c>
      <c r="X842" s="6" t="s">
        <v>2366</v>
      </c>
      <c r="Y842" s="6" t="s">
        <v>27</v>
      </c>
    </row>
    <row r="843" spans="1:25" s="10" customFormat="1" ht="21.3" customHeight="1">
      <c r="A843" s="27"/>
      <c r="B843" s="28"/>
      <c r="C843" s="30" t="s">
        <v>18</v>
      </c>
      <c r="D843" s="27"/>
      <c r="E843" s="27"/>
      <c r="F843" s="68" t="s">
        <v>2350</v>
      </c>
      <c r="G843" s="121" t="s">
        <v>2369</v>
      </c>
      <c r="H843" s="91" t="s">
        <v>19</v>
      </c>
      <c r="I843" s="73" t="s">
        <v>19</v>
      </c>
      <c r="J843" s="73" t="s">
        <v>19</v>
      </c>
      <c r="K843" s="73" t="s">
        <v>19</v>
      </c>
      <c r="L843" s="11"/>
      <c r="M843" s="1"/>
      <c r="N843" s="113" t="s">
        <v>14</v>
      </c>
      <c r="O843" s="122" t="s">
        <v>27</v>
      </c>
      <c r="P843" s="122"/>
      <c r="Q843" s="105"/>
      <c r="R843" s="28"/>
      <c r="S843" s="225" t="str">
        <f t="shared" si="13"/>
        <v/>
      </c>
      <c r="T843" s="7" t="s">
        <v>7681</v>
      </c>
      <c r="U843" s="7" t="s">
        <v>105</v>
      </c>
      <c r="V843" s="171" t="str" cm="1">
        <f t="array" ref="V843">_xlfn.IFS(C843="","",COUNTIF(C843,"ตำแหน่งว่าง*"),"ว่าง",COUNTIF(C843,"&lt;&gt;ตำแหน่งว่าง*"),"คนครอง")</f>
        <v>ว่าง</v>
      </c>
      <c r="W843" s="49" cm="1">
        <f t="array" ref="W843">_xlfn.IFS(COUNTIF(F843,"ผบ.หมู่*"),51,COUNTIF(F843,"รอง สว.*"),43)</f>
        <v>51</v>
      </c>
      <c r="X843" s="6" t="s">
        <v>2368</v>
      </c>
      <c r="Y843" s="6" t="s">
        <v>27</v>
      </c>
    </row>
    <row r="844" spans="1:25" s="10" customFormat="1" ht="21.3" customHeight="1">
      <c r="A844" s="27"/>
      <c r="B844" s="28"/>
      <c r="C844" s="30" t="s">
        <v>18</v>
      </c>
      <c r="D844" s="27"/>
      <c r="E844" s="27"/>
      <c r="F844" s="68" t="s">
        <v>2350</v>
      </c>
      <c r="G844" s="121" t="s">
        <v>2371</v>
      </c>
      <c r="H844" s="91" t="s">
        <v>19</v>
      </c>
      <c r="I844" s="73" t="s">
        <v>19</v>
      </c>
      <c r="J844" s="73" t="s">
        <v>19</v>
      </c>
      <c r="K844" s="73" t="s">
        <v>19</v>
      </c>
      <c r="L844" s="11"/>
      <c r="M844" s="1"/>
      <c r="N844" s="113" t="s">
        <v>14</v>
      </c>
      <c r="O844" s="122" t="s">
        <v>27</v>
      </c>
      <c r="P844" s="122"/>
      <c r="Q844" s="105"/>
      <c r="R844" s="28"/>
      <c r="S844" s="225" t="str">
        <f t="shared" si="13"/>
        <v/>
      </c>
      <c r="T844" s="7" t="s">
        <v>7681</v>
      </c>
      <c r="U844" s="7" t="s">
        <v>105</v>
      </c>
      <c r="V844" s="171" t="str" cm="1">
        <f t="array" ref="V844">_xlfn.IFS(C844="","",COUNTIF(C844,"ตำแหน่งว่าง*"),"ว่าง",COUNTIF(C844,"&lt;&gt;ตำแหน่งว่าง*"),"คนครอง")</f>
        <v>ว่าง</v>
      </c>
      <c r="W844" s="49" cm="1">
        <f t="array" ref="W844">_xlfn.IFS(COUNTIF(F844,"ผบ.หมู่*"),51,COUNTIF(F844,"รอง สว.*"),43)</f>
        <v>51</v>
      </c>
      <c r="X844" s="6" t="s">
        <v>2370</v>
      </c>
      <c r="Y844" s="6" t="s">
        <v>27</v>
      </c>
    </row>
    <row r="845" spans="1:25" s="10" customFormat="1" ht="21.3" customHeight="1">
      <c r="A845" s="152" t="s">
        <v>109</v>
      </c>
      <c r="B845" s="153"/>
      <c r="C845" s="125"/>
      <c r="D845" s="27"/>
      <c r="E845" s="158"/>
      <c r="F845" s="158"/>
      <c r="G845" s="125"/>
      <c r="H845" s="154" t="s">
        <v>19</v>
      </c>
      <c r="I845" s="126" t="s">
        <v>19</v>
      </c>
      <c r="J845" s="126" t="s">
        <v>19</v>
      </c>
      <c r="K845" s="126" t="s">
        <v>19</v>
      </c>
      <c r="L845" s="127"/>
      <c r="M845" s="128"/>
      <c r="N845" s="125"/>
      <c r="O845" s="125"/>
      <c r="P845" s="125"/>
      <c r="Q845" s="160"/>
      <c r="R845" s="160"/>
      <c r="S845" s="226" t="str">
        <f t="shared" si="13"/>
        <v/>
      </c>
      <c r="T845" s="158"/>
      <c r="U845" s="158"/>
      <c r="V845" s="171" t="str" cm="1">
        <f t="array" ref="V845">_xlfn.IFS(C845="","",COUNTIF(C845,"ตำแหน่งว่าง*"),"ว่าง",COUNTIF(C845,"&lt;&gt;ตำแหน่งว่าง*"),"คนครอง")</f>
        <v/>
      </c>
      <c r="W845" s="125"/>
      <c r="X845" s="130"/>
      <c r="Y845" s="125"/>
    </row>
    <row r="846" spans="1:25" s="10" customFormat="1" ht="21.3" customHeight="1">
      <c r="A846" s="27"/>
      <c r="B846" s="28"/>
      <c r="C846" s="30" t="s">
        <v>18</v>
      </c>
      <c r="D846" s="27"/>
      <c r="E846" s="27"/>
      <c r="F846" s="68" t="s">
        <v>2372</v>
      </c>
      <c r="G846" s="121" t="s">
        <v>2374</v>
      </c>
      <c r="H846" s="91" t="s">
        <v>19</v>
      </c>
      <c r="I846" s="73" t="s">
        <v>19</v>
      </c>
      <c r="J846" s="73" t="s">
        <v>19</v>
      </c>
      <c r="K846" s="73" t="s">
        <v>19</v>
      </c>
      <c r="L846" s="11"/>
      <c r="M846" s="1"/>
      <c r="N846" s="113" t="s">
        <v>14</v>
      </c>
      <c r="O846" s="122" t="s">
        <v>27</v>
      </c>
      <c r="P846" s="122"/>
      <c r="Q846" s="105"/>
      <c r="R846" s="28"/>
      <c r="S846" s="225" t="str">
        <f t="shared" si="13"/>
        <v/>
      </c>
      <c r="T846" s="7" t="s">
        <v>109</v>
      </c>
      <c r="U846" s="7" t="s">
        <v>109</v>
      </c>
      <c r="V846" s="171" t="str" cm="1">
        <f t="array" ref="V846">_xlfn.IFS(C846="","",COUNTIF(C846,"ตำแหน่งว่าง*"),"ว่าง",COUNTIF(C846,"&lt;&gt;ตำแหน่งว่าง*"),"คนครอง")</f>
        <v>ว่าง</v>
      </c>
      <c r="W846" s="49" cm="1">
        <f t="array" ref="W846">_xlfn.IFS(COUNTIF(F846,"ผบ.หมู่*"),51,COUNTIF(F846,"รอง สว.*"),43)</f>
        <v>51</v>
      </c>
      <c r="X846" s="6" t="s">
        <v>2373</v>
      </c>
      <c r="Y846" s="6" t="s">
        <v>27</v>
      </c>
    </row>
    <row r="847" spans="1:25" s="10" customFormat="1" ht="21.3" customHeight="1">
      <c r="A847" s="27"/>
      <c r="B847" s="28"/>
      <c r="C847" s="30" t="s">
        <v>18</v>
      </c>
      <c r="D847" s="27"/>
      <c r="E847" s="27"/>
      <c r="F847" s="68" t="s">
        <v>2372</v>
      </c>
      <c r="G847" s="121" t="s">
        <v>2376</v>
      </c>
      <c r="H847" s="91" t="s">
        <v>19</v>
      </c>
      <c r="I847" s="73" t="s">
        <v>19</v>
      </c>
      <c r="J847" s="73" t="s">
        <v>19</v>
      </c>
      <c r="K847" s="73" t="s">
        <v>19</v>
      </c>
      <c r="L847" s="11"/>
      <c r="M847" s="1"/>
      <c r="N847" s="113" t="s">
        <v>14</v>
      </c>
      <c r="O847" s="122" t="s">
        <v>27</v>
      </c>
      <c r="P847" s="122"/>
      <c r="Q847" s="105"/>
      <c r="R847" s="28"/>
      <c r="S847" s="225" t="str">
        <f t="shared" si="13"/>
        <v/>
      </c>
      <c r="T847" s="7" t="s">
        <v>109</v>
      </c>
      <c r="U847" s="7" t="s">
        <v>109</v>
      </c>
      <c r="V847" s="171" t="str" cm="1">
        <f t="array" ref="V847">_xlfn.IFS(C847="","",COUNTIF(C847,"ตำแหน่งว่าง*"),"ว่าง",COUNTIF(C847,"&lt;&gt;ตำแหน่งว่าง*"),"คนครอง")</f>
        <v>ว่าง</v>
      </c>
      <c r="W847" s="49" cm="1">
        <f t="array" ref="W847">_xlfn.IFS(COUNTIF(F847,"ผบ.หมู่*"),51,COUNTIF(F847,"รอง สว.*"),43)</f>
        <v>51</v>
      </c>
      <c r="X847" s="6" t="s">
        <v>2375</v>
      </c>
      <c r="Y847" s="6" t="s">
        <v>27</v>
      </c>
    </row>
    <row r="848" spans="1:25" s="9" customFormat="1" ht="21.3" customHeight="1">
      <c r="A848" s="27"/>
      <c r="B848" s="28"/>
      <c r="C848" s="27" t="s">
        <v>18</v>
      </c>
      <c r="D848" s="27"/>
      <c r="E848" s="27"/>
      <c r="F848" s="27" t="s">
        <v>2378</v>
      </c>
      <c r="G848" s="101" t="s">
        <v>2380</v>
      </c>
      <c r="H848" s="75"/>
      <c r="I848" s="73"/>
      <c r="J848" s="73"/>
      <c r="K848" s="73"/>
      <c r="L848" s="11"/>
      <c r="M848" s="1"/>
      <c r="N848" s="112" t="s">
        <v>14</v>
      </c>
      <c r="O848" s="104" t="s">
        <v>27</v>
      </c>
      <c r="P848" s="104"/>
      <c r="Q848" s="105"/>
      <c r="R848" s="28"/>
      <c r="S848" s="174" t="str">
        <f t="shared" si="13"/>
        <v/>
      </c>
      <c r="T848" s="2" t="s">
        <v>7698</v>
      </c>
      <c r="U848" s="2" t="s">
        <v>109</v>
      </c>
      <c r="V848" s="2" t="str" cm="1">
        <f t="array" ref="V848">_xlfn.IFS(C848="","",COUNTIF(C848,"ตำแหน่งว่าง*"),"ว่าง",COUNTIF(C848,"&lt;&gt;ตำแหน่งว่าง*"),"คนครอง")</f>
        <v>ว่าง</v>
      </c>
      <c r="W848" s="170" cm="1">
        <f t="array" ref="W848">_xlfn.IFS(COUNTIF(F848,"ผบ.หมู่*"),51,COUNTIF(F848,"รอง สว.*"),43)</f>
        <v>51</v>
      </c>
      <c r="X848" s="1" t="s">
        <v>2379</v>
      </c>
      <c r="Y848" s="1" t="s">
        <v>27</v>
      </c>
    </row>
    <row r="849" spans="1:25" s="10" customFormat="1" ht="21.3" customHeight="1">
      <c r="A849" s="27"/>
      <c r="B849" s="28"/>
      <c r="C849" s="30" t="s">
        <v>18</v>
      </c>
      <c r="D849" s="27"/>
      <c r="E849" s="27"/>
      <c r="F849" s="68" t="s">
        <v>2378</v>
      </c>
      <c r="G849" s="121" t="s">
        <v>2382</v>
      </c>
      <c r="H849" s="91" t="s">
        <v>19</v>
      </c>
      <c r="I849" s="73" t="s">
        <v>19</v>
      </c>
      <c r="J849" s="73" t="s">
        <v>19</v>
      </c>
      <c r="K849" s="73" t="s">
        <v>19</v>
      </c>
      <c r="L849" s="11"/>
      <c r="M849" s="1"/>
      <c r="N849" s="113" t="s">
        <v>14</v>
      </c>
      <c r="O849" s="122" t="s">
        <v>27</v>
      </c>
      <c r="P849" s="122"/>
      <c r="Q849" s="105"/>
      <c r="R849" s="28"/>
      <c r="S849" s="225" t="str">
        <f t="shared" si="13"/>
        <v/>
      </c>
      <c r="T849" s="7" t="s">
        <v>7698</v>
      </c>
      <c r="U849" s="7" t="s">
        <v>109</v>
      </c>
      <c r="V849" s="171" t="str" cm="1">
        <f t="array" ref="V849">_xlfn.IFS(C849="","",COUNTIF(C849,"ตำแหน่งว่าง*"),"ว่าง",COUNTIF(C849,"&lt;&gt;ตำแหน่งว่าง*"),"คนครอง")</f>
        <v>ว่าง</v>
      </c>
      <c r="W849" s="49" cm="1">
        <f t="array" ref="W849">_xlfn.IFS(COUNTIF(F849,"ผบ.หมู่*"),51,COUNTIF(F849,"รอง สว.*"),43)</f>
        <v>51</v>
      </c>
      <c r="X849" s="6" t="s">
        <v>2381</v>
      </c>
      <c r="Y849" s="6" t="s">
        <v>27</v>
      </c>
    </row>
    <row r="850" spans="1:25" s="10" customFormat="1" ht="21.3" customHeight="1">
      <c r="A850" s="27"/>
      <c r="B850" s="28"/>
      <c r="C850" s="30" t="s">
        <v>18</v>
      </c>
      <c r="D850" s="27"/>
      <c r="E850" s="27"/>
      <c r="F850" s="68" t="s">
        <v>2378</v>
      </c>
      <c r="G850" s="121" t="s">
        <v>2384</v>
      </c>
      <c r="H850" s="91" t="s">
        <v>19</v>
      </c>
      <c r="I850" s="73" t="s">
        <v>19</v>
      </c>
      <c r="J850" s="73" t="s">
        <v>19</v>
      </c>
      <c r="K850" s="73" t="s">
        <v>19</v>
      </c>
      <c r="L850" s="11"/>
      <c r="M850" s="1"/>
      <c r="N850" s="113" t="s">
        <v>14</v>
      </c>
      <c r="O850" s="122" t="s">
        <v>27</v>
      </c>
      <c r="P850" s="122"/>
      <c r="Q850" s="105"/>
      <c r="R850" s="28"/>
      <c r="S850" s="225" t="str">
        <f t="shared" si="13"/>
        <v/>
      </c>
      <c r="T850" s="7" t="s">
        <v>7698</v>
      </c>
      <c r="U850" s="7" t="s">
        <v>109</v>
      </c>
      <c r="V850" s="171" t="str" cm="1">
        <f t="array" ref="V850">_xlfn.IFS(C850="","",COUNTIF(C850,"ตำแหน่งว่าง*"),"ว่าง",COUNTIF(C850,"&lt;&gt;ตำแหน่งว่าง*"),"คนครอง")</f>
        <v>ว่าง</v>
      </c>
      <c r="W850" s="49" cm="1">
        <f t="array" ref="W850">_xlfn.IFS(COUNTIF(F850,"ผบ.หมู่*"),51,COUNTIF(F850,"รอง สว.*"),43)</f>
        <v>51</v>
      </c>
      <c r="X850" s="6" t="s">
        <v>2383</v>
      </c>
      <c r="Y850" s="6" t="s">
        <v>27</v>
      </c>
    </row>
    <row r="851" spans="1:25" s="10" customFormat="1" ht="21.3" customHeight="1">
      <c r="A851" s="27"/>
      <c r="B851" s="28"/>
      <c r="C851" s="30" t="s">
        <v>18</v>
      </c>
      <c r="D851" s="27"/>
      <c r="E851" s="27"/>
      <c r="F851" s="68" t="s">
        <v>2378</v>
      </c>
      <c r="G851" s="121" t="s">
        <v>2386</v>
      </c>
      <c r="H851" s="91" t="s">
        <v>19</v>
      </c>
      <c r="I851" s="73" t="s">
        <v>19</v>
      </c>
      <c r="J851" s="73" t="s">
        <v>19</v>
      </c>
      <c r="K851" s="73" t="s">
        <v>19</v>
      </c>
      <c r="L851" s="11"/>
      <c r="M851" s="1"/>
      <c r="N851" s="113" t="s">
        <v>14</v>
      </c>
      <c r="O851" s="122" t="s">
        <v>27</v>
      </c>
      <c r="P851" s="122"/>
      <c r="Q851" s="105"/>
      <c r="R851" s="28"/>
      <c r="S851" s="225" t="str">
        <f t="shared" si="13"/>
        <v/>
      </c>
      <c r="T851" s="7" t="s">
        <v>7698</v>
      </c>
      <c r="U851" s="7" t="s">
        <v>109</v>
      </c>
      <c r="V851" s="171" t="str" cm="1">
        <f t="array" ref="V851">_xlfn.IFS(C851="","",COUNTIF(C851,"ตำแหน่งว่าง*"),"ว่าง",COUNTIF(C851,"&lt;&gt;ตำแหน่งว่าง*"),"คนครอง")</f>
        <v>ว่าง</v>
      </c>
      <c r="W851" s="49" cm="1">
        <f t="array" ref="W851">_xlfn.IFS(COUNTIF(F851,"ผบ.หมู่*"),51,COUNTIF(F851,"รอง สว.*"),43)</f>
        <v>51</v>
      </c>
      <c r="X851" s="6" t="s">
        <v>2385</v>
      </c>
      <c r="Y851" s="6" t="s">
        <v>27</v>
      </c>
    </row>
    <row r="852" spans="1:25" s="10" customFormat="1" ht="21.3" customHeight="1">
      <c r="A852" s="27"/>
      <c r="B852" s="28"/>
      <c r="C852" s="30" t="s">
        <v>18</v>
      </c>
      <c r="D852" s="27"/>
      <c r="E852" s="27"/>
      <c r="F852" s="68" t="s">
        <v>2378</v>
      </c>
      <c r="G852" s="121" t="s">
        <v>2388</v>
      </c>
      <c r="H852" s="91" t="s">
        <v>19</v>
      </c>
      <c r="I852" s="73" t="s">
        <v>19</v>
      </c>
      <c r="J852" s="73" t="s">
        <v>19</v>
      </c>
      <c r="K852" s="73" t="s">
        <v>19</v>
      </c>
      <c r="L852" s="11"/>
      <c r="M852" s="1"/>
      <c r="N852" s="113" t="s">
        <v>14</v>
      </c>
      <c r="O852" s="122" t="s">
        <v>27</v>
      </c>
      <c r="P852" s="122"/>
      <c r="Q852" s="105"/>
      <c r="R852" s="28"/>
      <c r="S852" s="225" t="str">
        <f t="shared" si="13"/>
        <v/>
      </c>
      <c r="T852" s="7" t="s">
        <v>7698</v>
      </c>
      <c r="U852" s="7" t="s">
        <v>109</v>
      </c>
      <c r="V852" s="171" t="str" cm="1">
        <f t="array" ref="V852">_xlfn.IFS(C852="","",COUNTIF(C852,"ตำแหน่งว่าง*"),"ว่าง",COUNTIF(C852,"&lt;&gt;ตำแหน่งว่าง*"),"คนครอง")</f>
        <v>ว่าง</v>
      </c>
      <c r="W852" s="49" cm="1">
        <f t="array" ref="W852">_xlfn.IFS(COUNTIF(F852,"ผบ.หมู่*"),51,COUNTIF(F852,"รอง สว.*"),43)</f>
        <v>51</v>
      </c>
      <c r="X852" s="6" t="s">
        <v>2387</v>
      </c>
      <c r="Y852" s="6" t="s">
        <v>27</v>
      </c>
    </row>
    <row r="853" spans="1:25" s="10" customFormat="1" ht="21.3" customHeight="1">
      <c r="A853" s="27"/>
      <c r="B853" s="28"/>
      <c r="C853" s="30" t="s">
        <v>18</v>
      </c>
      <c r="D853" s="27"/>
      <c r="E853" s="27"/>
      <c r="F853" s="68" t="s">
        <v>2378</v>
      </c>
      <c r="G853" s="121" t="s">
        <v>2390</v>
      </c>
      <c r="H853" s="91" t="s">
        <v>19</v>
      </c>
      <c r="I853" s="73" t="s">
        <v>19</v>
      </c>
      <c r="J853" s="73" t="s">
        <v>19</v>
      </c>
      <c r="K853" s="73" t="s">
        <v>19</v>
      </c>
      <c r="L853" s="11"/>
      <c r="M853" s="1"/>
      <c r="N853" s="113" t="s">
        <v>14</v>
      </c>
      <c r="O853" s="122" t="s">
        <v>27</v>
      </c>
      <c r="P853" s="122"/>
      <c r="Q853" s="105"/>
      <c r="R853" s="28"/>
      <c r="S853" s="225" t="str">
        <f t="shared" si="13"/>
        <v/>
      </c>
      <c r="T853" s="7" t="s">
        <v>7698</v>
      </c>
      <c r="U853" s="7" t="s">
        <v>109</v>
      </c>
      <c r="V853" s="171" t="str" cm="1">
        <f t="array" ref="V853">_xlfn.IFS(C853="","",COUNTIF(C853,"ตำแหน่งว่าง*"),"ว่าง",COUNTIF(C853,"&lt;&gt;ตำแหน่งว่าง*"),"คนครอง")</f>
        <v>ว่าง</v>
      </c>
      <c r="W853" s="49" cm="1">
        <f t="array" ref="W853">_xlfn.IFS(COUNTIF(F853,"ผบ.หมู่*"),51,COUNTIF(F853,"รอง สว.*"),43)</f>
        <v>51</v>
      </c>
      <c r="X853" s="6" t="s">
        <v>2389</v>
      </c>
      <c r="Y853" s="6" t="s">
        <v>27</v>
      </c>
    </row>
    <row r="854" spans="1:25" s="10" customFormat="1" ht="21.3" customHeight="1">
      <c r="A854" s="27"/>
      <c r="B854" s="28"/>
      <c r="C854" s="30" t="s">
        <v>18</v>
      </c>
      <c r="D854" s="27"/>
      <c r="E854" s="27"/>
      <c r="F854" s="68" t="s">
        <v>2378</v>
      </c>
      <c r="G854" s="121" t="s">
        <v>2392</v>
      </c>
      <c r="H854" s="91" t="s">
        <v>19</v>
      </c>
      <c r="I854" s="73" t="s">
        <v>19</v>
      </c>
      <c r="J854" s="73" t="s">
        <v>19</v>
      </c>
      <c r="K854" s="73" t="s">
        <v>19</v>
      </c>
      <c r="L854" s="11"/>
      <c r="M854" s="1"/>
      <c r="N854" s="113" t="s">
        <v>14</v>
      </c>
      <c r="O854" s="122" t="s">
        <v>27</v>
      </c>
      <c r="P854" s="122"/>
      <c r="Q854" s="105"/>
      <c r="R854" s="28"/>
      <c r="S854" s="225" t="str">
        <f t="shared" si="13"/>
        <v/>
      </c>
      <c r="T854" s="7" t="s">
        <v>7698</v>
      </c>
      <c r="U854" s="7" t="s">
        <v>109</v>
      </c>
      <c r="V854" s="171" t="str" cm="1">
        <f t="array" ref="V854">_xlfn.IFS(C854="","",COUNTIF(C854,"ตำแหน่งว่าง*"),"ว่าง",COUNTIF(C854,"&lt;&gt;ตำแหน่งว่าง*"),"คนครอง")</f>
        <v>ว่าง</v>
      </c>
      <c r="W854" s="49" cm="1">
        <f t="array" ref="W854">_xlfn.IFS(COUNTIF(F854,"ผบ.หมู่*"),51,COUNTIF(F854,"รอง สว.*"),43)</f>
        <v>51</v>
      </c>
      <c r="X854" s="6" t="s">
        <v>2391</v>
      </c>
      <c r="Y854" s="6" t="s">
        <v>27</v>
      </c>
    </row>
    <row r="855" spans="1:25" s="10" customFormat="1" ht="21.3" customHeight="1">
      <c r="A855" s="27"/>
      <c r="B855" s="28"/>
      <c r="C855" s="30" t="s">
        <v>18</v>
      </c>
      <c r="D855" s="27"/>
      <c r="E855" s="27"/>
      <c r="F855" s="68" t="s">
        <v>2378</v>
      </c>
      <c r="G855" s="121" t="s">
        <v>2394</v>
      </c>
      <c r="H855" s="91" t="s">
        <v>19</v>
      </c>
      <c r="I855" s="73" t="s">
        <v>19</v>
      </c>
      <c r="J855" s="73" t="s">
        <v>19</v>
      </c>
      <c r="K855" s="73" t="s">
        <v>19</v>
      </c>
      <c r="L855" s="11"/>
      <c r="M855" s="1"/>
      <c r="N855" s="113" t="s">
        <v>14</v>
      </c>
      <c r="O855" s="122" t="s">
        <v>27</v>
      </c>
      <c r="P855" s="122"/>
      <c r="Q855" s="105"/>
      <c r="R855" s="28"/>
      <c r="S855" s="225" t="str">
        <f t="shared" si="13"/>
        <v/>
      </c>
      <c r="T855" s="7" t="s">
        <v>7698</v>
      </c>
      <c r="U855" s="7" t="s">
        <v>109</v>
      </c>
      <c r="V855" s="171" t="str" cm="1">
        <f t="array" ref="V855">_xlfn.IFS(C855="","",COUNTIF(C855,"ตำแหน่งว่าง*"),"ว่าง",COUNTIF(C855,"&lt;&gt;ตำแหน่งว่าง*"),"คนครอง")</f>
        <v>ว่าง</v>
      </c>
      <c r="W855" s="49" cm="1">
        <f t="array" ref="W855">_xlfn.IFS(COUNTIF(F855,"ผบ.หมู่*"),51,COUNTIF(F855,"รอง สว.*"),43)</f>
        <v>51</v>
      </c>
      <c r="X855" s="6" t="s">
        <v>2393</v>
      </c>
      <c r="Y855" s="6" t="s">
        <v>27</v>
      </c>
    </row>
    <row r="856" spans="1:25" s="10" customFormat="1" ht="21.3" customHeight="1">
      <c r="A856" s="27"/>
      <c r="B856" s="28"/>
      <c r="C856" s="30" t="s">
        <v>18</v>
      </c>
      <c r="D856" s="27"/>
      <c r="E856" s="27"/>
      <c r="F856" s="68" t="s">
        <v>2378</v>
      </c>
      <c r="G856" s="121" t="s">
        <v>2396</v>
      </c>
      <c r="H856" s="91" t="s">
        <v>19</v>
      </c>
      <c r="I856" s="73" t="s">
        <v>19</v>
      </c>
      <c r="J856" s="73" t="s">
        <v>19</v>
      </c>
      <c r="K856" s="73" t="s">
        <v>19</v>
      </c>
      <c r="L856" s="11"/>
      <c r="M856" s="1"/>
      <c r="N856" s="113" t="s">
        <v>14</v>
      </c>
      <c r="O856" s="122" t="s">
        <v>27</v>
      </c>
      <c r="P856" s="122"/>
      <c r="Q856" s="105"/>
      <c r="R856" s="28"/>
      <c r="S856" s="225" t="str">
        <f t="shared" si="13"/>
        <v/>
      </c>
      <c r="T856" s="7" t="s">
        <v>7698</v>
      </c>
      <c r="U856" s="7" t="s">
        <v>109</v>
      </c>
      <c r="V856" s="171" t="str" cm="1">
        <f t="array" ref="V856">_xlfn.IFS(C856="","",COUNTIF(C856,"ตำแหน่งว่าง*"),"ว่าง",COUNTIF(C856,"&lt;&gt;ตำแหน่งว่าง*"),"คนครอง")</f>
        <v>ว่าง</v>
      </c>
      <c r="W856" s="49" cm="1">
        <f t="array" ref="W856">_xlfn.IFS(COUNTIF(F856,"ผบ.หมู่*"),51,COUNTIF(F856,"รอง สว.*"),43)</f>
        <v>51</v>
      </c>
      <c r="X856" s="6" t="s">
        <v>2395</v>
      </c>
      <c r="Y856" s="6" t="s">
        <v>27</v>
      </c>
    </row>
    <row r="857" spans="1:25" s="9" customFormat="1" ht="21.3" customHeight="1">
      <c r="A857" s="95"/>
      <c r="B857" s="28"/>
      <c r="C857" s="30" t="s">
        <v>18</v>
      </c>
      <c r="D857" s="27"/>
      <c r="E857" s="27"/>
      <c r="F857" s="68" t="s">
        <v>2378</v>
      </c>
      <c r="G857" s="121" t="s">
        <v>2431</v>
      </c>
      <c r="H857" s="75" t="s">
        <v>19</v>
      </c>
      <c r="I857" s="73" t="s">
        <v>19</v>
      </c>
      <c r="J857" s="73" t="s">
        <v>19</v>
      </c>
      <c r="K857" s="73" t="s">
        <v>19</v>
      </c>
      <c r="L857" s="11"/>
      <c r="M857" s="1"/>
      <c r="N857" s="113" t="s">
        <v>14</v>
      </c>
      <c r="O857" s="122" t="s">
        <v>43</v>
      </c>
      <c r="P857" s="122"/>
      <c r="Q857" s="105"/>
      <c r="R857" s="28"/>
      <c r="S857" s="225" t="str">
        <f t="shared" si="13"/>
        <v/>
      </c>
      <c r="T857" s="2" t="s">
        <v>7698</v>
      </c>
      <c r="U857" s="7" t="s">
        <v>109</v>
      </c>
      <c r="V857" s="171" t="str" cm="1">
        <f t="array" ref="V857">_xlfn.IFS(C857="","",COUNTIF(C857,"ตำแหน่งว่าง*"),"ว่าง",COUNTIF(C857,"&lt;&gt;ตำแหน่งว่าง*"),"คนครอง")</f>
        <v>ว่าง</v>
      </c>
      <c r="W857" s="49" cm="1">
        <f t="array" ref="W857">_xlfn.IFS(COUNTIF(F857,"ผบ.หมู่*"),51,COUNTIF(F857,"รอง สว.*"),43)</f>
        <v>51</v>
      </c>
      <c r="X857" s="6" t="s">
        <v>2430</v>
      </c>
      <c r="Y857" s="6" t="s">
        <v>48</v>
      </c>
    </row>
    <row r="858" spans="1:25" s="12" customFormat="1" ht="21.3" customHeight="1">
      <c r="A858" s="27" t="s">
        <v>157</v>
      </c>
      <c r="B858" s="28" t="s">
        <v>21</v>
      </c>
      <c r="C858" s="95" t="s">
        <v>2397</v>
      </c>
      <c r="D858" s="27" t="s">
        <v>8202</v>
      </c>
      <c r="E858" s="27" t="s">
        <v>8937</v>
      </c>
      <c r="F858" s="95" t="s">
        <v>2378</v>
      </c>
      <c r="G858" s="101" t="s">
        <v>2399</v>
      </c>
      <c r="H858" s="75">
        <v>42501</v>
      </c>
      <c r="I858" s="75">
        <v>35560</v>
      </c>
      <c r="J858" s="75">
        <v>34729</v>
      </c>
      <c r="K858" s="75">
        <v>26783</v>
      </c>
      <c r="L858" s="34" t="s">
        <v>2400</v>
      </c>
      <c r="M858" s="28" t="s">
        <v>35</v>
      </c>
      <c r="N858" s="111" t="s">
        <v>14</v>
      </c>
      <c r="O858" s="104" t="s">
        <v>52</v>
      </c>
      <c r="P858" s="104" t="s">
        <v>52</v>
      </c>
      <c r="Q858" s="105"/>
      <c r="R858" s="28" t="s">
        <v>110</v>
      </c>
      <c r="S858" s="225">
        <f t="shared" si="13"/>
        <v>48853</v>
      </c>
      <c r="T858" s="162" t="s">
        <v>7698</v>
      </c>
      <c r="U858" s="7" t="s">
        <v>109</v>
      </c>
      <c r="V858" s="162" t="str" cm="1">
        <f t="array" ref="V858">_xlfn.IFS(C858="","",COUNTIF(C858,"ตำแหน่งว่าง*"),"ว่าง",COUNTIF(C858,"&lt;&gt;ตำแหน่งว่าง*"),"คนครอง")</f>
        <v>คนครอง</v>
      </c>
      <c r="W858" s="49" cm="1">
        <f t="array" ref="W858">_xlfn.IFS(COUNTIF(F858,"ผบ.หมู่*"),51,COUNTIF(F858,"รอง สว.*"),43)</f>
        <v>51</v>
      </c>
      <c r="X858" s="5" t="s">
        <v>2398</v>
      </c>
      <c r="Y858" s="5" t="s">
        <v>52</v>
      </c>
    </row>
    <row r="859" spans="1:25" s="12" customFormat="1" ht="21.3" customHeight="1">
      <c r="A859" s="27" t="s">
        <v>10753</v>
      </c>
      <c r="B859" s="28" t="s">
        <v>21</v>
      </c>
      <c r="C859" s="95" t="s">
        <v>2401</v>
      </c>
      <c r="D859" s="27" t="s">
        <v>8938</v>
      </c>
      <c r="E859" s="27" t="s">
        <v>8939</v>
      </c>
      <c r="F859" s="95" t="s">
        <v>2410</v>
      </c>
      <c r="G859" s="101" t="s">
        <v>2403</v>
      </c>
      <c r="H859" s="75">
        <v>42501</v>
      </c>
      <c r="I859" s="75">
        <v>35560</v>
      </c>
      <c r="J859" s="75">
        <v>34729</v>
      </c>
      <c r="K859" s="75">
        <v>26234</v>
      </c>
      <c r="L859" s="34" t="s">
        <v>2404</v>
      </c>
      <c r="M859" s="28" t="s">
        <v>35</v>
      </c>
      <c r="N859" s="111" t="s">
        <v>14</v>
      </c>
      <c r="O859" s="104" t="s">
        <v>52</v>
      </c>
      <c r="P859" s="104" t="s">
        <v>52</v>
      </c>
      <c r="Q859" s="105"/>
      <c r="R859" s="28" t="s">
        <v>110</v>
      </c>
      <c r="S859" s="225">
        <f t="shared" si="13"/>
        <v>48488</v>
      </c>
      <c r="T859" s="162" t="s">
        <v>7698</v>
      </c>
      <c r="U859" s="7" t="s">
        <v>109</v>
      </c>
      <c r="V859" s="162" t="str" cm="1">
        <f t="array" ref="V859">_xlfn.IFS(C859="","",COUNTIF(C859,"ตำแหน่งว่าง*"),"ว่าง",COUNTIF(C859,"&lt;&gt;ตำแหน่งว่าง*"),"คนครอง")</f>
        <v>คนครอง</v>
      </c>
      <c r="W859" s="49" cm="1">
        <f t="array" ref="W859">_xlfn.IFS(COUNTIF(F859,"ผบ.หมู่*"),51,COUNTIF(F859,"รอง สว.*"),43)</f>
        <v>43</v>
      </c>
      <c r="X859" s="5" t="s">
        <v>2402</v>
      </c>
      <c r="Y859" s="5" t="s">
        <v>52</v>
      </c>
    </row>
    <row r="860" spans="1:25" s="12" customFormat="1" ht="21.3" customHeight="1">
      <c r="A860" s="95" t="s">
        <v>157</v>
      </c>
      <c r="B860" s="31" t="s">
        <v>21</v>
      </c>
      <c r="C860" s="95" t="s">
        <v>2405</v>
      </c>
      <c r="D860" s="27" t="s">
        <v>8068</v>
      </c>
      <c r="E860" s="27" t="s">
        <v>8139</v>
      </c>
      <c r="F860" s="95" t="s">
        <v>2378</v>
      </c>
      <c r="G860" s="101" t="s">
        <v>2407</v>
      </c>
      <c r="H860" s="75">
        <v>44599</v>
      </c>
      <c r="I860" s="80">
        <v>40339</v>
      </c>
      <c r="J860" s="80">
        <v>40339</v>
      </c>
      <c r="K860" s="80">
        <v>30334</v>
      </c>
      <c r="L860" s="45" t="s">
        <v>2408</v>
      </c>
      <c r="M860" s="30" t="s">
        <v>35</v>
      </c>
      <c r="N860" s="111" t="s">
        <v>14</v>
      </c>
      <c r="O860" s="104" t="s">
        <v>52</v>
      </c>
      <c r="P860" s="104" t="s">
        <v>52</v>
      </c>
      <c r="Q860" s="106"/>
      <c r="R860" s="31" t="s">
        <v>607</v>
      </c>
      <c r="S860" s="225">
        <f t="shared" si="13"/>
        <v>52505</v>
      </c>
      <c r="T860" s="162" t="s">
        <v>7698</v>
      </c>
      <c r="U860" s="7" t="s">
        <v>109</v>
      </c>
      <c r="V860" s="162" t="str" cm="1">
        <f t="array" ref="V860">_xlfn.IFS(C860="","",COUNTIF(C860,"ตำแหน่งว่าง*"),"ว่าง",COUNTIF(C860,"&lt;&gt;ตำแหน่งว่าง*"),"คนครอง")</f>
        <v>คนครอง</v>
      </c>
      <c r="W860" s="49" cm="1">
        <f t="array" ref="W860">_xlfn.IFS(COUNTIF(F860,"ผบ.หมู่*"),51,COUNTIF(F860,"รอง สว.*"),43)</f>
        <v>51</v>
      </c>
      <c r="X860" s="5" t="s">
        <v>2406</v>
      </c>
      <c r="Y860" s="5" t="s">
        <v>52</v>
      </c>
    </row>
    <row r="861" spans="1:25" s="12" customFormat="1" ht="21.3" customHeight="1">
      <c r="A861" s="95" t="s">
        <v>10753</v>
      </c>
      <c r="B861" s="31" t="s">
        <v>21</v>
      </c>
      <c r="C861" s="95" t="s">
        <v>2409</v>
      </c>
      <c r="D861" s="27" t="s">
        <v>8940</v>
      </c>
      <c r="E861" s="27" t="s">
        <v>8941</v>
      </c>
      <c r="F861" s="95" t="s">
        <v>2410</v>
      </c>
      <c r="G861" s="101" t="s">
        <v>2412</v>
      </c>
      <c r="H861" s="75">
        <v>45016</v>
      </c>
      <c r="I861" s="80">
        <v>45016</v>
      </c>
      <c r="J861" s="80">
        <v>45016</v>
      </c>
      <c r="K861" s="80">
        <v>25662</v>
      </c>
      <c r="L861" s="34" t="s">
        <v>2413</v>
      </c>
      <c r="M861" s="30" t="s">
        <v>35</v>
      </c>
      <c r="N861" s="111" t="s">
        <v>14</v>
      </c>
      <c r="O861" s="104" t="s">
        <v>52</v>
      </c>
      <c r="P861" s="104" t="s">
        <v>52</v>
      </c>
      <c r="Q861" s="105"/>
      <c r="R861" s="28" t="s">
        <v>483</v>
      </c>
      <c r="S861" s="225">
        <f t="shared" si="13"/>
        <v>47757</v>
      </c>
      <c r="T861" s="162" t="s">
        <v>7698</v>
      </c>
      <c r="U861" s="7" t="s">
        <v>109</v>
      </c>
      <c r="V861" s="162" t="str" cm="1">
        <f t="array" ref="V861">_xlfn.IFS(C861="","",COUNTIF(C861,"ตำแหน่งว่าง*"),"ว่าง",COUNTIF(C861,"&lt;&gt;ตำแหน่งว่าง*"),"คนครอง")</f>
        <v>คนครอง</v>
      </c>
      <c r="W861" s="49" cm="1">
        <f t="array" ref="W861">_xlfn.IFS(COUNTIF(F861,"ผบ.หมู่*"),51,COUNTIF(F861,"รอง สว.*"),43)</f>
        <v>43</v>
      </c>
      <c r="X861" s="5" t="s">
        <v>2411</v>
      </c>
      <c r="Y861" s="5" t="s">
        <v>52</v>
      </c>
    </row>
    <row r="862" spans="1:25" s="12" customFormat="1" ht="21.3" customHeight="1">
      <c r="A862" s="192" t="s">
        <v>169</v>
      </c>
      <c r="B862" s="193" t="s">
        <v>12</v>
      </c>
      <c r="C862" s="192" t="s">
        <v>7899</v>
      </c>
      <c r="D862" s="27" t="s">
        <v>8942</v>
      </c>
      <c r="E862" s="27" t="s">
        <v>8943</v>
      </c>
      <c r="F862" s="192" t="s">
        <v>2378</v>
      </c>
      <c r="G862" s="101" t="s">
        <v>2415</v>
      </c>
      <c r="H862" s="73">
        <v>45463</v>
      </c>
      <c r="I862" s="73">
        <v>45463</v>
      </c>
      <c r="J862" s="73">
        <v>45463</v>
      </c>
      <c r="K862" s="75">
        <v>34105</v>
      </c>
      <c r="L862" s="2" t="s">
        <v>82</v>
      </c>
      <c r="M862" s="28"/>
      <c r="N862" s="112" t="s">
        <v>14</v>
      </c>
      <c r="O862" s="104" t="s">
        <v>52</v>
      </c>
      <c r="P862" s="104" t="s">
        <v>52</v>
      </c>
      <c r="Q862" s="105"/>
      <c r="R862" s="28" t="s">
        <v>7961</v>
      </c>
      <c r="S862" s="174">
        <f t="shared" si="13"/>
        <v>56158</v>
      </c>
      <c r="T862" s="2" t="s">
        <v>7698</v>
      </c>
      <c r="U862" s="2" t="s">
        <v>109</v>
      </c>
      <c r="V862" s="162" t="str" cm="1">
        <f t="array" ref="V862">_xlfn.IFS(C862="","",COUNTIF(C862,"ตำแหน่งว่าง*"),"ว่าง",COUNTIF(C862,"&lt;&gt;ตำแหน่งว่าง*"),"คนครอง")</f>
        <v>คนครอง</v>
      </c>
      <c r="W862" s="49" cm="1">
        <f t="array" ref="W862">_xlfn.IFS(COUNTIF(F862,"ผบ.หมู่*"),51,COUNTIF(F862,"รอง สว.*"),43)</f>
        <v>51</v>
      </c>
      <c r="X862" s="1" t="s">
        <v>2414</v>
      </c>
      <c r="Y862" s="1" t="s">
        <v>52</v>
      </c>
    </row>
    <row r="863" spans="1:25" s="9" customFormat="1" ht="21.3" customHeight="1">
      <c r="A863" s="27" t="s">
        <v>157</v>
      </c>
      <c r="B863" s="28" t="s">
        <v>21</v>
      </c>
      <c r="C863" s="27" t="s">
        <v>2416</v>
      </c>
      <c r="D863" s="27" t="s">
        <v>8944</v>
      </c>
      <c r="E863" s="27" t="s">
        <v>8945</v>
      </c>
      <c r="F863" s="27" t="s">
        <v>2378</v>
      </c>
      <c r="G863" s="101" t="s">
        <v>2418</v>
      </c>
      <c r="H863" s="75">
        <v>43871</v>
      </c>
      <c r="I863" s="75">
        <v>35560</v>
      </c>
      <c r="J863" s="80">
        <v>34729</v>
      </c>
      <c r="K863" s="75">
        <v>27367</v>
      </c>
      <c r="L863" s="34" t="s">
        <v>2419</v>
      </c>
      <c r="M863" s="28" t="s">
        <v>35</v>
      </c>
      <c r="N863" s="112" t="s">
        <v>14</v>
      </c>
      <c r="O863" s="104" t="s">
        <v>52</v>
      </c>
      <c r="P863" s="104" t="s">
        <v>52</v>
      </c>
      <c r="Q863" s="105"/>
      <c r="R863" s="28" t="s">
        <v>688</v>
      </c>
      <c r="S863" s="225">
        <f t="shared" si="13"/>
        <v>49583</v>
      </c>
      <c r="T863" s="2" t="s">
        <v>7698</v>
      </c>
      <c r="U863" s="7" t="s">
        <v>109</v>
      </c>
      <c r="V863" s="162" t="str" cm="1">
        <f t="array" ref="V863">_xlfn.IFS(C863="","",COUNTIF(C863,"ตำแหน่งว่าง*"),"ว่าง",COUNTIF(C863,"&lt;&gt;ตำแหน่งว่าง*"),"คนครอง")</f>
        <v>คนครอง</v>
      </c>
      <c r="W863" s="49" cm="1">
        <f t="array" ref="W863">_xlfn.IFS(COUNTIF(F863,"ผบ.หมู่*"),51,COUNTIF(F863,"รอง สว.*"),43)</f>
        <v>51</v>
      </c>
      <c r="X863" s="1" t="s">
        <v>2417</v>
      </c>
      <c r="Y863" s="1" t="s">
        <v>52</v>
      </c>
    </row>
    <row r="864" spans="1:25" s="10" customFormat="1" ht="21.3" customHeight="1">
      <c r="A864" s="65" t="s">
        <v>169</v>
      </c>
      <c r="B864" s="66" t="s">
        <v>21</v>
      </c>
      <c r="C864" s="65" t="s">
        <v>2420</v>
      </c>
      <c r="D864" s="27" t="s">
        <v>8946</v>
      </c>
      <c r="E864" s="27" t="s">
        <v>8947</v>
      </c>
      <c r="F864" s="65" t="s">
        <v>2378</v>
      </c>
      <c r="G864" s="101" t="s">
        <v>2422</v>
      </c>
      <c r="H864" s="75">
        <v>44986</v>
      </c>
      <c r="I864" s="75">
        <v>44986</v>
      </c>
      <c r="J864" s="75">
        <v>44986</v>
      </c>
      <c r="K864" s="75">
        <v>37923</v>
      </c>
      <c r="L864" s="34" t="s">
        <v>82</v>
      </c>
      <c r="M864" s="30" t="s">
        <v>16</v>
      </c>
      <c r="N864" s="114" t="s">
        <v>14</v>
      </c>
      <c r="O864" s="104" t="s">
        <v>52</v>
      </c>
      <c r="P864" s="104" t="s">
        <v>52</v>
      </c>
      <c r="Q864" s="107"/>
      <c r="R864" s="66" t="s">
        <v>861</v>
      </c>
      <c r="S864" s="225">
        <f t="shared" si="13"/>
        <v>60176</v>
      </c>
      <c r="T864" s="7" t="s">
        <v>7698</v>
      </c>
      <c r="U864" s="7" t="s">
        <v>109</v>
      </c>
      <c r="V864" s="162" t="str" cm="1">
        <f t="array" ref="V864">_xlfn.IFS(C864="","",COUNTIF(C864,"ตำแหน่งว่าง*"),"ว่าง",COUNTIF(C864,"&lt;&gt;ตำแหน่งว่าง*"),"คนครอง")</f>
        <v>คนครอง</v>
      </c>
      <c r="W864" s="49" cm="1">
        <f t="array" ref="W864">_xlfn.IFS(COUNTIF(F864,"ผบ.หมู่*"),51,COUNTIF(F864,"รอง สว.*"),43)</f>
        <v>51</v>
      </c>
      <c r="X864" s="61" t="s">
        <v>2421</v>
      </c>
      <c r="Y864" s="61" t="s">
        <v>52</v>
      </c>
    </row>
    <row r="865" spans="1:25" s="10" customFormat="1" ht="21.3" customHeight="1">
      <c r="A865" s="65" t="s">
        <v>169</v>
      </c>
      <c r="B865" s="66" t="s">
        <v>21</v>
      </c>
      <c r="C865" s="65" t="s">
        <v>2423</v>
      </c>
      <c r="D865" s="27" t="s">
        <v>8045</v>
      </c>
      <c r="E865" s="27" t="s">
        <v>8948</v>
      </c>
      <c r="F865" s="65" t="s">
        <v>2378</v>
      </c>
      <c r="G865" s="101" t="s">
        <v>2425</v>
      </c>
      <c r="H865" s="75">
        <v>44986</v>
      </c>
      <c r="I865" s="75">
        <v>44986</v>
      </c>
      <c r="J865" s="75">
        <v>44986</v>
      </c>
      <c r="K865" s="75">
        <v>36150</v>
      </c>
      <c r="L865" s="34" t="s">
        <v>82</v>
      </c>
      <c r="M865" s="30" t="s">
        <v>104</v>
      </c>
      <c r="N865" s="114" t="s">
        <v>14</v>
      </c>
      <c r="O865" s="104" t="s">
        <v>52</v>
      </c>
      <c r="P865" s="104" t="s">
        <v>52</v>
      </c>
      <c r="Q865" s="107"/>
      <c r="R865" s="66" t="s">
        <v>861</v>
      </c>
      <c r="S865" s="225">
        <f t="shared" si="13"/>
        <v>58349</v>
      </c>
      <c r="T865" s="7" t="s">
        <v>7698</v>
      </c>
      <c r="U865" s="7" t="s">
        <v>109</v>
      </c>
      <c r="V865" s="162" t="str" cm="1">
        <f t="array" ref="V865">_xlfn.IFS(C865="","",COUNTIF(C865,"ตำแหน่งว่าง*"),"ว่าง",COUNTIF(C865,"&lt;&gt;ตำแหน่งว่าง*"),"คนครอง")</f>
        <v>คนครอง</v>
      </c>
      <c r="W865" s="49" cm="1">
        <f t="array" ref="W865">_xlfn.IFS(COUNTIF(F865,"ผบ.หมู่*"),51,COUNTIF(F865,"รอง สว.*"),43)</f>
        <v>51</v>
      </c>
      <c r="X865" s="61" t="s">
        <v>2424</v>
      </c>
      <c r="Y865" s="61" t="s">
        <v>52</v>
      </c>
    </row>
    <row r="866" spans="1:25" s="10" customFormat="1" ht="21.3" customHeight="1">
      <c r="A866" s="27" t="s">
        <v>182</v>
      </c>
      <c r="B866" s="28" t="s">
        <v>12</v>
      </c>
      <c r="C866" s="27" t="s">
        <v>2377</v>
      </c>
      <c r="D866" s="27" t="s">
        <v>8935</v>
      </c>
      <c r="E866" s="27" t="s">
        <v>8936</v>
      </c>
      <c r="F866" s="27" t="s">
        <v>2378</v>
      </c>
      <c r="G866" s="101" t="s">
        <v>2427</v>
      </c>
      <c r="H866" s="75">
        <v>45768</v>
      </c>
      <c r="I866" s="73">
        <v>43868</v>
      </c>
      <c r="J866" s="73">
        <v>43868</v>
      </c>
      <c r="K866" s="73">
        <v>36828</v>
      </c>
      <c r="L866" s="11" t="s">
        <v>82</v>
      </c>
      <c r="M866" s="1" t="s">
        <v>35</v>
      </c>
      <c r="N866" s="112" t="s">
        <v>14</v>
      </c>
      <c r="O866" s="104" t="s">
        <v>52</v>
      </c>
      <c r="P866" s="104" t="s">
        <v>52</v>
      </c>
      <c r="Q866" s="105"/>
      <c r="R866" s="28" t="s">
        <v>10708</v>
      </c>
      <c r="S866" s="174">
        <f t="shared" si="13"/>
        <v>59080</v>
      </c>
      <c r="T866" s="2" t="s">
        <v>7698</v>
      </c>
      <c r="U866" s="2" t="s">
        <v>109</v>
      </c>
      <c r="V866" s="203" t="str" cm="1">
        <f t="array" ref="V866">_xlfn.IFS(C866="","",COUNTIF(C866,"ตำแหน่งว่าง*"),"ว่าง",COUNTIF(C866,"&lt;&gt;ตำแหน่งว่าง*"),"คนครอง")</f>
        <v>คนครอง</v>
      </c>
      <c r="W866" s="170" cm="1">
        <f t="array" ref="W866">_xlfn.IFS(COUNTIF(F866,"ผบ.หมู่*"),51,COUNTIF(F866,"รอง สว.*"),43)</f>
        <v>51</v>
      </c>
      <c r="X866" s="1" t="s">
        <v>2426</v>
      </c>
      <c r="Y866" s="1" t="s">
        <v>52</v>
      </c>
    </row>
    <row r="867" spans="1:25" s="10" customFormat="1" ht="21.3" customHeight="1">
      <c r="A867" s="27" t="s">
        <v>157</v>
      </c>
      <c r="B867" s="28" t="s">
        <v>12</v>
      </c>
      <c r="C867" s="27" t="s">
        <v>10734</v>
      </c>
      <c r="D867" s="27" t="s">
        <v>8034</v>
      </c>
      <c r="E867" s="27" t="s">
        <v>10735</v>
      </c>
      <c r="F867" s="27" t="s">
        <v>2378</v>
      </c>
      <c r="G867" s="101" t="s">
        <v>2429</v>
      </c>
      <c r="H867" s="75">
        <v>45768</v>
      </c>
      <c r="I867" s="73" t="s">
        <v>7609</v>
      </c>
      <c r="J867" s="73" t="s">
        <v>7609</v>
      </c>
      <c r="K867" s="73">
        <v>30093</v>
      </c>
      <c r="L867" s="11" t="s">
        <v>82</v>
      </c>
      <c r="M867" s="1" t="s">
        <v>7609</v>
      </c>
      <c r="N867" s="112" t="s">
        <v>14</v>
      </c>
      <c r="O867" s="104" t="s">
        <v>52</v>
      </c>
      <c r="P867" s="104" t="s">
        <v>52</v>
      </c>
      <c r="Q867" s="105"/>
      <c r="R867" s="28" t="s">
        <v>10804</v>
      </c>
      <c r="S867" s="174">
        <f t="shared" si="13"/>
        <v>52140</v>
      </c>
      <c r="T867" s="2" t="s">
        <v>7698</v>
      </c>
      <c r="U867" s="2" t="s">
        <v>109</v>
      </c>
      <c r="V867" s="203" t="str" cm="1">
        <f t="array" ref="V867">_xlfn.IFS(C867="","",COUNTIF(C867,"ตำแหน่งว่าง*"),"ว่าง",COUNTIF(C867,"&lt;&gt;ตำแหน่งว่าง*"),"คนครอง")</f>
        <v>คนครอง</v>
      </c>
      <c r="W867" s="170" cm="1">
        <f t="array" ref="W867">_xlfn.IFS(COUNTIF(F867,"ผบ.หมู่*"),51,COUNTIF(F867,"รอง สว.*"),43)</f>
        <v>51</v>
      </c>
      <c r="X867" s="1" t="s">
        <v>2428</v>
      </c>
      <c r="Y867" s="1" t="s">
        <v>52</v>
      </c>
    </row>
    <row r="868" spans="1:25" s="9" customFormat="1" ht="21.3" customHeight="1">
      <c r="A868" s="27" t="s">
        <v>182</v>
      </c>
      <c r="B868" s="28" t="s">
        <v>12</v>
      </c>
      <c r="C868" s="27" t="s">
        <v>2432</v>
      </c>
      <c r="D868" s="27" t="s">
        <v>8949</v>
      </c>
      <c r="E868" s="27" t="s">
        <v>8950</v>
      </c>
      <c r="F868" s="27" t="s">
        <v>2433</v>
      </c>
      <c r="G868" s="101" t="s">
        <v>2435</v>
      </c>
      <c r="H868" s="75">
        <v>44043</v>
      </c>
      <c r="I868" s="73">
        <v>44043</v>
      </c>
      <c r="J868" s="73">
        <v>44043</v>
      </c>
      <c r="K868" s="73">
        <v>35489</v>
      </c>
      <c r="L868" s="11" t="s">
        <v>1667</v>
      </c>
      <c r="M868" s="1" t="s">
        <v>97</v>
      </c>
      <c r="N868" s="112" t="s">
        <v>14</v>
      </c>
      <c r="O868" s="104" t="s">
        <v>52</v>
      </c>
      <c r="P868" s="104" t="s">
        <v>52</v>
      </c>
      <c r="Q868" s="105"/>
      <c r="R868" s="28" t="s">
        <v>2436</v>
      </c>
      <c r="S868" s="225">
        <f t="shared" si="13"/>
        <v>57619</v>
      </c>
      <c r="T868" s="2" t="s">
        <v>7690</v>
      </c>
      <c r="U868" s="7" t="s">
        <v>109</v>
      </c>
      <c r="V868" s="162" t="str" cm="1">
        <f t="array" ref="V868">_xlfn.IFS(C868="","",COUNTIF(C868,"ตำแหน่งว่าง*"),"ว่าง",COUNTIF(C868,"&lt;&gt;ตำแหน่งว่าง*"),"คนครอง")</f>
        <v>คนครอง</v>
      </c>
      <c r="W868" s="49" cm="1">
        <f t="array" ref="W868">_xlfn.IFS(COUNTIF(F868,"ผบ.หมู่*"),51,COUNTIF(F868,"รอง สว.*"),43)</f>
        <v>51</v>
      </c>
      <c r="X868" s="1" t="s">
        <v>2434</v>
      </c>
      <c r="Y868" s="1" t="s">
        <v>52</v>
      </c>
    </row>
    <row r="869" spans="1:25" s="9" customFormat="1" ht="21.3" customHeight="1">
      <c r="A869" s="27" t="s">
        <v>182</v>
      </c>
      <c r="B869" s="28" t="s">
        <v>12</v>
      </c>
      <c r="C869" s="27" t="s">
        <v>2437</v>
      </c>
      <c r="D869" s="27" t="s">
        <v>8951</v>
      </c>
      <c r="E869" s="27" t="s">
        <v>8952</v>
      </c>
      <c r="F869" s="27" t="s">
        <v>2433</v>
      </c>
      <c r="G869" s="101" t="s">
        <v>2439</v>
      </c>
      <c r="H869" s="75">
        <v>44043</v>
      </c>
      <c r="I869" s="73">
        <v>44043</v>
      </c>
      <c r="J869" s="73">
        <v>44043</v>
      </c>
      <c r="K869" s="73">
        <v>34877</v>
      </c>
      <c r="L869" s="11" t="s">
        <v>1667</v>
      </c>
      <c r="M869" s="1" t="s">
        <v>16</v>
      </c>
      <c r="N869" s="112" t="s">
        <v>14</v>
      </c>
      <c r="O869" s="104" t="s">
        <v>52</v>
      </c>
      <c r="P869" s="104" t="s">
        <v>52</v>
      </c>
      <c r="Q869" s="105"/>
      <c r="R869" s="28" t="s">
        <v>2436</v>
      </c>
      <c r="S869" s="225">
        <f t="shared" si="13"/>
        <v>56888</v>
      </c>
      <c r="T869" s="2" t="s">
        <v>7690</v>
      </c>
      <c r="U869" s="7" t="s">
        <v>109</v>
      </c>
      <c r="V869" s="162" t="str" cm="1">
        <f t="array" ref="V869">_xlfn.IFS(C869="","",COUNTIF(C869,"ตำแหน่งว่าง*"),"ว่าง",COUNTIF(C869,"&lt;&gt;ตำแหน่งว่าง*"),"คนครอง")</f>
        <v>คนครอง</v>
      </c>
      <c r="W869" s="49" cm="1">
        <f t="array" ref="W869">_xlfn.IFS(COUNTIF(F869,"ผบ.หมู่*"),51,COUNTIF(F869,"รอง สว.*"),43)</f>
        <v>51</v>
      </c>
      <c r="X869" s="1" t="s">
        <v>2438</v>
      </c>
      <c r="Y869" s="1" t="s">
        <v>52</v>
      </c>
    </row>
    <row r="870" spans="1:25" s="9" customFormat="1" ht="21.3" customHeight="1">
      <c r="A870" s="27"/>
      <c r="B870" s="28"/>
      <c r="C870" s="28" t="s">
        <v>18</v>
      </c>
      <c r="D870" s="27"/>
      <c r="E870" s="27"/>
      <c r="F870" s="27" t="s">
        <v>2433</v>
      </c>
      <c r="G870" s="101" t="s">
        <v>2442</v>
      </c>
      <c r="H870" s="75"/>
      <c r="I870" s="73"/>
      <c r="J870" s="73"/>
      <c r="K870" s="73"/>
      <c r="L870" s="11"/>
      <c r="M870" s="1"/>
      <c r="N870" s="112" t="s">
        <v>14</v>
      </c>
      <c r="O870" s="104" t="s">
        <v>52</v>
      </c>
      <c r="P870" s="104" t="s">
        <v>52</v>
      </c>
      <c r="Q870" s="105"/>
      <c r="R870" s="28"/>
      <c r="S870" s="174" t="str">
        <f t="shared" si="13"/>
        <v/>
      </c>
      <c r="T870" s="2" t="s">
        <v>7690</v>
      </c>
      <c r="U870" s="2" t="s">
        <v>109</v>
      </c>
      <c r="V870" s="2" t="str" cm="1">
        <f t="array" ref="V870">_xlfn.IFS(C870="","",COUNTIF(C870,"ตำแหน่งว่าง*"),"ว่าง",COUNTIF(C870,"&lt;&gt;ตำแหน่งว่าง*"),"คนครอง")</f>
        <v>ว่าง</v>
      </c>
      <c r="W870" s="170" cm="1">
        <f t="array" ref="W870">_xlfn.IFS(COUNTIF(F870,"ผบ.หมู่*"),51,COUNTIF(F870,"รอง สว.*"),43)</f>
        <v>51</v>
      </c>
      <c r="X870" s="1" t="s">
        <v>2441</v>
      </c>
      <c r="Y870" s="1" t="s">
        <v>52</v>
      </c>
    </row>
    <row r="871" spans="1:25" s="9" customFormat="1" ht="21.3" customHeight="1">
      <c r="A871" s="95" t="s">
        <v>208</v>
      </c>
      <c r="B871" s="28" t="s">
        <v>12</v>
      </c>
      <c r="C871" s="27" t="s">
        <v>2443</v>
      </c>
      <c r="D871" s="27" t="s">
        <v>8955</v>
      </c>
      <c r="E871" s="27" t="s">
        <v>8956</v>
      </c>
      <c r="F871" s="27" t="s">
        <v>2433</v>
      </c>
      <c r="G871" s="101" t="s">
        <v>2445</v>
      </c>
      <c r="H871" s="75">
        <v>43693</v>
      </c>
      <c r="I871" s="73">
        <v>43693</v>
      </c>
      <c r="J871" s="73">
        <v>43693</v>
      </c>
      <c r="K871" s="73">
        <v>32047</v>
      </c>
      <c r="L871" s="11" t="s">
        <v>82</v>
      </c>
      <c r="M871" s="1" t="s">
        <v>38</v>
      </c>
      <c r="N871" s="112" t="s">
        <v>14</v>
      </c>
      <c r="O871" s="104" t="s">
        <v>52</v>
      </c>
      <c r="P871" s="104" t="s">
        <v>52</v>
      </c>
      <c r="Q871" s="105"/>
      <c r="R871" s="28" t="s">
        <v>645</v>
      </c>
      <c r="S871" s="225">
        <f t="shared" si="13"/>
        <v>53966</v>
      </c>
      <c r="T871" s="2" t="s">
        <v>7690</v>
      </c>
      <c r="U871" s="7" t="s">
        <v>109</v>
      </c>
      <c r="V871" s="162" t="str" cm="1">
        <f t="array" ref="V871">_xlfn.IFS(C871="","",COUNTIF(C871,"ตำแหน่งว่าง*"),"ว่าง",COUNTIF(C871,"&lt;&gt;ตำแหน่งว่าง*"),"คนครอง")</f>
        <v>คนครอง</v>
      </c>
      <c r="W871" s="49" cm="1">
        <f t="array" ref="W871">_xlfn.IFS(COUNTIF(F871,"ผบ.หมู่*"),51,COUNTIF(F871,"รอง สว.*"),43)</f>
        <v>51</v>
      </c>
      <c r="X871" s="1" t="s">
        <v>2444</v>
      </c>
      <c r="Y871" s="1" t="s">
        <v>52</v>
      </c>
    </row>
    <row r="872" spans="1:25" s="9" customFormat="1" ht="21.3" customHeight="1">
      <c r="A872" s="95" t="s">
        <v>208</v>
      </c>
      <c r="B872" s="28" t="s">
        <v>12</v>
      </c>
      <c r="C872" s="27" t="s">
        <v>2446</v>
      </c>
      <c r="D872" s="27" t="s">
        <v>8957</v>
      </c>
      <c r="E872" s="27" t="s">
        <v>8958</v>
      </c>
      <c r="F872" s="27" t="s">
        <v>2433</v>
      </c>
      <c r="G872" s="101" t="s">
        <v>2448</v>
      </c>
      <c r="H872" s="75">
        <v>43693</v>
      </c>
      <c r="I872" s="73">
        <v>43693</v>
      </c>
      <c r="J872" s="73">
        <v>43693</v>
      </c>
      <c r="K872" s="73">
        <v>35182</v>
      </c>
      <c r="L872" s="11" t="s">
        <v>82</v>
      </c>
      <c r="M872" s="1" t="s">
        <v>95</v>
      </c>
      <c r="N872" s="112" t="s">
        <v>14</v>
      </c>
      <c r="O872" s="104" t="s">
        <v>52</v>
      </c>
      <c r="P872" s="104" t="s">
        <v>52</v>
      </c>
      <c r="Q872" s="105"/>
      <c r="R872" s="28" t="s">
        <v>645</v>
      </c>
      <c r="S872" s="225">
        <f t="shared" si="13"/>
        <v>57254</v>
      </c>
      <c r="T872" s="2" t="s">
        <v>7690</v>
      </c>
      <c r="U872" s="7" t="s">
        <v>109</v>
      </c>
      <c r="V872" s="162" t="str" cm="1">
        <f t="array" ref="V872">_xlfn.IFS(C872="","",COUNTIF(C872,"ตำแหน่งว่าง*"),"ว่าง",COUNTIF(C872,"&lt;&gt;ตำแหน่งว่าง*"),"คนครอง")</f>
        <v>คนครอง</v>
      </c>
      <c r="W872" s="49" cm="1">
        <f t="array" ref="W872">_xlfn.IFS(COUNTIF(F872,"ผบ.หมู่*"),51,COUNTIF(F872,"รอง สว.*"),43)</f>
        <v>51</v>
      </c>
      <c r="X872" s="1" t="s">
        <v>2447</v>
      </c>
      <c r="Y872" s="1" t="s">
        <v>52</v>
      </c>
    </row>
    <row r="873" spans="1:25" s="12" customFormat="1" ht="21.3" customHeight="1">
      <c r="A873" s="27"/>
      <c r="B873" s="28"/>
      <c r="C873" s="30" t="s">
        <v>18</v>
      </c>
      <c r="D873" s="27"/>
      <c r="E873" s="27"/>
      <c r="F873" s="68" t="s">
        <v>2433</v>
      </c>
      <c r="G873" s="121" t="s">
        <v>2450</v>
      </c>
      <c r="H873" s="75" t="s">
        <v>19</v>
      </c>
      <c r="I873" s="73" t="s">
        <v>19</v>
      </c>
      <c r="J873" s="73" t="s">
        <v>19</v>
      </c>
      <c r="K873" s="73" t="s">
        <v>19</v>
      </c>
      <c r="L873" s="11"/>
      <c r="M873" s="1"/>
      <c r="N873" s="113" t="s">
        <v>14</v>
      </c>
      <c r="O873" s="122" t="s">
        <v>52</v>
      </c>
      <c r="P873" s="122" t="s">
        <v>52</v>
      </c>
      <c r="Q873" s="105"/>
      <c r="R873" s="28"/>
      <c r="S873" s="225" t="str">
        <f t="shared" si="13"/>
        <v/>
      </c>
      <c r="T873" s="162" t="s">
        <v>7690</v>
      </c>
      <c r="U873" s="7" t="s">
        <v>109</v>
      </c>
      <c r="V873" s="171" t="str" cm="1">
        <f t="array" ref="V873">_xlfn.IFS(C873="","",COUNTIF(C873,"ตำแหน่งว่าง*"),"ว่าง",COUNTIF(C873,"&lt;&gt;ตำแหน่งว่าง*"),"คนครอง")</f>
        <v>ว่าง</v>
      </c>
      <c r="W873" s="49" cm="1">
        <f t="array" ref="W873">_xlfn.IFS(COUNTIF(F873,"ผบ.หมู่*"),51,COUNTIF(F873,"รอง สว.*"),43)</f>
        <v>51</v>
      </c>
      <c r="X873" s="6" t="s">
        <v>2449</v>
      </c>
      <c r="Y873" s="6" t="s">
        <v>52</v>
      </c>
    </row>
    <row r="874" spans="1:25" s="9" customFormat="1" ht="21.3" customHeight="1">
      <c r="A874" s="27" t="s">
        <v>182</v>
      </c>
      <c r="B874" s="28" t="s">
        <v>12</v>
      </c>
      <c r="C874" s="27" t="s">
        <v>2451</v>
      </c>
      <c r="D874" s="27" t="s">
        <v>8959</v>
      </c>
      <c r="E874" s="27" t="s">
        <v>8960</v>
      </c>
      <c r="F874" s="27" t="s">
        <v>2433</v>
      </c>
      <c r="G874" s="101" t="s">
        <v>2453</v>
      </c>
      <c r="H874" s="75">
        <v>44043</v>
      </c>
      <c r="I874" s="73">
        <v>44043</v>
      </c>
      <c r="J874" s="73">
        <v>44043</v>
      </c>
      <c r="K874" s="73">
        <v>34122</v>
      </c>
      <c r="L874" s="11" t="s">
        <v>1667</v>
      </c>
      <c r="M874" s="28" t="s">
        <v>64</v>
      </c>
      <c r="N874" s="112" t="s">
        <v>14</v>
      </c>
      <c r="O874" s="104" t="s">
        <v>52</v>
      </c>
      <c r="P874" s="104" t="s">
        <v>52</v>
      </c>
      <c r="Q874" s="105"/>
      <c r="R874" s="28" t="s">
        <v>2436</v>
      </c>
      <c r="S874" s="225">
        <f t="shared" si="13"/>
        <v>56158</v>
      </c>
      <c r="T874" s="2" t="s">
        <v>7690</v>
      </c>
      <c r="U874" s="7" t="s">
        <v>109</v>
      </c>
      <c r="V874" s="162" t="str" cm="1">
        <f t="array" ref="V874">_xlfn.IFS(C874="","",COUNTIF(C874,"ตำแหน่งว่าง*"),"ว่าง",COUNTIF(C874,"&lt;&gt;ตำแหน่งว่าง*"),"คนครอง")</f>
        <v>คนครอง</v>
      </c>
      <c r="W874" s="49" cm="1">
        <f t="array" ref="W874">_xlfn.IFS(COUNTIF(F874,"ผบ.หมู่*"),51,COUNTIF(F874,"รอง สว.*"),43)</f>
        <v>51</v>
      </c>
      <c r="X874" s="1" t="s">
        <v>2452</v>
      </c>
      <c r="Y874" s="1" t="s">
        <v>52</v>
      </c>
    </row>
    <row r="875" spans="1:25" s="9" customFormat="1" ht="21.3" customHeight="1">
      <c r="A875" s="27" t="s">
        <v>182</v>
      </c>
      <c r="B875" s="28" t="s">
        <v>21</v>
      </c>
      <c r="C875" s="27" t="s">
        <v>2454</v>
      </c>
      <c r="D875" s="27" t="s">
        <v>8961</v>
      </c>
      <c r="E875" s="27" t="s">
        <v>8962</v>
      </c>
      <c r="F875" s="27" t="s">
        <v>2433</v>
      </c>
      <c r="G875" s="101" t="s">
        <v>2456</v>
      </c>
      <c r="H875" s="75">
        <v>44043</v>
      </c>
      <c r="I875" s="73">
        <v>44043</v>
      </c>
      <c r="J875" s="73">
        <v>44043</v>
      </c>
      <c r="K875" s="73">
        <v>35026</v>
      </c>
      <c r="L875" s="11" t="s">
        <v>1667</v>
      </c>
      <c r="M875" s="28" t="s">
        <v>47</v>
      </c>
      <c r="N875" s="112" t="s">
        <v>14</v>
      </c>
      <c r="O875" s="104" t="s">
        <v>52</v>
      </c>
      <c r="P875" s="104" t="s">
        <v>52</v>
      </c>
      <c r="Q875" s="105"/>
      <c r="R875" s="28" t="s">
        <v>2436</v>
      </c>
      <c r="S875" s="225">
        <f t="shared" si="13"/>
        <v>57254</v>
      </c>
      <c r="T875" s="2" t="s">
        <v>7690</v>
      </c>
      <c r="U875" s="7" t="s">
        <v>109</v>
      </c>
      <c r="V875" s="162" t="str" cm="1">
        <f t="array" ref="V875">_xlfn.IFS(C875="","",COUNTIF(C875,"ตำแหน่งว่าง*"),"ว่าง",COUNTIF(C875,"&lt;&gt;ตำแหน่งว่าง*"),"คนครอง")</f>
        <v>คนครอง</v>
      </c>
      <c r="W875" s="49" cm="1">
        <f t="array" ref="W875">_xlfn.IFS(COUNTIF(F875,"ผบ.หมู่*"),51,COUNTIF(F875,"รอง สว.*"),43)</f>
        <v>51</v>
      </c>
      <c r="X875" s="1" t="s">
        <v>2455</v>
      </c>
      <c r="Y875" s="1" t="s">
        <v>52</v>
      </c>
    </row>
    <row r="876" spans="1:25" s="9" customFormat="1" ht="21.3" customHeight="1">
      <c r="A876" s="27"/>
      <c r="B876" s="28"/>
      <c r="C876" s="27" t="s">
        <v>18</v>
      </c>
      <c r="D876" s="27"/>
      <c r="E876" s="27"/>
      <c r="F876" s="27" t="s">
        <v>2433</v>
      </c>
      <c r="G876" s="101" t="s">
        <v>2459</v>
      </c>
      <c r="H876" s="75"/>
      <c r="I876" s="73"/>
      <c r="J876" s="73"/>
      <c r="K876" s="73"/>
      <c r="L876" s="11"/>
      <c r="M876" s="28"/>
      <c r="N876" s="112" t="s">
        <v>14</v>
      </c>
      <c r="O876" s="104" t="s">
        <v>52</v>
      </c>
      <c r="P876" s="104" t="s">
        <v>52</v>
      </c>
      <c r="Q876" s="105"/>
      <c r="R876" s="28"/>
      <c r="S876" s="174" t="str">
        <f t="shared" si="13"/>
        <v/>
      </c>
      <c r="T876" s="2" t="s">
        <v>7690</v>
      </c>
      <c r="U876" s="2" t="s">
        <v>109</v>
      </c>
      <c r="V876" s="2" t="str" cm="1">
        <f t="array" ref="V876">_xlfn.IFS(C876="","",COUNTIF(C876,"ตำแหน่งว่าง*"),"ว่าง",COUNTIF(C876,"&lt;&gt;ตำแหน่งว่าง*"),"คนครอง")</f>
        <v>ว่าง</v>
      </c>
      <c r="W876" s="170" cm="1">
        <f t="array" ref="W876">_xlfn.IFS(COUNTIF(F876,"ผบ.หมู่*"),51,COUNTIF(F876,"รอง สว.*"),43)</f>
        <v>51</v>
      </c>
      <c r="X876" s="1" t="s">
        <v>2458</v>
      </c>
      <c r="Y876" s="1" t="s">
        <v>52</v>
      </c>
    </row>
    <row r="877" spans="1:25" s="9" customFormat="1" ht="21.3" customHeight="1">
      <c r="A877" s="27" t="s">
        <v>182</v>
      </c>
      <c r="B877" s="28" t="s">
        <v>12</v>
      </c>
      <c r="C877" s="27" t="s">
        <v>2460</v>
      </c>
      <c r="D877" s="27" t="s">
        <v>8965</v>
      </c>
      <c r="E877" s="27" t="s">
        <v>8966</v>
      </c>
      <c r="F877" s="27" t="s">
        <v>2433</v>
      </c>
      <c r="G877" s="101" t="s">
        <v>2462</v>
      </c>
      <c r="H877" s="75">
        <v>44636</v>
      </c>
      <c r="I877" s="73">
        <v>44636</v>
      </c>
      <c r="J877" s="73">
        <v>44636</v>
      </c>
      <c r="K877" s="73">
        <v>34785</v>
      </c>
      <c r="L877" s="11" t="s">
        <v>1805</v>
      </c>
      <c r="M877" s="30" t="s">
        <v>127</v>
      </c>
      <c r="N877" s="112" t="s">
        <v>14</v>
      </c>
      <c r="O877" s="104" t="s">
        <v>52</v>
      </c>
      <c r="P877" s="104" t="s">
        <v>52</v>
      </c>
      <c r="Q877" s="105"/>
      <c r="R877" s="28" t="s">
        <v>611</v>
      </c>
      <c r="S877" s="225">
        <f t="shared" si="13"/>
        <v>56888</v>
      </c>
      <c r="T877" s="2" t="s">
        <v>7690</v>
      </c>
      <c r="U877" s="7" t="s">
        <v>109</v>
      </c>
      <c r="V877" s="162" t="str" cm="1">
        <f t="array" ref="V877">_xlfn.IFS(C877="","",COUNTIF(C877,"ตำแหน่งว่าง*"),"ว่าง",COUNTIF(C877,"&lt;&gt;ตำแหน่งว่าง*"),"คนครอง")</f>
        <v>คนครอง</v>
      </c>
      <c r="W877" s="49" cm="1">
        <f t="array" ref="W877">_xlfn.IFS(COUNTIF(F877,"ผบ.หมู่*"),51,COUNTIF(F877,"รอง สว.*"),43)</f>
        <v>51</v>
      </c>
      <c r="X877" s="1" t="s">
        <v>2461</v>
      </c>
      <c r="Y877" s="1" t="s">
        <v>52</v>
      </c>
    </row>
    <row r="878" spans="1:25" s="9" customFormat="1" ht="21.3" customHeight="1">
      <c r="A878" s="27" t="s">
        <v>182</v>
      </c>
      <c r="B878" s="28" t="s">
        <v>12</v>
      </c>
      <c r="C878" s="27" t="s">
        <v>2463</v>
      </c>
      <c r="D878" s="27" t="s">
        <v>8026</v>
      </c>
      <c r="E878" s="27" t="s">
        <v>8967</v>
      </c>
      <c r="F878" s="27" t="s">
        <v>2433</v>
      </c>
      <c r="G878" s="101" t="s">
        <v>2465</v>
      </c>
      <c r="H878" s="75">
        <v>44636</v>
      </c>
      <c r="I878" s="73">
        <v>44636</v>
      </c>
      <c r="J878" s="73">
        <v>44636</v>
      </c>
      <c r="K878" s="73">
        <v>35713</v>
      </c>
      <c r="L878" s="11" t="s">
        <v>1805</v>
      </c>
      <c r="M878" s="30" t="s">
        <v>77</v>
      </c>
      <c r="N878" s="112" t="s">
        <v>14</v>
      </c>
      <c r="O878" s="104" t="s">
        <v>52</v>
      </c>
      <c r="P878" s="104" t="s">
        <v>52</v>
      </c>
      <c r="Q878" s="105"/>
      <c r="R878" s="28" t="s">
        <v>611</v>
      </c>
      <c r="S878" s="225">
        <f t="shared" si="13"/>
        <v>57984</v>
      </c>
      <c r="T878" s="2" t="s">
        <v>7690</v>
      </c>
      <c r="U878" s="7" t="s">
        <v>109</v>
      </c>
      <c r="V878" s="162" t="str" cm="1">
        <f t="array" ref="V878">_xlfn.IFS(C878="","",COUNTIF(C878,"ตำแหน่งว่าง*"),"ว่าง",COUNTIF(C878,"&lt;&gt;ตำแหน่งว่าง*"),"คนครอง")</f>
        <v>คนครอง</v>
      </c>
      <c r="W878" s="49" cm="1">
        <f t="array" ref="W878">_xlfn.IFS(COUNTIF(F878,"ผบ.หมู่*"),51,COUNTIF(F878,"รอง สว.*"),43)</f>
        <v>51</v>
      </c>
      <c r="X878" s="1" t="s">
        <v>2464</v>
      </c>
      <c r="Y878" s="1" t="s">
        <v>52</v>
      </c>
    </row>
    <row r="879" spans="1:25" s="9" customFormat="1" ht="21.3" customHeight="1">
      <c r="A879" s="27"/>
      <c r="B879" s="28"/>
      <c r="C879" s="27" t="s">
        <v>18</v>
      </c>
      <c r="D879" s="27"/>
      <c r="E879" s="27"/>
      <c r="F879" s="27" t="s">
        <v>2467</v>
      </c>
      <c r="G879" s="101" t="s">
        <v>2469</v>
      </c>
      <c r="H879" s="75"/>
      <c r="I879" s="73"/>
      <c r="J879" s="73"/>
      <c r="K879" s="73"/>
      <c r="L879" s="11"/>
      <c r="M879" s="28"/>
      <c r="N879" s="112" t="s">
        <v>14</v>
      </c>
      <c r="O879" s="104" t="s">
        <v>52</v>
      </c>
      <c r="P879" s="104" t="s">
        <v>52</v>
      </c>
      <c r="Q879" s="105"/>
      <c r="R879" s="28"/>
      <c r="S879" s="174" t="str">
        <f t="shared" si="13"/>
        <v/>
      </c>
      <c r="T879" s="2" t="s">
        <v>115</v>
      </c>
      <c r="U879" s="2" t="s">
        <v>109</v>
      </c>
      <c r="V879" s="2" t="str" cm="1">
        <f t="array" ref="V879">_xlfn.IFS(C879="","",COUNTIF(C879,"ตำแหน่งว่าง*"),"ว่าง",COUNTIF(C879,"&lt;&gt;ตำแหน่งว่าง*"),"คนครอง")</f>
        <v>ว่าง</v>
      </c>
      <c r="W879" s="170" cm="1">
        <f t="array" ref="W879">_xlfn.IFS(COUNTIF(F879,"ผบ.หมู่*"),51,COUNTIF(F879,"รอง สว.*"),43)</f>
        <v>51</v>
      </c>
      <c r="X879" s="1" t="s">
        <v>2468</v>
      </c>
      <c r="Y879" s="1" t="s">
        <v>52</v>
      </c>
    </row>
    <row r="880" spans="1:25" s="9" customFormat="1" ht="21.3" customHeight="1">
      <c r="A880" s="27" t="s">
        <v>182</v>
      </c>
      <c r="B880" s="28" t="s">
        <v>12</v>
      </c>
      <c r="C880" s="27" t="s">
        <v>2470</v>
      </c>
      <c r="D880" s="27" t="s">
        <v>8970</v>
      </c>
      <c r="E880" s="27" t="s">
        <v>8971</v>
      </c>
      <c r="F880" s="27" t="s">
        <v>2467</v>
      </c>
      <c r="G880" s="101" t="s">
        <v>2472</v>
      </c>
      <c r="H880" s="75">
        <v>44636</v>
      </c>
      <c r="I880" s="73">
        <v>44636</v>
      </c>
      <c r="J880" s="73">
        <v>44636</v>
      </c>
      <c r="K880" s="73">
        <v>32971</v>
      </c>
      <c r="L880" s="11" t="s">
        <v>1805</v>
      </c>
      <c r="M880" s="30" t="s">
        <v>24</v>
      </c>
      <c r="N880" s="112" t="s">
        <v>14</v>
      </c>
      <c r="O880" s="104" t="s">
        <v>52</v>
      </c>
      <c r="P880" s="104" t="s">
        <v>52</v>
      </c>
      <c r="Q880" s="105"/>
      <c r="R880" s="28" t="s">
        <v>611</v>
      </c>
      <c r="S880" s="225">
        <f t="shared" si="13"/>
        <v>55062</v>
      </c>
      <c r="T880" s="2" t="s">
        <v>115</v>
      </c>
      <c r="U880" s="7" t="s">
        <v>109</v>
      </c>
      <c r="V880" s="162" t="str" cm="1">
        <f t="array" ref="V880">_xlfn.IFS(C880="","",COUNTIF(C880,"ตำแหน่งว่าง*"),"ว่าง",COUNTIF(C880,"&lt;&gt;ตำแหน่งว่าง*"),"คนครอง")</f>
        <v>คนครอง</v>
      </c>
      <c r="W880" s="49" cm="1">
        <f t="array" ref="W880">_xlfn.IFS(COUNTIF(F880,"ผบ.หมู่*"),51,COUNTIF(F880,"รอง สว.*"),43)</f>
        <v>51</v>
      </c>
      <c r="X880" s="1" t="s">
        <v>2471</v>
      </c>
      <c r="Y880" s="1" t="s">
        <v>52</v>
      </c>
    </row>
    <row r="881" spans="1:25" s="10" customFormat="1" ht="21.3" customHeight="1">
      <c r="A881" s="192" t="s">
        <v>169</v>
      </c>
      <c r="B881" s="193" t="s">
        <v>21</v>
      </c>
      <c r="C881" s="192" t="s">
        <v>7900</v>
      </c>
      <c r="D881" s="27" t="s">
        <v>8972</v>
      </c>
      <c r="E881" s="27" t="s">
        <v>8973</v>
      </c>
      <c r="F881" s="192" t="s">
        <v>2467</v>
      </c>
      <c r="G881" s="101" t="s">
        <v>2474</v>
      </c>
      <c r="H881" s="73">
        <v>45463</v>
      </c>
      <c r="I881" s="73">
        <v>45463</v>
      </c>
      <c r="J881" s="73">
        <v>45463</v>
      </c>
      <c r="K881" s="73">
        <v>35184</v>
      </c>
      <c r="L881" s="2" t="s">
        <v>82</v>
      </c>
      <c r="M881" s="1"/>
      <c r="N881" s="112" t="s">
        <v>14</v>
      </c>
      <c r="O881" s="104" t="s">
        <v>52</v>
      </c>
      <c r="P881" s="104" t="s">
        <v>52</v>
      </c>
      <c r="Q881" s="105"/>
      <c r="R881" s="28" t="s">
        <v>7961</v>
      </c>
      <c r="S881" s="174">
        <f t="shared" si="13"/>
        <v>57254</v>
      </c>
      <c r="T881" s="2" t="s">
        <v>115</v>
      </c>
      <c r="U881" s="2" t="s">
        <v>109</v>
      </c>
      <c r="V881" s="162" t="str" cm="1">
        <f t="array" ref="V881">_xlfn.IFS(C881="","",COUNTIF(C881,"ตำแหน่งว่าง*"),"ว่าง",COUNTIF(C881,"&lt;&gt;ตำแหน่งว่าง*"),"คนครอง")</f>
        <v>คนครอง</v>
      </c>
      <c r="W881" s="49" cm="1">
        <f t="array" ref="W881">_xlfn.IFS(COUNTIF(F881,"ผบ.หมู่*"),51,COUNTIF(F881,"รอง สว.*"),43)</f>
        <v>51</v>
      </c>
      <c r="X881" s="1" t="s">
        <v>2473</v>
      </c>
      <c r="Y881" s="1" t="s">
        <v>52</v>
      </c>
    </row>
    <row r="882" spans="1:25" s="10" customFormat="1" ht="21.3" customHeight="1">
      <c r="A882" s="27"/>
      <c r="B882" s="28"/>
      <c r="C882" s="30" t="s">
        <v>18</v>
      </c>
      <c r="D882" s="27"/>
      <c r="E882" s="27"/>
      <c r="F882" s="68" t="s">
        <v>2467</v>
      </c>
      <c r="G882" s="121" t="s">
        <v>2476</v>
      </c>
      <c r="H882" s="75" t="s">
        <v>19</v>
      </c>
      <c r="I882" s="73" t="s">
        <v>19</v>
      </c>
      <c r="J882" s="73" t="s">
        <v>19</v>
      </c>
      <c r="K882" s="73" t="s">
        <v>19</v>
      </c>
      <c r="L882" s="11"/>
      <c r="M882" s="1"/>
      <c r="N882" s="113" t="s">
        <v>14</v>
      </c>
      <c r="O882" s="122" t="s">
        <v>52</v>
      </c>
      <c r="P882" s="122" t="s">
        <v>52</v>
      </c>
      <c r="Q882" s="105"/>
      <c r="R882" s="28"/>
      <c r="S882" s="225" t="str">
        <f t="shared" si="13"/>
        <v/>
      </c>
      <c r="T882" s="7" t="s">
        <v>115</v>
      </c>
      <c r="U882" s="7" t="s">
        <v>109</v>
      </c>
      <c r="V882" s="171" t="str" cm="1">
        <f t="array" ref="V882">_xlfn.IFS(C882="","",COUNTIF(C882,"ตำแหน่งว่าง*"),"ว่าง",COUNTIF(C882,"&lt;&gt;ตำแหน่งว่าง*"),"คนครอง")</f>
        <v>ว่าง</v>
      </c>
      <c r="W882" s="49" cm="1">
        <f t="array" ref="W882">_xlfn.IFS(COUNTIF(F882,"ผบ.หมู่*"),51,COUNTIF(F882,"รอง สว.*"),43)</f>
        <v>51</v>
      </c>
      <c r="X882" s="6" t="s">
        <v>2475</v>
      </c>
      <c r="Y882" s="6" t="s">
        <v>52</v>
      </c>
    </row>
    <row r="883" spans="1:25" s="9" customFormat="1" ht="21.3" customHeight="1">
      <c r="A883" s="27"/>
      <c r="B883" s="28"/>
      <c r="C883" s="27" t="s">
        <v>18</v>
      </c>
      <c r="D883" s="27"/>
      <c r="E883" s="27"/>
      <c r="F883" s="27" t="s">
        <v>2478</v>
      </c>
      <c r="G883" s="101" t="s">
        <v>2480</v>
      </c>
      <c r="H883" s="75"/>
      <c r="I883" s="73"/>
      <c r="J883" s="73"/>
      <c r="K883" s="73"/>
      <c r="L883" s="11"/>
      <c r="M883" s="1"/>
      <c r="N883" s="112" t="s">
        <v>14</v>
      </c>
      <c r="O883" s="104" t="s">
        <v>52</v>
      </c>
      <c r="P883" s="104" t="s">
        <v>52</v>
      </c>
      <c r="Q883" s="105"/>
      <c r="R883" s="28"/>
      <c r="S883" s="174" t="str">
        <f t="shared" si="13"/>
        <v/>
      </c>
      <c r="T883" s="2" t="s">
        <v>7691</v>
      </c>
      <c r="U883" s="2" t="s">
        <v>109</v>
      </c>
      <c r="V883" s="2" t="str" cm="1">
        <f t="array" ref="V883">_xlfn.IFS(C883="","",COUNTIF(C883,"ตำแหน่งว่าง*"),"ว่าง",COUNTIF(C883,"&lt;&gt;ตำแหน่งว่าง*"),"คนครอง")</f>
        <v>ว่าง</v>
      </c>
      <c r="W883" s="170" cm="1">
        <f t="array" ref="W883">_xlfn.IFS(COUNTIF(F883,"ผบ.หมู่*"),51,COUNTIF(F883,"รอง สว.*"),43)</f>
        <v>51</v>
      </c>
      <c r="X883" s="1" t="s">
        <v>2479</v>
      </c>
      <c r="Y883" s="1" t="s">
        <v>52</v>
      </c>
    </row>
    <row r="884" spans="1:25" s="9" customFormat="1" ht="21.3" customHeight="1">
      <c r="A884" s="95" t="s">
        <v>208</v>
      </c>
      <c r="B884" s="28" t="s">
        <v>12</v>
      </c>
      <c r="C884" s="27" t="s">
        <v>2481</v>
      </c>
      <c r="D884" s="27" t="s">
        <v>8186</v>
      </c>
      <c r="E884" s="27" t="s">
        <v>8976</v>
      </c>
      <c r="F884" s="27" t="s">
        <v>2478</v>
      </c>
      <c r="G884" s="101" t="s">
        <v>2483</v>
      </c>
      <c r="H884" s="75">
        <v>43693</v>
      </c>
      <c r="I884" s="73">
        <v>43693</v>
      </c>
      <c r="J884" s="73">
        <v>43693</v>
      </c>
      <c r="K884" s="73">
        <v>34576</v>
      </c>
      <c r="L884" s="11" t="s">
        <v>82</v>
      </c>
      <c r="M884" s="1" t="s">
        <v>163</v>
      </c>
      <c r="N884" s="112" t="s">
        <v>14</v>
      </c>
      <c r="O884" s="104" t="s">
        <v>52</v>
      </c>
      <c r="P884" s="104" t="s">
        <v>52</v>
      </c>
      <c r="Q884" s="105"/>
      <c r="R884" s="28" t="s">
        <v>645</v>
      </c>
      <c r="S884" s="225">
        <f t="shared" si="13"/>
        <v>56523</v>
      </c>
      <c r="T884" s="2" t="s">
        <v>7691</v>
      </c>
      <c r="U884" s="7" t="s">
        <v>109</v>
      </c>
      <c r="V884" s="162" t="str" cm="1">
        <f t="array" ref="V884">_xlfn.IFS(C884="","",COUNTIF(C884,"ตำแหน่งว่าง*"),"ว่าง",COUNTIF(C884,"&lt;&gt;ตำแหน่งว่าง*"),"คนครอง")</f>
        <v>คนครอง</v>
      </c>
      <c r="W884" s="49" cm="1">
        <f t="array" ref="W884">_xlfn.IFS(COUNTIF(F884,"ผบ.หมู่*"),51,COUNTIF(F884,"รอง สว.*"),43)</f>
        <v>51</v>
      </c>
      <c r="X884" s="1" t="s">
        <v>2482</v>
      </c>
      <c r="Y884" s="1" t="s">
        <v>52</v>
      </c>
    </row>
    <row r="885" spans="1:25" s="9" customFormat="1" ht="21.3" customHeight="1">
      <c r="A885" s="95" t="s">
        <v>208</v>
      </c>
      <c r="B885" s="28" t="s">
        <v>21</v>
      </c>
      <c r="C885" s="27" t="s">
        <v>2484</v>
      </c>
      <c r="D885" s="27" t="s">
        <v>8977</v>
      </c>
      <c r="E885" s="27" t="s">
        <v>8978</v>
      </c>
      <c r="F885" s="27" t="s">
        <v>2478</v>
      </c>
      <c r="G885" s="101" t="s">
        <v>2486</v>
      </c>
      <c r="H885" s="75">
        <v>43693</v>
      </c>
      <c r="I885" s="73">
        <v>43693</v>
      </c>
      <c r="J885" s="73">
        <v>43693</v>
      </c>
      <c r="K885" s="73">
        <v>35527</v>
      </c>
      <c r="L885" s="11" t="s">
        <v>82</v>
      </c>
      <c r="M885" s="1" t="s">
        <v>35</v>
      </c>
      <c r="N885" s="112" t="s">
        <v>14</v>
      </c>
      <c r="O885" s="104" t="s">
        <v>52</v>
      </c>
      <c r="P885" s="104" t="s">
        <v>52</v>
      </c>
      <c r="Q885" s="105"/>
      <c r="R885" s="28" t="s">
        <v>645</v>
      </c>
      <c r="S885" s="225">
        <f t="shared" si="13"/>
        <v>57619</v>
      </c>
      <c r="T885" s="2" t="s">
        <v>7691</v>
      </c>
      <c r="U885" s="7" t="s">
        <v>109</v>
      </c>
      <c r="V885" s="162" t="str" cm="1">
        <f t="array" ref="V885">_xlfn.IFS(C885="","",COUNTIF(C885,"ตำแหน่งว่าง*"),"ว่าง",COUNTIF(C885,"&lt;&gt;ตำแหน่งว่าง*"),"คนครอง")</f>
        <v>คนครอง</v>
      </c>
      <c r="W885" s="49" cm="1">
        <f t="array" ref="W885">_xlfn.IFS(COUNTIF(F885,"ผบ.หมู่*"),51,COUNTIF(F885,"รอง สว.*"),43)</f>
        <v>51</v>
      </c>
      <c r="X885" s="1" t="s">
        <v>2485</v>
      </c>
      <c r="Y885" s="1" t="s">
        <v>52</v>
      </c>
    </row>
    <row r="886" spans="1:25" s="9" customFormat="1" ht="21.3" customHeight="1">
      <c r="A886" s="27" t="s">
        <v>182</v>
      </c>
      <c r="B886" s="28" t="s">
        <v>12</v>
      </c>
      <c r="C886" s="27" t="s">
        <v>2487</v>
      </c>
      <c r="D886" s="27" t="s">
        <v>8979</v>
      </c>
      <c r="E886" s="27" t="s">
        <v>8980</v>
      </c>
      <c r="F886" s="27" t="s">
        <v>2478</v>
      </c>
      <c r="G886" s="101" t="s">
        <v>2489</v>
      </c>
      <c r="H886" s="75">
        <v>44043</v>
      </c>
      <c r="I886" s="73">
        <v>44043</v>
      </c>
      <c r="J886" s="73">
        <v>44043</v>
      </c>
      <c r="K886" s="73">
        <v>34583</v>
      </c>
      <c r="L886" s="11" t="s">
        <v>1667</v>
      </c>
      <c r="M886" s="1" t="s">
        <v>35</v>
      </c>
      <c r="N886" s="112" t="s">
        <v>14</v>
      </c>
      <c r="O886" s="104" t="s">
        <v>52</v>
      </c>
      <c r="P886" s="104" t="s">
        <v>52</v>
      </c>
      <c r="Q886" s="105"/>
      <c r="R886" s="28" t="s">
        <v>2436</v>
      </c>
      <c r="S886" s="225">
        <f t="shared" si="13"/>
        <v>56523</v>
      </c>
      <c r="T886" s="2" t="s">
        <v>7691</v>
      </c>
      <c r="U886" s="7" t="s">
        <v>109</v>
      </c>
      <c r="V886" s="162" t="str" cm="1">
        <f t="array" ref="V886">_xlfn.IFS(C886="","",COUNTIF(C886,"ตำแหน่งว่าง*"),"ว่าง",COUNTIF(C886,"&lt;&gt;ตำแหน่งว่าง*"),"คนครอง")</f>
        <v>คนครอง</v>
      </c>
      <c r="W886" s="49" cm="1">
        <f t="array" ref="W886">_xlfn.IFS(COUNTIF(F886,"ผบ.หมู่*"),51,COUNTIF(F886,"รอง สว.*"),43)</f>
        <v>51</v>
      </c>
      <c r="X886" s="1" t="s">
        <v>2488</v>
      </c>
      <c r="Y886" s="1" t="s">
        <v>52</v>
      </c>
    </row>
    <row r="887" spans="1:25" s="10" customFormat="1" ht="21.3" customHeight="1">
      <c r="A887" s="192" t="s">
        <v>169</v>
      </c>
      <c r="B887" s="193" t="s">
        <v>21</v>
      </c>
      <c r="C887" s="192" t="s">
        <v>7901</v>
      </c>
      <c r="D887" s="27" t="s">
        <v>8331</v>
      </c>
      <c r="E887" s="27" t="s">
        <v>8981</v>
      </c>
      <c r="F887" s="192" t="s">
        <v>2478</v>
      </c>
      <c r="G887" s="101" t="s">
        <v>2491</v>
      </c>
      <c r="H887" s="73">
        <v>45463</v>
      </c>
      <c r="I887" s="73">
        <v>45463</v>
      </c>
      <c r="J887" s="73">
        <v>45463</v>
      </c>
      <c r="K887" s="73">
        <v>35803</v>
      </c>
      <c r="L887" s="2" t="s">
        <v>82</v>
      </c>
      <c r="M887" s="1"/>
      <c r="N887" s="112" t="s">
        <v>14</v>
      </c>
      <c r="O887" s="104" t="s">
        <v>52</v>
      </c>
      <c r="P887" s="104" t="s">
        <v>52</v>
      </c>
      <c r="Q887" s="105"/>
      <c r="R887" s="28" t="s">
        <v>7961</v>
      </c>
      <c r="S887" s="174">
        <f t="shared" si="13"/>
        <v>57984</v>
      </c>
      <c r="T887" s="2" t="s">
        <v>7691</v>
      </c>
      <c r="U887" s="2" t="s">
        <v>109</v>
      </c>
      <c r="V887" s="162" t="str" cm="1">
        <f t="array" ref="V887">_xlfn.IFS(C887="","",COUNTIF(C887,"ตำแหน่งว่าง*"),"ว่าง",COUNTIF(C887,"&lt;&gt;ตำแหน่งว่าง*"),"คนครอง")</f>
        <v>คนครอง</v>
      </c>
      <c r="W887" s="49" cm="1">
        <f t="array" ref="W887">_xlfn.IFS(COUNTIF(F887,"ผบ.หมู่*"),51,COUNTIF(F887,"รอง สว.*"),43)</f>
        <v>51</v>
      </c>
      <c r="X887" s="1" t="s">
        <v>2490</v>
      </c>
      <c r="Y887" s="1" t="s">
        <v>52</v>
      </c>
    </row>
    <row r="888" spans="1:25" s="10" customFormat="1" ht="21.3" customHeight="1">
      <c r="A888" s="27"/>
      <c r="B888" s="30"/>
      <c r="C888" s="30" t="s">
        <v>18</v>
      </c>
      <c r="D888" s="27"/>
      <c r="E888" s="27"/>
      <c r="F888" s="68" t="s">
        <v>2478</v>
      </c>
      <c r="G888" s="121" t="s">
        <v>2493</v>
      </c>
      <c r="H888" s="75" t="s">
        <v>19</v>
      </c>
      <c r="I888" s="73" t="s">
        <v>19</v>
      </c>
      <c r="J888" s="73" t="s">
        <v>19</v>
      </c>
      <c r="K888" s="73" t="s">
        <v>19</v>
      </c>
      <c r="L888" s="11"/>
      <c r="M888" s="1"/>
      <c r="N888" s="113" t="s">
        <v>14</v>
      </c>
      <c r="O888" s="122" t="s">
        <v>52</v>
      </c>
      <c r="P888" s="122" t="s">
        <v>52</v>
      </c>
      <c r="Q888" s="106"/>
      <c r="R888" s="30"/>
      <c r="S888" s="225" t="str">
        <f t="shared" si="13"/>
        <v/>
      </c>
      <c r="T888" s="7" t="s">
        <v>7691</v>
      </c>
      <c r="U888" s="7" t="s">
        <v>109</v>
      </c>
      <c r="V888" s="171" t="str" cm="1">
        <f t="array" ref="V888">_xlfn.IFS(C888="","",COUNTIF(C888,"ตำแหน่งว่าง*"),"ว่าง",COUNTIF(C888,"&lt;&gt;ตำแหน่งว่าง*"),"คนครอง")</f>
        <v>ว่าง</v>
      </c>
      <c r="W888" s="49" cm="1">
        <f t="array" ref="W888">_xlfn.IFS(COUNTIF(F888,"ผบ.หมู่*"),51,COUNTIF(F888,"รอง สว.*"),43)</f>
        <v>51</v>
      </c>
      <c r="X888" s="6" t="s">
        <v>2492</v>
      </c>
      <c r="Y888" s="6" t="s">
        <v>52</v>
      </c>
    </row>
    <row r="889" spans="1:25" s="10" customFormat="1" ht="21.3" customHeight="1">
      <c r="A889" s="27"/>
      <c r="B889" s="28"/>
      <c r="C889" s="30" t="s">
        <v>18</v>
      </c>
      <c r="D889" s="27"/>
      <c r="E889" s="27"/>
      <c r="F889" s="68" t="s">
        <v>2478</v>
      </c>
      <c r="G889" s="121" t="s">
        <v>2495</v>
      </c>
      <c r="H889" s="75" t="s">
        <v>19</v>
      </c>
      <c r="I889" s="73" t="s">
        <v>19</v>
      </c>
      <c r="J889" s="73" t="s">
        <v>19</v>
      </c>
      <c r="K889" s="73" t="s">
        <v>19</v>
      </c>
      <c r="L889" s="11"/>
      <c r="M889" s="1"/>
      <c r="N889" s="113" t="s">
        <v>14</v>
      </c>
      <c r="O889" s="122" t="s">
        <v>52</v>
      </c>
      <c r="P889" s="122" t="s">
        <v>52</v>
      </c>
      <c r="Q889" s="105"/>
      <c r="R889" s="28"/>
      <c r="S889" s="225" t="str">
        <f t="shared" si="13"/>
        <v/>
      </c>
      <c r="T889" s="7" t="s">
        <v>7691</v>
      </c>
      <c r="U889" s="7" t="s">
        <v>109</v>
      </c>
      <c r="V889" s="171" t="str" cm="1">
        <f t="array" ref="V889">_xlfn.IFS(C889="","",COUNTIF(C889,"ตำแหน่งว่าง*"),"ว่าง",COUNTIF(C889,"&lt;&gt;ตำแหน่งว่าง*"),"คนครอง")</f>
        <v>ว่าง</v>
      </c>
      <c r="W889" s="49" cm="1">
        <f t="array" ref="W889">_xlfn.IFS(COUNTIF(F889,"ผบ.หมู่*"),51,COUNTIF(F889,"รอง สว.*"),43)</f>
        <v>51</v>
      </c>
      <c r="X889" s="6" t="s">
        <v>2494</v>
      </c>
      <c r="Y889" s="6" t="s">
        <v>52</v>
      </c>
    </row>
    <row r="890" spans="1:25" s="9" customFormat="1" ht="21.3" customHeight="1">
      <c r="A890" s="95" t="s">
        <v>208</v>
      </c>
      <c r="B890" s="28" t="s">
        <v>21</v>
      </c>
      <c r="C890" s="27" t="s">
        <v>2496</v>
      </c>
      <c r="D890" s="27" t="s">
        <v>8982</v>
      </c>
      <c r="E890" s="27" t="s">
        <v>8983</v>
      </c>
      <c r="F890" s="27" t="s">
        <v>2497</v>
      </c>
      <c r="G890" s="101" t="s">
        <v>2499</v>
      </c>
      <c r="H890" s="75">
        <v>43693</v>
      </c>
      <c r="I890" s="73">
        <v>43693</v>
      </c>
      <c r="J890" s="73">
        <v>43693</v>
      </c>
      <c r="K890" s="73">
        <v>35299</v>
      </c>
      <c r="L890" s="11" t="s">
        <v>82</v>
      </c>
      <c r="M890" s="1" t="s">
        <v>35</v>
      </c>
      <c r="N890" s="112" t="s">
        <v>14</v>
      </c>
      <c r="O890" s="104" t="s">
        <v>52</v>
      </c>
      <c r="P890" s="104" t="s">
        <v>52</v>
      </c>
      <c r="Q890" s="105"/>
      <c r="R890" s="28" t="s">
        <v>645</v>
      </c>
      <c r="S890" s="225">
        <f t="shared" si="13"/>
        <v>57254</v>
      </c>
      <c r="T890" s="2" t="s">
        <v>7692</v>
      </c>
      <c r="U890" s="7" t="s">
        <v>109</v>
      </c>
      <c r="V890" s="162" t="str" cm="1">
        <f t="array" ref="V890">_xlfn.IFS(C890="","",COUNTIF(C890,"ตำแหน่งว่าง*"),"ว่าง",COUNTIF(C890,"&lt;&gt;ตำแหน่งว่าง*"),"คนครอง")</f>
        <v>คนครอง</v>
      </c>
      <c r="W890" s="49" cm="1">
        <f t="array" ref="W890">_xlfn.IFS(COUNTIF(F890,"ผบ.หมู่*"),51,COUNTIF(F890,"รอง สว.*"),43)</f>
        <v>51</v>
      </c>
      <c r="X890" s="1" t="s">
        <v>2498</v>
      </c>
      <c r="Y890" s="1" t="s">
        <v>52</v>
      </c>
    </row>
    <row r="891" spans="1:25" s="10" customFormat="1" ht="21.3" customHeight="1">
      <c r="A891" s="192" t="s">
        <v>169</v>
      </c>
      <c r="B891" s="193" t="s">
        <v>21</v>
      </c>
      <c r="C891" s="192" t="s">
        <v>7902</v>
      </c>
      <c r="D891" s="27" t="s">
        <v>8277</v>
      </c>
      <c r="E891" s="27" t="s">
        <v>8984</v>
      </c>
      <c r="F891" s="192" t="s">
        <v>2497</v>
      </c>
      <c r="G891" s="101" t="s">
        <v>2501</v>
      </c>
      <c r="H891" s="73">
        <v>45463</v>
      </c>
      <c r="I891" s="73">
        <v>45463</v>
      </c>
      <c r="J891" s="73">
        <v>45463</v>
      </c>
      <c r="K891" s="73">
        <v>35274</v>
      </c>
      <c r="L891" s="2" t="s">
        <v>82</v>
      </c>
      <c r="M891" s="1"/>
      <c r="N891" s="112" t="s">
        <v>14</v>
      </c>
      <c r="O891" s="104" t="s">
        <v>52</v>
      </c>
      <c r="P891" s="104" t="s">
        <v>52</v>
      </c>
      <c r="Q891" s="105"/>
      <c r="R891" s="28" t="s">
        <v>7961</v>
      </c>
      <c r="S891" s="174">
        <f t="shared" si="13"/>
        <v>57254</v>
      </c>
      <c r="T891" s="2" t="s">
        <v>7692</v>
      </c>
      <c r="U891" s="2" t="s">
        <v>109</v>
      </c>
      <c r="V891" s="162" t="str" cm="1">
        <f t="array" ref="V891">_xlfn.IFS(C891="","",COUNTIF(C891,"ตำแหน่งว่าง*"),"ว่าง",COUNTIF(C891,"&lt;&gt;ตำแหน่งว่าง*"),"คนครอง")</f>
        <v>คนครอง</v>
      </c>
      <c r="W891" s="49" cm="1">
        <f t="array" ref="W891">_xlfn.IFS(COUNTIF(F891,"ผบ.หมู่*"),51,COUNTIF(F891,"รอง สว.*"),43)</f>
        <v>51</v>
      </c>
      <c r="X891" s="1" t="s">
        <v>2500</v>
      </c>
      <c r="Y891" s="1" t="s">
        <v>52</v>
      </c>
    </row>
    <row r="892" spans="1:25" s="9" customFormat="1" ht="21.3" customHeight="1">
      <c r="A892" s="27" t="s">
        <v>182</v>
      </c>
      <c r="B892" s="28" t="s">
        <v>12</v>
      </c>
      <c r="C892" s="27" t="s">
        <v>2502</v>
      </c>
      <c r="D892" s="27" t="s">
        <v>8985</v>
      </c>
      <c r="E892" s="27" t="s">
        <v>8986</v>
      </c>
      <c r="F892" s="27" t="s">
        <v>2497</v>
      </c>
      <c r="G892" s="101" t="s">
        <v>2504</v>
      </c>
      <c r="H892" s="75">
        <v>44043</v>
      </c>
      <c r="I892" s="73">
        <v>44043</v>
      </c>
      <c r="J892" s="73">
        <v>44043</v>
      </c>
      <c r="K892" s="73">
        <v>33054</v>
      </c>
      <c r="L892" s="11" t="s">
        <v>82</v>
      </c>
      <c r="M892" s="1" t="s">
        <v>35</v>
      </c>
      <c r="N892" s="112" t="s">
        <v>14</v>
      </c>
      <c r="O892" s="104" t="s">
        <v>52</v>
      </c>
      <c r="P892" s="104" t="s">
        <v>52</v>
      </c>
      <c r="Q892" s="105"/>
      <c r="R892" s="28" t="s">
        <v>2505</v>
      </c>
      <c r="S892" s="225">
        <f t="shared" si="13"/>
        <v>55062</v>
      </c>
      <c r="T892" s="2" t="s">
        <v>7692</v>
      </c>
      <c r="U892" s="7" t="s">
        <v>109</v>
      </c>
      <c r="V892" s="162" t="str" cm="1">
        <f t="array" ref="V892">_xlfn.IFS(C892="","",COUNTIF(C892,"ตำแหน่งว่าง*"),"ว่าง",COUNTIF(C892,"&lt;&gt;ตำแหน่งว่าง*"),"คนครอง")</f>
        <v>คนครอง</v>
      </c>
      <c r="W892" s="49" cm="1">
        <f t="array" ref="W892">_xlfn.IFS(COUNTIF(F892,"ผบ.หมู่*"),51,COUNTIF(F892,"รอง สว.*"),43)</f>
        <v>51</v>
      </c>
      <c r="X892" s="1" t="s">
        <v>2503</v>
      </c>
      <c r="Y892" s="1" t="s">
        <v>52</v>
      </c>
    </row>
    <row r="893" spans="1:25" s="10" customFormat="1" ht="21.3" customHeight="1">
      <c r="A893" s="27"/>
      <c r="B893" s="28"/>
      <c r="C893" s="30" t="s">
        <v>18</v>
      </c>
      <c r="D893" s="27"/>
      <c r="E893" s="27"/>
      <c r="F893" s="68" t="s">
        <v>2497</v>
      </c>
      <c r="G893" s="121" t="s">
        <v>2507</v>
      </c>
      <c r="H893" s="75" t="s">
        <v>19</v>
      </c>
      <c r="I893" s="73" t="s">
        <v>19</v>
      </c>
      <c r="J893" s="73" t="s">
        <v>19</v>
      </c>
      <c r="K893" s="73" t="s">
        <v>19</v>
      </c>
      <c r="L893" s="11"/>
      <c r="M893" s="1"/>
      <c r="N893" s="113" t="s">
        <v>14</v>
      </c>
      <c r="O893" s="122" t="s">
        <v>52</v>
      </c>
      <c r="P893" s="122" t="s">
        <v>52</v>
      </c>
      <c r="Q893" s="105"/>
      <c r="R893" s="28"/>
      <c r="S893" s="225" t="str">
        <f t="shared" si="13"/>
        <v/>
      </c>
      <c r="T893" s="7" t="s">
        <v>7692</v>
      </c>
      <c r="U893" s="7" t="s">
        <v>109</v>
      </c>
      <c r="V893" s="171" t="str" cm="1">
        <f t="array" ref="V893">_xlfn.IFS(C893="","",COUNTIF(C893,"ตำแหน่งว่าง*"),"ว่าง",COUNTIF(C893,"&lt;&gt;ตำแหน่งว่าง*"),"คนครอง")</f>
        <v>ว่าง</v>
      </c>
      <c r="W893" s="49" cm="1">
        <f t="array" ref="W893">_xlfn.IFS(COUNTIF(F893,"ผบ.หมู่*"),51,COUNTIF(F893,"รอง สว.*"),43)</f>
        <v>51</v>
      </c>
      <c r="X893" s="6" t="s">
        <v>2506</v>
      </c>
      <c r="Y893" s="6" t="s">
        <v>52</v>
      </c>
    </row>
    <row r="894" spans="1:25" s="9" customFormat="1" ht="21.3" customHeight="1">
      <c r="A894" s="27" t="s">
        <v>182</v>
      </c>
      <c r="B894" s="28" t="s">
        <v>12</v>
      </c>
      <c r="C894" s="27" t="s">
        <v>2508</v>
      </c>
      <c r="D894" s="27" t="s">
        <v>8987</v>
      </c>
      <c r="E894" s="27" t="s">
        <v>8988</v>
      </c>
      <c r="F894" s="27" t="s">
        <v>2509</v>
      </c>
      <c r="G894" s="101" t="s">
        <v>2511</v>
      </c>
      <c r="H894" s="75">
        <v>44636</v>
      </c>
      <c r="I894" s="73">
        <v>44636</v>
      </c>
      <c r="J894" s="73">
        <v>44636</v>
      </c>
      <c r="K894" s="73">
        <v>35623</v>
      </c>
      <c r="L894" s="11" t="s">
        <v>1805</v>
      </c>
      <c r="M894" s="1" t="s">
        <v>35</v>
      </c>
      <c r="N894" s="112" t="s">
        <v>14</v>
      </c>
      <c r="O894" s="104" t="s">
        <v>52</v>
      </c>
      <c r="P894" s="104" t="s">
        <v>52</v>
      </c>
      <c r="Q894" s="105"/>
      <c r="R894" s="28" t="s">
        <v>611</v>
      </c>
      <c r="S894" s="225">
        <f t="shared" si="13"/>
        <v>57619</v>
      </c>
      <c r="T894" s="2" t="s">
        <v>7693</v>
      </c>
      <c r="U894" s="7" t="s">
        <v>109</v>
      </c>
      <c r="V894" s="162" t="str" cm="1">
        <f t="array" ref="V894">_xlfn.IFS(C894="","",COUNTIF(C894,"ตำแหน่งว่าง*"),"ว่าง",COUNTIF(C894,"&lt;&gt;ตำแหน่งว่าง*"),"คนครอง")</f>
        <v>คนครอง</v>
      </c>
      <c r="W894" s="49" cm="1">
        <f t="array" ref="W894">_xlfn.IFS(COUNTIF(F894,"ผบ.หมู่*"),51,COUNTIF(F894,"รอง สว.*"),43)</f>
        <v>51</v>
      </c>
      <c r="X894" s="1" t="s">
        <v>2510</v>
      </c>
      <c r="Y894" s="1" t="s">
        <v>52</v>
      </c>
    </row>
    <row r="895" spans="1:25" s="9" customFormat="1" ht="21.3" customHeight="1">
      <c r="A895" s="192" t="s">
        <v>169</v>
      </c>
      <c r="B895" s="193" t="s">
        <v>21</v>
      </c>
      <c r="C895" s="192" t="s">
        <v>7903</v>
      </c>
      <c r="D895" s="27" t="s">
        <v>8350</v>
      </c>
      <c r="E895" s="27" t="s">
        <v>8989</v>
      </c>
      <c r="F895" s="192" t="s">
        <v>2509</v>
      </c>
      <c r="G895" s="101" t="s">
        <v>2513</v>
      </c>
      <c r="H895" s="73">
        <v>45463</v>
      </c>
      <c r="I895" s="73">
        <v>45463</v>
      </c>
      <c r="J895" s="73">
        <v>45463</v>
      </c>
      <c r="K895" s="73">
        <v>32972</v>
      </c>
      <c r="L895" s="2" t="s">
        <v>82</v>
      </c>
      <c r="M895" s="1"/>
      <c r="N895" s="112" t="s">
        <v>14</v>
      </c>
      <c r="O895" s="104" t="s">
        <v>52</v>
      </c>
      <c r="P895" s="104" t="s">
        <v>52</v>
      </c>
      <c r="Q895" s="105"/>
      <c r="R895" s="28" t="s">
        <v>7961</v>
      </c>
      <c r="S895" s="174">
        <f t="shared" si="13"/>
        <v>55062</v>
      </c>
      <c r="T895" s="2" t="s">
        <v>7693</v>
      </c>
      <c r="U895" s="2" t="s">
        <v>109</v>
      </c>
      <c r="V895" s="162" t="str" cm="1">
        <f t="array" ref="V895">_xlfn.IFS(C895="","",COUNTIF(C895,"ตำแหน่งว่าง*"),"ว่าง",COUNTIF(C895,"&lt;&gt;ตำแหน่งว่าง*"),"คนครอง")</f>
        <v>คนครอง</v>
      </c>
      <c r="W895" s="49" cm="1">
        <f t="array" ref="W895">_xlfn.IFS(COUNTIF(F895,"ผบ.หมู่*"),51,COUNTIF(F895,"รอง สว.*"),43)</f>
        <v>51</v>
      </c>
      <c r="X895" s="1" t="s">
        <v>2512</v>
      </c>
      <c r="Y895" s="1" t="s">
        <v>52</v>
      </c>
    </row>
    <row r="896" spans="1:25" s="10" customFormat="1" ht="21.3" customHeight="1">
      <c r="A896" s="65" t="s">
        <v>169</v>
      </c>
      <c r="B896" s="66" t="s">
        <v>21</v>
      </c>
      <c r="C896" s="65" t="s">
        <v>2514</v>
      </c>
      <c r="D896" s="27" t="s">
        <v>8990</v>
      </c>
      <c r="E896" s="27" t="s">
        <v>8991</v>
      </c>
      <c r="F896" s="65" t="s">
        <v>2509</v>
      </c>
      <c r="G896" s="101" t="s">
        <v>2516</v>
      </c>
      <c r="H896" s="81">
        <v>44986</v>
      </c>
      <c r="I896" s="77">
        <v>44986</v>
      </c>
      <c r="J896" s="77">
        <v>44986</v>
      </c>
      <c r="K896" s="77">
        <v>37848</v>
      </c>
      <c r="L896" s="63" t="s">
        <v>82</v>
      </c>
      <c r="M896" s="61"/>
      <c r="N896" s="114" t="s">
        <v>14</v>
      </c>
      <c r="O896" s="104" t="s">
        <v>52</v>
      </c>
      <c r="P896" s="104" t="s">
        <v>52</v>
      </c>
      <c r="Q896" s="107"/>
      <c r="R896" s="66" t="s">
        <v>861</v>
      </c>
      <c r="S896" s="225">
        <f t="shared" si="13"/>
        <v>59810</v>
      </c>
      <c r="T896" s="7" t="s">
        <v>7693</v>
      </c>
      <c r="U896" s="7" t="s">
        <v>109</v>
      </c>
      <c r="V896" s="162" t="str" cm="1">
        <f t="array" ref="V896">_xlfn.IFS(C896="","",COUNTIF(C896,"ตำแหน่งว่าง*"),"ว่าง",COUNTIF(C896,"&lt;&gt;ตำแหน่งว่าง*"),"คนครอง")</f>
        <v>คนครอง</v>
      </c>
      <c r="W896" s="49" cm="1">
        <f t="array" ref="W896">_xlfn.IFS(COUNTIF(F896,"ผบ.หมู่*"),51,COUNTIF(F896,"รอง สว.*"),43)</f>
        <v>51</v>
      </c>
      <c r="X896" s="61" t="s">
        <v>2515</v>
      </c>
      <c r="Y896" s="61" t="s">
        <v>52</v>
      </c>
    </row>
    <row r="897" spans="1:25" s="10" customFormat="1" ht="21.3" customHeight="1">
      <c r="A897" s="27" t="s">
        <v>208</v>
      </c>
      <c r="B897" s="28" t="s">
        <v>21</v>
      </c>
      <c r="C897" s="27" t="s">
        <v>10815</v>
      </c>
      <c r="D897" s="27" t="s">
        <v>10797</v>
      </c>
      <c r="E897" s="27" t="s">
        <v>10816</v>
      </c>
      <c r="F897" s="27" t="s">
        <v>2509</v>
      </c>
      <c r="G897" s="101" t="s">
        <v>2518</v>
      </c>
      <c r="H897" s="75">
        <v>45768</v>
      </c>
      <c r="I897" s="73" t="s">
        <v>7609</v>
      </c>
      <c r="J897" s="73" t="s">
        <v>7609</v>
      </c>
      <c r="K897" s="73">
        <v>33962</v>
      </c>
      <c r="L897" s="11" t="s">
        <v>7733</v>
      </c>
      <c r="M897" s="1" t="s">
        <v>7609</v>
      </c>
      <c r="N897" s="112" t="s">
        <v>14</v>
      </c>
      <c r="O897" s="104" t="s">
        <v>52</v>
      </c>
      <c r="P897" s="104" t="s">
        <v>52</v>
      </c>
      <c r="Q897" s="105"/>
      <c r="R897" s="28" t="s">
        <v>10804</v>
      </c>
      <c r="S897" s="174">
        <f t="shared" si="13"/>
        <v>56158</v>
      </c>
      <c r="T897" s="2" t="s">
        <v>7693</v>
      </c>
      <c r="U897" s="2" t="s">
        <v>109</v>
      </c>
      <c r="V897" s="203" t="str" cm="1">
        <f t="array" ref="V897">_xlfn.IFS(C897="","",COUNTIF(C897,"ตำแหน่งว่าง*"),"ว่าง",COUNTIF(C897,"&lt;&gt;ตำแหน่งว่าง*"),"คนครอง")</f>
        <v>คนครอง</v>
      </c>
      <c r="W897" s="170" cm="1">
        <f t="array" ref="W897">_xlfn.IFS(COUNTIF(F897,"ผบ.หมู่*"),51,COUNTIF(F897,"รอง สว.*"),43)</f>
        <v>51</v>
      </c>
      <c r="X897" s="1" t="s">
        <v>2517</v>
      </c>
      <c r="Y897" s="1" t="s">
        <v>52</v>
      </c>
    </row>
    <row r="898" spans="1:25" s="10" customFormat="1" ht="21.3" customHeight="1">
      <c r="A898" s="27" t="s">
        <v>10753</v>
      </c>
      <c r="B898" s="28" t="s">
        <v>21</v>
      </c>
      <c r="C898" s="27" t="s">
        <v>479</v>
      </c>
      <c r="D898" s="27" t="s">
        <v>8992</v>
      </c>
      <c r="E898" s="27" t="s">
        <v>8993</v>
      </c>
      <c r="F898" s="27" t="s">
        <v>7711</v>
      </c>
      <c r="G898" s="101" t="s">
        <v>2521</v>
      </c>
      <c r="H898" s="75">
        <v>45322</v>
      </c>
      <c r="I898" s="73">
        <v>45016</v>
      </c>
      <c r="J898" s="73">
        <v>35095</v>
      </c>
      <c r="K898" s="73">
        <v>25848</v>
      </c>
      <c r="L898" s="11" t="s">
        <v>482</v>
      </c>
      <c r="M898" s="1" t="s">
        <v>36</v>
      </c>
      <c r="N898" s="112" t="s">
        <v>14</v>
      </c>
      <c r="O898" s="104" t="s">
        <v>52</v>
      </c>
      <c r="P898" s="104" t="s">
        <v>52</v>
      </c>
      <c r="Q898" s="105"/>
      <c r="R898" s="28" t="s">
        <v>7708</v>
      </c>
      <c r="S898" s="225">
        <f t="shared" ref="S898:S961" si="14">IF(K898&lt;&gt;"",DATE(YEAR(K898)+60+(K898&gt;=DATE(YEAR(K898),10,2)),10,1),"")</f>
        <v>48122</v>
      </c>
      <c r="T898" s="7" t="s">
        <v>7694</v>
      </c>
      <c r="U898" s="7" t="s">
        <v>109</v>
      </c>
      <c r="V898" s="162" t="str" cm="1">
        <f t="array" ref="V898">_xlfn.IFS(C898="","",COUNTIF(C898,"ตำแหน่งว่าง*"),"ว่าง",COUNTIF(C898,"&lt;&gt;ตำแหน่งว่าง*"),"คนครอง")</f>
        <v>คนครอง</v>
      </c>
      <c r="W898" s="49" cm="1">
        <f t="array" ref="W898">_xlfn.IFS(COUNTIF(F898,"ผบ.หมู่*"),51,COUNTIF(F898,"รอง สว.*"),43)</f>
        <v>43</v>
      </c>
      <c r="X898" s="1" t="s">
        <v>2520</v>
      </c>
      <c r="Y898" s="1" t="s">
        <v>52</v>
      </c>
    </row>
    <row r="899" spans="1:25" s="9" customFormat="1" ht="21.3" customHeight="1">
      <c r="A899" s="192" t="s">
        <v>169</v>
      </c>
      <c r="B899" s="193" t="s">
        <v>21</v>
      </c>
      <c r="C899" s="192" t="s">
        <v>7904</v>
      </c>
      <c r="D899" s="27" t="s">
        <v>8994</v>
      </c>
      <c r="E899" s="27" t="s">
        <v>8995</v>
      </c>
      <c r="F899" s="192" t="s">
        <v>2519</v>
      </c>
      <c r="G899" s="101" t="s">
        <v>2523</v>
      </c>
      <c r="H899" s="73">
        <v>45463</v>
      </c>
      <c r="I899" s="73">
        <v>45463</v>
      </c>
      <c r="J899" s="73">
        <v>45463</v>
      </c>
      <c r="K899" s="73">
        <v>35942</v>
      </c>
      <c r="L899" s="2" t="s">
        <v>82</v>
      </c>
      <c r="M899" s="1"/>
      <c r="N899" s="112" t="s">
        <v>14</v>
      </c>
      <c r="O899" s="104" t="s">
        <v>52</v>
      </c>
      <c r="P899" s="104" t="s">
        <v>52</v>
      </c>
      <c r="Q899" s="105"/>
      <c r="R899" s="28" t="s">
        <v>7961</v>
      </c>
      <c r="S899" s="174">
        <f t="shared" si="14"/>
        <v>57984</v>
      </c>
      <c r="T899" s="2" t="s">
        <v>7694</v>
      </c>
      <c r="U899" s="2" t="s">
        <v>109</v>
      </c>
      <c r="V899" s="162" t="str" cm="1">
        <f t="array" ref="V899">_xlfn.IFS(C899="","",COUNTIF(C899,"ตำแหน่งว่าง*"),"ว่าง",COUNTIF(C899,"&lt;&gt;ตำแหน่งว่าง*"),"คนครอง")</f>
        <v>คนครอง</v>
      </c>
      <c r="W899" s="49" cm="1">
        <f t="array" ref="W899">_xlfn.IFS(COUNTIF(F899,"ผบ.หมู่*"),51,COUNTIF(F899,"รอง สว.*"),43)</f>
        <v>51</v>
      </c>
      <c r="X899" s="1" t="s">
        <v>2522</v>
      </c>
      <c r="Y899" s="1" t="s">
        <v>52</v>
      </c>
    </row>
    <row r="900" spans="1:25" s="9" customFormat="1" ht="21.3" customHeight="1">
      <c r="A900" s="27"/>
      <c r="B900" s="28"/>
      <c r="C900" s="27" t="s">
        <v>18</v>
      </c>
      <c r="D900" s="27"/>
      <c r="E900" s="27"/>
      <c r="F900" s="27" t="s">
        <v>2519</v>
      </c>
      <c r="G900" s="101" t="s">
        <v>2526</v>
      </c>
      <c r="H900" s="75"/>
      <c r="I900" s="73"/>
      <c r="J900" s="73"/>
      <c r="K900" s="73"/>
      <c r="L900" s="11"/>
      <c r="M900" s="1"/>
      <c r="N900" s="112" t="s">
        <v>14</v>
      </c>
      <c r="O900" s="104" t="s">
        <v>52</v>
      </c>
      <c r="P900" s="104" t="s">
        <v>52</v>
      </c>
      <c r="Q900" s="105"/>
      <c r="R900" s="28"/>
      <c r="S900" s="174" t="str">
        <f t="shared" si="14"/>
        <v/>
      </c>
      <c r="T900" s="2" t="s">
        <v>7694</v>
      </c>
      <c r="U900" s="2" t="s">
        <v>109</v>
      </c>
      <c r="V900" s="2" t="str" cm="1">
        <f t="array" ref="V900">_xlfn.IFS(C900="","",COUNTIF(C900,"ตำแหน่งว่าง*"),"ว่าง",COUNTIF(C900,"&lt;&gt;ตำแหน่งว่าง*"),"คนครอง")</f>
        <v>ว่าง</v>
      </c>
      <c r="W900" s="170" cm="1">
        <f t="array" ref="W900">_xlfn.IFS(COUNTIF(F900,"ผบ.หมู่*"),51,COUNTIF(F900,"รอง สว.*"),43)</f>
        <v>51</v>
      </c>
      <c r="X900" s="1" t="s">
        <v>2525</v>
      </c>
      <c r="Y900" s="1" t="s">
        <v>52</v>
      </c>
    </row>
    <row r="901" spans="1:25" s="9" customFormat="1" ht="21.3" customHeight="1">
      <c r="A901" s="68"/>
      <c r="B901" s="30"/>
      <c r="C901" s="68" t="s">
        <v>18</v>
      </c>
      <c r="D901" s="27"/>
      <c r="E901" s="27"/>
      <c r="F901" s="68" t="s">
        <v>2519</v>
      </c>
      <c r="G901" s="121" t="s">
        <v>2528</v>
      </c>
      <c r="H901" s="80"/>
      <c r="I901" s="74"/>
      <c r="J901" s="74"/>
      <c r="K901" s="74"/>
      <c r="L901" s="16"/>
      <c r="M901" s="6"/>
      <c r="N901" s="113" t="s">
        <v>14</v>
      </c>
      <c r="O901" s="122" t="s">
        <v>52</v>
      </c>
      <c r="P901" s="122" t="s">
        <v>52</v>
      </c>
      <c r="Q901" s="106"/>
      <c r="R901" s="30"/>
      <c r="S901" s="225" t="str">
        <f t="shared" si="14"/>
        <v/>
      </c>
      <c r="T901" s="2" t="s">
        <v>7694</v>
      </c>
      <c r="U901" s="7" t="s">
        <v>109</v>
      </c>
      <c r="V901" s="171" t="str" cm="1">
        <f t="array" ref="V901">_xlfn.IFS(C901="","",COUNTIF(C901,"ตำแหน่งว่าง*"),"ว่าง",COUNTIF(C901,"&lt;&gt;ตำแหน่งว่าง*"),"คนครอง")</f>
        <v>ว่าง</v>
      </c>
      <c r="W901" s="49" cm="1">
        <f t="array" ref="W901">_xlfn.IFS(COUNTIF(F901,"ผบ.หมู่*"),51,COUNTIF(F901,"รอง สว.*"),43)</f>
        <v>51</v>
      </c>
      <c r="X901" s="1" t="s">
        <v>2527</v>
      </c>
      <c r="Y901" s="1" t="s">
        <v>52</v>
      </c>
    </row>
    <row r="902" spans="1:25" s="10" customFormat="1" ht="21.3" customHeight="1">
      <c r="A902" s="192" t="s">
        <v>169</v>
      </c>
      <c r="B902" s="193" t="s">
        <v>21</v>
      </c>
      <c r="C902" s="192" t="s">
        <v>7905</v>
      </c>
      <c r="D902" s="27" t="s">
        <v>8031</v>
      </c>
      <c r="E902" s="27" t="s">
        <v>8998</v>
      </c>
      <c r="F902" s="192" t="s">
        <v>2519</v>
      </c>
      <c r="G902" s="101" t="s">
        <v>2530</v>
      </c>
      <c r="H902" s="73">
        <v>45463</v>
      </c>
      <c r="I902" s="73">
        <v>45463</v>
      </c>
      <c r="J902" s="73">
        <v>45463</v>
      </c>
      <c r="K902" s="73">
        <v>35011</v>
      </c>
      <c r="L902" s="2" t="s">
        <v>82</v>
      </c>
      <c r="M902" s="1"/>
      <c r="N902" s="112" t="s">
        <v>14</v>
      </c>
      <c r="O902" s="104" t="s">
        <v>52</v>
      </c>
      <c r="P902" s="104" t="s">
        <v>52</v>
      </c>
      <c r="Q902" s="105"/>
      <c r="R902" s="28" t="s">
        <v>7961</v>
      </c>
      <c r="S902" s="174">
        <f t="shared" si="14"/>
        <v>57254</v>
      </c>
      <c r="T902" s="2" t="s">
        <v>7694</v>
      </c>
      <c r="U902" s="2" t="s">
        <v>109</v>
      </c>
      <c r="V902" s="162" t="str" cm="1">
        <f t="array" ref="V902">_xlfn.IFS(C902="","",COUNTIF(C902,"ตำแหน่งว่าง*"),"ว่าง",COUNTIF(C902,"&lt;&gt;ตำแหน่งว่าง*"),"คนครอง")</f>
        <v>คนครอง</v>
      </c>
      <c r="W902" s="49" cm="1">
        <f t="array" ref="W902">_xlfn.IFS(COUNTIF(F902,"ผบ.หมู่*"),51,COUNTIF(F902,"รอง สว.*"),43)</f>
        <v>51</v>
      </c>
      <c r="X902" s="1" t="s">
        <v>2529</v>
      </c>
      <c r="Y902" s="1" t="s">
        <v>52</v>
      </c>
    </row>
    <row r="903" spans="1:25" s="9" customFormat="1" ht="21.3" customHeight="1">
      <c r="A903" s="192" t="s">
        <v>169</v>
      </c>
      <c r="B903" s="193" t="s">
        <v>12</v>
      </c>
      <c r="C903" s="192" t="s">
        <v>7906</v>
      </c>
      <c r="D903" s="27" t="s">
        <v>8260</v>
      </c>
      <c r="E903" s="27" t="s">
        <v>8999</v>
      </c>
      <c r="F903" s="192" t="s">
        <v>2531</v>
      </c>
      <c r="G903" s="101" t="s">
        <v>2533</v>
      </c>
      <c r="H903" s="73">
        <v>45463</v>
      </c>
      <c r="I903" s="73">
        <v>45463</v>
      </c>
      <c r="J903" s="73">
        <v>45463</v>
      </c>
      <c r="K903" s="73">
        <v>37582</v>
      </c>
      <c r="L903" s="2" t="s">
        <v>82</v>
      </c>
      <c r="M903" s="1"/>
      <c r="N903" s="112" t="s">
        <v>14</v>
      </c>
      <c r="O903" s="104" t="s">
        <v>52</v>
      </c>
      <c r="P903" s="104" t="s">
        <v>52</v>
      </c>
      <c r="Q903" s="105"/>
      <c r="R903" s="28" t="s">
        <v>7961</v>
      </c>
      <c r="S903" s="174">
        <f t="shared" si="14"/>
        <v>59810</v>
      </c>
      <c r="T903" s="2" t="s">
        <v>7695</v>
      </c>
      <c r="U903" s="2" t="s">
        <v>109</v>
      </c>
      <c r="V903" s="162" t="str" cm="1">
        <f t="array" ref="V903">_xlfn.IFS(C903="","",COUNTIF(C903,"ตำแหน่งว่าง*"),"ว่าง",COUNTIF(C903,"&lt;&gt;ตำแหน่งว่าง*"),"คนครอง")</f>
        <v>คนครอง</v>
      </c>
      <c r="W903" s="49" cm="1">
        <f t="array" ref="W903">_xlfn.IFS(COUNTIF(F903,"ผบ.หมู่*"),51,COUNTIF(F903,"รอง สว.*"),43)</f>
        <v>51</v>
      </c>
      <c r="X903" s="1" t="s">
        <v>2532</v>
      </c>
      <c r="Y903" s="1" t="s">
        <v>52</v>
      </c>
    </row>
    <row r="904" spans="1:25" s="9" customFormat="1" ht="21.3" customHeight="1">
      <c r="A904" s="192" t="s">
        <v>169</v>
      </c>
      <c r="B904" s="193" t="s">
        <v>21</v>
      </c>
      <c r="C904" s="192" t="s">
        <v>7907</v>
      </c>
      <c r="D904" s="27" t="s">
        <v>8357</v>
      </c>
      <c r="E904" s="27" t="s">
        <v>8343</v>
      </c>
      <c r="F904" s="192" t="s">
        <v>2531</v>
      </c>
      <c r="G904" s="101" t="s">
        <v>2535</v>
      </c>
      <c r="H904" s="73">
        <v>45463</v>
      </c>
      <c r="I904" s="73">
        <v>45463</v>
      </c>
      <c r="J904" s="73">
        <v>45463</v>
      </c>
      <c r="K904" s="73">
        <v>36364</v>
      </c>
      <c r="L904" s="2" t="s">
        <v>82</v>
      </c>
      <c r="M904" s="1"/>
      <c r="N904" s="112" t="s">
        <v>14</v>
      </c>
      <c r="O904" s="104" t="s">
        <v>52</v>
      </c>
      <c r="P904" s="104" t="s">
        <v>52</v>
      </c>
      <c r="Q904" s="105"/>
      <c r="R904" s="28" t="s">
        <v>7961</v>
      </c>
      <c r="S904" s="174">
        <f t="shared" si="14"/>
        <v>58349</v>
      </c>
      <c r="T904" s="2" t="s">
        <v>7695</v>
      </c>
      <c r="U904" s="2" t="s">
        <v>109</v>
      </c>
      <c r="V904" s="162" t="str" cm="1">
        <f t="array" ref="V904">_xlfn.IFS(C904="","",COUNTIF(C904,"ตำแหน่งว่าง*"),"ว่าง",COUNTIF(C904,"&lt;&gt;ตำแหน่งว่าง*"),"คนครอง")</f>
        <v>คนครอง</v>
      </c>
      <c r="W904" s="49" cm="1">
        <f t="array" ref="W904">_xlfn.IFS(COUNTIF(F904,"ผบ.หมู่*"),51,COUNTIF(F904,"รอง สว.*"),43)</f>
        <v>51</v>
      </c>
      <c r="X904" s="1" t="s">
        <v>2534</v>
      </c>
      <c r="Y904" s="1" t="s">
        <v>52</v>
      </c>
    </row>
    <row r="905" spans="1:25" s="9" customFormat="1" ht="21.3" customHeight="1">
      <c r="A905" s="132" t="s">
        <v>10753</v>
      </c>
      <c r="B905" s="28" t="s">
        <v>21</v>
      </c>
      <c r="C905" s="27" t="s">
        <v>2536</v>
      </c>
      <c r="D905" s="27" t="s">
        <v>9000</v>
      </c>
      <c r="E905" s="27" t="s">
        <v>9001</v>
      </c>
      <c r="F905" s="27" t="s">
        <v>7803</v>
      </c>
      <c r="G905" s="101" t="s">
        <v>2538</v>
      </c>
      <c r="H905" s="91">
        <v>45382</v>
      </c>
      <c r="I905" s="73">
        <v>45382</v>
      </c>
      <c r="J905" s="73">
        <v>35216</v>
      </c>
      <c r="K905" s="73">
        <v>26141</v>
      </c>
      <c r="L905" s="11" t="s">
        <v>31</v>
      </c>
      <c r="M905" s="1" t="s">
        <v>35</v>
      </c>
      <c r="N905" s="112" t="s">
        <v>14</v>
      </c>
      <c r="O905" s="104" t="s">
        <v>52</v>
      </c>
      <c r="P905" s="104" t="s">
        <v>52</v>
      </c>
      <c r="Q905" s="105"/>
      <c r="R905" s="33" t="s">
        <v>7801</v>
      </c>
      <c r="S905" s="225">
        <f t="shared" si="14"/>
        <v>48122</v>
      </c>
      <c r="T905" s="2" t="s">
        <v>7695</v>
      </c>
      <c r="U905" s="7" t="s">
        <v>109</v>
      </c>
      <c r="V905" s="162" t="str" cm="1">
        <f t="array" ref="V905">_xlfn.IFS(C905="","",COUNTIF(C905,"ตำแหน่งว่าง*"),"ว่าง",COUNTIF(C905,"&lt;&gt;ตำแหน่งว่าง*"),"คนครอง")</f>
        <v>คนครอง</v>
      </c>
      <c r="W905" s="49" cm="1">
        <f t="array" ref="W905">_xlfn.IFS(COUNTIF(F905,"ผบ.หมู่*"),51,COUNTIF(F905,"รอง สว.*"),43)</f>
        <v>43</v>
      </c>
      <c r="X905" s="1" t="s">
        <v>2537</v>
      </c>
      <c r="Y905" s="1" t="s">
        <v>52</v>
      </c>
    </row>
    <row r="906" spans="1:25" s="10" customFormat="1" ht="21.3" customHeight="1">
      <c r="A906" s="27"/>
      <c r="B906" s="28"/>
      <c r="C906" s="30" t="s">
        <v>18</v>
      </c>
      <c r="D906" s="27"/>
      <c r="E906" s="27"/>
      <c r="F906" s="68" t="s">
        <v>2531</v>
      </c>
      <c r="G906" s="121" t="s">
        <v>2540</v>
      </c>
      <c r="H906" s="75" t="s">
        <v>19</v>
      </c>
      <c r="I906" s="73" t="s">
        <v>19</v>
      </c>
      <c r="J906" s="73" t="s">
        <v>19</v>
      </c>
      <c r="K906" s="73" t="s">
        <v>19</v>
      </c>
      <c r="L906" s="11"/>
      <c r="M906" s="1"/>
      <c r="N906" s="113" t="s">
        <v>14</v>
      </c>
      <c r="O906" s="122" t="s">
        <v>52</v>
      </c>
      <c r="P906" s="122" t="s">
        <v>52</v>
      </c>
      <c r="Q906" s="105"/>
      <c r="R906" s="28"/>
      <c r="S906" s="225" t="str">
        <f t="shared" si="14"/>
        <v/>
      </c>
      <c r="T906" s="7" t="s">
        <v>7695</v>
      </c>
      <c r="U906" s="7" t="s">
        <v>109</v>
      </c>
      <c r="V906" s="171" t="str" cm="1">
        <f t="array" ref="V906">_xlfn.IFS(C906="","",COUNTIF(C906,"ตำแหน่งว่าง*"),"ว่าง",COUNTIF(C906,"&lt;&gt;ตำแหน่งว่าง*"),"คนครอง")</f>
        <v>ว่าง</v>
      </c>
      <c r="W906" s="49" cm="1">
        <f t="array" ref="W906">_xlfn.IFS(COUNTIF(F906,"ผบ.หมู่*"),51,COUNTIF(F906,"รอง สว.*"),43)</f>
        <v>51</v>
      </c>
      <c r="X906" s="6" t="s">
        <v>2539</v>
      </c>
      <c r="Y906" s="6" t="s">
        <v>52</v>
      </c>
    </row>
    <row r="907" spans="1:25" s="9" customFormat="1" ht="21.3" customHeight="1">
      <c r="A907" s="192" t="s">
        <v>169</v>
      </c>
      <c r="B907" s="193" t="s">
        <v>12</v>
      </c>
      <c r="C907" s="192" t="s">
        <v>7908</v>
      </c>
      <c r="D907" s="27" t="s">
        <v>9002</v>
      </c>
      <c r="E907" s="27" t="s">
        <v>8028</v>
      </c>
      <c r="F907" s="192" t="s">
        <v>2541</v>
      </c>
      <c r="G907" s="101" t="s">
        <v>2543</v>
      </c>
      <c r="H907" s="73">
        <v>45463</v>
      </c>
      <c r="I907" s="73">
        <v>45463</v>
      </c>
      <c r="J907" s="73">
        <v>45463</v>
      </c>
      <c r="K907" s="73">
        <v>38310</v>
      </c>
      <c r="L907" s="2" t="s">
        <v>82</v>
      </c>
      <c r="M907" s="1"/>
      <c r="N907" s="112" t="s">
        <v>14</v>
      </c>
      <c r="O907" s="104" t="s">
        <v>52</v>
      </c>
      <c r="P907" s="104" t="s">
        <v>52</v>
      </c>
      <c r="Q907" s="105"/>
      <c r="R907" s="28" t="s">
        <v>7961</v>
      </c>
      <c r="S907" s="174">
        <f t="shared" si="14"/>
        <v>60541</v>
      </c>
      <c r="T907" s="2" t="s">
        <v>7696</v>
      </c>
      <c r="U907" s="2" t="s">
        <v>109</v>
      </c>
      <c r="V907" s="162" t="str" cm="1">
        <f t="array" ref="V907">_xlfn.IFS(C907="","",COUNTIF(C907,"ตำแหน่งว่าง*"),"ว่าง",COUNTIF(C907,"&lt;&gt;ตำแหน่งว่าง*"),"คนครอง")</f>
        <v>คนครอง</v>
      </c>
      <c r="W907" s="49" cm="1">
        <f t="array" ref="W907">_xlfn.IFS(COUNTIF(F907,"ผบ.หมู่*"),51,COUNTIF(F907,"รอง สว.*"),43)</f>
        <v>51</v>
      </c>
      <c r="X907" s="1" t="s">
        <v>2542</v>
      </c>
      <c r="Y907" s="1" t="s">
        <v>52</v>
      </c>
    </row>
    <row r="908" spans="1:25" s="9" customFormat="1" ht="21.3" customHeight="1">
      <c r="A908" s="68"/>
      <c r="B908" s="30"/>
      <c r="C908" s="30" t="s">
        <v>18</v>
      </c>
      <c r="D908" s="27"/>
      <c r="E908" s="27"/>
      <c r="F908" s="68" t="s">
        <v>2541</v>
      </c>
      <c r="G908" s="121" t="s">
        <v>2545</v>
      </c>
      <c r="H908" s="80"/>
      <c r="I908" s="74"/>
      <c r="J908" s="74"/>
      <c r="K908" s="74"/>
      <c r="L908" s="16"/>
      <c r="M908" s="6"/>
      <c r="N908" s="113" t="s">
        <v>14</v>
      </c>
      <c r="O908" s="122" t="s">
        <v>52</v>
      </c>
      <c r="P908" s="122" t="s">
        <v>52</v>
      </c>
      <c r="Q908" s="106"/>
      <c r="R908" s="30"/>
      <c r="S908" s="225" t="str">
        <f t="shared" si="14"/>
        <v/>
      </c>
      <c r="T908" s="2" t="s">
        <v>7696</v>
      </c>
      <c r="U908" s="7" t="s">
        <v>109</v>
      </c>
      <c r="V908" s="171" t="str" cm="1">
        <f t="array" ref="V908">_xlfn.IFS(C908="","",COUNTIF(C908,"ตำแหน่งว่าง*"),"ว่าง",COUNTIF(C908,"&lt;&gt;ตำแหน่งว่าง*"),"คนครอง")</f>
        <v>ว่าง</v>
      </c>
      <c r="W908" s="49" cm="1">
        <f t="array" ref="W908">_xlfn.IFS(COUNTIF(F908,"ผบ.หมู่*"),51,COUNTIF(F908,"รอง สว.*"),43)</f>
        <v>51</v>
      </c>
      <c r="X908" s="6" t="s">
        <v>2544</v>
      </c>
      <c r="Y908" s="6" t="s">
        <v>52</v>
      </c>
    </row>
    <row r="909" spans="1:25" s="10" customFormat="1" ht="21.3" customHeight="1">
      <c r="A909" s="65" t="s">
        <v>169</v>
      </c>
      <c r="B909" s="66" t="s">
        <v>12</v>
      </c>
      <c r="C909" s="65" t="s">
        <v>2546</v>
      </c>
      <c r="D909" s="27" t="s">
        <v>9003</v>
      </c>
      <c r="E909" s="27" t="s">
        <v>9004</v>
      </c>
      <c r="F909" s="65" t="s">
        <v>2541</v>
      </c>
      <c r="G909" s="101" t="s">
        <v>2548</v>
      </c>
      <c r="H909" s="81">
        <v>44986</v>
      </c>
      <c r="I909" s="77">
        <v>44986</v>
      </c>
      <c r="J909" s="77">
        <v>44986</v>
      </c>
      <c r="K909" s="77">
        <v>35403</v>
      </c>
      <c r="L909" s="63" t="s">
        <v>112</v>
      </c>
      <c r="M909" s="61" t="s">
        <v>13</v>
      </c>
      <c r="N909" s="114" t="s">
        <v>14</v>
      </c>
      <c r="O909" s="104" t="s">
        <v>52</v>
      </c>
      <c r="P909" s="104" t="s">
        <v>52</v>
      </c>
      <c r="Q909" s="107"/>
      <c r="R909" s="66" t="s">
        <v>861</v>
      </c>
      <c r="S909" s="225">
        <f t="shared" si="14"/>
        <v>57619</v>
      </c>
      <c r="T909" s="7" t="s">
        <v>7696</v>
      </c>
      <c r="U909" s="7" t="s">
        <v>109</v>
      </c>
      <c r="V909" s="162" t="str" cm="1">
        <f t="array" ref="V909">_xlfn.IFS(C909="","",COUNTIF(C909,"ตำแหน่งว่าง*"),"ว่าง",COUNTIF(C909,"&lt;&gt;ตำแหน่งว่าง*"),"คนครอง")</f>
        <v>คนครอง</v>
      </c>
      <c r="W909" s="49" cm="1">
        <f t="array" ref="W909">_xlfn.IFS(COUNTIF(F909,"ผบ.หมู่*"),51,COUNTIF(F909,"รอง สว.*"),43)</f>
        <v>51</v>
      </c>
      <c r="X909" s="61" t="s">
        <v>2547</v>
      </c>
      <c r="Y909" s="61" t="s">
        <v>52</v>
      </c>
    </row>
    <row r="910" spans="1:25" s="10" customFormat="1" ht="21.3" customHeight="1">
      <c r="A910" s="27"/>
      <c r="B910" s="28"/>
      <c r="C910" s="30" t="s">
        <v>18</v>
      </c>
      <c r="D910" s="27"/>
      <c r="E910" s="27"/>
      <c r="F910" s="68" t="s">
        <v>2541</v>
      </c>
      <c r="G910" s="121" t="s">
        <v>2550</v>
      </c>
      <c r="H910" s="75" t="s">
        <v>19</v>
      </c>
      <c r="I910" s="73" t="s">
        <v>19</v>
      </c>
      <c r="J910" s="73" t="s">
        <v>19</v>
      </c>
      <c r="K910" s="73" t="s">
        <v>19</v>
      </c>
      <c r="L910" s="11"/>
      <c r="M910" s="1"/>
      <c r="N910" s="113" t="s">
        <v>14</v>
      </c>
      <c r="O910" s="122" t="s">
        <v>52</v>
      </c>
      <c r="P910" s="122" t="s">
        <v>52</v>
      </c>
      <c r="Q910" s="105"/>
      <c r="R910" s="28"/>
      <c r="S910" s="225" t="str">
        <f t="shared" si="14"/>
        <v/>
      </c>
      <c r="T910" s="7" t="s">
        <v>7696</v>
      </c>
      <c r="U910" s="7" t="s">
        <v>109</v>
      </c>
      <c r="V910" s="171" t="str" cm="1">
        <f t="array" ref="V910">_xlfn.IFS(C910="","",COUNTIF(C910,"ตำแหน่งว่าง*"),"ว่าง",COUNTIF(C910,"&lt;&gt;ตำแหน่งว่าง*"),"คนครอง")</f>
        <v>ว่าง</v>
      </c>
      <c r="W910" s="49" cm="1">
        <f t="array" ref="W910">_xlfn.IFS(COUNTIF(F910,"ผบ.หมู่*"),51,COUNTIF(F910,"รอง สว.*"),43)</f>
        <v>51</v>
      </c>
      <c r="X910" s="6" t="s">
        <v>2549</v>
      </c>
      <c r="Y910" s="6" t="s">
        <v>52</v>
      </c>
    </row>
    <row r="911" spans="1:25" s="10" customFormat="1" ht="21.3" customHeight="1">
      <c r="A911" s="27" t="s">
        <v>182</v>
      </c>
      <c r="B911" s="28" t="s">
        <v>21</v>
      </c>
      <c r="C911" s="27" t="s">
        <v>2457</v>
      </c>
      <c r="D911" s="27" t="s">
        <v>8963</v>
      </c>
      <c r="E911" s="27" t="s">
        <v>8964</v>
      </c>
      <c r="F911" s="27" t="s">
        <v>2551</v>
      </c>
      <c r="G911" s="101" t="s">
        <v>2553</v>
      </c>
      <c r="H911" s="75">
        <v>45768</v>
      </c>
      <c r="I911" s="73">
        <v>44043</v>
      </c>
      <c r="J911" s="73">
        <v>44043</v>
      </c>
      <c r="K911" s="73">
        <v>34890</v>
      </c>
      <c r="L911" s="11" t="s">
        <v>1667</v>
      </c>
      <c r="M911" s="1" t="s">
        <v>101</v>
      </c>
      <c r="N911" s="112" t="s">
        <v>14</v>
      </c>
      <c r="O911" s="104" t="s">
        <v>52</v>
      </c>
      <c r="P911" s="104" t="s">
        <v>52</v>
      </c>
      <c r="Q911" s="105"/>
      <c r="R911" s="28" t="s">
        <v>10708</v>
      </c>
      <c r="S911" s="174">
        <f t="shared" si="14"/>
        <v>56888</v>
      </c>
      <c r="T911" s="2" t="s">
        <v>7697</v>
      </c>
      <c r="U911" s="2" t="s">
        <v>109</v>
      </c>
      <c r="V911" s="203" t="str" cm="1">
        <f t="array" ref="V911">_xlfn.IFS(C911="","",COUNTIF(C911,"ตำแหน่งว่าง*"),"ว่าง",COUNTIF(C911,"&lt;&gt;ตำแหน่งว่าง*"),"คนครอง")</f>
        <v>คนครอง</v>
      </c>
      <c r="W911" s="170" cm="1">
        <f t="array" ref="W911">_xlfn.IFS(COUNTIF(F911,"ผบ.หมู่*"),51,COUNTIF(F911,"รอง สว.*"),43)</f>
        <v>51</v>
      </c>
      <c r="X911" s="1" t="s">
        <v>2552</v>
      </c>
      <c r="Y911" s="1" t="s">
        <v>52</v>
      </c>
    </row>
    <row r="912" spans="1:25" s="10" customFormat="1" ht="21.3" customHeight="1">
      <c r="A912" s="192" t="s">
        <v>169</v>
      </c>
      <c r="B912" s="193" t="s">
        <v>21</v>
      </c>
      <c r="C912" s="192" t="s">
        <v>7909</v>
      </c>
      <c r="D912" s="27" t="s">
        <v>8221</v>
      </c>
      <c r="E912" s="27" t="s">
        <v>9005</v>
      </c>
      <c r="F912" s="192" t="s">
        <v>2554</v>
      </c>
      <c r="G912" s="101" t="s">
        <v>2556</v>
      </c>
      <c r="H912" s="73">
        <v>45463</v>
      </c>
      <c r="I912" s="73">
        <v>45463</v>
      </c>
      <c r="J912" s="73">
        <v>45463</v>
      </c>
      <c r="K912" s="73">
        <v>36627</v>
      </c>
      <c r="L912" s="2" t="s">
        <v>82</v>
      </c>
      <c r="M912" s="1"/>
      <c r="N912" s="112" t="s">
        <v>14</v>
      </c>
      <c r="O912" s="104" t="s">
        <v>52</v>
      </c>
      <c r="P912" s="104" t="s">
        <v>52</v>
      </c>
      <c r="Q912" s="105"/>
      <c r="R912" s="28" t="s">
        <v>7961</v>
      </c>
      <c r="S912" s="174">
        <f t="shared" si="14"/>
        <v>58715</v>
      </c>
      <c r="T912" s="2" t="s">
        <v>7610</v>
      </c>
      <c r="U912" s="2" t="s">
        <v>109</v>
      </c>
      <c r="V912" s="162" t="str" cm="1">
        <f t="array" ref="V912">_xlfn.IFS(C912="","",COUNTIF(C912,"ตำแหน่งว่าง*"),"ว่าง",COUNTIF(C912,"&lt;&gt;ตำแหน่งว่าง*"),"คนครอง")</f>
        <v>คนครอง</v>
      </c>
      <c r="W912" s="49" cm="1">
        <f t="array" ref="W912">_xlfn.IFS(COUNTIF(F912,"ผบ.หมู่*"),51,COUNTIF(F912,"รอง สว.*"),43)</f>
        <v>51</v>
      </c>
      <c r="X912" s="1" t="s">
        <v>2555</v>
      </c>
      <c r="Y912" s="1" t="s">
        <v>52</v>
      </c>
    </row>
    <row r="913" spans="1:25" s="9" customFormat="1" ht="21.3" customHeight="1">
      <c r="A913" s="27" t="s">
        <v>10753</v>
      </c>
      <c r="B913" s="28" t="s">
        <v>21</v>
      </c>
      <c r="C913" s="27" t="s">
        <v>2557</v>
      </c>
      <c r="D913" s="27" t="s">
        <v>8736</v>
      </c>
      <c r="E913" s="27" t="s">
        <v>9006</v>
      </c>
      <c r="F913" s="27" t="s">
        <v>2572</v>
      </c>
      <c r="G913" s="101" t="s">
        <v>2559</v>
      </c>
      <c r="H913" s="80">
        <v>43871</v>
      </c>
      <c r="I913" s="75">
        <v>35551</v>
      </c>
      <c r="J913" s="75">
        <v>34729</v>
      </c>
      <c r="K913" s="75">
        <v>26352</v>
      </c>
      <c r="L913" s="11" t="s">
        <v>162</v>
      </c>
      <c r="M913" s="1" t="s">
        <v>38</v>
      </c>
      <c r="N913" s="112" t="s">
        <v>14</v>
      </c>
      <c r="O913" s="104" t="s">
        <v>52</v>
      </c>
      <c r="P913" s="104" t="s">
        <v>52</v>
      </c>
      <c r="Q913" s="105"/>
      <c r="R913" s="28" t="s">
        <v>688</v>
      </c>
      <c r="S913" s="225">
        <f t="shared" si="14"/>
        <v>48488</v>
      </c>
      <c r="T913" s="2" t="s">
        <v>7610</v>
      </c>
      <c r="U913" s="7" t="s">
        <v>109</v>
      </c>
      <c r="V913" s="162" t="str" cm="1">
        <f t="array" ref="V913">_xlfn.IFS(C913="","",COUNTIF(C913,"ตำแหน่งว่าง*"),"ว่าง",COUNTIF(C913,"&lt;&gt;ตำแหน่งว่าง*"),"คนครอง")</f>
        <v>คนครอง</v>
      </c>
      <c r="W913" s="49" cm="1">
        <f t="array" ref="W913">_xlfn.IFS(COUNTIF(F913,"ผบ.หมู่*"),51,COUNTIF(F913,"รอง สว.*"),43)</f>
        <v>43</v>
      </c>
      <c r="X913" s="1" t="s">
        <v>2558</v>
      </c>
      <c r="Y913" s="1" t="s">
        <v>52</v>
      </c>
    </row>
    <row r="914" spans="1:25" s="9" customFormat="1" ht="21.3" customHeight="1">
      <c r="A914" s="27" t="s">
        <v>182</v>
      </c>
      <c r="B914" s="28" t="s">
        <v>12</v>
      </c>
      <c r="C914" s="27" t="s">
        <v>2560</v>
      </c>
      <c r="D914" s="27" t="s">
        <v>9007</v>
      </c>
      <c r="E914" s="27" t="s">
        <v>9008</v>
      </c>
      <c r="F914" s="27" t="s">
        <v>2554</v>
      </c>
      <c r="G914" s="101" t="s">
        <v>2562</v>
      </c>
      <c r="H914" s="75">
        <v>44043</v>
      </c>
      <c r="I914" s="75">
        <v>44043</v>
      </c>
      <c r="J914" s="75">
        <v>44043</v>
      </c>
      <c r="K914" s="75">
        <v>34650</v>
      </c>
      <c r="L914" s="11" t="s">
        <v>82</v>
      </c>
      <c r="M914" s="1" t="s">
        <v>38</v>
      </c>
      <c r="N914" s="112" t="s">
        <v>14</v>
      </c>
      <c r="O914" s="104" t="s">
        <v>52</v>
      </c>
      <c r="P914" s="104" t="s">
        <v>52</v>
      </c>
      <c r="Q914" s="105"/>
      <c r="R914" s="28" t="s">
        <v>2436</v>
      </c>
      <c r="S914" s="225">
        <f t="shared" si="14"/>
        <v>56888</v>
      </c>
      <c r="T914" s="2" t="s">
        <v>7610</v>
      </c>
      <c r="U914" s="7" t="s">
        <v>109</v>
      </c>
      <c r="V914" s="162" t="str" cm="1">
        <f t="array" ref="V914">_xlfn.IFS(C914="","",COUNTIF(C914,"ตำแหน่งว่าง*"),"ว่าง",COUNTIF(C914,"&lt;&gt;ตำแหน่งว่าง*"),"คนครอง")</f>
        <v>คนครอง</v>
      </c>
      <c r="W914" s="49" cm="1">
        <f t="array" ref="W914">_xlfn.IFS(COUNTIF(F914,"ผบ.หมู่*"),51,COUNTIF(F914,"รอง สว.*"),43)</f>
        <v>51</v>
      </c>
      <c r="X914" s="1" t="s">
        <v>2561</v>
      </c>
      <c r="Y914" s="1" t="s">
        <v>52</v>
      </c>
    </row>
    <row r="915" spans="1:25" s="9" customFormat="1" ht="21.3" customHeight="1">
      <c r="A915" s="27" t="s">
        <v>157</v>
      </c>
      <c r="B915" s="28" t="s">
        <v>12</v>
      </c>
      <c r="C915" s="95" t="s">
        <v>2563</v>
      </c>
      <c r="D915" s="27" t="s">
        <v>7988</v>
      </c>
      <c r="E915" s="27" t="s">
        <v>9009</v>
      </c>
      <c r="F915" s="27" t="s">
        <v>2554</v>
      </c>
      <c r="G915" s="101" t="s">
        <v>2565</v>
      </c>
      <c r="H915" s="75">
        <v>43235</v>
      </c>
      <c r="I915" s="75">
        <v>36647</v>
      </c>
      <c r="J915" s="75">
        <v>35825</v>
      </c>
      <c r="K915" s="75">
        <v>26780</v>
      </c>
      <c r="L915" s="2" t="s">
        <v>2566</v>
      </c>
      <c r="M915" s="1" t="s">
        <v>38</v>
      </c>
      <c r="N915" s="112" t="s">
        <v>14</v>
      </c>
      <c r="O915" s="104" t="s">
        <v>52</v>
      </c>
      <c r="P915" s="104" t="s">
        <v>52</v>
      </c>
      <c r="Q915" s="105"/>
      <c r="R915" s="28" t="s">
        <v>2567</v>
      </c>
      <c r="S915" s="225">
        <f t="shared" si="14"/>
        <v>48853</v>
      </c>
      <c r="T915" s="2" t="s">
        <v>7610</v>
      </c>
      <c r="U915" s="7" t="s">
        <v>109</v>
      </c>
      <c r="V915" s="162" t="str" cm="1">
        <f t="array" ref="V915">_xlfn.IFS(C915="","",COUNTIF(C915,"ตำแหน่งว่าง*"),"ว่าง",COUNTIF(C915,"&lt;&gt;ตำแหน่งว่าง*"),"คนครอง")</f>
        <v>คนครอง</v>
      </c>
      <c r="W915" s="49" cm="1">
        <f t="array" ref="W915">_xlfn.IFS(COUNTIF(F915,"ผบ.หมู่*"),51,COUNTIF(F915,"รอง สว.*"),43)</f>
        <v>51</v>
      </c>
      <c r="X915" s="1" t="s">
        <v>2564</v>
      </c>
      <c r="Y915" s="1" t="s">
        <v>52</v>
      </c>
    </row>
    <row r="916" spans="1:25" s="9" customFormat="1" ht="21.3" customHeight="1">
      <c r="A916" s="68"/>
      <c r="B916" s="30"/>
      <c r="C916" s="68" t="s">
        <v>18</v>
      </c>
      <c r="D916" s="27"/>
      <c r="E916" s="27"/>
      <c r="F916" s="68" t="s">
        <v>2554</v>
      </c>
      <c r="G916" s="121" t="s">
        <v>2569</v>
      </c>
      <c r="H916" s="80"/>
      <c r="I916" s="80"/>
      <c r="J916" s="80"/>
      <c r="K916" s="80"/>
      <c r="L916" s="16"/>
      <c r="M916" s="6"/>
      <c r="N916" s="113" t="s">
        <v>14</v>
      </c>
      <c r="O916" s="122" t="s">
        <v>52</v>
      </c>
      <c r="P916" s="122" t="s">
        <v>52</v>
      </c>
      <c r="Q916" s="106"/>
      <c r="R916" s="30"/>
      <c r="S916" s="225" t="str">
        <f t="shared" si="14"/>
        <v/>
      </c>
      <c r="T916" s="2" t="s">
        <v>7610</v>
      </c>
      <c r="U916" s="7" t="s">
        <v>109</v>
      </c>
      <c r="V916" s="171" t="str" cm="1">
        <f t="array" ref="V916">_xlfn.IFS(C916="","",COUNTIF(C916,"ตำแหน่งว่าง*"),"ว่าง",COUNTIF(C916,"&lt;&gt;ตำแหน่งว่าง*"),"คนครอง")</f>
        <v>ว่าง</v>
      </c>
      <c r="W916" s="49" cm="1">
        <f t="array" ref="W916">_xlfn.IFS(COUNTIF(F916,"ผบ.หมู่*"),51,COUNTIF(F916,"รอง สว.*"),43)</f>
        <v>51</v>
      </c>
      <c r="X916" s="1" t="s">
        <v>2568</v>
      </c>
      <c r="Y916" s="1" t="s">
        <v>52</v>
      </c>
    </row>
    <row r="917" spans="1:25" s="12" customFormat="1" ht="21.3" customHeight="1">
      <c r="A917" s="27" t="s">
        <v>44</v>
      </c>
      <c r="B917" s="31" t="s">
        <v>12</v>
      </c>
      <c r="C917" s="95" t="s">
        <v>2571</v>
      </c>
      <c r="D917" s="27" t="s">
        <v>8233</v>
      </c>
      <c r="E917" s="27" t="s">
        <v>9010</v>
      </c>
      <c r="F917" s="95" t="s">
        <v>2572</v>
      </c>
      <c r="G917" s="101" t="s">
        <v>2574</v>
      </c>
      <c r="H917" s="80">
        <v>44651</v>
      </c>
      <c r="I917" s="75">
        <v>44651</v>
      </c>
      <c r="J917" s="80">
        <v>44651</v>
      </c>
      <c r="K917" s="75">
        <v>25219</v>
      </c>
      <c r="L917" s="17" t="s">
        <v>2575</v>
      </c>
      <c r="M917" s="5" t="s">
        <v>38</v>
      </c>
      <c r="N917" s="111" t="s">
        <v>14</v>
      </c>
      <c r="O917" s="104" t="s">
        <v>52</v>
      </c>
      <c r="P917" s="104" t="s">
        <v>52</v>
      </c>
      <c r="Q917" s="108"/>
      <c r="R917" s="31" t="s">
        <v>110</v>
      </c>
      <c r="S917" s="225">
        <f t="shared" si="14"/>
        <v>47392</v>
      </c>
      <c r="T917" s="162" t="s">
        <v>7610</v>
      </c>
      <c r="U917" s="7" t="s">
        <v>109</v>
      </c>
      <c r="V917" s="162" t="str" cm="1">
        <f t="array" ref="V917">_xlfn.IFS(C917="","",COUNTIF(C917,"ตำแหน่งว่าง*"),"ว่าง",COUNTIF(C917,"&lt;&gt;ตำแหน่งว่าง*"),"คนครอง")</f>
        <v>คนครอง</v>
      </c>
      <c r="W917" s="49" cm="1">
        <f t="array" ref="W917">_xlfn.IFS(COUNTIF(F917,"ผบ.หมู่*"),51,COUNTIF(F917,"รอง สว.*"),43)</f>
        <v>43</v>
      </c>
      <c r="X917" s="5" t="s">
        <v>2573</v>
      </c>
      <c r="Y917" s="5" t="s">
        <v>52</v>
      </c>
    </row>
    <row r="918" spans="1:25" s="10" customFormat="1" ht="21.3" customHeight="1">
      <c r="A918" s="68"/>
      <c r="B918" s="30"/>
      <c r="C918" s="30" t="s">
        <v>18</v>
      </c>
      <c r="D918" s="27"/>
      <c r="E918" s="27"/>
      <c r="F918" s="68" t="s">
        <v>2554</v>
      </c>
      <c r="G918" s="121" t="s">
        <v>2577</v>
      </c>
      <c r="H918" s="80"/>
      <c r="I918" s="80"/>
      <c r="J918" s="80"/>
      <c r="K918" s="80"/>
      <c r="L918" s="16"/>
      <c r="M918" s="6"/>
      <c r="N918" s="113" t="s">
        <v>14</v>
      </c>
      <c r="O918" s="122" t="s">
        <v>52</v>
      </c>
      <c r="P918" s="122" t="s">
        <v>52</v>
      </c>
      <c r="Q918" s="106"/>
      <c r="R918" s="30"/>
      <c r="S918" s="229" t="str">
        <f t="shared" si="14"/>
        <v/>
      </c>
      <c r="T918" s="7" t="s">
        <v>7610</v>
      </c>
      <c r="U918" s="7" t="s">
        <v>109</v>
      </c>
      <c r="V918" s="171" t="str" cm="1">
        <f t="array" ref="V918">_xlfn.IFS(C918="","",COUNTIF(C918,"ตำแหน่งว่าง*"),"ว่าง",COUNTIF(C918,"&lt;&gt;ตำแหน่งว่าง*"),"คนครอง")</f>
        <v>ว่าง</v>
      </c>
      <c r="W918" s="49" cm="1">
        <f t="array" ref="W918">_xlfn.IFS(COUNTIF(F918,"ผบ.หมู่*"),51,COUNTIF(F918,"รอง สว.*"),43)</f>
        <v>51</v>
      </c>
      <c r="X918" s="6" t="s">
        <v>2576</v>
      </c>
      <c r="Y918" s="6" t="s">
        <v>52</v>
      </c>
    </row>
    <row r="919" spans="1:25" s="9" customFormat="1" ht="21.3" customHeight="1">
      <c r="A919" s="27" t="s">
        <v>182</v>
      </c>
      <c r="B919" s="28" t="s">
        <v>12</v>
      </c>
      <c r="C919" s="27" t="s">
        <v>2578</v>
      </c>
      <c r="D919" s="27" t="s">
        <v>9011</v>
      </c>
      <c r="E919" s="27" t="s">
        <v>9012</v>
      </c>
      <c r="F919" s="27" t="s">
        <v>2554</v>
      </c>
      <c r="G919" s="101" t="s">
        <v>2580</v>
      </c>
      <c r="H919" s="75">
        <v>44043</v>
      </c>
      <c r="I919" s="75">
        <v>44043</v>
      </c>
      <c r="J919" s="75">
        <v>44043</v>
      </c>
      <c r="K919" s="75">
        <v>36313</v>
      </c>
      <c r="L919" s="11" t="s">
        <v>82</v>
      </c>
      <c r="M919" s="1" t="s">
        <v>38</v>
      </c>
      <c r="N919" s="112" t="s">
        <v>14</v>
      </c>
      <c r="O919" s="104" t="s">
        <v>52</v>
      </c>
      <c r="P919" s="104" t="s">
        <v>52</v>
      </c>
      <c r="Q919" s="105"/>
      <c r="R919" s="28" t="s">
        <v>2436</v>
      </c>
      <c r="S919" s="225">
        <f t="shared" si="14"/>
        <v>58349</v>
      </c>
      <c r="T919" s="2" t="s">
        <v>7610</v>
      </c>
      <c r="U919" s="7" t="s">
        <v>109</v>
      </c>
      <c r="V919" s="162" t="str" cm="1">
        <f t="array" ref="V919">_xlfn.IFS(C919="","",COUNTIF(C919,"ตำแหน่งว่าง*"),"ว่าง",COUNTIF(C919,"&lt;&gt;ตำแหน่งว่าง*"),"คนครอง")</f>
        <v>คนครอง</v>
      </c>
      <c r="W919" s="49" cm="1">
        <f t="array" ref="W919">_xlfn.IFS(COUNTIF(F919,"ผบ.หมู่*"),51,COUNTIF(F919,"รอง สว.*"),43)</f>
        <v>51</v>
      </c>
      <c r="X919" s="1" t="s">
        <v>2579</v>
      </c>
      <c r="Y919" s="1" t="s">
        <v>52</v>
      </c>
    </row>
    <row r="920" spans="1:25" s="12" customFormat="1" ht="21.3" customHeight="1">
      <c r="A920" s="27" t="s">
        <v>157</v>
      </c>
      <c r="B920" s="28" t="s">
        <v>21</v>
      </c>
      <c r="C920" s="95" t="s">
        <v>2581</v>
      </c>
      <c r="D920" s="27" t="s">
        <v>8413</v>
      </c>
      <c r="E920" s="27" t="s">
        <v>9013</v>
      </c>
      <c r="F920" s="95" t="s">
        <v>2554</v>
      </c>
      <c r="G920" s="101" t="s">
        <v>2583</v>
      </c>
      <c r="H920" s="75">
        <v>42501</v>
      </c>
      <c r="I920" s="75">
        <v>39717</v>
      </c>
      <c r="J920" s="75">
        <v>39717</v>
      </c>
      <c r="K920" s="75">
        <v>31113</v>
      </c>
      <c r="L920" s="11" t="s">
        <v>2584</v>
      </c>
      <c r="M920" s="1" t="s">
        <v>38</v>
      </c>
      <c r="N920" s="111" t="s">
        <v>14</v>
      </c>
      <c r="O920" s="104" t="s">
        <v>52</v>
      </c>
      <c r="P920" s="104" t="s">
        <v>52</v>
      </c>
      <c r="Q920" s="105"/>
      <c r="R920" s="28" t="s">
        <v>110</v>
      </c>
      <c r="S920" s="225">
        <f t="shared" si="14"/>
        <v>53236</v>
      </c>
      <c r="T920" s="162" t="s">
        <v>7610</v>
      </c>
      <c r="U920" s="7" t="s">
        <v>109</v>
      </c>
      <c r="V920" s="162" t="str" cm="1">
        <f t="array" ref="V920">_xlfn.IFS(C920="","",COUNTIF(C920,"ตำแหน่งว่าง*"),"ว่าง",COUNTIF(C920,"&lt;&gt;ตำแหน่งว่าง*"),"คนครอง")</f>
        <v>คนครอง</v>
      </c>
      <c r="W920" s="49" cm="1">
        <f t="array" ref="W920">_xlfn.IFS(COUNTIF(F920,"ผบ.หมู่*"),51,COUNTIF(F920,"รอง สว.*"),43)</f>
        <v>51</v>
      </c>
      <c r="X920" s="5" t="s">
        <v>2582</v>
      </c>
      <c r="Y920" s="5" t="s">
        <v>52</v>
      </c>
    </row>
    <row r="921" spans="1:25" s="12" customFormat="1" ht="21.3" customHeight="1">
      <c r="A921" s="27" t="s">
        <v>157</v>
      </c>
      <c r="B921" s="28" t="s">
        <v>21</v>
      </c>
      <c r="C921" s="95" t="s">
        <v>2585</v>
      </c>
      <c r="D921" s="27" t="s">
        <v>9014</v>
      </c>
      <c r="E921" s="27" t="s">
        <v>9015</v>
      </c>
      <c r="F921" s="95" t="s">
        <v>2554</v>
      </c>
      <c r="G921" s="101" t="s">
        <v>2587</v>
      </c>
      <c r="H921" s="75">
        <v>42501</v>
      </c>
      <c r="I921" s="75">
        <v>39717</v>
      </c>
      <c r="J921" s="75">
        <v>39717</v>
      </c>
      <c r="K921" s="75">
        <v>31173</v>
      </c>
      <c r="L921" s="11" t="s">
        <v>2588</v>
      </c>
      <c r="M921" s="1" t="s">
        <v>38</v>
      </c>
      <c r="N921" s="111" t="s">
        <v>14</v>
      </c>
      <c r="O921" s="104" t="s">
        <v>52</v>
      </c>
      <c r="P921" s="104" t="s">
        <v>52</v>
      </c>
      <c r="Q921" s="105"/>
      <c r="R921" s="28" t="s">
        <v>110</v>
      </c>
      <c r="S921" s="225">
        <f t="shared" si="14"/>
        <v>53236</v>
      </c>
      <c r="T921" s="162" t="s">
        <v>7610</v>
      </c>
      <c r="U921" s="7" t="s">
        <v>109</v>
      </c>
      <c r="V921" s="162" t="str" cm="1">
        <f t="array" ref="V921">_xlfn.IFS(C921="","",COUNTIF(C921,"ตำแหน่งว่าง*"),"ว่าง",COUNTIF(C921,"&lt;&gt;ตำแหน่งว่าง*"),"คนครอง")</f>
        <v>คนครอง</v>
      </c>
      <c r="W921" s="49" cm="1">
        <f t="array" ref="W921">_xlfn.IFS(COUNTIF(F921,"ผบ.หมู่*"),51,COUNTIF(F921,"รอง สว.*"),43)</f>
        <v>51</v>
      </c>
      <c r="X921" s="5" t="s">
        <v>2586</v>
      </c>
      <c r="Y921" s="5" t="s">
        <v>52</v>
      </c>
    </row>
    <row r="922" spans="1:25" s="12" customFormat="1" ht="21.3" customHeight="1">
      <c r="A922" s="27" t="s">
        <v>44</v>
      </c>
      <c r="B922" s="31" t="s">
        <v>21</v>
      </c>
      <c r="C922" s="95" t="s">
        <v>2589</v>
      </c>
      <c r="D922" s="27" t="s">
        <v>9016</v>
      </c>
      <c r="E922" s="27" t="s">
        <v>9017</v>
      </c>
      <c r="F922" s="95" t="s">
        <v>2572</v>
      </c>
      <c r="G922" s="101" t="s">
        <v>2591</v>
      </c>
      <c r="H922" s="80">
        <v>44651</v>
      </c>
      <c r="I922" s="75">
        <v>44651</v>
      </c>
      <c r="J922" s="80">
        <v>44651</v>
      </c>
      <c r="K922" s="75">
        <v>25433</v>
      </c>
      <c r="L922" s="17" t="s">
        <v>261</v>
      </c>
      <c r="M922" s="5" t="s">
        <v>38</v>
      </c>
      <c r="N922" s="111" t="s">
        <v>14</v>
      </c>
      <c r="O922" s="104" t="s">
        <v>52</v>
      </c>
      <c r="P922" s="104" t="s">
        <v>52</v>
      </c>
      <c r="Q922" s="108"/>
      <c r="R922" s="31" t="s">
        <v>2592</v>
      </c>
      <c r="S922" s="225">
        <f t="shared" si="14"/>
        <v>47392</v>
      </c>
      <c r="T922" s="162" t="s">
        <v>7610</v>
      </c>
      <c r="U922" s="7" t="s">
        <v>109</v>
      </c>
      <c r="V922" s="162" t="str" cm="1">
        <f t="array" ref="V922">_xlfn.IFS(C922="","",COUNTIF(C922,"ตำแหน่งว่าง*"),"ว่าง",COUNTIF(C922,"&lt;&gt;ตำแหน่งว่าง*"),"คนครอง")</f>
        <v>คนครอง</v>
      </c>
      <c r="W922" s="49" cm="1">
        <f t="array" ref="W922">_xlfn.IFS(COUNTIF(F922,"ผบ.หมู่*"),51,COUNTIF(F922,"รอง สว.*"),43)</f>
        <v>43</v>
      </c>
      <c r="X922" s="5" t="s">
        <v>2590</v>
      </c>
      <c r="Y922" s="5" t="s">
        <v>52</v>
      </c>
    </row>
    <row r="923" spans="1:25" s="10" customFormat="1" ht="21.3" customHeight="1">
      <c r="A923" s="27"/>
      <c r="B923" s="30"/>
      <c r="C923" s="30" t="s">
        <v>18</v>
      </c>
      <c r="D923" s="27"/>
      <c r="E923" s="27"/>
      <c r="F923" s="68" t="s">
        <v>2554</v>
      </c>
      <c r="G923" s="121" t="s">
        <v>2594</v>
      </c>
      <c r="H923" s="75" t="s">
        <v>19</v>
      </c>
      <c r="I923" s="73" t="s">
        <v>19</v>
      </c>
      <c r="J923" s="73" t="s">
        <v>19</v>
      </c>
      <c r="K923" s="73" t="s">
        <v>19</v>
      </c>
      <c r="L923" s="11"/>
      <c r="M923" s="1"/>
      <c r="N923" s="113" t="s">
        <v>14</v>
      </c>
      <c r="O923" s="122" t="s">
        <v>52</v>
      </c>
      <c r="P923" s="122" t="s">
        <v>52</v>
      </c>
      <c r="Q923" s="106"/>
      <c r="R923" s="30"/>
      <c r="S923" s="225" t="str">
        <f t="shared" si="14"/>
        <v/>
      </c>
      <c r="T923" s="7" t="s">
        <v>7610</v>
      </c>
      <c r="U923" s="7" t="s">
        <v>109</v>
      </c>
      <c r="V923" s="171" t="str" cm="1">
        <f t="array" ref="V923">_xlfn.IFS(C923="","",COUNTIF(C923,"ตำแหน่งว่าง*"),"ว่าง",COUNTIF(C923,"&lt;&gt;ตำแหน่งว่าง*"),"คนครอง")</f>
        <v>ว่าง</v>
      </c>
      <c r="W923" s="49" cm="1">
        <f t="array" ref="W923">_xlfn.IFS(COUNTIF(F923,"ผบ.หมู่*"),51,COUNTIF(F923,"รอง สว.*"),43)</f>
        <v>51</v>
      </c>
      <c r="X923" s="6" t="s">
        <v>2593</v>
      </c>
      <c r="Y923" s="6" t="s">
        <v>52</v>
      </c>
    </row>
    <row r="924" spans="1:25" s="10" customFormat="1" ht="21.3" customHeight="1">
      <c r="A924" s="27"/>
      <c r="B924" s="28"/>
      <c r="C924" s="30" t="s">
        <v>18</v>
      </c>
      <c r="D924" s="27"/>
      <c r="E924" s="27"/>
      <c r="F924" s="68" t="s">
        <v>2554</v>
      </c>
      <c r="G924" s="121" t="s">
        <v>2596</v>
      </c>
      <c r="H924" s="75" t="s">
        <v>19</v>
      </c>
      <c r="I924" s="73" t="s">
        <v>19</v>
      </c>
      <c r="J924" s="73" t="s">
        <v>19</v>
      </c>
      <c r="K924" s="73" t="s">
        <v>19</v>
      </c>
      <c r="L924" s="11"/>
      <c r="M924" s="1"/>
      <c r="N924" s="113" t="s">
        <v>14</v>
      </c>
      <c r="O924" s="122" t="s">
        <v>52</v>
      </c>
      <c r="P924" s="122" t="s">
        <v>52</v>
      </c>
      <c r="Q924" s="105"/>
      <c r="R924" s="28"/>
      <c r="S924" s="225" t="str">
        <f t="shared" si="14"/>
        <v/>
      </c>
      <c r="T924" s="7" t="s">
        <v>7610</v>
      </c>
      <c r="U924" s="7" t="s">
        <v>109</v>
      </c>
      <c r="V924" s="171" t="str" cm="1">
        <f t="array" ref="V924">_xlfn.IFS(C924="","",COUNTIF(C924,"ตำแหน่งว่าง*"),"ว่าง",COUNTIF(C924,"&lt;&gt;ตำแหน่งว่าง*"),"คนครอง")</f>
        <v>ว่าง</v>
      </c>
      <c r="W924" s="49" cm="1">
        <f t="array" ref="W924">_xlfn.IFS(COUNTIF(F924,"ผบ.หมู่*"),51,COUNTIF(F924,"รอง สว.*"),43)</f>
        <v>51</v>
      </c>
      <c r="X924" s="6" t="s">
        <v>2595</v>
      </c>
      <c r="Y924" s="6" t="s">
        <v>52</v>
      </c>
    </row>
    <row r="925" spans="1:25" s="10" customFormat="1" ht="21.3" customHeight="1">
      <c r="A925" s="27"/>
      <c r="B925" s="28"/>
      <c r="C925" s="30" t="s">
        <v>18</v>
      </c>
      <c r="D925" s="27"/>
      <c r="E925" s="27"/>
      <c r="F925" s="68" t="s">
        <v>2554</v>
      </c>
      <c r="G925" s="121" t="s">
        <v>2598</v>
      </c>
      <c r="H925" s="75" t="s">
        <v>19</v>
      </c>
      <c r="I925" s="73" t="s">
        <v>19</v>
      </c>
      <c r="J925" s="73" t="s">
        <v>19</v>
      </c>
      <c r="K925" s="73" t="s">
        <v>19</v>
      </c>
      <c r="L925" s="11"/>
      <c r="M925" s="1"/>
      <c r="N925" s="113" t="s">
        <v>14</v>
      </c>
      <c r="O925" s="122" t="s">
        <v>52</v>
      </c>
      <c r="P925" s="122" t="s">
        <v>52</v>
      </c>
      <c r="Q925" s="105"/>
      <c r="R925" s="28"/>
      <c r="S925" s="225" t="str">
        <f t="shared" si="14"/>
        <v/>
      </c>
      <c r="T925" s="7" t="s">
        <v>7610</v>
      </c>
      <c r="U925" s="7" t="s">
        <v>109</v>
      </c>
      <c r="V925" s="171" t="str" cm="1">
        <f t="array" ref="V925">_xlfn.IFS(C925="","",COUNTIF(C925,"ตำแหน่งว่าง*"),"ว่าง",COUNTIF(C925,"&lt;&gt;ตำแหน่งว่าง*"),"คนครอง")</f>
        <v>ว่าง</v>
      </c>
      <c r="W925" s="49" cm="1">
        <f t="array" ref="W925">_xlfn.IFS(COUNTIF(F925,"ผบ.หมู่*"),51,COUNTIF(F925,"รอง สว.*"),43)</f>
        <v>51</v>
      </c>
      <c r="X925" s="6" t="s">
        <v>2597</v>
      </c>
      <c r="Y925" s="6" t="s">
        <v>52</v>
      </c>
    </row>
    <row r="926" spans="1:25" s="10" customFormat="1" ht="21.3" customHeight="1">
      <c r="A926" s="27"/>
      <c r="B926" s="28"/>
      <c r="C926" s="30" t="s">
        <v>18</v>
      </c>
      <c r="D926" s="27"/>
      <c r="E926" s="27"/>
      <c r="F926" s="68" t="s">
        <v>2554</v>
      </c>
      <c r="G926" s="121" t="s">
        <v>2600</v>
      </c>
      <c r="H926" s="75" t="s">
        <v>19</v>
      </c>
      <c r="I926" s="73" t="s">
        <v>19</v>
      </c>
      <c r="J926" s="73" t="s">
        <v>19</v>
      </c>
      <c r="K926" s="73" t="s">
        <v>19</v>
      </c>
      <c r="L926" s="11"/>
      <c r="M926" s="1"/>
      <c r="N926" s="113" t="s">
        <v>14</v>
      </c>
      <c r="O926" s="122" t="s">
        <v>52</v>
      </c>
      <c r="P926" s="122" t="s">
        <v>52</v>
      </c>
      <c r="Q926" s="105"/>
      <c r="R926" s="28"/>
      <c r="S926" s="225" t="str">
        <f t="shared" si="14"/>
        <v/>
      </c>
      <c r="T926" s="7" t="s">
        <v>7610</v>
      </c>
      <c r="U926" s="7" t="s">
        <v>109</v>
      </c>
      <c r="V926" s="171" t="str" cm="1">
        <f t="array" ref="V926">_xlfn.IFS(C926="","",COUNTIF(C926,"ตำแหน่งว่าง*"),"ว่าง",COUNTIF(C926,"&lt;&gt;ตำแหน่งว่าง*"),"คนครอง")</f>
        <v>ว่าง</v>
      </c>
      <c r="W926" s="49" cm="1">
        <f t="array" ref="W926">_xlfn.IFS(COUNTIF(F926,"ผบ.หมู่*"),51,COUNTIF(F926,"รอง สว.*"),43)</f>
        <v>51</v>
      </c>
      <c r="X926" s="6" t="s">
        <v>2599</v>
      </c>
      <c r="Y926" s="6" t="s">
        <v>52</v>
      </c>
    </row>
    <row r="927" spans="1:25" s="10" customFormat="1" ht="21.3" customHeight="1">
      <c r="A927" s="27"/>
      <c r="B927" s="28"/>
      <c r="C927" s="30" t="s">
        <v>18</v>
      </c>
      <c r="D927" s="27"/>
      <c r="E927" s="27"/>
      <c r="F927" s="68" t="s">
        <v>2554</v>
      </c>
      <c r="G927" s="121" t="s">
        <v>2602</v>
      </c>
      <c r="H927" s="75" t="s">
        <v>19</v>
      </c>
      <c r="I927" s="73" t="s">
        <v>19</v>
      </c>
      <c r="J927" s="73" t="s">
        <v>19</v>
      </c>
      <c r="K927" s="73" t="s">
        <v>19</v>
      </c>
      <c r="L927" s="11"/>
      <c r="M927" s="1"/>
      <c r="N927" s="113" t="s">
        <v>14</v>
      </c>
      <c r="O927" s="122" t="s">
        <v>52</v>
      </c>
      <c r="P927" s="122" t="s">
        <v>52</v>
      </c>
      <c r="Q927" s="105"/>
      <c r="R927" s="28"/>
      <c r="S927" s="225" t="str">
        <f t="shared" si="14"/>
        <v/>
      </c>
      <c r="T927" s="7" t="s">
        <v>7610</v>
      </c>
      <c r="U927" s="7" t="s">
        <v>109</v>
      </c>
      <c r="V927" s="171" t="str" cm="1">
        <f t="array" ref="V927">_xlfn.IFS(C927="","",COUNTIF(C927,"ตำแหน่งว่าง*"),"ว่าง",COUNTIF(C927,"&lt;&gt;ตำแหน่งว่าง*"),"คนครอง")</f>
        <v>ว่าง</v>
      </c>
      <c r="W927" s="49" cm="1">
        <f t="array" ref="W927">_xlfn.IFS(COUNTIF(F927,"ผบ.หมู่*"),51,COUNTIF(F927,"รอง สว.*"),43)</f>
        <v>51</v>
      </c>
      <c r="X927" s="6" t="s">
        <v>2601</v>
      </c>
      <c r="Y927" s="6" t="s">
        <v>52</v>
      </c>
    </row>
    <row r="928" spans="1:25" s="10" customFormat="1" ht="21.3" customHeight="1">
      <c r="A928" s="27"/>
      <c r="B928" s="28"/>
      <c r="C928" s="30" t="s">
        <v>18</v>
      </c>
      <c r="D928" s="27"/>
      <c r="E928" s="27"/>
      <c r="F928" s="68" t="s">
        <v>2554</v>
      </c>
      <c r="G928" s="121" t="s">
        <v>2604</v>
      </c>
      <c r="H928" s="75" t="s">
        <v>19</v>
      </c>
      <c r="I928" s="73" t="s">
        <v>19</v>
      </c>
      <c r="J928" s="73" t="s">
        <v>19</v>
      </c>
      <c r="K928" s="73" t="s">
        <v>19</v>
      </c>
      <c r="L928" s="11"/>
      <c r="M928" s="1"/>
      <c r="N928" s="113" t="s">
        <v>14</v>
      </c>
      <c r="O928" s="122" t="s">
        <v>52</v>
      </c>
      <c r="P928" s="122" t="s">
        <v>52</v>
      </c>
      <c r="Q928" s="105"/>
      <c r="R928" s="28"/>
      <c r="S928" s="225" t="str">
        <f t="shared" si="14"/>
        <v/>
      </c>
      <c r="T928" s="7" t="s">
        <v>7610</v>
      </c>
      <c r="U928" s="7" t="s">
        <v>109</v>
      </c>
      <c r="V928" s="171" t="str" cm="1">
        <f t="array" ref="V928">_xlfn.IFS(C928="","",COUNTIF(C928,"ตำแหน่งว่าง*"),"ว่าง",COUNTIF(C928,"&lt;&gt;ตำแหน่งว่าง*"),"คนครอง")</f>
        <v>ว่าง</v>
      </c>
      <c r="W928" s="49" cm="1">
        <f t="array" ref="W928">_xlfn.IFS(COUNTIF(F928,"ผบ.หมู่*"),51,COUNTIF(F928,"รอง สว.*"),43)</f>
        <v>51</v>
      </c>
      <c r="X928" s="6" t="s">
        <v>2603</v>
      </c>
      <c r="Y928" s="6" t="s">
        <v>52</v>
      </c>
    </row>
    <row r="929" spans="1:25" s="9" customFormat="1" ht="21.3" customHeight="1">
      <c r="A929" s="27" t="s">
        <v>157</v>
      </c>
      <c r="B929" s="28" t="s">
        <v>21</v>
      </c>
      <c r="C929" s="27" t="s">
        <v>2777</v>
      </c>
      <c r="D929" s="27" t="s">
        <v>9018</v>
      </c>
      <c r="E929" s="27" t="s">
        <v>9019</v>
      </c>
      <c r="F929" s="27" t="s">
        <v>2778</v>
      </c>
      <c r="G929" s="101" t="s">
        <v>2780</v>
      </c>
      <c r="H929" s="75">
        <v>43656</v>
      </c>
      <c r="I929" s="73">
        <v>34729</v>
      </c>
      <c r="J929" s="73">
        <v>34729</v>
      </c>
      <c r="K929" s="73">
        <v>27035</v>
      </c>
      <c r="L929" s="11" t="s">
        <v>722</v>
      </c>
      <c r="M929" s="1" t="s">
        <v>63</v>
      </c>
      <c r="N929" s="112" t="s">
        <v>14</v>
      </c>
      <c r="O929" s="104" t="s">
        <v>52</v>
      </c>
      <c r="P929" s="104" t="s">
        <v>52</v>
      </c>
      <c r="Q929" s="105"/>
      <c r="R929" s="28" t="s">
        <v>713</v>
      </c>
      <c r="S929" s="225">
        <f t="shared" si="14"/>
        <v>49218</v>
      </c>
      <c r="T929" s="2" t="s">
        <v>7615</v>
      </c>
      <c r="U929" s="7" t="s">
        <v>109</v>
      </c>
      <c r="V929" s="162" t="str" cm="1">
        <f t="array" ref="V929">_xlfn.IFS(C929="","",COUNTIF(C929,"ตำแหน่งว่าง*"),"ว่าง",COUNTIF(C929,"&lt;&gt;ตำแหน่งว่าง*"),"คนครอง")</f>
        <v>คนครอง</v>
      </c>
      <c r="W929" s="49" cm="1">
        <f t="array" ref="W929">_xlfn.IFS(COUNTIF(F929,"ผบ.หมู่*"),51,COUNTIF(F929,"รอง สว.*"),43)</f>
        <v>51</v>
      </c>
      <c r="X929" s="1" t="s">
        <v>2779</v>
      </c>
      <c r="Y929" s="1" t="s">
        <v>52</v>
      </c>
    </row>
    <row r="930" spans="1:25" s="12" customFormat="1" ht="21.3" customHeight="1">
      <c r="A930" s="27" t="s">
        <v>208</v>
      </c>
      <c r="B930" s="28" t="s">
        <v>21</v>
      </c>
      <c r="C930" s="27" t="s">
        <v>10798</v>
      </c>
      <c r="D930" s="27" t="s">
        <v>10799</v>
      </c>
      <c r="E930" s="27" t="s">
        <v>10800</v>
      </c>
      <c r="F930" s="27" t="s">
        <v>2778</v>
      </c>
      <c r="G930" s="101" t="s">
        <v>2783</v>
      </c>
      <c r="H930" s="75">
        <v>45768</v>
      </c>
      <c r="I930" s="75" t="s">
        <v>7609</v>
      </c>
      <c r="J930" s="75" t="s">
        <v>7609</v>
      </c>
      <c r="K930" s="73">
        <v>32234</v>
      </c>
      <c r="L930" s="11" t="s">
        <v>7733</v>
      </c>
      <c r="M930" s="28" t="s">
        <v>7609</v>
      </c>
      <c r="N930" s="112" t="s">
        <v>14</v>
      </c>
      <c r="O930" s="104" t="s">
        <v>52</v>
      </c>
      <c r="P930" s="104" t="s">
        <v>52</v>
      </c>
      <c r="Q930" s="105"/>
      <c r="R930" s="28" t="s">
        <v>10804</v>
      </c>
      <c r="S930" s="174">
        <f t="shared" si="14"/>
        <v>54332</v>
      </c>
      <c r="T930" s="2" t="s">
        <v>7615</v>
      </c>
      <c r="U930" s="2" t="s">
        <v>109</v>
      </c>
      <c r="V930" s="2" t="str" cm="1">
        <f t="array" ref="V930">_xlfn.IFS(C930="","",COUNTIF(C930,"ตำแหน่งว่าง*"),"ว่าง",COUNTIF(C930,"&lt;&gt;ตำแหน่งว่าง*"),"คนครอง")</f>
        <v>คนครอง</v>
      </c>
      <c r="W930" s="170" cm="1">
        <f t="array" ref="W930">_xlfn.IFS(COUNTIF(F930,"ผบ.หมู่*"),51,COUNTIF(F930,"รอง สว.*"),43)</f>
        <v>51</v>
      </c>
      <c r="X930" s="1" t="s">
        <v>2782</v>
      </c>
      <c r="Y930" s="1" t="s">
        <v>52</v>
      </c>
    </row>
    <row r="931" spans="1:25" s="12" customFormat="1" ht="21.3" customHeight="1">
      <c r="A931" s="132" t="s">
        <v>10753</v>
      </c>
      <c r="B931" s="28" t="s">
        <v>12</v>
      </c>
      <c r="C931" s="95" t="s">
        <v>2784</v>
      </c>
      <c r="D931" s="27" t="s">
        <v>9020</v>
      </c>
      <c r="E931" s="27" t="s">
        <v>8295</v>
      </c>
      <c r="F931" s="95" t="s">
        <v>2781</v>
      </c>
      <c r="G931" s="101" t="s">
        <v>2786</v>
      </c>
      <c r="H931" s="91">
        <v>45382</v>
      </c>
      <c r="I931" s="73">
        <v>45382</v>
      </c>
      <c r="J931" s="73">
        <v>34352</v>
      </c>
      <c r="K931" s="73">
        <v>25843</v>
      </c>
      <c r="L931" s="11" t="s">
        <v>112</v>
      </c>
      <c r="M931" s="1" t="s">
        <v>63</v>
      </c>
      <c r="N931" s="111" t="s">
        <v>14</v>
      </c>
      <c r="O931" s="104" t="s">
        <v>52</v>
      </c>
      <c r="P931" s="104" t="s">
        <v>52</v>
      </c>
      <c r="Q931" s="105"/>
      <c r="R931" s="33" t="s">
        <v>7801</v>
      </c>
      <c r="S931" s="225">
        <f t="shared" si="14"/>
        <v>48122</v>
      </c>
      <c r="T931" s="162" t="s">
        <v>7615</v>
      </c>
      <c r="U931" s="7" t="s">
        <v>109</v>
      </c>
      <c r="V931" s="162" t="str" cm="1">
        <f t="array" ref="V931">_xlfn.IFS(C931="","",COUNTIF(C931,"ตำแหน่งว่าง*"),"ว่าง",COUNTIF(C931,"&lt;&gt;ตำแหน่งว่าง*"),"คนครอง")</f>
        <v>คนครอง</v>
      </c>
      <c r="W931" s="49" cm="1">
        <f t="array" ref="W931">_xlfn.IFS(COUNTIF(F931,"ผบ.หมู่*"),51,COUNTIF(F931,"รอง สว.*"),43)</f>
        <v>43</v>
      </c>
      <c r="X931" s="5" t="s">
        <v>2785</v>
      </c>
      <c r="Y931" s="5" t="s">
        <v>52</v>
      </c>
    </row>
    <row r="932" spans="1:25" s="9" customFormat="1" ht="21.3" customHeight="1">
      <c r="A932" s="132" t="s">
        <v>10753</v>
      </c>
      <c r="B932" s="28" t="s">
        <v>21</v>
      </c>
      <c r="C932" s="27" t="s">
        <v>1961</v>
      </c>
      <c r="D932" s="27" t="s">
        <v>9021</v>
      </c>
      <c r="E932" s="27" t="s">
        <v>9022</v>
      </c>
      <c r="F932" s="27" t="s">
        <v>2781</v>
      </c>
      <c r="G932" s="101" t="s">
        <v>2788</v>
      </c>
      <c r="H932" s="91">
        <v>45382</v>
      </c>
      <c r="I932" s="73">
        <v>45382</v>
      </c>
      <c r="J932" s="73">
        <v>37316</v>
      </c>
      <c r="K932" s="73">
        <v>26029</v>
      </c>
      <c r="L932" s="2" t="s">
        <v>1964</v>
      </c>
      <c r="M932" s="1" t="s">
        <v>63</v>
      </c>
      <c r="N932" s="112" t="s">
        <v>14</v>
      </c>
      <c r="O932" s="104" t="s">
        <v>52</v>
      </c>
      <c r="P932" s="104" t="s">
        <v>52</v>
      </c>
      <c r="Q932" s="105"/>
      <c r="R932" s="33" t="s">
        <v>7801</v>
      </c>
      <c r="S932" s="225">
        <f t="shared" si="14"/>
        <v>48122</v>
      </c>
      <c r="T932" s="2" t="s">
        <v>7615</v>
      </c>
      <c r="U932" s="7" t="s">
        <v>109</v>
      </c>
      <c r="V932" s="162" t="str" cm="1">
        <f t="array" ref="V932">_xlfn.IFS(C932="","",COUNTIF(C932,"ตำแหน่งว่าง*"),"ว่าง",COUNTIF(C932,"&lt;&gt;ตำแหน่งว่าง*"),"คนครอง")</f>
        <v>คนครอง</v>
      </c>
      <c r="W932" s="49" cm="1">
        <f t="array" ref="W932">_xlfn.IFS(COUNTIF(F932,"ผบ.หมู่*"),51,COUNTIF(F932,"รอง สว.*"),43)</f>
        <v>43</v>
      </c>
      <c r="X932" s="1" t="s">
        <v>2787</v>
      </c>
      <c r="Y932" s="1" t="s">
        <v>52</v>
      </c>
    </row>
    <row r="933" spans="1:25" s="10" customFormat="1" ht="21.3" customHeight="1">
      <c r="A933" s="68"/>
      <c r="B933" s="30"/>
      <c r="C933" s="30" t="s">
        <v>18</v>
      </c>
      <c r="D933" s="27"/>
      <c r="E933" s="27"/>
      <c r="F933" s="68" t="s">
        <v>2778</v>
      </c>
      <c r="G933" s="121" t="s">
        <v>2790</v>
      </c>
      <c r="H933" s="80" t="s">
        <v>19</v>
      </c>
      <c r="I933" s="74" t="s">
        <v>19</v>
      </c>
      <c r="J933" s="74" t="s">
        <v>19</v>
      </c>
      <c r="K933" s="74" t="s">
        <v>19</v>
      </c>
      <c r="L933" s="16"/>
      <c r="M933" s="6"/>
      <c r="N933" s="113" t="s">
        <v>14</v>
      </c>
      <c r="O933" s="122" t="s">
        <v>52</v>
      </c>
      <c r="P933" s="122" t="s">
        <v>52</v>
      </c>
      <c r="Q933" s="106"/>
      <c r="R933" s="30"/>
      <c r="S933" s="225" t="str">
        <f t="shared" si="14"/>
        <v/>
      </c>
      <c r="T933" s="7" t="s">
        <v>7615</v>
      </c>
      <c r="U933" s="7" t="s">
        <v>109</v>
      </c>
      <c r="V933" s="171" t="str" cm="1">
        <f t="array" ref="V933">_xlfn.IFS(C933="","",COUNTIF(C933,"ตำแหน่งว่าง*"),"ว่าง",COUNTIF(C933,"&lt;&gt;ตำแหน่งว่าง*"),"คนครอง")</f>
        <v>ว่าง</v>
      </c>
      <c r="W933" s="49" cm="1">
        <f t="array" ref="W933">_xlfn.IFS(COUNTIF(F933,"ผบ.หมู่*"),51,COUNTIF(F933,"รอง สว.*"),43)</f>
        <v>51</v>
      </c>
      <c r="X933" s="6" t="s">
        <v>2789</v>
      </c>
      <c r="Y933" s="6" t="s">
        <v>52</v>
      </c>
    </row>
    <row r="934" spans="1:25" s="9" customFormat="1" ht="21.3" customHeight="1">
      <c r="A934" s="27" t="s">
        <v>10753</v>
      </c>
      <c r="B934" s="28" t="s">
        <v>21</v>
      </c>
      <c r="C934" s="27" t="s">
        <v>2791</v>
      </c>
      <c r="D934" s="27" t="s">
        <v>9023</v>
      </c>
      <c r="E934" s="27" t="s">
        <v>9024</v>
      </c>
      <c r="F934" s="27" t="s">
        <v>2781</v>
      </c>
      <c r="G934" s="101" t="s">
        <v>2793</v>
      </c>
      <c r="H934" s="75">
        <v>43656</v>
      </c>
      <c r="I934" s="73">
        <v>40544</v>
      </c>
      <c r="J934" s="73">
        <v>40544</v>
      </c>
      <c r="K934" s="73">
        <v>26507</v>
      </c>
      <c r="L934" s="11" t="s">
        <v>112</v>
      </c>
      <c r="M934" s="1" t="s">
        <v>63</v>
      </c>
      <c r="N934" s="112" t="s">
        <v>14</v>
      </c>
      <c r="O934" s="104" t="s">
        <v>52</v>
      </c>
      <c r="P934" s="104" t="s">
        <v>52</v>
      </c>
      <c r="Q934" s="105"/>
      <c r="R934" s="28" t="s">
        <v>2794</v>
      </c>
      <c r="S934" s="225">
        <f t="shared" si="14"/>
        <v>48488</v>
      </c>
      <c r="T934" s="2" t="s">
        <v>7615</v>
      </c>
      <c r="U934" s="7" t="s">
        <v>109</v>
      </c>
      <c r="V934" s="162" t="str" cm="1">
        <f t="array" ref="V934">_xlfn.IFS(C934="","",COUNTIF(C934,"ตำแหน่งว่าง*"),"ว่าง",COUNTIF(C934,"&lt;&gt;ตำแหน่งว่าง*"),"คนครอง")</f>
        <v>คนครอง</v>
      </c>
      <c r="W934" s="49" cm="1">
        <f t="array" ref="W934">_xlfn.IFS(COUNTIF(F934,"ผบ.หมู่*"),51,COUNTIF(F934,"รอง สว.*"),43)</f>
        <v>43</v>
      </c>
      <c r="X934" s="1" t="s">
        <v>2792</v>
      </c>
      <c r="Y934" s="1" t="s">
        <v>52</v>
      </c>
    </row>
    <row r="935" spans="1:25" s="9" customFormat="1" ht="21.3" customHeight="1">
      <c r="A935" s="27"/>
      <c r="B935" s="28"/>
      <c r="C935" s="30" t="s">
        <v>18</v>
      </c>
      <c r="D935" s="27"/>
      <c r="E935" s="27"/>
      <c r="F935" s="68" t="s">
        <v>2778</v>
      </c>
      <c r="G935" s="121" t="s">
        <v>2796</v>
      </c>
      <c r="H935" s="80"/>
      <c r="I935" s="74"/>
      <c r="J935" s="74"/>
      <c r="K935" s="74"/>
      <c r="L935" s="16"/>
      <c r="M935" s="6"/>
      <c r="N935" s="113" t="s">
        <v>14</v>
      </c>
      <c r="O935" s="122" t="s">
        <v>52</v>
      </c>
      <c r="P935" s="122" t="s">
        <v>52</v>
      </c>
      <c r="Q935" s="106"/>
      <c r="R935" s="30"/>
      <c r="S935" s="225" t="str">
        <f t="shared" si="14"/>
        <v/>
      </c>
      <c r="T935" s="2" t="s">
        <v>7615</v>
      </c>
      <c r="U935" s="7" t="s">
        <v>109</v>
      </c>
      <c r="V935" s="171" t="str" cm="1">
        <f t="array" ref="V935">_xlfn.IFS(C935="","",COUNTIF(C935,"ตำแหน่งว่าง*"),"ว่าง",COUNTIF(C935,"&lt;&gt;ตำแหน่งว่าง*"),"คนครอง")</f>
        <v>ว่าง</v>
      </c>
      <c r="W935" s="49" cm="1">
        <f t="array" ref="W935">_xlfn.IFS(COUNTIF(F935,"ผบ.หมู่*"),51,COUNTIF(F935,"รอง สว.*"),43)</f>
        <v>51</v>
      </c>
      <c r="X935" s="6" t="s">
        <v>2795</v>
      </c>
      <c r="Y935" s="6" t="s">
        <v>52</v>
      </c>
    </row>
    <row r="936" spans="1:25" s="9" customFormat="1" ht="21.3" customHeight="1">
      <c r="A936" s="68"/>
      <c r="B936" s="30"/>
      <c r="C936" s="30" t="s">
        <v>18</v>
      </c>
      <c r="D936" s="27"/>
      <c r="E936" s="27"/>
      <c r="F936" s="68" t="s">
        <v>2778</v>
      </c>
      <c r="G936" s="121" t="s">
        <v>2798</v>
      </c>
      <c r="H936" s="80"/>
      <c r="I936" s="74"/>
      <c r="J936" s="74"/>
      <c r="K936" s="74"/>
      <c r="L936" s="16"/>
      <c r="M936" s="6"/>
      <c r="N936" s="113" t="s">
        <v>14</v>
      </c>
      <c r="O936" s="122" t="s">
        <v>52</v>
      </c>
      <c r="P936" s="122" t="s">
        <v>52</v>
      </c>
      <c r="Q936" s="106"/>
      <c r="R936" s="30"/>
      <c r="S936" s="225" t="str">
        <f t="shared" si="14"/>
        <v/>
      </c>
      <c r="T936" s="2" t="s">
        <v>7615</v>
      </c>
      <c r="U936" s="7" t="s">
        <v>109</v>
      </c>
      <c r="V936" s="171" t="str" cm="1">
        <f t="array" ref="V936">_xlfn.IFS(C936="","",COUNTIF(C936,"ตำแหน่งว่าง*"),"ว่าง",COUNTIF(C936,"&lt;&gt;ตำแหน่งว่าง*"),"คนครอง")</f>
        <v>ว่าง</v>
      </c>
      <c r="W936" s="49" cm="1">
        <f t="array" ref="W936">_xlfn.IFS(COUNTIF(F936,"ผบ.หมู่*"),51,COUNTIF(F936,"รอง สว.*"),43)</f>
        <v>51</v>
      </c>
      <c r="X936" s="6" t="s">
        <v>2797</v>
      </c>
      <c r="Y936" s="6" t="s">
        <v>52</v>
      </c>
    </row>
    <row r="937" spans="1:25" s="10" customFormat="1" ht="21.3" customHeight="1">
      <c r="A937" s="27"/>
      <c r="B937" s="28"/>
      <c r="C937" s="30" t="s">
        <v>18</v>
      </c>
      <c r="D937" s="27"/>
      <c r="E937" s="27"/>
      <c r="F937" s="68" t="s">
        <v>2778</v>
      </c>
      <c r="G937" s="121" t="s">
        <v>2800</v>
      </c>
      <c r="H937" s="75" t="s">
        <v>19</v>
      </c>
      <c r="I937" s="73" t="s">
        <v>19</v>
      </c>
      <c r="J937" s="73" t="s">
        <v>19</v>
      </c>
      <c r="K937" s="73" t="s">
        <v>19</v>
      </c>
      <c r="L937" s="11"/>
      <c r="M937" s="1"/>
      <c r="N937" s="113" t="s">
        <v>14</v>
      </c>
      <c r="O937" s="122" t="s">
        <v>52</v>
      </c>
      <c r="P937" s="122" t="s">
        <v>52</v>
      </c>
      <c r="Q937" s="105"/>
      <c r="R937" s="28"/>
      <c r="S937" s="225" t="str">
        <f t="shared" si="14"/>
        <v/>
      </c>
      <c r="T937" s="7" t="s">
        <v>7615</v>
      </c>
      <c r="U937" s="7" t="s">
        <v>109</v>
      </c>
      <c r="V937" s="171" t="str" cm="1">
        <f t="array" ref="V937">_xlfn.IFS(C937="","",COUNTIF(C937,"ตำแหน่งว่าง*"),"ว่าง",COUNTIF(C937,"&lt;&gt;ตำแหน่งว่าง*"),"คนครอง")</f>
        <v>ว่าง</v>
      </c>
      <c r="W937" s="49" cm="1">
        <f t="array" ref="W937">_xlfn.IFS(COUNTIF(F937,"ผบ.หมู่*"),51,COUNTIF(F937,"รอง สว.*"),43)</f>
        <v>51</v>
      </c>
      <c r="X937" s="6" t="s">
        <v>2799</v>
      </c>
      <c r="Y937" s="6" t="s">
        <v>52</v>
      </c>
    </row>
    <row r="938" spans="1:25" s="12" customFormat="1" ht="21.3" customHeight="1">
      <c r="A938" s="27"/>
      <c r="B938" s="28"/>
      <c r="C938" s="30" t="s">
        <v>18</v>
      </c>
      <c r="D938" s="27"/>
      <c r="E938" s="27"/>
      <c r="F938" s="95" t="s">
        <v>2778</v>
      </c>
      <c r="G938" s="101" t="s">
        <v>2802</v>
      </c>
      <c r="H938" s="75"/>
      <c r="I938" s="73"/>
      <c r="J938" s="73"/>
      <c r="K938" s="73"/>
      <c r="L938" s="11"/>
      <c r="M938" s="1"/>
      <c r="N938" s="111" t="s">
        <v>14</v>
      </c>
      <c r="O938" s="104" t="s">
        <v>52</v>
      </c>
      <c r="P938" s="104" t="s">
        <v>52</v>
      </c>
      <c r="Q938" s="105"/>
      <c r="R938" s="28"/>
      <c r="S938" s="225" t="str">
        <f t="shared" si="14"/>
        <v/>
      </c>
      <c r="T938" s="162" t="s">
        <v>7615</v>
      </c>
      <c r="U938" s="7" t="s">
        <v>109</v>
      </c>
      <c r="V938" s="162" t="str" cm="1">
        <f t="array" ref="V938">_xlfn.IFS(C938="","",COUNTIF(C938,"ตำแหน่งว่าง*"),"ว่าง",COUNTIF(C938,"&lt;&gt;ตำแหน่งว่าง*"),"คนครอง")</f>
        <v>ว่าง</v>
      </c>
      <c r="W938" s="49" cm="1">
        <f t="array" ref="W938">_xlfn.IFS(COUNTIF(F938,"ผบ.หมู่*"),51,COUNTIF(F938,"รอง สว.*"),43)</f>
        <v>51</v>
      </c>
      <c r="X938" s="5" t="s">
        <v>2801</v>
      </c>
      <c r="Y938" s="5" t="s">
        <v>52</v>
      </c>
    </row>
    <row r="939" spans="1:25" s="10" customFormat="1" ht="21.3" customHeight="1">
      <c r="A939" s="27"/>
      <c r="B939" s="28"/>
      <c r="C939" s="30" t="s">
        <v>18</v>
      </c>
      <c r="D939" s="27"/>
      <c r="E939" s="27"/>
      <c r="F939" s="68" t="s">
        <v>2778</v>
      </c>
      <c r="G939" s="121" t="s">
        <v>2804</v>
      </c>
      <c r="H939" s="75" t="s">
        <v>19</v>
      </c>
      <c r="I939" s="73" t="s">
        <v>19</v>
      </c>
      <c r="J939" s="73" t="s">
        <v>19</v>
      </c>
      <c r="K939" s="73" t="s">
        <v>19</v>
      </c>
      <c r="L939" s="11"/>
      <c r="M939" s="1"/>
      <c r="N939" s="113" t="s">
        <v>14</v>
      </c>
      <c r="O939" s="122" t="s">
        <v>52</v>
      </c>
      <c r="P939" s="122" t="s">
        <v>52</v>
      </c>
      <c r="Q939" s="105"/>
      <c r="R939" s="28"/>
      <c r="S939" s="225" t="str">
        <f t="shared" si="14"/>
        <v/>
      </c>
      <c r="T939" s="7" t="s">
        <v>7615</v>
      </c>
      <c r="U939" s="7" t="s">
        <v>109</v>
      </c>
      <c r="V939" s="171" t="str" cm="1">
        <f t="array" ref="V939">_xlfn.IFS(C939="","",COUNTIF(C939,"ตำแหน่งว่าง*"),"ว่าง",COUNTIF(C939,"&lt;&gt;ตำแหน่งว่าง*"),"คนครอง")</f>
        <v>ว่าง</v>
      </c>
      <c r="W939" s="49" cm="1">
        <f t="array" ref="W939">_xlfn.IFS(COUNTIF(F939,"ผบ.หมู่*"),51,COUNTIF(F939,"รอง สว.*"),43)</f>
        <v>51</v>
      </c>
      <c r="X939" s="6" t="s">
        <v>2803</v>
      </c>
      <c r="Y939" s="6" t="s">
        <v>52</v>
      </c>
    </row>
    <row r="940" spans="1:25" s="12" customFormat="1" ht="21.3" customHeight="1">
      <c r="A940" s="27" t="s">
        <v>157</v>
      </c>
      <c r="B940" s="28" t="s">
        <v>21</v>
      </c>
      <c r="C940" s="95" t="s">
        <v>2805</v>
      </c>
      <c r="D940" s="27" t="s">
        <v>8202</v>
      </c>
      <c r="E940" s="27" t="s">
        <v>9025</v>
      </c>
      <c r="F940" s="95" t="s">
        <v>2778</v>
      </c>
      <c r="G940" s="101" t="s">
        <v>2807</v>
      </c>
      <c r="H940" s="75">
        <v>42501</v>
      </c>
      <c r="I940" s="73">
        <v>35551</v>
      </c>
      <c r="J940" s="73">
        <v>34729</v>
      </c>
      <c r="K940" s="73">
        <v>27878</v>
      </c>
      <c r="L940" s="11" t="s">
        <v>1980</v>
      </c>
      <c r="M940" s="1" t="s">
        <v>63</v>
      </c>
      <c r="N940" s="111" t="s">
        <v>14</v>
      </c>
      <c r="O940" s="104" t="s">
        <v>52</v>
      </c>
      <c r="P940" s="104" t="s">
        <v>52</v>
      </c>
      <c r="Q940" s="105"/>
      <c r="R940" s="28" t="s">
        <v>110</v>
      </c>
      <c r="S940" s="225">
        <f t="shared" si="14"/>
        <v>49949</v>
      </c>
      <c r="T940" s="162" t="s">
        <v>7615</v>
      </c>
      <c r="U940" s="7" t="s">
        <v>109</v>
      </c>
      <c r="V940" s="162" t="str" cm="1">
        <f t="array" ref="V940">_xlfn.IFS(C940="","",COUNTIF(C940,"ตำแหน่งว่าง*"),"ว่าง",COUNTIF(C940,"&lt;&gt;ตำแหน่งว่าง*"),"คนครอง")</f>
        <v>คนครอง</v>
      </c>
      <c r="W940" s="49" cm="1">
        <f t="array" ref="W940">_xlfn.IFS(COUNTIF(F940,"ผบ.หมู่*"),51,COUNTIF(F940,"รอง สว.*"),43)</f>
        <v>51</v>
      </c>
      <c r="X940" s="5" t="s">
        <v>2806</v>
      </c>
      <c r="Y940" s="5" t="s">
        <v>52</v>
      </c>
    </row>
    <row r="941" spans="1:25" s="12" customFormat="1" ht="21.3" customHeight="1">
      <c r="A941" s="27" t="s">
        <v>157</v>
      </c>
      <c r="B941" s="28" t="s">
        <v>21</v>
      </c>
      <c r="C941" s="95" t="s">
        <v>2808</v>
      </c>
      <c r="D941" s="27" t="s">
        <v>9026</v>
      </c>
      <c r="E941" s="27" t="s">
        <v>9027</v>
      </c>
      <c r="F941" s="95" t="s">
        <v>2778</v>
      </c>
      <c r="G941" s="101" t="s">
        <v>2810</v>
      </c>
      <c r="H941" s="75">
        <v>42501</v>
      </c>
      <c r="I941" s="73">
        <v>35551</v>
      </c>
      <c r="J941" s="73">
        <v>34729</v>
      </c>
      <c r="K941" s="73">
        <v>27494</v>
      </c>
      <c r="L941" s="11" t="s">
        <v>591</v>
      </c>
      <c r="M941" s="1" t="s">
        <v>63</v>
      </c>
      <c r="N941" s="111" t="s">
        <v>14</v>
      </c>
      <c r="O941" s="104" t="s">
        <v>52</v>
      </c>
      <c r="P941" s="104" t="s">
        <v>52</v>
      </c>
      <c r="Q941" s="105"/>
      <c r="R941" s="28" t="s">
        <v>110</v>
      </c>
      <c r="S941" s="225">
        <f t="shared" si="14"/>
        <v>49583</v>
      </c>
      <c r="T941" s="162" t="s">
        <v>7615</v>
      </c>
      <c r="U941" s="7" t="s">
        <v>109</v>
      </c>
      <c r="V941" s="162" t="str" cm="1">
        <f t="array" ref="V941">_xlfn.IFS(C941="","",COUNTIF(C941,"ตำแหน่งว่าง*"),"ว่าง",COUNTIF(C941,"&lt;&gt;ตำแหน่งว่าง*"),"คนครอง")</f>
        <v>คนครอง</v>
      </c>
      <c r="W941" s="49" cm="1">
        <f t="array" ref="W941">_xlfn.IFS(COUNTIF(F941,"ผบ.หมู่*"),51,COUNTIF(F941,"รอง สว.*"),43)</f>
        <v>51</v>
      </c>
      <c r="X941" s="5" t="s">
        <v>2809</v>
      </c>
      <c r="Y941" s="5" t="s">
        <v>52</v>
      </c>
    </row>
    <row r="942" spans="1:25" s="12" customFormat="1" ht="21.3" customHeight="1">
      <c r="A942" s="27"/>
      <c r="B942" s="28"/>
      <c r="C942" s="30" t="s">
        <v>18</v>
      </c>
      <c r="D942" s="27"/>
      <c r="E942" s="27"/>
      <c r="F942" s="68" t="s">
        <v>2778</v>
      </c>
      <c r="G942" s="121" t="s">
        <v>2812</v>
      </c>
      <c r="H942" s="75" t="s">
        <v>19</v>
      </c>
      <c r="I942" s="73" t="s">
        <v>19</v>
      </c>
      <c r="J942" s="73" t="s">
        <v>19</v>
      </c>
      <c r="K942" s="73" t="s">
        <v>19</v>
      </c>
      <c r="L942" s="11"/>
      <c r="M942" s="1"/>
      <c r="N942" s="113" t="s">
        <v>14</v>
      </c>
      <c r="O942" s="122" t="s">
        <v>52</v>
      </c>
      <c r="P942" s="122" t="s">
        <v>52</v>
      </c>
      <c r="Q942" s="105"/>
      <c r="R942" s="28"/>
      <c r="S942" s="225" t="str">
        <f t="shared" si="14"/>
        <v/>
      </c>
      <c r="T942" s="162" t="s">
        <v>7615</v>
      </c>
      <c r="U942" s="7" t="s">
        <v>109</v>
      </c>
      <c r="V942" s="171" t="str" cm="1">
        <f t="array" ref="V942">_xlfn.IFS(C942="","",COUNTIF(C942,"ตำแหน่งว่าง*"),"ว่าง",COUNTIF(C942,"&lt;&gt;ตำแหน่งว่าง*"),"คนครอง")</f>
        <v>ว่าง</v>
      </c>
      <c r="W942" s="49" cm="1">
        <f t="array" ref="W942">_xlfn.IFS(COUNTIF(F942,"ผบ.หมู่*"),51,COUNTIF(F942,"รอง สว.*"),43)</f>
        <v>51</v>
      </c>
      <c r="X942" s="6" t="s">
        <v>2811</v>
      </c>
      <c r="Y942" s="6" t="s">
        <v>52</v>
      </c>
    </row>
    <row r="943" spans="1:25" s="12" customFormat="1" ht="21.3" customHeight="1">
      <c r="A943" s="132" t="s">
        <v>60</v>
      </c>
      <c r="B943" s="28" t="s">
        <v>21</v>
      </c>
      <c r="C943" s="95" t="s">
        <v>2813</v>
      </c>
      <c r="D943" s="27" t="s">
        <v>9028</v>
      </c>
      <c r="E943" s="27" t="s">
        <v>9029</v>
      </c>
      <c r="F943" s="95" t="s">
        <v>2781</v>
      </c>
      <c r="G943" s="101" t="s">
        <v>2815</v>
      </c>
      <c r="H943" s="91">
        <v>45382</v>
      </c>
      <c r="I943" s="73">
        <v>45382</v>
      </c>
      <c r="J943" s="75">
        <v>34729</v>
      </c>
      <c r="K943" s="75">
        <v>25852</v>
      </c>
      <c r="L943" s="34" t="s">
        <v>31</v>
      </c>
      <c r="M943" s="28" t="s">
        <v>63</v>
      </c>
      <c r="N943" s="111" t="s">
        <v>14</v>
      </c>
      <c r="O943" s="104" t="s">
        <v>52</v>
      </c>
      <c r="P943" s="104" t="s">
        <v>52</v>
      </c>
      <c r="Q943" s="105"/>
      <c r="R943" s="33" t="s">
        <v>7801</v>
      </c>
      <c r="S943" s="225">
        <f t="shared" si="14"/>
        <v>48122</v>
      </c>
      <c r="T943" s="162" t="s">
        <v>7615</v>
      </c>
      <c r="U943" s="7" t="s">
        <v>109</v>
      </c>
      <c r="V943" s="162" t="str" cm="1">
        <f t="array" ref="V943">_xlfn.IFS(C943="","",COUNTIF(C943,"ตำแหน่งว่าง*"),"ว่าง",COUNTIF(C943,"&lt;&gt;ตำแหน่งว่าง*"),"คนครอง")</f>
        <v>คนครอง</v>
      </c>
      <c r="W943" s="49" cm="1">
        <f t="array" ref="W943">_xlfn.IFS(COUNTIF(F943,"ผบ.หมู่*"),51,COUNTIF(F943,"รอง สว.*"),43)</f>
        <v>43</v>
      </c>
      <c r="X943" s="5" t="s">
        <v>2814</v>
      </c>
      <c r="Y943" s="5" t="s">
        <v>52</v>
      </c>
    </row>
    <row r="944" spans="1:25" s="12" customFormat="1" ht="21.3" customHeight="1">
      <c r="A944" s="27" t="s">
        <v>10753</v>
      </c>
      <c r="B944" s="28" t="s">
        <v>12</v>
      </c>
      <c r="C944" s="95" t="s">
        <v>2816</v>
      </c>
      <c r="D944" s="27" t="s">
        <v>9030</v>
      </c>
      <c r="E944" s="27" t="s">
        <v>9031</v>
      </c>
      <c r="F944" s="95" t="s">
        <v>2781</v>
      </c>
      <c r="G944" s="101" t="s">
        <v>2818</v>
      </c>
      <c r="H944" s="75">
        <v>45016</v>
      </c>
      <c r="I944" s="75">
        <v>45016</v>
      </c>
      <c r="J944" s="80">
        <v>45016</v>
      </c>
      <c r="K944" s="75">
        <v>25756</v>
      </c>
      <c r="L944" s="34" t="s">
        <v>112</v>
      </c>
      <c r="M944" s="28" t="s">
        <v>63</v>
      </c>
      <c r="N944" s="111" t="s">
        <v>14</v>
      </c>
      <c r="O944" s="104" t="s">
        <v>52</v>
      </c>
      <c r="P944" s="104" t="s">
        <v>52</v>
      </c>
      <c r="Q944" s="105"/>
      <c r="R944" s="28" t="s">
        <v>483</v>
      </c>
      <c r="S944" s="225">
        <f t="shared" si="14"/>
        <v>47757</v>
      </c>
      <c r="T944" s="162" t="s">
        <v>7615</v>
      </c>
      <c r="U944" s="7" t="s">
        <v>109</v>
      </c>
      <c r="V944" s="162" t="str" cm="1">
        <f t="array" ref="V944">_xlfn.IFS(C944="","",COUNTIF(C944,"ตำแหน่งว่าง*"),"ว่าง",COUNTIF(C944,"&lt;&gt;ตำแหน่งว่าง*"),"คนครอง")</f>
        <v>คนครอง</v>
      </c>
      <c r="W944" s="49" cm="1">
        <f t="array" ref="W944">_xlfn.IFS(COUNTIF(F944,"ผบ.หมู่*"),51,COUNTIF(F944,"รอง สว.*"),43)</f>
        <v>43</v>
      </c>
      <c r="X944" s="5" t="s">
        <v>2817</v>
      </c>
      <c r="Y944" s="5" t="s">
        <v>52</v>
      </c>
    </row>
    <row r="945" spans="1:25" s="12" customFormat="1" ht="21.3" customHeight="1">
      <c r="A945" s="27" t="s">
        <v>10753</v>
      </c>
      <c r="B945" s="28" t="s">
        <v>21</v>
      </c>
      <c r="C945" s="95" t="s">
        <v>2819</v>
      </c>
      <c r="D945" s="27" t="s">
        <v>9032</v>
      </c>
      <c r="E945" s="27" t="s">
        <v>8063</v>
      </c>
      <c r="F945" s="95" t="s">
        <v>2781</v>
      </c>
      <c r="G945" s="101" t="s">
        <v>2821</v>
      </c>
      <c r="H945" s="75">
        <v>45016</v>
      </c>
      <c r="I945" s="75">
        <v>45016</v>
      </c>
      <c r="J945" s="80">
        <v>45016</v>
      </c>
      <c r="K945" s="75">
        <v>25718</v>
      </c>
      <c r="L945" s="34" t="s">
        <v>31</v>
      </c>
      <c r="M945" s="28" t="s">
        <v>63</v>
      </c>
      <c r="N945" s="111" t="s">
        <v>14</v>
      </c>
      <c r="O945" s="104" t="s">
        <v>52</v>
      </c>
      <c r="P945" s="104" t="s">
        <v>52</v>
      </c>
      <c r="Q945" s="105"/>
      <c r="R945" s="28" t="s">
        <v>483</v>
      </c>
      <c r="S945" s="225">
        <f t="shared" si="14"/>
        <v>47757</v>
      </c>
      <c r="T945" s="162" t="s">
        <v>7615</v>
      </c>
      <c r="U945" s="7" t="s">
        <v>109</v>
      </c>
      <c r="V945" s="162" t="str" cm="1">
        <f t="array" ref="V945">_xlfn.IFS(C945="","",COUNTIF(C945,"ตำแหน่งว่าง*"),"ว่าง",COUNTIF(C945,"&lt;&gt;ตำแหน่งว่าง*"),"คนครอง")</f>
        <v>คนครอง</v>
      </c>
      <c r="W945" s="49" cm="1">
        <f t="array" ref="W945">_xlfn.IFS(COUNTIF(F945,"ผบ.หมู่*"),51,COUNTIF(F945,"รอง สว.*"),43)</f>
        <v>43</v>
      </c>
      <c r="X945" s="5" t="s">
        <v>2820</v>
      </c>
      <c r="Y945" s="5" t="s">
        <v>52</v>
      </c>
    </row>
    <row r="946" spans="1:25" s="12" customFormat="1" ht="21.3" customHeight="1">
      <c r="A946" s="27" t="s">
        <v>30</v>
      </c>
      <c r="B946" s="28" t="s">
        <v>21</v>
      </c>
      <c r="C946" s="95" t="s">
        <v>2646</v>
      </c>
      <c r="D946" s="27" t="s">
        <v>8173</v>
      </c>
      <c r="E946" s="27" t="s">
        <v>9033</v>
      </c>
      <c r="F946" s="95" t="s">
        <v>2647</v>
      </c>
      <c r="G946" s="101" t="s">
        <v>2649</v>
      </c>
      <c r="H946" s="75">
        <v>43555</v>
      </c>
      <c r="I946" s="73">
        <v>43555</v>
      </c>
      <c r="J946" s="73">
        <v>43555</v>
      </c>
      <c r="K946" s="73">
        <v>24134</v>
      </c>
      <c r="L946" s="11" t="s">
        <v>2650</v>
      </c>
      <c r="M946" s="1" t="s">
        <v>97</v>
      </c>
      <c r="N946" s="111" t="s">
        <v>14</v>
      </c>
      <c r="O946" s="104" t="s">
        <v>52</v>
      </c>
      <c r="P946" s="104" t="s">
        <v>52</v>
      </c>
      <c r="Q946" s="105"/>
      <c r="R946" s="28" t="s">
        <v>2651</v>
      </c>
      <c r="S946" s="225">
        <f t="shared" si="14"/>
        <v>46296</v>
      </c>
      <c r="T946" s="162" t="s">
        <v>7612</v>
      </c>
      <c r="U946" s="7" t="s">
        <v>109</v>
      </c>
      <c r="V946" s="162" t="str" cm="1">
        <f t="array" ref="V946">_xlfn.IFS(C946="","",COUNTIF(C946,"ตำแหน่งว่าง*"),"ว่าง",COUNTIF(C946,"&lt;&gt;ตำแหน่งว่าง*"),"คนครอง")</f>
        <v>คนครอง</v>
      </c>
      <c r="W946" s="49" cm="1">
        <f t="array" ref="W946">_xlfn.IFS(COUNTIF(F946,"ผบ.หมู่*"),51,COUNTIF(F946,"รอง สว.*"),43)</f>
        <v>43</v>
      </c>
      <c r="X946" s="5" t="s">
        <v>2648</v>
      </c>
      <c r="Y946" s="5" t="s">
        <v>52</v>
      </c>
    </row>
    <row r="947" spans="1:25" s="9" customFormat="1" ht="21.3" customHeight="1">
      <c r="A947" s="27" t="s">
        <v>612</v>
      </c>
      <c r="B947" s="28" t="s">
        <v>21</v>
      </c>
      <c r="C947" s="27" t="s">
        <v>2652</v>
      </c>
      <c r="D947" s="27" t="s">
        <v>8285</v>
      </c>
      <c r="E947" s="27" t="s">
        <v>9034</v>
      </c>
      <c r="F947" s="27" t="s">
        <v>2653</v>
      </c>
      <c r="G947" s="101" t="s">
        <v>2655</v>
      </c>
      <c r="H947" s="75">
        <v>44243</v>
      </c>
      <c r="I947" s="73">
        <v>44243</v>
      </c>
      <c r="J947" s="73">
        <v>44243</v>
      </c>
      <c r="K947" s="73">
        <v>32972</v>
      </c>
      <c r="L947" s="11" t="s">
        <v>82</v>
      </c>
      <c r="M947" s="1" t="s">
        <v>97</v>
      </c>
      <c r="N947" s="112" t="s">
        <v>14</v>
      </c>
      <c r="O947" s="104" t="s">
        <v>52</v>
      </c>
      <c r="P947" s="104" t="s">
        <v>52</v>
      </c>
      <c r="Q947" s="105"/>
      <c r="R947" s="28" t="s">
        <v>617</v>
      </c>
      <c r="S947" s="225">
        <f t="shared" si="14"/>
        <v>55062</v>
      </c>
      <c r="T947" s="2" t="s">
        <v>7612</v>
      </c>
      <c r="U947" s="7" t="s">
        <v>109</v>
      </c>
      <c r="V947" s="162" t="str" cm="1">
        <f t="array" ref="V947">_xlfn.IFS(C947="","",COUNTIF(C947,"ตำแหน่งว่าง*"),"ว่าง",COUNTIF(C947,"&lt;&gt;ตำแหน่งว่าง*"),"คนครอง")</f>
        <v>คนครอง</v>
      </c>
      <c r="W947" s="49" cm="1">
        <f t="array" ref="W947">_xlfn.IFS(COUNTIF(F947,"ผบ.หมู่*"),51,COUNTIF(F947,"รอง สว.*"),43)</f>
        <v>51</v>
      </c>
      <c r="X947" s="1" t="s">
        <v>2654</v>
      </c>
      <c r="Y947" s="1" t="s">
        <v>52</v>
      </c>
    </row>
    <row r="948" spans="1:25" s="12" customFormat="1" ht="21.3" customHeight="1">
      <c r="A948" s="27" t="s">
        <v>208</v>
      </c>
      <c r="B948" s="28" t="s">
        <v>21</v>
      </c>
      <c r="C948" s="27" t="s">
        <v>7769</v>
      </c>
      <c r="D948" s="27" t="s">
        <v>8756</v>
      </c>
      <c r="E948" s="27" t="s">
        <v>9035</v>
      </c>
      <c r="F948" s="27" t="s">
        <v>2653</v>
      </c>
      <c r="G948" s="101" t="s">
        <v>2657</v>
      </c>
      <c r="H948" s="75">
        <v>45322</v>
      </c>
      <c r="I948" s="73">
        <v>43693</v>
      </c>
      <c r="J948" s="73">
        <v>43693</v>
      </c>
      <c r="K948" s="73">
        <v>34599</v>
      </c>
      <c r="L948" s="11" t="s">
        <v>112</v>
      </c>
      <c r="M948" s="1" t="s">
        <v>97</v>
      </c>
      <c r="N948" s="112" t="s">
        <v>14</v>
      </c>
      <c r="O948" s="104" t="s">
        <v>52</v>
      </c>
      <c r="P948" s="104" t="s">
        <v>52</v>
      </c>
      <c r="Q948" s="105"/>
      <c r="R948" s="30" t="s">
        <v>7708</v>
      </c>
      <c r="S948" s="225">
        <f t="shared" si="14"/>
        <v>56523</v>
      </c>
      <c r="T948" s="162" t="s">
        <v>7612</v>
      </c>
      <c r="U948" s="7" t="s">
        <v>109</v>
      </c>
      <c r="V948" s="162" t="str" cm="1">
        <f t="array" ref="V948">_xlfn.IFS(C948="","",COUNTIF(C948,"ตำแหน่งว่าง*"),"ว่าง",COUNTIF(C948,"&lt;&gt;ตำแหน่งว่าง*"),"คนครอง")</f>
        <v>คนครอง</v>
      </c>
      <c r="W948" s="49" cm="1">
        <f t="array" ref="W948">_xlfn.IFS(COUNTIF(F948,"ผบ.หมู่*"),51,COUNTIF(F948,"รอง สว.*"),43)</f>
        <v>51</v>
      </c>
      <c r="X948" s="1" t="s">
        <v>2656</v>
      </c>
      <c r="Y948" s="1" t="s">
        <v>52</v>
      </c>
    </row>
    <row r="949" spans="1:25" s="10" customFormat="1" ht="21.3" customHeight="1">
      <c r="A949" s="27" t="s">
        <v>30</v>
      </c>
      <c r="B949" s="28" t="s">
        <v>21</v>
      </c>
      <c r="C949" s="27" t="s">
        <v>2658</v>
      </c>
      <c r="D949" s="27" t="s">
        <v>8277</v>
      </c>
      <c r="E949" s="27" t="s">
        <v>9036</v>
      </c>
      <c r="F949" s="27" t="s">
        <v>2647</v>
      </c>
      <c r="G949" s="101" t="s">
        <v>2660</v>
      </c>
      <c r="H949" s="75">
        <v>44599</v>
      </c>
      <c r="I949" s="80">
        <v>43555</v>
      </c>
      <c r="J949" s="80">
        <v>43555</v>
      </c>
      <c r="K949" s="80">
        <v>24090</v>
      </c>
      <c r="L949" s="11" t="s">
        <v>2661</v>
      </c>
      <c r="M949" s="1" t="s">
        <v>40</v>
      </c>
      <c r="N949" s="112" t="s">
        <v>14</v>
      </c>
      <c r="O949" s="104" t="s">
        <v>52</v>
      </c>
      <c r="P949" s="104" t="s">
        <v>52</v>
      </c>
      <c r="Q949" s="105"/>
      <c r="R949" s="28" t="s">
        <v>2662</v>
      </c>
      <c r="S949" s="225">
        <f t="shared" si="14"/>
        <v>46296</v>
      </c>
      <c r="T949" s="7" t="s">
        <v>7612</v>
      </c>
      <c r="U949" s="7" t="s">
        <v>109</v>
      </c>
      <c r="V949" s="162" t="str" cm="1">
        <f t="array" ref="V949">_xlfn.IFS(C949="","",COUNTIF(C949,"ตำแหน่งว่าง*"),"ว่าง",COUNTIF(C949,"&lt;&gt;ตำแหน่งว่าง*"),"คนครอง")</f>
        <v>คนครอง</v>
      </c>
      <c r="W949" s="49" cm="1">
        <f t="array" ref="W949">_xlfn.IFS(COUNTIF(F949,"ผบ.หมู่*"),51,COUNTIF(F949,"รอง สว.*"),43)</f>
        <v>43</v>
      </c>
      <c r="X949" s="1" t="s">
        <v>2659</v>
      </c>
      <c r="Y949" s="1" t="s">
        <v>52</v>
      </c>
    </row>
    <row r="950" spans="1:25" s="10" customFormat="1" ht="21.3" customHeight="1">
      <c r="A950" s="27"/>
      <c r="B950" s="28"/>
      <c r="C950" s="30" t="s">
        <v>18</v>
      </c>
      <c r="D950" s="27"/>
      <c r="E950" s="27"/>
      <c r="F950" s="68" t="s">
        <v>2653</v>
      </c>
      <c r="G950" s="121" t="s">
        <v>2664</v>
      </c>
      <c r="H950" s="75" t="s">
        <v>19</v>
      </c>
      <c r="I950" s="73" t="s">
        <v>19</v>
      </c>
      <c r="J950" s="73" t="s">
        <v>19</v>
      </c>
      <c r="K950" s="73" t="s">
        <v>19</v>
      </c>
      <c r="L950" s="11"/>
      <c r="M950" s="1"/>
      <c r="N950" s="113" t="s">
        <v>14</v>
      </c>
      <c r="O950" s="122" t="s">
        <v>52</v>
      </c>
      <c r="P950" s="122" t="s">
        <v>52</v>
      </c>
      <c r="Q950" s="105"/>
      <c r="R950" s="28"/>
      <c r="S950" s="225" t="str">
        <f t="shared" si="14"/>
        <v/>
      </c>
      <c r="T950" s="7" t="s">
        <v>7612</v>
      </c>
      <c r="U950" s="7" t="s">
        <v>109</v>
      </c>
      <c r="V950" s="171" t="str" cm="1">
        <f t="array" ref="V950">_xlfn.IFS(C950="","",COUNTIF(C950,"ตำแหน่งว่าง*"),"ว่าง",COUNTIF(C950,"&lt;&gt;ตำแหน่งว่าง*"),"คนครอง")</f>
        <v>ว่าง</v>
      </c>
      <c r="W950" s="49" cm="1">
        <f t="array" ref="W950">_xlfn.IFS(COUNTIF(F950,"ผบ.หมู่*"),51,COUNTIF(F950,"รอง สว.*"),43)</f>
        <v>51</v>
      </c>
      <c r="X950" s="6" t="s">
        <v>2663</v>
      </c>
      <c r="Y950" s="6" t="s">
        <v>52</v>
      </c>
    </row>
    <row r="951" spans="1:25" s="12" customFormat="1" ht="21.3" customHeight="1">
      <c r="A951" s="27" t="s">
        <v>157</v>
      </c>
      <c r="B951" s="28" t="s">
        <v>21</v>
      </c>
      <c r="C951" s="95" t="s">
        <v>2665</v>
      </c>
      <c r="D951" s="27" t="s">
        <v>8019</v>
      </c>
      <c r="E951" s="27" t="s">
        <v>9037</v>
      </c>
      <c r="F951" s="95" t="s">
        <v>2653</v>
      </c>
      <c r="G951" s="101" t="s">
        <v>2667</v>
      </c>
      <c r="H951" s="75">
        <v>42501</v>
      </c>
      <c r="I951" s="73">
        <v>34352</v>
      </c>
      <c r="J951" s="73">
        <v>34352</v>
      </c>
      <c r="K951" s="73">
        <v>26716</v>
      </c>
      <c r="L951" s="11" t="s">
        <v>31</v>
      </c>
      <c r="M951" s="1" t="s">
        <v>97</v>
      </c>
      <c r="N951" s="111" t="s">
        <v>14</v>
      </c>
      <c r="O951" s="104" t="s">
        <v>52</v>
      </c>
      <c r="P951" s="104" t="s">
        <v>52</v>
      </c>
      <c r="Q951" s="105"/>
      <c r="R951" s="28" t="s">
        <v>110</v>
      </c>
      <c r="S951" s="225">
        <f t="shared" si="14"/>
        <v>48853</v>
      </c>
      <c r="T951" s="162" t="s">
        <v>7612</v>
      </c>
      <c r="U951" s="7" t="s">
        <v>109</v>
      </c>
      <c r="V951" s="162" t="str" cm="1">
        <f t="array" ref="V951">_xlfn.IFS(C951="","",COUNTIF(C951,"ตำแหน่งว่าง*"),"ว่าง",COUNTIF(C951,"&lt;&gt;ตำแหน่งว่าง*"),"คนครอง")</f>
        <v>คนครอง</v>
      </c>
      <c r="W951" s="49" cm="1">
        <f t="array" ref="W951">_xlfn.IFS(COUNTIF(F951,"ผบ.หมู่*"),51,COUNTIF(F951,"รอง สว.*"),43)</f>
        <v>51</v>
      </c>
      <c r="X951" s="5" t="s">
        <v>2666</v>
      </c>
      <c r="Y951" s="5" t="s">
        <v>52</v>
      </c>
    </row>
    <row r="952" spans="1:25" s="12" customFormat="1" ht="21.3" customHeight="1">
      <c r="A952" s="132" t="s">
        <v>10753</v>
      </c>
      <c r="B952" s="28" t="s">
        <v>12</v>
      </c>
      <c r="C952" s="95" t="s">
        <v>2668</v>
      </c>
      <c r="D952" s="27" t="s">
        <v>8087</v>
      </c>
      <c r="E952" s="27" t="s">
        <v>9038</v>
      </c>
      <c r="F952" s="95" t="s">
        <v>2647</v>
      </c>
      <c r="G952" s="101" t="s">
        <v>2670</v>
      </c>
      <c r="H952" s="91">
        <v>45382</v>
      </c>
      <c r="I952" s="73">
        <v>45382</v>
      </c>
      <c r="J952" s="73">
        <v>34001</v>
      </c>
      <c r="K952" s="73">
        <v>25952</v>
      </c>
      <c r="L952" s="11" t="s">
        <v>2671</v>
      </c>
      <c r="M952" s="1" t="s">
        <v>97</v>
      </c>
      <c r="N952" s="111" t="s">
        <v>14</v>
      </c>
      <c r="O952" s="104" t="s">
        <v>52</v>
      </c>
      <c r="P952" s="104" t="s">
        <v>52</v>
      </c>
      <c r="Q952" s="105"/>
      <c r="R952" s="33" t="s">
        <v>7801</v>
      </c>
      <c r="S952" s="225">
        <f t="shared" si="14"/>
        <v>48122</v>
      </c>
      <c r="T952" s="162" t="s">
        <v>7612</v>
      </c>
      <c r="U952" s="7" t="s">
        <v>109</v>
      </c>
      <c r="V952" s="162" t="str" cm="1">
        <f t="array" ref="V952">_xlfn.IFS(C952="","",COUNTIF(C952,"ตำแหน่งว่าง*"),"ว่าง",COUNTIF(C952,"&lt;&gt;ตำแหน่งว่าง*"),"คนครอง")</f>
        <v>คนครอง</v>
      </c>
      <c r="W952" s="49" cm="1">
        <f t="array" ref="W952">_xlfn.IFS(COUNTIF(F952,"ผบ.หมู่*"),51,COUNTIF(F952,"รอง สว.*"),43)</f>
        <v>43</v>
      </c>
      <c r="X952" s="5" t="s">
        <v>2669</v>
      </c>
      <c r="Y952" s="5" t="s">
        <v>52</v>
      </c>
    </row>
    <row r="953" spans="1:25" s="12" customFormat="1" ht="21.3" customHeight="1">
      <c r="A953" s="27"/>
      <c r="B953" s="28"/>
      <c r="C953" s="95" t="s">
        <v>18</v>
      </c>
      <c r="D953" s="27"/>
      <c r="E953" s="27"/>
      <c r="F953" s="95" t="s">
        <v>2653</v>
      </c>
      <c r="G953" s="101" t="s">
        <v>2673</v>
      </c>
      <c r="H953" s="75"/>
      <c r="I953" s="73"/>
      <c r="J953" s="73"/>
      <c r="K953" s="73"/>
      <c r="L953" s="11"/>
      <c r="M953" s="1"/>
      <c r="N953" s="111" t="s">
        <v>14</v>
      </c>
      <c r="O953" s="104" t="s">
        <v>52</v>
      </c>
      <c r="P953" s="104" t="s">
        <v>52</v>
      </c>
      <c r="Q953" s="105"/>
      <c r="R953" s="28"/>
      <c r="S953" s="225" t="str">
        <f t="shared" si="14"/>
        <v/>
      </c>
      <c r="T953" s="162" t="s">
        <v>7612</v>
      </c>
      <c r="U953" s="7" t="s">
        <v>109</v>
      </c>
      <c r="V953" s="162" t="str" cm="1">
        <f t="array" ref="V953">_xlfn.IFS(C953="","",COUNTIF(C953,"ตำแหน่งว่าง*"),"ว่าง",COUNTIF(C953,"&lt;&gt;ตำแหน่งว่าง*"),"คนครอง")</f>
        <v>ว่าง</v>
      </c>
      <c r="W953" s="49" cm="1">
        <f t="array" ref="W953">_xlfn.IFS(COUNTIF(F953,"ผบ.หมู่*"),51,COUNTIF(F953,"รอง สว.*"),43)</f>
        <v>51</v>
      </c>
      <c r="X953" s="5" t="s">
        <v>2672</v>
      </c>
      <c r="Y953" s="5" t="s">
        <v>52</v>
      </c>
    </row>
    <row r="954" spans="1:25" s="12" customFormat="1" ht="21.3" customHeight="1">
      <c r="A954" s="27" t="s">
        <v>10753</v>
      </c>
      <c r="B954" s="28" t="s">
        <v>21</v>
      </c>
      <c r="C954" s="95" t="s">
        <v>2674</v>
      </c>
      <c r="D954" s="27" t="s">
        <v>8075</v>
      </c>
      <c r="E954" s="27" t="s">
        <v>9040</v>
      </c>
      <c r="F954" s="95" t="s">
        <v>2647</v>
      </c>
      <c r="G954" s="101" t="s">
        <v>2676</v>
      </c>
      <c r="H954" s="75">
        <v>45016</v>
      </c>
      <c r="I954" s="73">
        <v>45016</v>
      </c>
      <c r="J954" s="73">
        <v>45016</v>
      </c>
      <c r="K954" s="73">
        <v>25713</v>
      </c>
      <c r="L954" s="11" t="s">
        <v>31</v>
      </c>
      <c r="M954" s="1" t="s">
        <v>97</v>
      </c>
      <c r="N954" s="111" t="s">
        <v>14</v>
      </c>
      <c r="O954" s="104" t="s">
        <v>52</v>
      </c>
      <c r="P954" s="104" t="s">
        <v>52</v>
      </c>
      <c r="Q954" s="105"/>
      <c r="R954" s="28" t="s">
        <v>483</v>
      </c>
      <c r="S954" s="225">
        <f t="shared" si="14"/>
        <v>47757</v>
      </c>
      <c r="T954" s="162" t="s">
        <v>7612</v>
      </c>
      <c r="U954" s="7" t="s">
        <v>109</v>
      </c>
      <c r="V954" s="162" t="str" cm="1">
        <f t="array" ref="V954">_xlfn.IFS(C954="","",COUNTIF(C954,"ตำแหน่งว่าง*"),"ว่าง",COUNTIF(C954,"&lt;&gt;ตำแหน่งว่าง*"),"คนครอง")</f>
        <v>คนครอง</v>
      </c>
      <c r="W954" s="49" cm="1">
        <f t="array" ref="W954">_xlfn.IFS(COUNTIF(F954,"ผบ.หมู่*"),51,COUNTIF(F954,"รอง สว.*"),43)</f>
        <v>43</v>
      </c>
      <c r="X954" s="5" t="s">
        <v>2675</v>
      </c>
      <c r="Y954" s="5" t="s">
        <v>52</v>
      </c>
    </row>
    <row r="955" spans="1:25" s="12" customFormat="1" ht="21.3" customHeight="1">
      <c r="A955" s="27" t="s">
        <v>157</v>
      </c>
      <c r="B955" s="28" t="s">
        <v>12</v>
      </c>
      <c r="C955" s="95" t="s">
        <v>2677</v>
      </c>
      <c r="D955" s="27" t="s">
        <v>9041</v>
      </c>
      <c r="E955" s="27" t="s">
        <v>9042</v>
      </c>
      <c r="F955" s="95" t="s">
        <v>2653</v>
      </c>
      <c r="G955" s="101" t="s">
        <v>2679</v>
      </c>
      <c r="H955" s="75">
        <v>42501</v>
      </c>
      <c r="I955" s="73">
        <v>34366</v>
      </c>
      <c r="J955" s="73">
        <v>34366</v>
      </c>
      <c r="K955" s="73">
        <v>25154</v>
      </c>
      <c r="L955" s="11" t="s">
        <v>82</v>
      </c>
      <c r="M955" s="1" t="s">
        <v>97</v>
      </c>
      <c r="N955" s="111" t="s">
        <v>14</v>
      </c>
      <c r="O955" s="104" t="s">
        <v>52</v>
      </c>
      <c r="P955" s="104" t="s">
        <v>52</v>
      </c>
      <c r="Q955" s="105"/>
      <c r="R955" s="28" t="s">
        <v>110</v>
      </c>
      <c r="S955" s="225">
        <f t="shared" si="14"/>
        <v>47392</v>
      </c>
      <c r="T955" s="162" t="s">
        <v>7612</v>
      </c>
      <c r="U955" s="7" t="s">
        <v>109</v>
      </c>
      <c r="V955" s="162" t="str" cm="1">
        <f t="array" ref="V955">_xlfn.IFS(C955="","",COUNTIF(C955,"ตำแหน่งว่าง*"),"ว่าง",COUNTIF(C955,"&lt;&gt;ตำแหน่งว่าง*"),"คนครอง")</f>
        <v>คนครอง</v>
      </c>
      <c r="W955" s="49" cm="1">
        <f t="array" ref="W955">_xlfn.IFS(COUNTIF(F955,"ผบ.หมู่*"),51,COUNTIF(F955,"รอง สว.*"),43)</f>
        <v>51</v>
      </c>
      <c r="X955" s="5" t="s">
        <v>2678</v>
      </c>
      <c r="Y955" s="5" t="s">
        <v>52</v>
      </c>
    </row>
    <row r="956" spans="1:25" s="12" customFormat="1" ht="21.3" customHeight="1">
      <c r="A956" s="68"/>
      <c r="B956" s="30"/>
      <c r="C956" s="30" t="s">
        <v>18</v>
      </c>
      <c r="D956" s="27"/>
      <c r="E956" s="27"/>
      <c r="F956" s="68" t="s">
        <v>2653</v>
      </c>
      <c r="G956" s="121" t="s">
        <v>2681</v>
      </c>
      <c r="H956" s="80" t="s">
        <v>19</v>
      </c>
      <c r="I956" s="74" t="s">
        <v>19</v>
      </c>
      <c r="J956" s="74" t="s">
        <v>19</v>
      </c>
      <c r="K956" s="74" t="s">
        <v>19</v>
      </c>
      <c r="L956" s="16"/>
      <c r="M956" s="6"/>
      <c r="N956" s="113" t="s">
        <v>14</v>
      </c>
      <c r="O956" s="122" t="s">
        <v>52</v>
      </c>
      <c r="P956" s="122" t="s">
        <v>52</v>
      </c>
      <c r="Q956" s="106"/>
      <c r="R956" s="30"/>
      <c r="S956" s="225" t="str">
        <f t="shared" si="14"/>
        <v/>
      </c>
      <c r="T956" s="162" t="s">
        <v>7612</v>
      </c>
      <c r="U956" s="7" t="s">
        <v>109</v>
      </c>
      <c r="V956" s="171" t="str" cm="1">
        <f t="array" ref="V956">_xlfn.IFS(C956="","",COUNTIF(C956,"ตำแหน่งว่าง*"),"ว่าง",COUNTIF(C956,"&lt;&gt;ตำแหน่งว่าง*"),"คนครอง")</f>
        <v>ว่าง</v>
      </c>
      <c r="W956" s="49" cm="1">
        <f t="array" ref="W956">_xlfn.IFS(COUNTIF(F956,"ผบ.หมู่*"),51,COUNTIF(F956,"รอง สว.*"),43)</f>
        <v>51</v>
      </c>
      <c r="X956" s="6" t="s">
        <v>2680</v>
      </c>
      <c r="Y956" s="6" t="s">
        <v>52</v>
      </c>
    </row>
    <row r="957" spans="1:25" s="12" customFormat="1" ht="21.3" customHeight="1">
      <c r="A957" s="27" t="s">
        <v>26</v>
      </c>
      <c r="B957" s="28" t="s">
        <v>12</v>
      </c>
      <c r="C957" s="95" t="s">
        <v>2682</v>
      </c>
      <c r="D957" s="27" t="s">
        <v>9043</v>
      </c>
      <c r="E957" s="27" t="s">
        <v>9044</v>
      </c>
      <c r="F957" s="95" t="s">
        <v>2647</v>
      </c>
      <c r="G957" s="101" t="s">
        <v>2684</v>
      </c>
      <c r="H957" s="75">
        <v>44286</v>
      </c>
      <c r="I957" s="73">
        <v>44286</v>
      </c>
      <c r="J957" s="73">
        <v>44286</v>
      </c>
      <c r="K957" s="73">
        <v>24901</v>
      </c>
      <c r="L957" s="11" t="s">
        <v>2685</v>
      </c>
      <c r="M957" s="1" t="s">
        <v>97</v>
      </c>
      <c r="N957" s="111" t="s">
        <v>14</v>
      </c>
      <c r="O957" s="104" t="s">
        <v>52</v>
      </c>
      <c r="P957" s="104" t="s">
        <v>52</v>
      </c>
      <c r="Q957" s="105"/>
      <c r="R957" s="28" t="s">
        <v>1313</v>
      </c>
      <c r="S957" s="225">
        <f t="shared" si="14"/>
        <v>47027</v>
      </c>
      <c r="T957" s="162" t="s">
        <v>7612</v>
      </c>
      <c r="U957" s="7" t="s">
        <v>109</v>
      </c>
      <c r="V957" s="162" t="str" cm="1">
        <f t="array" ref="V957">_xlfn.IFS(C957="","",COUNTIF(C957,"ตำแหน่งว่าง*"),"ว่าง",COUNTIF(C957,"&lt;&gt;ตำแหน่งว่าง*"),"คนครอง")</f>
        <v>คนครอง</v>
      </c>
      <c r="W957" s="49" cm="1">
        <f t="array" ref="W957">_xlfn.IFS(COUNTIF(F957,"ผบ.หมู่*"),51,COUNTIF(F957,"รอง สว.*"),43)</f>
        <v>43</v>
      </c>
      <c r="X957" s="5" t="s">
        <v>2683</v>
      </c>
      <c r="Y957" s="5" t="s">
        <v>52</v>
      </c>
    </row>
    <row r="958" spans="1:25" s="10" customFormat="1" ht="21.3" customHeight="1">
      <c r="A958" s="68"/>
      <c r="B958" s="30"/>
      <c r="C958" s="30" t="s">
        <v>18</v>
      </c>
      <c r="D958" s="27"/>
      <c r="E958" s="27"/>
      <c r="F958" s="68" t="s">
        <v>2653</v>
      </c>
      <c r="G958" s="121" t="s">
        <v>2687</v>
      </c>
      <c r="H958" s="80" t="s">
        <v>19</v>
      </c>
      <c r="I958" s="74" t="s">
        <v>19</v>
      </c>
      <c r="J958" s="74" t="s">
        <v>19</v>
      </c>
      <c r="K958" s="74" t="s">
        <v>19</v>
      </c>
      <c r="L958" s="16"/>
      <c r="M958" s="6"/>
      <c r="N958" s="113" t="s">
        <v>14</v>
      </c>
      <c r="O958" s="122" t="s">
        <v>52</v>
      </c>
      <c r="P958" s="122" t="s">
        <v>52</v>
      </c>
      <c r="Q958" s="106"/>
      <c r="R958" s="30"/>
      <c r="S958" s="225" t="str">
        <f t="shared" si="14"/>
        <v/>
      </c>
      <c r="T958" s="7" t="s">
        <v>7612</v>
      </c>
      <c r="U958" s="7" t="s">
        <v>109</v>
      </c>
      <c r="V958" s="171" t="str" cm="1">
        <f t="array" ref="V958">_xlfn.IFS(C958="","",COUNTIF(C958,"ตำแหน่งว่าง*"),"ว่าง",COUNTIF(C958,"&lt;&gt;ตำแหน่งว่าง*"),"คนครอง")</f>
        <v>ว่าง</v>
      </c>
      <c r="W958" s="49" cm="1">
        <f t="array" ref="W958">_xlfn.IFS(COUNTIF(F958,"ผบ.หมู่*"),51,COUNTIF(F958,"รอง สว.*"),43)</f>
        <v>51</v>
      </c>
      <c r="X958" s="6" t="s">
        <v>2686</v>
      </c>
      <c r="Y958" s="6" t="s">
        <v>52</v>
      </c>
    </row>
    <row r="959" spans="1:25" s="12" customFormat="1" ht="21.3" customHeight="1">
      <c r="A959" s="27" t="s">
        <v>10753</v>
      </c>
      <c r="B959" s="28" t="s">
        <v>12</v>
      </c>
      <c r="C959" s="95" t="s">
        <v>2688</v>
      </c>
      <c r="D959" s="27" t="s">
        <v>8209</v>
      </c>
      <c r="E959" s="27" t="s">
        <v>9045</v>
      </c>
      <c r="F959" s="95" t="s">
        <v>2647</v>
      </c>
      <c r="G959" s="101" t="s">
        <v>2690</v>
      </c>
      <c r="H959" s="75">
        <v>45016</v>
      </c>
      <c r="I959" s="73">
        <v>45016</v>
      </c>
      <c r="J959" s="73">
        <v>45016</v>
      </c>
      <c r="K959" s="73">
        <v>25771</v>
      </c>
      <c r="L959" s="11" t="s">
        <v>112</v>
      </c>
      <c r="M959" s="1" t="s">
        <v>97</v>
      </c>
      <c r="N959" s="111" t="s">
        <v>14</v>
      </c>
      <c r="O959" s="104" t="s">
        <v>52</v>
      </c>
      <c r="P959" s="104" t="s">
        <v>52</v>
      </c>
      <c r="Q959" s="105"/>
      <c r="R959" s="28" t="s">
        <v>483</v>
      </c>
      <c r="S959" s="225">
        <f t="shared" si="14"/>
        <v>47757</v>
      </c>
      <c r="T959" s="162" t="s">
        <v>7612</v>
      </c>
      <c r="U959" s="7" t="s">
        <v>109</v>
      </c>
      <c r="V959" s="162" t="str" cm="1">
        <f t="array" ref="V959">_xlfn.IFS(C959="","",COUNTIF(C959,"ตำแหน่งว่าง*"),"ว่าง",COUNTIF(C959,"&lt;&gt;ตำแหน่งว่าง*"),"คนครอง")</f>
        <v>คนครอง</v>
      </c>
      <c r="W959" s="49" cm="1">
        <f t="array" ref="W959">_xlfn.IFS(COUNTIF(F959,"ผบ.หมู่*"),51,COUNTIF(F959,"รอง สว.*"),43)</f>
        <v>43</v>
      </c>
      <c r="X959" s="5" t="s">
        <v>2689</v>
      </c>
      <c r="Y959" s="5" t="s">
        <v>52</v>
      </c>
    </row>
    <row r="960" spans="1:25" s="12" customFormat="1" ht="21.3" customHeight="1">
      <c r="A960" s="132" t="s">
        <v>10753</v>
      </c>
      <c r="B960" s="28" t="s">
        <v>12</v>
      </c>
      <c r="C960" s="95" t="s">
        <v>2691</v>
      </c>
      <c r="D960" s="27" t="s">
        <v>9046</v>
      </c>
      <c r="E960" s="27" t="s">
        <v>9047</v>
      </c>
      <c r="F960" s="95" t="s">
        <v>2647</v>
      </c>
      <c r="G960" s="101" t="s">
        <v>2693</v>
      </c>
      <c r="H960" s="91">
        <v>45382</v>
      </c>
      <c r="I960" s="73">
        <v>45382</v>
      </c>
      <c r="J960" s="73">
        <v>34001</v>
      </c>
      <c r="K960" s="73">
        <v>26204</v>
      </c>
      <c r="L960" s="11" t="s">
        <v>82</v>
      </c>
      <c r="M960" s="1" t="s">
        <v>97</v>
      </c>
      <c r="N960" s="111" t="s">
        <v>14</v>
      </c>
      <c r="O960" s="104" t="s">
        <v>52</v>
      </c>
      <c r="P960" s="104" t="s">
        <v>52</v>
      </c>
      <c r="Q960" s="105"/>
      <c r="R960" s="33" t="s">
        <v>7801</v>
      </c>
      <c r="S960" s="225">
        <f t="shared" si="14"/>
        <v>48122</v>
      </c>
      <c r="T960" s="162" t="s">
        <v>7612</v>
      </c>
      <c r="U960" s="7" t="s">
        <v>109</v>
      </c>
      <c r="V960" s="162" t="str" cm="1">
        <f t="array" ref="V960">_xlfn.IFS(C960="","",COUNTIF(C960,"ตำแหน่งว่าง*"),"ว่าง",COUNTIF(C960,"&lt;&gt;ตำแหน่งว่าง*"),"คนครอง")</f>
        <v>คนครอง</v>
      </c>
      <c r="W960" s="49" cm="1">
        <f t="array" ref="W960">_xlfn.IFS(COUNTIF(F960,"ผบ.หมู่*"),51,COUNTIF(F960,"รอง สว.*"),43)</f>
        <v>43</v>
      </c>
      <c r="X960" s="5" t="s">
        <v>2692</v>
      </c>
      <c r="Y960" s="5" t="s">
        <v>52</v>
      </c>
    </row>
    <row r="961" spans="1:25" s="12" customFormat="1" ht="21.3" customHeight="1">
      <c r="A961" s="27" t="s">
        <v>10753</v>
      </c>
      <c r="B961" s="28" t="s">
        <v>21</v>
      </c>
      <c r="C961" s="95" t="s">
        <v>2694</v>
      </c>
      <c r="D961" s="27" t="s">
        <v>8072</v>
      </c>
      <c r="E961" s="27" t="s">
        <v>9048</v>
      </c>
      <c r="F961" s="95" t="s">
        <v>2647</v>
      </c>
      <c r="G961" s="101" t="s">
        <v>2696</v>
      </c>
      <c r="H961" s="75">
        <v>45016</v>
      </c>
      <c r="I961" s="73">
        <v>45016</v>
      </c>
      <c r="J961" s="73">
        <v>45016</v>
      </c>
      <c r="K961" s="73">
        <v>25569</v>
      </c>
      <c r="L961" s="11" t="s">
        <v>31</v>
      </c>
      <c r="M961" s="1" t="s">
        <v>97</v>
      </c>
      <c r="N961" s="111" t="s">
        <v>14</v>
      </c>
      <c r="O961" s="104" t="s">
        <v>52</v>
      </c>
      <c r="P961" s="104" t="s">
        <v>52</v>
      </c>
      <c r="Q961" s="105"/>
      <c r="R961" s="28" t="s">
        <v>483</v>
      </c>
      <c r="S961" s="225">
        <f t="shared" si="14"/>
        <v>47757</v>
      </c>
      <c r="T961" s="162" t="s">
        <v>7612</v>
      </c>
      <c r="U961" s="7" t="s">
        <v>109</v>
      </c>
      <c r="V961" s="162" t="str" cm="1">
        <f t="array" ref="V961">_xlfn.IFS(C961="","",COUNTIF(C961,"ตำแหน่งว่าง*"),"ว่าง",COUNTIF(C961,"&lt;&gt;ตำแหน่งว่าง*"),"คนครอง")</f>
        <v>คนครอง</v>
      </c>
      <c r="W961" s="49" cm="1">
        <f t="array" ref="W961">_xlfn.IFS(COUNTIF(F961,"ผบ.หมู่*"),51,COUNTIF(F961,"รอง สว.*"),43)</f>
        <v>43</v>
      </c>
      <c r="X961" s="5" t="s">
        <v>2695</v>
      </c>
      <c r="Y961" s="5" t="s">
        <v>52</v>
      </c>
    </row>
    <row r="962" spans="1:25" s="12" customFormat="1" ht="21.3" customHeight="1">
      <c r="A962" s="27" t="s">
        <v>26</v>
      </c>
      <c r="B962" s="28" t="s">
        <v>12</v>
      </c>
      <c r="C962" s="95" t="s">
        <v>2697</v>
      </c>
      <c r="D962" s="27" t="s">
        <v>8141</v>
      </c>
      <c r="E962" s="27" t="s">
        <v>9049</v>
      </c>
      <c r="F962" s="95" t="s">
        <v>2647</v>
      </c>
      <c r="G962" s="101" t="s">
        <v>2699</v>
      </c>
      <c r="H962" s="75">
        <v>43921</v>
      </c>
      <c r="I962" s="73">
        <v>43921</v>
      </c>
      <c r="J962" s="73">
        <v>43921</v>
      </c>
      <c r="K962" s="73">
        <v>24737</v>
      </c>
      <c r="L962" s="11" t="s">
        <v>112</v>
      </c>
      <c r="M962" s="1" t="s">
        <v>97</v>
      </c>
      <c r="N962" s="111" t="s">
        <v>14</v>
      </c>
      <c r="O962" s="104" t="s">
        <v>52</v>
      </c>
      <c r="P962" s="104" t="s">
        <v>52</v>
      </c>
      <c r="Q962" s="105"/>
      <c r="R962" s="28" t="s">
        <v>2700</v>
      </c>
      <c r="S962" s="225">
        <f t="shared" ref="S962:S1025" si="15">IF(K962&lt;&gt;"",DATE(YEAR(K962)+60+(K962&gt;=DATE(YEAR(K962),10,2)),10,1),"")</f>
        <v>46661</v>
      </c>
      <c r="T962" s="162" t="s">
        <v>7612</v>
      </c>
      <c r="U962" s="7" t="s">
        <v>109</v>
      </c>
      <c r="V962" s="162" t="str" cm="1">
        <f t="array" ref="V962">_xlfn.IFS(C962="","",COUNTIF(C962,"ตำแหน่งว่าง*"),"ว่าง",COUNTIF(C962,"&lt;&gt;ตำแหน่งว่าง*"),"คนครอง")</f>
        <v>คนครอง</v>
      </c>
      <c r="W962" s="49" cm="1">
        <f t="array" ref="W962">_xlfn.IFS(COUNTIF(F962,"ผบ.หมู่*"),51,COUNTIF(F962,"รอง สว.*"),43)</f>
        <v>43</v>
      </c>
      <c r="X962" s="5" t="s">
        <v>2698</v>
      </c>
      <c r="Y962" s="5" t="s">
        <v>52</v>
      </c>
    </row>
    <row r="963" spans="1:25" s="12" customFormat="1" ht="21.3" customHeight="1">
      <c r="A963" s="27" t="s">
        <v>157</v>
      </c>
      <c r="B963" s="28" t="s">
        <v>21</v>
      </c>
      <c r="C963" s="95" t="s">
        <v>2736</v>
      </c>
      <c r="D963" s="27" t="s">
        <v>8191</v>
      </c>
      <c r="E963" s="27" t="s">
        <v>9050</v>
      </c>
      <c r="F963" s="95" t="s">
        <v>2737</v>
      </c>
      <c r="G963" s="101" t="s">
        <v>2739</v>
      </c>
      <c r="H963" s="75">
        <v>42501</v>
      </c>
      <c r="I963" s="73">
        <v>37316</v>
      </c>
      <c r="J963" s="73">
        <v>37316</v>
      </c>
      <c r="K963" s="73">
        <v>29446</v>
      </c>
      <c r="L963" s="11" t="s">
        <v>68</v>
      </c>
      <c r="M963" s="1" t="s">
        <v>23</v>
      </c>
      <c r="N963" s="111" t="s">
        <v>14</v>
      </c>
      <c r="O963" s="104" t="s">
        <v>52</v>
      </c>
      <c r="P963" s="104" t="s">
        <v>52</v>
      </c>
      <c r="Q963" s="105"/>
      <c r="R963" s="28" t="s">
        <v>110</v>
      </c>
      <c r="S963" s="225">
        <f t="shared" si="15"/>
        <v>51410</v>
      </c>
      <c r="T963" s="162" t="s">
        <v>7614</v>
      </c>
      <c r="U963" s="7" t="s">
        <v>109</v>
      </c>
      <c r="V963" s="162" t="str" cm="1">
        <f t="array" ref="V963">_xlfn.IFS(C963="","",COUNTIF(C963,"ตำแหน่งว่าง*"),"ว่าง",COUNTIF(C963,"&lt;&gt;ตำแหน่งว่าง*"),"คนครอง")</f>
        <v>คนครอง</v>
      </c>
      <c r="W963" s="49" cm="1">
        <f t="array" ref="W963">_xlfn.IFS(COUNTIF(F963,"ผบ.หมู่*"),51,COUNTIF(F963,"รอง สว.*"),43)</f>
        <v>51</v>
      </c>
      <c r="X963" s="5" t="s">
        <v>2738</v>
      </c>
      <c r="Y963" s="5" t="s">
        <v>52</v>
      </c>
    </row>
    <row r="964" spans="1:25" s="9" customFormat="1" ht="21.3" customHeight="1">
      <c r="A964" s="27" t="s">
        <v>157</v>
      </c>
      <c r="B964" s="28" t="s">
        <v>21</v>
      </c>
      <c r="C964" s="27" t="s">
        <v>2740</v>
      </c>
      <c r="D964" s="27" t="s">
        <v>7970</v>
      </c>
      <c r="E964" s="27" t="s">
        <v>9051</v>
      </c>
      <c r="F964" s="27" t="s">
        <v>2737</v>
      </c>
      <c r="G964" s="101" t="s">
        <v>2742</v>
      </c>
      <c r="H964" s="75">
        <v>43871</v>
      </c>
      <c r="I964" s="73">
        <v>40339</v>
      </c>
      <c r="J964" s="73">
        <v>40339</v>
      </c>
      <c r="K964" s="73">
        <v>31361</v>
      </c>
      <c r="L964" s="11" t="s">
        <v>68</v>
      </c>
      <c r="M964" s="1" t="s">
        <v>23</v>
      </c>
      <c r="N964" s="112" t="s">
        <v>14</v>
      </c>
      <c r="O964" s="104" t="s">
        <v>52</v>
      </c>
      <c r="P964" s="104" t="s">
        <v>52</v>
      </c>
      <c r="Q964" s="105"/>
      <c r="R964" s="28" t="s">
        <v>688</v>
      </c>
      <c r="S964" s="225">
        <f t="shared" si="15"/>
        <v>53601</v>
      </c>
      <c r="T964" s="2" t="s">
        <v>7614</v>
      </c>
      <c r="U964" s="7" t="s">
        <v>109</v>
      </c>
      <c r="V964" s="162" t="str" cm="1">
        <f t="array" ref="V964">_xlfn.IFS(C964="","",COUNTIF(C964,"ตำแหน่งว่าง*"),"ว่าง",COUNTIF(C964,"&lt;&gt;ตำแหน่งว่าง*"),"คนครอง")</f>
        <v>คนครอง</v>
      </c>
      <c r="W964" s="49" cm="1">
        <f t="array" ref="W964">_xlfn.IFS(COUNTIF(F964,"ผบ.หมู่*"),51,COUNTIF(F964,"รอง สว.*"),43)</f>
        <v>51</v>
      </c>
      <c r="X964" s="1" t="s">
        <v>2741</v>
      </c>
      <c r="Y964" s="1" t="s">
        <v>52</v>
      </c>
    </row>
    <row r="965" spans="1:25" s="12" customFormat="1" ht="21.3" customHeight="1">
      <c r="A965" s="27" t="s">
        <v>44</v>
      </c>
      <c r="B965" s="31" t="s">
        <v>21</v>
      </c>
      <c r="C965" s="95" t="s">
        <v>2743</v>
      </c>
      <c r="D965" s="27" t="s">
        <v>9052</v>
      </c>
      <c r="E965" s="27" t="s">
        <v>9053</v>
      </c>
      <c r="F965" s="95" t="s">
        <v>2744</v>
      </c>
      <c r="G965" s="101" t="s">
        <v>2746</v>
      </c>
      <c r="H965" s="80">
        <v>44651</v>
      </c>
      <c r="I965" s="76">
        <v>44651</v>
      </c>
      <c r="J965" s="80">
        <v>44651</v>
      </c>
      <c r="K965" s="76">
        <v>25154</v>
      </c>
      <c r="L965" s="17" t="s">
        <v>31</v>
      </c>
      <c r="M965" s="5" t="s">
        <v>23</v>
      </c>
      <c r="N965" s="111" t="s">
        <v>14</v>
      </c>
      <c r="O965" s="104" t="s">
        <v>52</v>
      </c>
      <c r="P965" s="104" t="s">
        <v>52</v>
      </c>
      <c r="Q965" s="108"/>
      <c r="R965" s="31" t="s">
        <v>110</v>
      </c>
      <c r="S965" s="225">
        <f t="shared" si="15"/>
        <v>47392</v>
      </c>
      <c r="T965" s="162" t="s">
        <v>7614</v>
      </c>
      <c r="U965" s="7" t="s">
        <v>109</v>
      </c>
      <c r="V965" s="162" t="str" cm="1">
        <f t="array" ref="V965">_xlfn.IFS(C965="","",COUNTIF(C965,"ตำแหน่งว่าง*"),"ว่าง",COUNTIF(C965,"&lt;&gt;ตำแหน่งว่าง*"),"คนครอง")</f>
        <v>คนครอง</v>
      </c>
      <c r="W965" s="49" cm="1">
        <f t="array" ref="W965">_xlfn.IFS(COUNTIF(F965,"ผบ.หมู่*"),51,COUNTIF(F965,"รอง สว.*"),43)</f>
        <v>43</v>
      </c>
      <c r="X965" s="5" t="s">
        <v>2745</v>
      </c>
      <c r="Y965" s="5" t="s">
        <v>52</v>
      </c>
    </row>
    <row r="966" spans="1:25" s="12" customFormat="1" ht="21.3" customHeight="1">
      <c r="A966" s="27" t="s">
        <v>157</v>
      </c>
      <c r="B966" s="28" t="s">
        <v>21</v>
      </c>
      <c r="C966" s="27" t="s">
        <v>7777</v>
      </c>
      <c r="D966" s="27" t="s">
        <v>9054</v>
      </c>
      <c r="E966" s="27" t="s">
        <v>9055</v>
      </c>
      <c r="F966" s="27" t="s">
        <v>2737</v>
      </c>
      <c r="G966" s="101" t="s">
        <v>2748</v>
      </c>
      <c r="H966" s="75">
        <v>45322</v>
      </c>
      <c r="I966" s="73">
        <v>40084</v>
      </c>
      <c r="J966" s="73">
        <v>40084</v>
      </c>
      <c r="K966" s="73">
        <v>29693</v>
      </c>
      <c r="L966" s="11" t="s">
        <v>261</v>
      </c>
      <c r="M966" s="1" t="s">
        <v>63</v>
      </c>
      <c r="N966" s="112" t="s">
        <v>14</v>
      </c>
      <c r="O966" s="104" t="s">
        <v>52</v>
      </c>
      <c r="P966" s="104" t="s">
        <v>52</v>
      </c>
      <c r="Q966" s="105"/>
      <c r="R966" s="30" t="s">
        <v>7776</v>
      </c>
      <c r="S966" s="225">
        <f t="shared" si="15"/>
        <v>51775</v>
      </c>
      <c r="T966" s="162" t="s">
        <v>7614</v>
      </c>
      <c r="U966" s="7" t="s">
        <v>109</v>
      </c>
      <c r="V966" s="162" t="str" cm="1">
        <f t="array" ref="V966">_xlfn.IFS(C966="","",COUNTIF(C966,"ตำแหน่งว่าง*"),"ว่าง",COUNTIF(C966,"&lt;&gt;ตำแหน่งว่าง*"),"คนครอง")</f>
        <v>คนครอง</v>
      </c>
      <c r="W966" s="49" cm="1">
        <f t="array" ref="W966">_xlfn.IFS(COUNTIF(F966,"ผบ.หมู่*"),51,COUNTIF(F966,"รอง สว.*"),43)</f>
        <v>51</v>
      </c>
      <c r="X966" s="1" t="s">
        <v>2747</v>
      </c>
      <c r="Y966" s="1" t="s">
        <v>52</v>
      </c>
    </row>
    <row r="967" spans="1:25" s="9" customFormat="1" ht="21.3" customHeight="1">
      <c r="A967" s="68"/>
      <c r="B967" s="30"/>
      <c r="C967" s="30" t="s">
        <v>18</v>
      </c>
      <c r="D967" s="27"/>
      <c r="E967" s="27"/>
      <c r="F967" s="68" t="s">
        <v>2737</v>
      </c>
      <c r="G967" s="121" t="s">
        <v>2750</v>
      </c>
      <c r="H967" s="80" t="s">
        <v>19</v>
      </c>
      <c r="I967" s="74" t="s">
        <v>19</v>
      </c>
      <c r="J967" s="74" t="s">
        <v>19</v>
      </c>
      <c r="K967" s="74" t="s">
        <v>19</v>
      </c>
      <c r="L967" s="16"/>
      <c r="M967" s="6"/>
      <c r="N967" s="113" t="s">
        <v>14</v>
      </c>
      <c r="O967" s="122" t="s">
        <v>52</v>
      </c>
      <c r="P967" s="122" t="s">
        <v>52</v>
      </c>
      <c r="Q967" s="106"/>
      <c r="R967" s="30"/>
      <c r="S967" s="225" t="str">
        <f t="shared" si="15"/>
        <v/>
      </c>
      <c r="T967" s="2" t="s">
        <v>7614</v>
      </c>
      <c r="U967" s="7" t="s">
        <v>109</v>
      </c>
      <c r="V967" s="171" t="str" cm="1">
        <f t="array" ref="V967">_xlfn.IFS(C967="","",COUNTIF(C967,"ตำแหน่งว่าง*"),"ว่าง",COUNTIF(C967,"&lt;&gt;ตำแหน่งว่าง*"),"คนครอง")</f>
        <v>ว่าง</v>
      </c>
      <c r="W967" s="49" cm="1">
        <f t="array" ref="W967">_xlfn.IFS(COUNTIF(F967,"ผบ.หมู่*"),51,COUNTIF(F967,"รอง สว.*"),43)</f>
        <v>51</v>
      </c>
      <c r="X967" s="6" t="s">
        <v>2749</v>
      </c>
      <c r="Y967" s="6" t="s">
        <v>52</v>
      </c>
    </row>
    <row r="968" spans="1:25" s="12" customFormat="1" ht="21.3" customHeight="1">
      <c r="A968" s="27" t="s">
        <v>26</v>
      </c>
      <c r="B968" s="28" t="s">
        <v>21</v>
      </c>
      <c r="C968" s="95" t="s">
        <v>2751</v>
      </c>
      <c r="D968" s="27" t="s">
        <v>8189</v>
      </c>
      <c r="E968" s="27" t="s">
        <v>9056</v>
      </c>
      <c r="F968" s="95" t="s">
        <v>2744</v>
      </c>
      <c r="G968" s="101" t="s">
        <v>2753</v>
      </c>
      <c r="H968" s="75">
        <v>44286</v>
      </c>
      <c r="I968" s="73">
        <v>44286</v>
      </c>
      <c r="J968" s="73">
        <v>44286</v>
      </c>
      <c r="K968" s="73">
        <v>25011</v>
      </c>
      <c r="L968" s="11" t="s">
        <v>2754</v>
      </c>
      <c r="M968" s="1" t="s">
        <v>23</v>
      </c>
      <c r="N968" s="111" t="s">
        <v>14</v>
      </c>
      <c r="O968" s="104" t="s">
        <v>52</v>
      </c>
      <c r="P968" s="104" t="s">
        <v>52</v>
      </c>
      <c r="Q968" s="105"/>
      <c r="R968" s="28" t="s">
        <v>1313</v>
      </c>
      <c r="S968" s="225">
        <f t="shared" si="15"/>
        <v>47027</v>
      </c>
      <c r="T968" s="162" t="s">
        <v>7614</v>
      </c>
      <c r="U968" s="7" t="s">
        <v>109</v>
      </c>
      <c r="V968" s="162" t="str" cm="1">
        <f t="array" ref="V968">_xlfn.IFS(C968="","",COUNTIF(C968,"ตำแหน่งว่าง*"),"ว่าง",COUNTIF(C968,"&lt;&gt;ตำแหน่งว่าง*"),"คนครอง")</f>
        <v>คนครอง</v>
      </c>
      <c r="W968" s="49" cm="1">
        <f t="array" ref="W968">_xlfn.IFS(COUNTIF(F968,"ผบ.หมู่*"),51,COUNTIF(F968,"รอง สว.*"),43)</f>
        <v>43</v>
      </c>
      <c r="X968" s="5" t="s">
        <v>2752</v>
      </c>
      <c r="Y968" s="5" t="s">
        <v>52</v>
      </c>
    </row>
    <row r="969" spans="1:25" s="12" customFormat="1" ht="21.3" customHeight="1">
      <c r="A969" s="27" t="s">
        <v>26</v>
      </c>
      <c r="B969" s="28" t="s">
        <v>21</v>
      </c>
      <c r="C969" s="95" t="s">
        <v>2755</v>
      </c>
      <c r="D969" s="27" t="s">
        <v>9057</v>
      </c>
      <c r="E969" s="27" t="s">
        <v>9058</v>
      </c>
      <c r="F969" s="95" t="s">
        <v>2744</v>
      </c>
      <c r="G969" s="101" t="s">
        <v>2757</v>
      </c>
      <c r="H969" s="75">
        <v>44286</v>
      </c>
      <c r="I969" s="73">
        <v>44286</v>
      </c>
      <c r="J969" s="73">
        <v>44286</v>
      </c>
      <c r="K969" s="73">
        <v>24751</v>
      </c>
      <c r="L969" s="11" t="s">
        <v>2754</v>
      </c>
      <c r="M969" s="1" t="s">
        <v>23</v>
      </c>
      <c r="N969" s="111" t="s">
        <v>14</v>
      </c>
      <c r="O969" s="104" t="s">
        <v>52</v>
      </c>
      <c r="P969" s="104" t="s">
        <v>52</v>
      </c>
      <c r="Q969" s="105"/>
      <c r="R969" s="28" t="s">
        <v>1313</v>
      </c>
      <c r="S969" s="225">
        <f t="shared" si="15"/>
        <v>47027</v>
      </c>
      <c r="T969" s="162" t="s">
        <v>7614</v>
      </c>
      <c r="U969" s="7" t="s">
        <v>109</v>
      </c>
      <c r="V969" s="162" t="str" cm="1">
        <f t="array" ref="V969">_xlfn.IFS(C969="","",COUNTIF(C969,"ตำแหน่งว่าง*"),"ว่าง",COUNTIF(C969,"&lt;&gt;ตำแหน่งว่าง*"),"คนครอง")</f>
        <v>คนครอง</v>
      </c>
      <c r="W969" s="49" cm="1">
        <f t="array" ref="W969">_xlfn.IFS(COUNTIF(F969,"ผบ.หมู่*"),51,COUNTIF(F969,"รอง สว.*"),43)</f>
        <v>43</v>
      </c>
      <c r="X969" s="5" t="s">
        <v>2756</v>
      </c>
      <c r="Y969" s="5" t="s">
        <v>52</v>
      </c>
    </row>
    <row r="970" spans="1:25" s="10" customFormat="1" ht="21.3" customHeight="1">
      <c r="A970" s="94"/>
      <c r="B970" s="29"/>
      <c r="C970" s="29" t="s">
        <v>18</v>
      </c>
      <c r="D970" s="27"/>
      <c r="E970" s="27"/>
      <c r="F970" s="68" t="s">
        <v>2737</v>
      </c>
      <c r="G970" s="121" t="s">
        <v>2759</v>
      </c>
      <c r="H970" s="80" t="s">
        <v>19</v>
      </c>
      <c r="I970" s="74" t="s">
        <v>19</v>
      </c>
      <c r="J970" s="74" t="s">
        <v>19</v>
      </c>
      <c r="K970" s="74" t="s">
        <v>19</v>
      </c>
      <c r="L970" s="44"/>
      <c r="M970" s="8"/>
      <c r="N970" s="113" t="s">
        <v>14</v>
      </c>
      <c r="O970" s="122" t="s">
        <v>52</v>
      </c>
      <c r="P970" s="122" t="s">
        <v>52</v>
      </c>
      <c r="Q970" s="106"/>
      <c r="R970" s="29"/>
      <c r="S970" s="225" t="str">
        <f t="shared" si="15"/>
        <v/>
      </c>
      <c r="T970" s="7" t="s">
        <v>7614</v>
      </c>
      <c r="U970" s="7" t="s">
        <v>109</v>
      </c>
      <c r="V970" s="171" t="str" cm="1">
        <f t="array" ref="V970">_xlfn.IFS(C970="","",COUNTIF(C970,"ตำแหน่งว่าง*"),"ว่าง",COUNTIF(C970,"&lt;&gt;ตำแหน่งว่าง*"),"คนครอง")</f>
        <v>ว่าง</v>
      </c>
      <c r="W970" s="49" cm="1">
        <f t="array" ref="W970">_xlfn.IFS(COUNTIF(F970,"ผบ.หมู่*"),51,COUNTIF(F970,"รอง สว.*"),43)</f>
        <v>51</v>
      </c>
      <c r="X970" s="6" t="s">
        <v>2758</v>
      </c>
      <c r="Y970" s="6" t="s">
        <v>52</v>
      </c>
    </row>
    <row r="971" spans="1:25" s="9" customFormat="1" ht="21.3" customHeight="1">
      <c r="A971" s="27" t="s">
        <v>157</v>
      </c>
      <c r="B971" s="28" t="s">
        <v>21</v>
      </c>
      <c r="C971" s="27" t="s">
        <v>2760</v>
      </c>
      <c r="D971" s="27" t="s">
        <v>9059</v>
      </c>
      <c r="E971" s="27" t="s">
        <v>9060</v>
      </c>
      <c r="F971" s="27" t="s">
        <v>2737</v>
      </c>
      <c r="G971" s="101" t="s">
        <v>2762</v>
      </c>
      <c r="H971" s="75">
        <v>44243</v>
      </c>
      <c r="I971" s="73">
        <v>41869</v>
      </c>
      <c r="J971" s="73">
        <v>41869</v>
      </c>
      <c r="K971" s="73">
        <v>33491</v>
      </c>
      <c r="L971" s="11" t="s">
        <v>119</v>
      </c>
      <c r="M971" s="1" t="s">
        <v>23</v>
      </c>
      <c r="N971" s="112" t="s">
        <v>14</v>
      </c>
      <c r="O971" s="104" t="s">
        <v>52</v>
      </c>
      <c r="P971" s="104" t="s">
        <v>52</v>
      </c>
      <c r="Q971" s="105"/>
      <c r="R971" s="28" t="s">
        <v>617</v>
      </c>
      <c r="S971" s="225">
        <f t="shared" si="15"/>
        <v>55427</v>
      </c>
      <c r="T971" s="2" t="s">
        <v>7614</v>
      </c>
      <c r="U971" s="7" t="s">
        <v>109</v>
      </c>
      <c r="V971" s="162" t="str" cm="1">
        <f t="array" ref="V971">_xlfn.IFS(C971="","",COUNTIF(C971,"ตำแหน่งว่าง*"),"ว่าง",COUNTIF(C971,"&lt;&gt;ตำแหน่งว่าง*"),"คนครอง")</f>
        <v>คนครอง</v>
      </c>
      <c r="W971" s="49" cm="1">
        <f t="array" ref="W971">_xlfn.IFS(COUNTIF(F971,"ผบ.หมู่*"),51,COUNTIF(F971,"รอง สว.*"),43)</f>
        <v>51</v>
      </c>
      <c r="X971" s="1" t="s">
        <v>2761</v>
      </c>
      <c r="Y971" s="1" t="s">
        <v>52</v>
      </c>
    </row>
    <row r="972" spans="1:25" s="9" customFormat="1" ht="21.3" customHeight="1">
      <c r="A972" s="27"/>
      <c r="B972" s="28"/>
      <c r="C972" s="27" t="s">
        <v>18</v>
      </c>
      <c r="D972" s="27"/>
      <c r="E972" s="27"/>
      <c r="F972" s="27" t="s">
        <v>2737</v>
      </c>
      <c r="G972" s="101" t="s">
        <v>2764</v>
      </c>
      <c r="H972" s="75"/>
      <c r="I972" s="73"/>
      <c r="J972" s="73"/>
      <c r="K972" s="73"/>
      <c r="L972" s="11"/>
      <c r="M972" s="1"/>
      <c r="N972" s="112" t="s">
        <v>14</v>
      </c>
      <c r="O972" s="104" t="s">
        <v>52</v>
      </c>
      <c r="P972" s="104" t="s">
        <v>52</v>
      </c>
      <c r="Q972" s="105"/>
      <c r="R972" s="28"/>
      <c r="S972" s="225" t="str">
        <f t="shared" si="15"/>
        <v/>
      </c>
      <c r="T972" s="2" t="s">
        <v>7614</v>
      </c>
      <c r="U972" s="7" t="s">
        <v>109</v>
      </c>
      <c r="V972" s="162" t="str" cm="1">
        <f t="array" ref="V972">_xlfn.IFS(C972="","",COUNTIF(C972,"ตำแหน่งว่าง*"),"ว่าง",COUNTIF(C972,"&lt;&gt;ตำแหน่งว่าง*"),"คนครอง")</f>
        <v>ว่าง</v>
      </c>
      <c r="W972" s="49" cm="1">
        <f t="array" ref="W972">_xlfn.IFS(COUNTIF(F972,"ผบ.หมู่*"),51,COUNTIF(F972,"รอง สว.*"),43)</f>
        <v>51</v>
      </c>
      <c r="X972" s="1" t="s">
        <v>2763</v>
      </c>
      <c r="Y972" s="1" t="s">
        <v>52</v>
      </c>
    </row>
    <row r="973" spans="1:25" s="12" customFormat="1" ht="21.3" customHeight="1">
      <c r="A973" s="27" t="s">
        <v>157</v>
      </c>
      <c r="B973" s="28" t="s">
        <v>21</v>
      </c>
      <c r="C973" s="95" t="s">
        <v>2765</v>
      </c>
      <c r="D973" s="27" t="s">
        <v>8058</v>
      </c>
      <c r="E973" s="27" t="s">
        <v>9061</v>
      </c>
      <c r="F973" s="95" t="s">
        <v>2737</v>
      </c>
      <c r="G973" s="101" t="s">
        <v>2767</v>
      </c>
      <c r="H973" s="75">
        <v>42501</v>
      </c>
      <c r="I973" s="73">
        <v>37316</v>
      </c>
      <c r="J973" s="73">
        <v>37316</v>
      </c>
      <c r="K973" s="73">
        <v>29912</v>
      </c>
      <c r="L973" s="11" t="s">
        <v>68</v>
      </c>
      <c r="M973" s="1" t="s">
        <v>23</v>
      </c>
      <c r="N973" s="111" t="s">
        <v>14</v>
      </c>
      <c r="O973" s="104" t="s">
        <v>52</v>
      </c>
      <c r="P973" s="104" t="s">
        <v>52</v>
      </c>
      <c r="Q973" s="105"/>
      <c r="R973" s="28" t="s">
        <v>110</v>
      </c>
      <c r="S973" s="225">
        <f t="shared" si="15"/>
        <v>52140</v>
      </c>
      <c r="T973" s="162" t="s">
        <v>7614</v>
      </c>
      <c r="U973" s="7" t="s">
        <v>109</v>
      </c>
      <c r="V973" s="162" t="str" cm="1">
        <f t="array" ref="V973">_xlfn.IFS(C973="","",COUNTIF(C973,"ตำแหน่งว่าง*"),"ว่าง",COUNTIF(C973,"&lt;&gt;ตำแหน่งว่าง*"),"คนครอง")</f>
        <v>คนครอง</v>
      </c>
      <c r="W973" s="49" cm="1">
        <f t="array" ref="W973">_xlfn.IFS(COUNTIF(F973,"ผบ.หมู่*"),51,COUNTIF(F973,"รอง สว.*"),43)</f>
        <v>51</v>
      </c>
      <c r="X973" s="5" t="s">
        <v>2766</v>
      </c>
      <c r="Y973" s="5" t="s">
        <v>52</v>
      </c>
    </row>
    <row r="974" spans="1:25" s="12" customFormat="1" ht="21.3" customHeight="1">
      <c r="A974" s="27" t="s">
        <v>157</v>
      </c>
      <c r="B974" s="28" t="s">
        <v>21</v>
      </c>
      <c r="C974" s="95" t="s">
        <v>2768</v>
      </c>
      <c r="D974" s="27" t="s">
        <v>8344</v>
      </c>
      <c r="E974" s="27" t="s">
        <v>9062</v>
      </c>
      <c r="F974" s="95" t="s">
        <v>2737</v>
      </c>
      <c r="G974" s="101" t="s">
        <v>2770</v>
      </c>
      <c r="H974" s="75">
        <v>42940</v>
      </c>
      <c r="I974" s="73">
        <v>40339</v>
      </c>
      <c r="J974" s="73">
        <v>40339</v>
      </c>
      <c r="K974" s="73">
        <v>31832</v>
      </c>
      <c r="L974" s="11" t="s">
        <v>68</v>
      </c>
      <c r="M974" s="1" t="s">
        <v>23</v>
      </c>
      <c r="N974" s="111" t="s">
        <v>14</v>
      </c>
      <c r="O974" s="104" t="s">
        <v>52</v>
      </c>
      <c r="P974" s="104" t="s">
        <v>52</v>
      </c>
      <c r="Q974" s="105"/>
      <c r="R974" s="28" t="s">
        <v>2771</v>
      </c>
      <c r="S974" s="225">
        <f t="shared" si="15"/>
        <v>53966</v>
      </c>
      <c r="T974" s="162" t="s">
        <v>7614</v>
      </c>
      <c r="U974" s="7" t="s">
        <v>109</v>
      </c>
      <c r="V974" s="162" t="str" cm="1">
        <f t="array" ref="V974">_xlfn.IFS(C974="","",COUNTIF(C974,"ตำแหน่งว่าง*"),"ว่าง",COUNTIF(C974,"&lt;&gt;ตำแหน่งว่าง*"),"คนครอง")</f>
        <v>คนครอง</v>
      </c>
      <c r="W974" s="49" cm="1">
        <f t="array" ref="W974">_xlfn.IFS(COUNTIF(F974,"ผบ.หมู่*"),51,COUNTIF(F974,"รอง สว.*"),43)</f>
        <v>51</v>
      </c>
      <c r="X974" s="5" t="s">
        <v>2769</v>
      </c>
      <c r="Y974" s="5" t="s">
        <v>52</v>
      </c>
    </row>
    <row r="975" spans="1:25" s="12" customFormat="1" ht="21.3" customHeight="1">
      <c r="A975" s="27" t="s">
        <v>157</v>
      </c>
      <c r="B975" s="28" t="s">
        <v>21</v>
      </c>
      <c r="C975" s="95" t="s">
        <v>2772</v>
      </c>
      <c r="D975" s="27" t="s">
        <v>8144</v>
      </c>
      <c r="E975" s="27" t="s">
        <v>9063</v>
      </c>
      <c r="F975" s="95" t="s">
        <v>2737</v>
      </c>
      <c r="G975" s="101" t="s">
        <v>2774</v>
      </c>
      <c r="H975" s="75">
        <v>42501</v>
      </c>
      <c r="I975" s="73">
        <v>34729</v>
      </c>
      <c r="J975" s="73">
        <v>34729</v>
      </c>
      <c r="K975" s="73">
        <v>26704</v>
      </c>
      <c r="L975" s="11" t="s">
        <v>591</v>
      </c>
      <c r="M975" s="1" t="s">
        <v>23</v>
      </c>
      <c r="N975" s="111" t="s">
        <v>14</v>
      </c>
      <c r="O975" s="104" t="s">
        <v>52</v>
      </c>
      <c r="P975" s="104" t="s">
        <v>52</v>
      </c>
      <c r="Q975" s="105"/>
      <c r="R975" s="28" t="s">
        <v>110</v>
      </c>
      <c r="S975" s="225">
        <f t="shared" si="15"/>
        <v>48853</v>
      </c>
      <c r="T975" s="162" t="s">
        <v>7614</v>
      </c>
      <c r="U975" s="7" t="s">
        <v>109</v>
      </c>
      <c r="V975" s="162" t="str" cm="1">
        <f t="array" ref="V975">_xlfn.IFS(C975="","",COUNTIF(C975,"ตำแหน่งว่าง*"),"ว่าง",COUNTIF(C975,"&lt;&gt;ตำแหน่งว่าง*"),"คนครอง")</f>
        <v>คนครอง</v>
      </c>
      <c r="W975" s="49" cm="1">
        <f t="array" ref="W975">_xlfn.IFS(COUNTIF(F975,"ผบ.หมู่*"),51,COUNTIF(F975,"รอง สว.*"),43)</f>
        <v>51</v>
      </c>
      <c r="X975" s="5" t="s">
        <v>2773</v>
      </c>
      <c r="Y975" s="5" t="s">
        <v>52</v>
      </c>
    </row>
    <row r="976" spans="1:25" s="10" customFormat="1" ht="21.3" customHeight="1">
      <c r="A976" s="27"/>
      <c r="B976" s="28"/>
      <c r="C976" s="30" t="s">
        <v>18</v>
      </c>
      <c r="D976" s="27"/>
      <c r="E976" s="27"/>
      <c r="F976" s="68" t="s">
        <v>2737</v>
      </c>
      <c r="G976" s="121" t="s">
        <v>2776</v>
      </c>
      <c r="H976" s="75" t="s">
        <v>19</v>
      </c>
      <c r="I976" s="73" t="s">
        <v>19</v>
      </c>
      <c r="J976" s="73" t="s">
        <v>19</v>
      </c>
      <c r="K976" s="73" t="s">
        <v>19</v>
      </c>
      <c r="L976" s="11"/>
      <c r="M976" s="1"/>
      <c r="N976" s="113" t="s">
        <v>14</v>
      </c>
      <c r="O976" s="122" t="s">
        <v>52</v>
      </c>
      <c r="P976" s="122" t="s">
        <v>52</v>
      </c>
      <c r="Q976" s="105"/>
      <c r="R976" s="28"/>
      <c r="S976" s="225" t="str">
        <f t="shared" si="15"/>
        <v/>
      </c>
      <c r="T976" s="7" t="s">
        <v>7614</v>
      </c>
      <c r="U976" s="7" t="s">
        <v>109</v>
      </c>
      <c r="V976" s="171" t="str" cm="1">
        <f t="array" ref="V976">_xlfn.IFS(C976="","",COUNTIF(C976,"ตำแหน่งว่าง*"),"ว่าง",COUNTIF(C976,"&lt;&gt;ตำแหน่งว่าง*"),"คนครอง")</f>
        <v>ว่าง</v>
      </c>
      <c r="W976" s="49" cm="1">
        <f t="array" ref="W976">_xlfn.IFS(COUNTIF(F976,"ผบ.หมู่*"),51,COUNTIF(F976,"รอง สว.*"),43)</f>
        <v>51</v>
      </c>
      <c r="X976" s="6" t="s">
        <v>2775</v>
      </c>
      <c r="Y976" s="6" t="s">
        <v>52</v>
      </c>
    </row>
    <row r="977" spans="1:25" s="55" customFormat="1" ht="21.3" customHeight="1">
      <c r="A977" s="65" t="s">
        <v>169</v>
      </c>
      <c r="B977" s="66" t="s">
        <v>12</v>
      </c>
      <c r="C977" s="65" t="s">
        <v>2605</v>
      </c>
      <c r="D977" s="27" t="s">
        <v>8039</v>
      </c>
      <c r="E977" s="27" t="s">
        <v>9064</v>
      </c>
      <c r="F977" s="65" t="s">
        <v>2606</v>
      </c>
      <c r="G977" s="101" t="s">
        <v>2608</v>
      </c>
      <c r="H977" s="81">
        <v>44986</v>
      </c>
      <c r="I977" s="81">
        <v>44986</v>
      </c>
      <c r="J977" s="77">
        <v>44986</v>
      </c>
      <c r="K977" s="81">
        <v>33503</v>
      </c>
      <c r="L977" s="67" t="s">
        <v>82</v>
      </c>
      <c r="M977" s="66" t="s">
        <v>13</v>
      </c>
      <c r="N977" s="114" t="s">
        <v>14</v>
      </c>
      <c r="O977" s="104" t="s">
        <v>52</v>
      </c>
      <c r="P977" s="104" t="s">
        <v>52</v>
      </c>
      <c r="Q977" s="107"/>
      <c r="R977" s="66" t="s">
        <v>861</v>
      </c>
      <c r="S977" s="225">
        <f t="shared" si="15"/>
        <v>55427</v>
      </c>
      <c r="T977" s="68" t="s">
        <v>7611</v>
      </c>
      <c r="U977" s="7" t="s">
        <v>109</v>
      </c>
      <c r="V977" s="162" t="str" cm="1">
        <f t="array" ref="V977">_xlfn.IFS(C977="","",COUNTIF(C977,"ตำแหน่งว่าง*"),"ว่าง",COUNTIF(C977,"&lt;&gt;ตำแหน่งว่าง*"),"คนครอง")</f>
        <v>คนครอง</v>
      </c>
      <c r="W977" s="49" cm="1">
        <f t="array" ref="W977">_xlfn.IFS(COUNTIF(F977,"ผบ.หมู่*"),51,COUNTIF(F977,"รอง สว.*"),43)</f>
        <v>51</v>
      </c>
      <c r="X977" s="66" t="s">
        <v>2607</v>
      </c>
      <c r="Y977" s="66" t="s">
        <v>52</v>
      </c>
    </row>
    <row r="978" spans="1:25" s="55" customFormat="1" ht="21.3" customHeight="1">
      <c r="A978" s="65" t="s">
        <v>169</v>
      </c>
      <c r="B978" s="66" t="s">
        <v>12</v>
      </c>
      <c r="C978" s="65" t="s">
        <v>2609</v>
      </c>
      <c r="D978" s="27" t="s">
        <v>8855</v>
      </c>
      <c r="E978" s="27" t="s">
        <v>9065</v>
      </c>
      <c r="F978" s="65" t="s">
        <v>2606</v>
      </c>
      <c r="G978" s="101" t="s">
        <v>2611</v>
      </c>
      <c r="H978" s="81">
        <v>44986</v>
      </c>
      <c r="I978" s="81">
        <v>44986</v>
      </c>
      <c r="J978" s="77">
        <v>44986</v>
      </c>
      <c r="K978" s="81">
        <v>33046</v>
      </c>
      <c r="L978" s="67" t="s">
        <v>82</v>
      </c>
      <c r="M978" s="66" t="s">
        <v>145</v>
      </c>
      <c r="N978" s="114" t="s">
        <v>14</v>
      </c>
      <c r="O978" s="104" t="s">
        <v>52</v>
      </c>
      <c r="P978" s="104" t="s">
        <v>52</v>
      </c>
      <c r="Q978" s="107"/>
      <c r="R978" s="66" t="s">
        <v>861</v>
      </c>
      <c r="S978" s="225">
        <f t="shared" si="15"/>
        <v>55062</v>
      </c>
      <c r="T978" s="68" t="s">
        <v>7611</v>
      </c>
      <c r="U978" s="7" t="s">
        <v>109</v>
      </c>
      <c r="V978" s="162" t="str" cm="1">
        <f t="array" ref="V978">_xlfn.IFS(C978="","",COUNTIF(C978,"ตำแหน่งว่าง*"),"ว่าง",COUNTIF(C978,"&lt;&gt;ตำแหน่งว่าง*"),"คนครอง")</f>
        <v>คนครอง</v>
      </c>
      <c r="W978" s="49" cm="1">
        <f t="array" ref="W978">_xlfn.IFS(COUNTIF(F978,"ผบ.หมู่*"),51,COUNTIF(F978,"รอง สว.*"),43)</f>
        <v>51</v>
      </c>
      <c r="X978" s="66" t="s">
        <v>2610</v>
      </c>
      <c r="Y978" s="66" t="s">
        <v>52</v>
      </c>
    </row>
    <row r="979" spans="1:25" s="12" customFormat="1" ht="21.3" customHeight="1">
      <c r="A979" s="27"/>
      <c r="B979" s="28"/>
      <c r="C979" s="95" t="s">
        <v>18</v>
      </c>
      <c r="D979" s="27"/>
      <c r="E979" s="27"/>
      <c r="F979" s="65" t="s">
        <v>2606</v>
      </c>
      <c r="G979" s="101" t="s">
        <v>2613</v>
      </c>
      <c r="H979" s="75"/>
      <c r="I979" s="73"/>
      <c r="J979" s="73"/>
      <c r="K979" s="73"/>
      <c r="L979" s="11"/>
      <c r="M979" s="1"/>
      <c r="N979" s="111" t="s">
        <v>14</v>
      </c>
      <c r="O979" s="104" t="s">
        <v>52</v>
      </c>
      <c r="P979" s="104" t="s">
        <v>52</v>
      </c>
      <c r="Q979" s="105"/>
      <c r="R979" s="28"/>
      <c r="S979" s="225" t="str">
        <f t="shared" si="15"/>
        <v/>
      </c>
      <c r="T979" s="162" t="s">
        <v>7611</v>
      </c>
      <c r="U979" s="7" t="s">
        <v>109</v>
      </c>
      <c r="V979" s="162" t="str" cm="1">
        <f t="array" ref="V979">_xlfn.IFS(C979="","",COUNTIF(C979,"ตำแหน่งว่าง*"),"ว่าง",COUNTIF(C979,"&lt;&gt;ตำแหน่งว่าง*"),"คนครอง")</f>
        <v>ว่าง</v>
      </c>
      <c r="W979" s="49" cm="1">
        <f t="array" ref="W979">_xlfn.IFS(COUNTIF(F979,"ผบ.หมู่*"),51,COUNTIF(F979,"รอง สว.*"),43)</f>
        <v>51</v>
      </c>
      <c r="X979" s="5" t="s">
        <v>2612</v>
      </c>
      <c r="Y979" s="5" t="s">
        <v>52</v>
      </c>
    </row>
    <row r="980" spans="1:25" s="10" customFormat="1" ht="21.3" customHeight="1">
      <c r="A980" s="27" t="s">
        <v>157</v>
      </c>
      <c r="B980" s="28" t="s">
        <v>21</v>
      </c>
      <c r="C980" s="27" t="s">
        <v>7729</v>
      </c>
      <c r="D980" s="27" t="s">
        <v>8058</v>
      </c>
      <c r="E980" s="27" t="s">
        <v>9066</v>
      </c>
      <c r="F980" s="27" t="s">
        <v>2606</v>
      </c>
      <c r="G980" s="101" t="s">
        <v>2615</v>
      </c>
      <c r="H980" s="75">
        <v>45322</v>
      </c>
      <c r="I980" s="73">
        <v>40339</v>
      </c>
      <c r="J980" s="73">
        <v>40339</v>
      </c>
      <c r="K980" s="73">
        <v>30120</v>
      </c>
      <c r="L980" s="11" t="s">
        <v>7730</v>
      </c>
      <c r="M980" s="1"/>
      <c r="N980" s="112" t="s">
        <v>14</v>
      </c>
      <c r="O980" s="104" t="s">
        <v>52</v>
      </c>
      <c r="P980" s="104" t="s">
        <v>52</v>
      </c>
      <c r="Q980" s="105"/>
      <c r="R980" s="30" t="s">
        <v>7708</v>
      </c>
      <c r="S980" s="225">
        <f t="shared" si="15"/>
        <v>52140</v>
      </c>
      <c r="T980" s="7" t="s">
        <v>7611</v>
      </c>
      <c r="U980" s="7" t="s">
        <v>109</v>
      </c>
      <c r="V980" s="162" t="str" cm="1">
        <f t="array" ref="V980">_xlfn.IFS(C980="","",COUNTIF(C980,"ตำแหน่งว่าง*"),"ว่าง",COUNTIF(C980,"&lt;&gt;ตำแหน่งว่าง*"),"คนครอง")</f>
        <v>คนครอง</v>
      </c>
      <c r="W980" s="49" cm="1">
        <f t="array" ref="W980">_xlfn.IFS(COUNTIF(F980,"ผบ.หมู่*"),51,COUNTIF(F980,"รอง สว.*"),43)</f>
        <v>51</v>
      </c>
      <c r="X980" s="1" t="s">
        <v>2614</v>
      </c>
      <c r="Y980" s="1" t="s">
        <v>52</v>
      </c>
    </row>
    <row r="981" spans="1:25" s="9" customFormat="1" ht="21.3" customHeight="1">
      <c r="A981" s="68"/>
      <c r="B981" s="30"/>
      <c r="C981" s="30" t="s">
        <v>18</v>
      </c>
      <c r="D981" s="27"/>
      <c r="E981" s="27"/>
      <c r="F981" s="68" t="s">
        <v>2606</v>
      </c>
      <c r="G981" s="121" t="s">
        <v>2617</v>
      </c>
      <c r="H981" s="80"/>
      <c r="I981" s="74"/>
      <c r="J981" s="74"/>
      <c r="K981" s="74"/>
      <c r="L981" s="16"/>
      <c r="M981" s="6"/>
      <c r="N981" s="113" t="s">
        <v>14</v>
      </c>
      <c r="O981" s="122" t="s">
        <v>52</v>
      </c>
      <c r="P981" s="122" t="s">
        <v>52</v>
      </c>
      <c r="Q981" s="106"/>
      <c r="R981" s="30"/>
      <c r="S981" s="225" t="str">
        <f t="shared" si="15"/>
        <v/>
      </c>
      <c r="T981" s="2" t="s">
        <v>7611</v>
      </c>
      <c r="U981" s="7" t="s">
        <v>109</v>
      </c>
      <c r="V981" s="171" t="str" cm="1">
        <f t="array" ref="V981">_xlfn.IFS(C981="","",COUNTIF(C981,"ตำแหน่งว่าง*"),"ว่าง",COUNTIF(C981,"&lt;&gt;ตำแหน่งว่าง*"),"คนครอง")</f>
        <v>ว่าง</v>
      </c>
      <c r="W981" s="49" cm="1">
        <f t="array" ref="W981">_xlfn.IFS(COUNTIF(F981,"ผบ.หมู่*"),51,COUNTIF(F981,"รอง สว.*"),43)</f>
        <v>51</v>
      </c>
      <c r="X981" s="1" t="s">
        <v>2616</v>
      </c>
      <c r="Y981" s="1" t="s">
        <v>52</v>
      </c>
    </row>
    <row r="982" spans="1:25" s="10" customFormat="1" ht="21.3" customHeight="1">
      <c r="A982" s="192" t="s">
        <v>169</v>
      </c>
      <c r="B982" s="193" t="s">
        <v>21</v>
      </c>
      <c r="C982" s="192" t="s">
        <v>7910</v>
      </c>
      <c r="D982" s="27" t="s">
        <v>9067</v>
      </c>
      <c r="E982" s="27" t="s">
        <v>9068</v>
      </c>
      <c r="F982" s="192" t="s">
        <v>2606</v>
      </c>
      <c r="G982" s="101" t="s">
        <v>2619</v>
      </c>
      <c r="H982" s="73">
        <v>45463</v>
      </c>
      <c r="I982" s="73">
        <v>45463</v>
      </c>
      <c r="J982" s="73">
        <v>45463</v>
      </c>
      <c r="K982" s="73">
        <v>34934</v>
      </c>
      <c r="L982" s="2" t="s">
        <v>82</v>
      </c>
      <c r="M982" s="1"/>
      <c r="N982" s="112" t="s">
        <v>14</v>
      </c>
      <c r="O982" s="104" t="s">
        <v>52</v>
      </c>
      <c r="P982" s="104" t="s">
        <v>52</v>
      </c>
      <c r="Q982" s="105"/>
      <c r="R982" s="28" t="s">
        <v>7961</v>
      </c>
      <c r="S982" s="174">
        <f t="shared" si="15"/>
        <v>56888</v>
      </c>
      <c r="T982" s="2" t="s">
        <v>7611</v>
      </c>
      <c r="U982" s="2" t="s">
        <v>109</v>
      </c>
      <c r="V982" s="162" t="str" cm="1">
        <f t="array" ref="V982">_xlfn.IFS(C982="","",COUNTIF(C982,"ตำแหน่งว่าง*"),"ว่าง",COUNTIF(C982,"&lt;&gt;ตำแหน่งว่าง*"),"คนครอง")</f>
        <v>คนครอง</v>
      </c>
      <c r="W982" s="49" cm="1">
        <f t="array" ref="W982">_xlfn.IFS(COUNTIF(F982,"ผบ.หมู่*"),51,COUNTIF(F982,"รอง สว.*"),43)</f>
        <v>51</v>
      </c>
      <c r="X982" s="1" t="s">
        <v>2618</v>
      </c>
      <c r="Y982" s="1" t="s">
        <v>52</v>
      </c>
    </row>
    <row r="983" spans="1:25" s="12" customFormat="1" ht="21.3" customHeight="1">
      <c r="A983" s="27" t="s">
        <v>612</v>
      </c>
      <c r="B983" s="28" t="s">
        <v>12</v>
      </c>
      <c r="C983" s="95" t="s">
        <v>2620</v>
      </c>
      <c r="D983" s="27" t="s">
        <v>7992</v>
      </c>
      <c r="E983" s="27" t="s">
        <v>9069</v>
      </c>
      <c r="F983" s="95" t="s">
        <v>2606</v>
      </c>
      <c r="G983" s="101" t="s">
        <v>2622</v>
      </c>
      <c r="H983" s="75">
        <v>42501</v>
      </c>
      <c r="I983" s="73">
        <v>42416</v>
      </c>
      <c r="J983" s="73">
        <v>42416</v>
      </c>
      <c r="K983" s="73">
        <v>34752</v>
      </c>
      <c r="L983" s="11" t="s">
        <v>82</v>
      </c>
      <c r="M983" s="1" t="s">
        <v>90</v>
      </c>
      <c r="N983" s="111" t="s">
        <v>14</v>
      </c>
      <c r="O983" s="104" t="s">
        <v>52</v>
      </c>
      <c r="P983" s="104" t="s">
        <v>52</v>
      </c>
      <c r="Q983" s="105"/>
      <c r="R983" s="28" t="s">
        <v>110</v>
      </c>
      <c r="S983" s="225">
        <f t="shared" si="15"/>
        <v>56888</v>
      </c>
      <c r="T983" s="162" t="s">
        <v>7611</v>
      </c>
      <c r="U983" s="7" t="s">
        <v>109</v>
      </c>
      <c r="V983" s="162" t="str" cm="1">
        <f t="array" ref="V983">_xlfn.IFS(C983="","",COUNTIF(C983,"ตำแหน่งว่าง*"),"ว่าง",COUNTIF(C983,"&lt;&gt;ตำแหน่งว่าง*"),"คนครอง")</f>
        <v>คนครอง</v>
      </c>
      <c r="W983" s="49" cm="1">
        <f t="array" ref="W983">_xlfn.IFS(COUNTIF(F983,"ผบ.หมู่*"),51,COUNTIF(F983,"รอง สว.*"),43)</f>
        <v>51</v>
      </c>
      <c r="X983" s="5" t="s">
        <v>2621</v>
      </c>
      <c r="Y983" s="5" t="s">
        <v>52</v>
      </c>
    </row>
    <row r="984" spans="1:25" s="12" customFormat="1" ht="21.3" customHeight="1">
      <c r="A984" s="27"/>
      <c r="B984" s="28"/>
      <c r="C984" s="27" t="s">
        <v>18</v>
      </c>
      <c r="D984" s="27"/>
      <c r="E984" s="27"/>
      <c r="F984" s="27" t="s">
        <v>2606</v>
      </c>
      <c r="G984" s="101" t="s">
        <v>2625</v>
      </c>
      <c r="H984" s="75"/>
      <c r="I984" s="73"/>
      <c r="J984" s="73"/>
      <c r="K984" s="73"/>
      <c r="L984" s="11"/>
      <c r="M984" s="1"/>
      <c r="N984" s="112" t="s">
        <v>14</v>
      </c>
      <c r="O984" s="104" t="s">
        <v>52</v>
      </c>
      <c r="P984" s="104" t="s">
        <v>52</v>
      </c>
      <c r="Q984" s="105"/>
      <c r="R984" s="28"/>
      <c r="S984" s="174" t="str">
        <f t="shared" si="15"/>
        <v/>
      </c>
      <c r="T984" s="2" t="s">
        <v>7611</v>
      </c>
      <c r="U984" s="2" t="s">
        <v>109</v>
      </c>
      <c r="V984" s="2" t="str" cm="1">
        <f t="array" ref="V984">_xlfn.IFS(C984="","",COUNTIF(C984,"ตำแหน่งว่าง*"),"ว่าง",COUNTIF(C984,"&lt;&gt;ตำแหน่งว่าง*"),"คนครอง")</f>
        <v>ว่าง</v>
      </c>
      <c r="W984" s="170" cm="1">
        <f t="array" ref="W984">_xlfn.IFS(COUNTIF(F984,"ผบ.หมู่*"),51,COUNTIF(F984,"รอง สว.*"),43)</f>
        <v>51</v>
      </c>
      <c r="X984" s="1" t="s">
        <v>2624</v>
      </c>
      <c r="Y984" s="1" t="s">
        <v>52</v>
      </c>
    </row>
    <row r="985" spans="1:25" s="12" customFormat="1" ht="21.3" customHeight="1">
      <c r="A985" s="192" t="s">
        <v>169</v>
      </c>
      <c r="B985" s="193" t="s">
        <v>21</v>
      </c>
      <c r="C985" s="192" t="s">
        <v>7911</v>
      </c>
      <c r="D985" s="27" t="s">
        <v>9072</v>
      </c>
      <c r="E985" s="27" t="s">
        <v>9073</v>
      </c>
      <c r="F985" s="192" t="s">
        <v>2606</v>
      </c>
      <c r="G985" s="101" t="s">
        <v>2627</v>
      </c>
      <c r="H985" s="73">
        <v>45463</v>
      </c>
      <c r="I985" s="73">
        <v>45463</v>
      </c>
      <c r="J985" s="73">
        <v>45463</v>
      </c>
      <c r="K985" s="73">
        <v>36505</v>
      </c>
      <c r="L985" s="2" t="s">
        <v>82</v>
      </c>
      <c r="M985" s="1"/>
      <c r="N985" s="112" t="s">
        <v>14</v>
      </c>
      <c r="O985" s="104" t="s">
        <v>52</v>
      </c>
      <c r="P985" s="104" t="s">
        <v>52</v>
      </c>
      <c r="Q985" s="105"/>
      <c r="R985" s="28" t="s">
        <v>7961</v>
      </c>
      <c r="S985" s="174">
        <f t="shared" si="15"/>
        <v>58715</v>
      </c>
      <c r="T985" s="2" t="s">
        <v>7611</v>
      </c>
      <c r="U985" s="2" t="s">
        <v>109</v>
      </c>
      <c r="V985" s="162" t="str" cm="1">
        <f t="array" ref="V985">_xlfn.IFS(C985="","",COUNTIF(C985,"ตำแหน่งว่าง*"),"ว่าง",COUNTIF(C985,"&lt;&gt;ตำแหน่งว่าง*"),"คนครอง")</f>
        <v>คนครอง</v>
      </c>
      <c r="W985" s="49" cm="1">
        <f t="array" ref="W985">_xlfn.IFS(COUNTIF(F985,"ผบ.หมู่*"),51,COUNTIF(F985,"รอง สว.*"),43)</f>
        <v>51</v>
      </c>
      <c r="X985" s="1" t="s">
        <v>2626</v>
      </c>
      <c r="Y985" s="1" t="s">
        <v>52</v>
      </c>
    </row>
    <row r="986" spans="1:25" s="10" customFormat="1" ht="21.3" customHeight="1">
      <c r="A986" s="27"/>
      <c r="B986" s="30"/>
      <c r="C986" s="30" t="s">
        <v>18</v>
      </c>
      <c r="D986" s="27"/>
      <c r="E986" s="27"/>
      <c r="F986" s="68" t="s">
        <v>2606</v>
      </c>
      <c r="G986" s="121" t="s">
        <v>2629</v>
      </c>
      <c r="H986" s="75" t="s">
        <v>19</v>
      </c>
      <c r="I986" s="73" t="s">
        <v>19</v>
      </c>
      <c r="J986" s="73" t="s">
        <v>19</v>
      </c>
      <c r="K986" s="73" t="s">
        <v>19</v>
      </c>
      <c r="L986" s="11"/>
      <c r="M986" s="1"/>
      <c r="N986" s="113" t="s">
        <v>14</v>
      </c>
      <c r="O986" s="122" t="s">
        <v>52</v>
      </c>
      <c r="P986" s="122" t="s">
        <v>52</v>
      </c>
      <c r="Q986" s="106"/>
      <c r="R986" s="30"/>
      <c r="S986" s="225" t="str">
        <f t="shared" si="15"/>
        <v/>
      </c>
      <c r="T986" s="7" t="s">
        <v>7611</v>
      </c>
      <c r="U986" s="7" t="s">
        <v>109</v>
      </c>
      <c r="V986" s="171" t="str" cm="1">
        <f t="array" ref="V986">_xlfn.IFS(C986="","",COUNTIF(C986,"ตำแหน่งว่าง*"),"ว่าง",COUNTIF(C986,"&lt;&gt;ตำแหน่งว่าง*"),"คนครอง")</f>
        <v>ว่าง</v>
      </c>
      <c r="W986" s="49" cm="1">
        <f t="array" ref="W986">_xlfn.IFS(COUNTIF(F986,"ผบ.หมู่*"),51,COUNTIF(F986,"รอง สว.*"),43)</f>
        <v>51</v>
      </c>
      <c r="X986" s="6" t="s">
        <v>2628</v>
      </c>
      <c r="Y986" s="6" t="s">
        <v>52</v>
      </c>
    </row>
    <row r="987" spans="1:25" s="9" customFormat="1" ht="21.3" customHeight="1">
      <c r="A987" s="95" t="s">
        <v>208</v>
      </c>
      <c r="B987" s="28" t="s">
        <v>12</v>
      </c>
      <c r="C987" s="27" t="s">
        <v>2630</v>
      </c>
      <c r="D987" s="27" t="s">
        <v>8148</v>
      </c>
      <c r="E987" s="27" t="s">
        <v>9074</v>
      </c>
      <c r="F987" s="27" t="s">
        <v>2606</v>
      </c>
      <c r="G987" s="101" t="s">
        <v>2632</v>
      </c>
      <c r="H987" s="75">
        <v>43693</v>
      </c>
      <c r="I987" s="73">
        <v>43693</v>
      </c>
      <c r="J987" s="73">
        <v>43693</v>
      </c>
      <c r="K987" s="73">
        <v>32179</v>
      </c>
      <c r="L987" s="11" t="s">
        <v>261</v>
      </c>
      <c r="M987" s="1" t="s">
        <v>78</v>
      </c>
      <c r="N987" s="112" t="s">
        <v>14</v>
      </c>
      <c r="O987" s="104" t="s">
        <v>52</v>
      </c>
      <c r="P987" s="104" t="s">
        <v>52</v>
      </c>
      <c r="Q987" s="105"/>
      <c r="R987" s="28" t="s">
        <v>645</v>
      </c>
      <c r="S987" s="225">
        <f t="shared" si="15"/>
        <v>54332</v>
      </c>
      <c r="T987" s="2" t="s">
        <v>7611</v>
      </c>
      <c r="U987" s="7" t="s">
        <v>109</v>
      </c>
      <c r="V987" s="162" t="str" cm="1">
        <f t="array" ref="V987">_xlfn.IFS(C987="","",COUNTIF(C987,"ตำแหน่งว่าง*"),"ว่าง",COUNTIF(C987,"&lt;&gt;ตำแหน่งว่าง*"),"คนครอง")</f>
        <v>คนครอง</v>
      </c>
      <c r="W987" s="49" cm="1">
        <f t="array" ref="W987">_xlfn.IFS(COUNTIF(F987,"ผบ.หมู่*"),51,COUNTIF(F987,"รอง สว.*"),43)</f>
        <v>51</v>
      </c>
      <c r="X987" s="1" t="s">
        <v>2631</v>
      </c>
      <c r="Y987" s="1" t="s">
        <v>52</v>
      </c>
    </row>
    <row r="988" spans="1:25" s="9" customFormat="1" ht="21.3" customHeight="1">
      <c r="A988" s="95" t="s">
        <v>208</v>
      </c>
      <c r="B988" s="28" t="s">
        <v>21</v>
      </c>
      <c r="C988" s="27" t="s">
        <v>2633</v>
      </c>
      <c r="D988" s="27" t="s">
        <v>9075</v>
      </c>
      <c r="E988" s="27" t="s">
        <v>9076</v>
      </c>
      <c r="F988" s="27" t="s">
        <v>2606</v>
      </c>
      <c r="G988" s="101" t="s">
        <v>2635</v>
      </c>
      <c r="H988" s="75">
        <v>43693</v>
      </c>
      <c r="I988" s="73">
        <v>43693</v>
      </c>
      <c r="J988" s="73">
        <v>43693</v>
      </c>
      <c r="K988" s="73">
        <v>34850</v>
      </c>
      <c r="L988" s="11" t="s">
        <v>2570</v>
      </c>
      <c r="M988" s="1" t="s">
        <v>61</v>
      </c>
      <c r="N988" s="112" t="s">
        <v>14</v>
      </c>
      <c r="O988" s="104" t="s">
        <v>52</v>
      </c>
      <c r="P988" s="104" t="s">
        <v>52</v>
      </c>
      <c r="Q988" s="105"/>
      <c r="R988" s="28" t="s">
        <v>645</v>
      </c>
      <c r="S988" s="225">
        <f t="shared" si="15"/>
        <v>56888</v>
      </c>
      <c r="T988" s="2" t="s">
        <v>7611</v>
      </c>
      <c r="U988" s="7" t="s">
        <v>109</v>
      </c>
      <c r="V988" s="162" t="str" cm="1">
        <f t="array" ref="V988">_xlfn.IFS(C988="","",COUNTIF(C988,"ตำแหน่งว่าง*"),"ว่าง",COUNTIF(C988,"&lt;&gt;ตำแหน่งว่าง*"),"คนครอง")</f>
        <v>คนครอง</v>
      </c>
      <c r="W988" s="49" cm="1">
        <f t="array" ref="W988">_xlfn.IFS(COUNTIF(F988,"ผบ.หมู่*"),51,COUNTIF(F988,"รอง สว.*"),43)</f>
        <v>51</v>
      </c>
      <c r="X988" s="1" t="s">
        <v>2634</v>
      </c>
      <c r="Y988" s="1" t="s">
        <v>52</v>
      </c>
    </row>
    <row r="989" spans="1:25" s="10" customFormat="1" ht="21.3" customHeight="1">
      <c r="A989" s="27"/>
      <c r="B989" s="28"/>
      <c r="C989" s="30" t="s">
        <v>18</v>
      </c>
      <c r="D989" s="27"/>
      <c r="E989" s="27"/>
      <c r="F989" s="68" t="s">
        <v>2606</v>
      </c>
      <c r="G989" s="121" t="s">
        <v>2637</v>
      </c>
      <c r="H989" s="75" t="s">
        <v>19</v>
      </c>
      <c r="I989" s="73" t="s">
        <v>19</v>
      </c>
      <c r="J989" s="73" t="s">
        <v>19</v>
      </c>
      <c r="K989" s="73" t="s">
        <v>19</v>
      </c>
      <c r="L989" s="11"/>
      <c r="M989" s="1"/>
      <c r="N989" s="113" t="s">
        <v>14</v>
      </c>
      <c r="O989" s="122" t="s">
        <v>52</v>
      </c>
      <c r="P989" s="122" t="s">
        <v>52</v>
      </c>
      <c r="Q989" s="105"/>
      <c r="R989" s="28"/>
      <c r="S989" s="225" t="str">
        <f t="shared" si="15"/>
        <v/>
      </c>
      <c r="T989" s="7" t="s">
        <v>7611</v>
      </c>
      <c r="U989" s="7" t="s">
        <v>109</v>
      </c>
      <c r="V989" s="171" t="str" cm="1">
        <f t="array" ref="V989">_xlfn.IFS(C989="","",COUNTIF(C989,"ตำแหน่งว่าง*"),"ว่าง",COUNTIF(C989,"&lt;&gt;ตำแหน่งว่าง*"),"คนครอง")</f>
        <v>ว่าง</v>
      </c>
      <c r="W989" s="49" cm="1">
        <f t="array" ref="W989">_xlfn.IFS(COUNTIF(F989,"ผบ.หมู่*"),51,COUNTIF(F989,"รอง สว.*"),43)</f>
        <v>51</v>
      </c>
      <c r="X989" s="6" t="s">
        <v>2636</v>
      </c>
      <c r="Y989" s="6" t="s">
        <v>52</v>
      </c>
    </row>
    <row r="990" spans="1:25" s="10" customFormat="1" ht="21.3" customHeight="1">
      <c r="A990" s="27"/>
      <c r="B990" s="28"/>
      <c r="C990" s="30" t="s">
        <v>18</v>
      </c>
      <c r="D990" s="27"/>
      <c r="E990" s="27"/>
      <c r="F990" s="68" t="s">
        <v>2606</v>
      </c>
      <c r="G990" s="121" t="s">
        <v>2639</v>
      </c>
      <c r="H990" s="75" t="s">
        <v>19</v>
      </c>
      <c r="I990" s="73" t="s">
        <v>19</v>
      </c>
      <c r="J990" s="73" t="s">
        <v>19</v>
      </c>
      <c r="K990" s="73" t="s">
        <v>19</v>
      </c>
      <c r="L990" s="11"/>
      <c r="M990" s="1"/>
      <c r="N990" s="113" t="s">
        <v>14</v>
      </c>
      <c r="O990" s="122" t="s">
        <v>52</v>
      </c>
      <c r="P990" s="122" t="s">
        <v>52</v>
      </c>
      <c r="Q990" s="105"/>
      <c r="R990" s="28"/>
      <c r="S990" s="225" t="str">
        <f t="shared" si="15"/>
        <v/>
      </c>
      <c r="T990" s="7" t="s">
        <v>7611</v>
      </c>
      <c r="U990" s="7" t="s">
        <v>109</v>
      </c>
      <c r="V990" s="171" t="str" cm="1">
        <f t="array" ref="V990">_xlfn.IFS(C990="","",COUNTIF(C990,"ตำแหน่งว่าง*"),"ว่าง",COUNTIF(C990,"&lt;&gt;ตำแหน่งว่าง*"),"คนครอง")</f>
        <v>ว่าง</v>
      </c>
      <c r="W990" s="49" cm="1">
        <f t="array" ref="W990">_xlfn.IFS(COUNTIF(F990,"ผบ.หมู่*"),51,COUNTIF(F990,"รอง สว.*"),43)</f>
        <v>51</v>
      </c>
      <c r="X990" s="6" t="s">
        <v>2638</v>
      </c>
      <c r="Y990" s="6" t="s">
        <v>52</v>
      </c>
    </row>
    <row r="991" spans="1:25" s="10" customFormat="1" ht="21.3" customHeight="1">
      <c r="A991" s="27"/>
      <c r="B991" s="28"/>
      <c r="C991" s="30" t="s">
        <v>18</v>
      </c>
      <c r="D991" s="27"/>
      <c r="E991" s="27"/>
      <c r="F991" s="68" t="s">
        <v>2606</v>
      </c>
      <c r="G991" s="121" t="s">
        <v>2641</v>
      </c>
      <c r="H991" s="75" t="s">
        <v>19</v>
      </c>
      <c r="I991" s="73" t="s">
        <v>19</v>
      </c>
      <c r="J991" s="73" t="s">
        <v>19</v>
      </c>
      <c r="K991" s="73" t="s">
        <v>19</v>
      </c>
      <c r="L991" s="11"/>
      <c r="M991" s="1"/>
      <c r="N991" s="113" t="s">
        <v>14</v>
      </c>
      <c r="O991" s="122" t="s">
        <v>52</v>
      </c>
      <c r="P991" s="122" t="s">
        <v>52</v>
      </c>
      <c r="Q991" s="105"/>
      <c r="R991" s="28"/>
      <c r="S991" s="225" t="str">
        <f t="shared" si="15"/>
        <v/>
      </c>
      <c r="T991" s="7" t="s">
        <v>7611</v>
      </c>
      <c r="U991" s="7" t="s">
        <v>109</v>
      </c>
      <c r="V991" s="171" t="str" cm="1">
        <f t="array" ref="V991">_xlfn.IFS(C991="","",COUNTIF(C991,"ตำแหน่งว่าง*"),"ว่าง",COUNTIF(C991,"&lt;&gt;ตำแหน่งว่าง*"),"คนครอง")</f>
        <v>ว่าง</v>
      </c>
      <c r="W991" s="49" cm="1">
        <f t="array" ref="W991">_xlfn.IFS(COUNTIF(F991,"ผบ.หมู่*"),51,COUNTIF(F991,"รอง สว.*"),43)</f>
        <v>51</v>
      </c>
      <c r="X991" s="6" t="s">
        <v>2640</v>
      </c>
      <c r="Y991" s="6" t="s">
        <v>52</v>
      </c>
    </row>
    <row r="992" spans="1:25" s="10" customFormat="1" ht="21.3" customHeight="1">
      <c r="A992" s="27"/>
      <c r="B992" s="28"/>
      <c r="C992" s="30" t="s">
        <v>18</v>
      </c>
      <c r="D992" s="27"/>
      <c r="E992" s="27"/>
      <c r="F992" s="68" t="s">
        <v>2606</v>
      </c>
      <c r="G992" s="121" t="s">
        <v>2643</v>
      </c>
      <c r="H992" s="75" t="s">
        <v>19</v>
      </c>
      <c r="I992" s="73" t="s">
        <v>19</v>
      </c>
      <c r="J992" s="73" t="s">
        <v>19</v>
      </c>
      <c r="K992" s="73" t="s">
        <v>19</v>
      </c>
      <c r="L992" s="11"/>
      <c r="M992" s="1"/>
      <c r="N992" s="113" t="s">
        <v>14</v>
      </c>
      <c r="O992" s="122" t="s">
        <v>52</v>
      </c>
      <c r="P992" s="122" t="s">
        <v>52</v>
      </c>
      <c r="Q992" s="105"/>
      <c r="R992" s="28"/>
      <c r="S992" s="225" t="str">
        <f t="shared" si="15"/>
        <v/>
      </c>
      <c r="T992" s="7" t="s">
        <v>7611</v>
      </c>
      <c r="U992" s="7" t="s">
        <v>109</v>
      </c>
      <c r="V992" s="171" t="str" cm="1">
        <f t="array" ref="V992">_xlfn.IFS(C992="","",COUNTIF(C992,"ตำแหน่งว่าง*"),"ว่าง",COUNTIF(C992,"&lt;&gt;ตำแหน่งว่าง*"),"คนครอง")</f>
        <v>ว่าง</v>
      </c>
      <c r="W992" s="49" cm="1">
        <f t="array" ref="W992">_xlfn.IFS(COUNTIF(F992,"ผบ.หมู่*"),51,COUNTIF(F992,"รอง สว.*"),43)</f>
        <v>51</v>
      </c>
      <c r="X992" s="6" t="s">
        <v>2642</v>
      </c>
      <c r="Y992" s="6" t="s">
        <v>52</v>
      </c>
    </row>
    <row r="993" spans="1:25" s="10" customFormat="1" ht="21.3" customHeight="1">
      <c r="A993" s="27"/>
      <c r="B993" s="28"/>
      <c r="C993" s="30" t="s">
        <v>18</v>
      </c>
      <c r="D993" s="27"/>
      <c r="E993" s="27"/>
      <c r="F993" s="68" t="s">
        <v>2606</v>
      </c>
      <c r="G993" s="121" t="s">
        <v>2645</v>
      </c>
      <c r="H993" s="75" t="s">
        <v>19</v>
      </c>
      <c r="I993" s="73" t="s">
        <v>19</v>
      </c>
      <c r="J993" s="73" t="s">
        <v>19</v>
      </c>
      <c r="K993" s="73" t="s">
        <v>19</v>
      </c>
      <c r="L993" s="11"/>
      <c r="M993" s="1"/>
      <c r="N993" s="113" t="s">
        <v>14</v>
      </c>
      <c r="O993" s="122" t="s">
        <v>52</v>
      </c>
      <c r="P993" s="122" t="s">
        <v>52</v>
      </c>
      <c r="Q993" s="105"/>
      <c r="R993" s="28"/>
      <c r="S993" s="225" t="str">
        <f t="shared" si="15"/>
        <v/>
      </c>
      <c r="T993" s="7" t="s">
        <v>7611</v>
      </c>
      <c r="U993" s="7" t="s">
        <v>109</v>
      </c>
      <c r="V993" s="171" t="str" cm="1">
        <f t="array" ref="V993">_xlfn.IFS(C993="","",COUNTIF(C993,"ตำแหน่งว่าง*"),"ว่าง",COUNTIF(C993,"&lt;&gt;ตำแหน่งว่าง*"),"คนครอง")</f>
        <v>ว่าง</v>
      </c>
      <c r="W993" s="49" cm="1">
        <f t="array" ref="W993">_xlfn.IFS(COUNTIF(F993,"ผบ.หมู่*"),51,COUNTIF(F993,"รอง สว.*"),43)</f>
        <v>51</v>
      </c>
      <c r="X993" s="6" t="s">
        <v>2644</v>
      </c>
      <c r="Y993" s="6" t="s">
        <v>52</v>
      </c>
    </row>
    <row r="994" spans="1:25" s="9" customFormat="1" ht="21.3" customHeight="1">
      <c r="A994" s="27" t="s">
        <v>157</v>
      </c>
      <c r="B994" s="28" t="s">
        <v>12</v>
      </c>
      <c r="C994" s="27" t="s">
        <v>7716</v>
      </c>
      <c r="D994" s="27" t="s">
        <v>8178</v>
      </c>
      <c r="E994" s="27" t="s">
        <v>9077</v>
      </c>
      <c r="F994" s="27" t="s">
        <v>2871</v>
      </c>
      <c r="G994" s="101" t="s">
        <v>2873</v>
      </c>
      <c r="H994" s="75">
        <v>45322</v>
      </c>
      <c r="I994" s="75">
        <v>36557</v>
      </c>
      <c r="J994" s="75">
        <v>36557</v>
      </c>
      <c r="K994" s="75">
        <v>28093</v>
      </c>
      <c r="L994" s="34" t="s">
        <v>6873</v>
      </c>
      <c r="M994" s="28"/>
      <c r="N994" s="112" t="s">
        <v>14</v>
      </c>
      <c r="O994" s="104" t="s">
        <v>52</v>
      </c>
      <c r="P994" s="104" t="s">
        <v>52</v>
      </c>
      <c r="Q994" s="105"/>
      <c r="R994" s="30" t="s">
        <v>7708</v>
      </c>
      <c r="S994" s="225">
        <f t="shared" si="15"/>
        <v>50314</v>
      </c>
      <c r="T994" s="2" t="s">
        <v>7617</v>
      </c>
      <c r="U994" s="7" t="s">
        <v>109</v>
      </c>
      <c r="V994" s="162" t="str" cm="1">
        <f t="array" ref="V994">_xlfn.IFS(C994="","",COUNTIF(C994,"ตำแหน่งว่าง*"),"ว่าง",COUNTIF(C994,"&lt;&gt;ตำแหน่งว่าง*"),"คนครอง")</f>
        <v>คนครอง</v>
      </c>
      <c r="W994" s="49" cm="1">
        <f t="array" ref="W994">_xlfn.IFS(COUNTIF(F994,"ผบ.หมู่*"),51,COUNTIF(F994,"รอง สว.*"),43)</f>
        <v>51</v>
      </c>
      <c r="X994" s="1" t="s">
        <v>2872</v>
      </c>
      <c r="Y994" s="1" t="s">
        <v>52</v>
      </c>
    </row>
    <row r="995" spans="1:25" s="9" customFormat="1" ht="21.3" customHeight="1">
      <c r="A995" s="27" t="s">
        <v>157</v>
      </c>
      <c r="B995" s="28" t="s">
        <v>12</v>
      </c>
      <c r="C995" s="27" t="s">
        <v>2874</v>
      </c>
      <c r="D995" s="27" t="s">
        <v>8309</v>
      </c>
      <c r="E995" s="27" t="s">
        <v>9078</v>
      </c>
      <c r="F995" s="27" t="s">
        <v>2871</v>
      </c>
      <c r="G995" s="101" t="s">
        <v>2876</v>
      </c>
      <c r="H995" s="75">
        <v>43656</v>
      </c>
      <c r="I995" s="75">
        <v>36647</v>
      </c>
      <c r="J995" s="75">
        <v>35462</v>
      </c>
      <c r="K995" s="75">
        <v>26707</v>
      </c>
      <c r="L995" s="34" t="s">
        <v>112</v>
      </c>
      <c r="M995" s="28" t="s">
        <v>108</v>
      </c>
      <c r="N995" s="112" t="s">
        <v>14</v>
      </c>
      <c r="O995" s="104" t="s">
        <v>52</v>
      </c>
      <c r="P995" s="104" t="s">
        <v>52</v>
      </c>
      <c r="Q995" s="105"/>
      <c r="R995" s="28" t="s">
        <v>2794</v>
      </c>
      <c r="S995" s="225">
        <f t="shared" si="15"/>
        <v>48853</v>
      </c>
      <c r="T995" s="2" t="s">
        <v>7617</v>
      </c>
      <c r="U995" s="7" t="s">
        <v>109</v>
      </c>
      <c r="V995" s="162" t="str" cm="1">
        <f t="array" ref="V995">_xlfn.IFS(C995="","",COUNTIF(C995,"ตำแหน่งว่าง*"),"ว่าง",COUNTIF(C995,"&lt;&gt;ตำแหน่งว่าง*"),"คนครอง")</f>
        <v>คนครอง</v>
      </c>
      <c r="W995" s="49" cm="1">
        <f t="array" ref="W995">_xlfn.IFS(COUNTIF(F995,"ผบ.หมู่*"),51,COUNTIF(F995,"รอง สว.*"),43)</f>
        <v>51</v>
      </c>
      <c r="X995" s="1" t="s">
        <v>2875</v>
      </c>
      <c r="Y995" s="1" t="s">
        <v>52</v>
      </c>
    </row>
    <row r="996" spans="1:25" s="9" customFormat="1" ht="21.3" customHeight="1">
      <c r="A996" s="27" t="s">
        <v>612</v>
      </c>
      <c r="B996" s="28" t="s">
        <v>12</v>
      </c>
      <c r="C996" s="27" t="s">
        <v>2877</v>
      </c>
      <c r="D996" s="27" t="s">
        <v>8027</v>
      </c>
      <c r="E996" s="27" t="s">
        <v>9039</v>
      </c>
      <c r="F996" s="27" t="s">
        <v>2871</v>
      </c>
      <c r="G996" s="101" t="s">
        <v>2879</v>
      </c>
      <c r="H996" s="75">
        <v>43871</v>
      </c>
      <c r="I996" s="75">
        <v>42522</v>
      </c>
      <c r="J996" s="75">
        <v>42522</v>
      </c>
      <c r="K996" s="75">
        <v>35205</v>
      </c>
      <c r="L996" s="34" t="s">
        <v>82</v>
      </c>
      <c r="M996" s="28" t="s">
        <v>97</v>
      </c>
      <c r="N996" s="112" t="s">
        <v>14</v>
      </c>
      <c r="O996" s="104" t="s">
        <v>52</v>
      </c>
      <c r="P996" s="104" t="s">
        <v>52</v>
      </c>
      <c r="Q996" s="105"/>
      <c r="R996" s="28" t="s">
        <v>688</v>
      </c>
      <c r="S996" s="225">
        <f t="shared" si="15"/>
        <v>57254</v>
      </c>
      <c r="T996" s="2" t="s">
        <v>7617</v>
      </c>
      <c r="U996" s="7" t="s">
        <v>109</v>
      </c>
      <c r="V996" s="162" t="str" cm="1">
        <f t="array" ref="V996">_xlfn.IFS(C996="","",COUNTIF(C996,"ตำแหน่งว่าง*"),"ว่าง",COUNTIF(C996,"&lt;&gt;ตำแหน่งว่าง*"),"คนครอง")</f>
        <v>คนครอง</v>
      </c>
      <c r="W996" s="49" cm="1">
        <f t="array" ref="W996">_xlfn.IFS(COUNTIF(F996,"ผบ.หมู่*"),51,COUNTIF(F996,"รอง สว.*"),43)</f>
        <v>51</v>
      </c>
      <c r="X996" s="1" t="s">
        <v>2878</v>
      </c>
      <c r="Y996" s="1" t="s">
        <v>52</v>
      </c>
    </row>
    <row r="997" spans="1:25" s="12" customFormat="1" ht="21.3" customHeight="1">
      <c r="A997" s="68"/>
      <c r="B997" s="30"/>
      <c r="C997" s="30" t="s">
        <v>18</v>
      </c>
      <c r="D997" s="27"/>
      <c r="E997" s="27"/>
      <c r="F997" s="68" t="s">
        <v>2871</v>
      </c>
      <c r="G997" s="121" t="s">
        <v>2882</v>
      </c>
      <c r="H997" s="80"/>
      <c r="I997" s="80"/>
      <c r="J997" s="80"/>
      <c r="K997" s="80"/>
      <c r="L997" s="45"/>
      <c r="M997" s="30"/>
      <c r="N997" s="113" t="s">
        <v>14</v>
      </c>
      <c r="O997" s="122" t="s">
        <v>52</v>
      </c>
      <c r="P997" s="122" t="s">
        <v>52</v>
      </c>
      <c r="Q997" s="106"/>
      <c r="R997" s="30"/>
      <c r="S997" s="225" t="str">
        <f t="shared" si="15"/>
        <v/>
      </c>
      <c r="T997" s="162" t="s">
        <v>7617</v>
      </c>
      <c r="U997" s="7" t="s">
        <v>109</v>
      </c>
      <c r="V997" s="171" t="str" cm="1">
        <f t="array" ref="V997">_xlfn.IFS(C997="","",COUNTIF(C997,"ตำแหน่งว่าง*"),"ว่าง",COUNTIF(C997,"&lt;&gt;ตำแหน่งว่าง*"),"คนครอง")</f>
        <v>ว่าง</v>
      </c>
      <c r="W997" s="49" cm="1">
        <f t="array" ref="W997">_xlfn.IFS(COUNTIF(F997,"ผบ.หมู่*"),51,COUNTIF(F997,"รอง สว.*"),43)</f>
        <v>51</v>
      </c>
      <c r="X997" s="6" t="s">
        <v>2881</v>
      </c>
      <c r="Y997" s="6" t="s">
        <v>52</v>
      </c>
    </row>
    <row r="998" spans="1:25" s="9" customFormat="1" ht="21.3" customHeight="1">
      <c r="A998" s="27" t="s">
        <v>157</v>
      </c>
      <c r="B998" s="28" t="s">
        <v>12</v>
      </c>
      <c r="C998" s="27" t="s">
        <v>7712</v>
      </c>
      <c r="D998" s="27" t="s">
        <v>9079</v>
      </c>
      <c r="E998" s="27" t="s">
        <v>7989</v>
      </c>
      <c r="F998" s="27" t="s">
        <v>2871</v>
      </c>
      <c r="G998" s="101" t="s">
        <v>2885</v>
      </c>
      <c r="H998" s="75">
        <v>45322</v>
      </c>
      <c r="I998" s="73">
        <v>35827</v>
      </c>
      <c r="J998" s="73">
        <v>35827</v>
      </c>
      <c r="K998" s="73">
        <v>28136</v>
      </c>
      <c r="L998" s="11" t="s">
        <v>7713</v>
      </c>
      <c r="M998" s="1"/>
      <c r="N998" s="112" t="s">
        <v>14</v>
      </c>
      <c r="O998" s="104" t="s">
        <v>52</v>
      </c>
      <c r="P998" s="104" t="s">
        <v>52</v>
      </c>
      <c r="Q998" s="105"/>
      <c r="R998" s="30" t="s">
        <v>7708</v>
      </c>
      <c r="S998" s="225">
        <f t="shared" si="15"/>
        <v>50314</v>
      </c>
      <c r="T998" s="2" t="s">
        <v>7617</v>
      </c>
      <c r="U998" s="7" t="s">
        <v>109</v>
      </c>
      <c r="V998" s="162" t="str" cm="1">
        <f t="array" ref="V998">_xlfn.IFS(C998="","",COUNTIF(C998,"ตำแหน่งว่าง*"),"ว่าง",COUNTIF(C998,"&lt;&gt;ตำแหน่งว่าง*"),"คนครอง")</f>
        <v>คนครอง</v>
      </c>
      <c r="W998" s="49" cm="1">
        <f t="array" ref="W998">_xlfn.IFS(COUNTIF(F998,"ผบ.หมู่*"),51,COUNTIF(F998,"รอง สว.*"),43)</f>
        <v>51</v>
      </c>
      <c r="X998" s="1" t="s">
        <v>2884</v>
      </c>
      <c r="Y998" s="1" t="s">
        <v>52</v>
      </c>
    </row>
    <row r="999" spans="1:25" s="12" customFormat="1" ht="21.3" customHeight="1">
      <c r="A999" s="27"/>
      <c r="B999" s="28"/>
      <c r="C999" s="31" t="s">
        <v>18</v>
      </c>
      <c r="D999" s="27"/>
      <c r="E999" s="27"/>
      <c r="F999" s="27" t="s">
        <v>2871</v>
      </c>
      <c r="G999" s="101" t="s">
        <v>2887</v>
      </c>
      <c r="H999" s="75"/>
      <c r="I999" s="73"/>
      <c r="J999" s="73"/>
      <c r="K999" s="73"/>
      <c r="L999" s="11"/>
      <c r="M999" s="1"/>
      <c r="N999" s="111" t="s">
        <v>14</v>
      </c>
      <c r="O999" s="104" t="s">
        <v>52</v>
      </c>
      <c r="P999" s="104" t="s">
        <v>52</v>
      </c>
      <c r="Q999" s="105"/>
      <c r="R999" s="28"/>
      <c r="S999" s="225" t="str">
        <f t="shared" si="15"/>
        <v/>
      </c>
      <c r="T999" s="162" t="s">
        <v>7617</v>
      </c>
      <c r="U999" s="7" t="s">
        <v>109</v>
      </c>
      <c r="V999" s="162" t="str" cm="1">
        <f t="array" ref="V999">_xlfn.IFS(C999="","",COUNTIF(C999,"ตำแหน่งว่าง*"),"ว่าง",COUNTIF(C999,"&lt;&gt;ตำแหน่งว่าง*"),"คนครอง")</f>
        <v>ว่าง</v>
      </c>
      <c r="W999" s="49" cm="1">
        <f t="array" ref="W999">_xlfn.IFS(COUNTIF(F999,"ผบ.หมู่*"),51,COUNTIF(F999,"รอง สว.*"),43)</f>
        <v>51</v>
      </c>
      <c r="X999" s="5" t="s">
        <v>2886</v>
      </c>
      <c r="Y999" s="5" t="s">
        <v>52</v>
      </c>
    </row>
    <row r="1000" spans="1:25" s="9" customFormat="1" ht="21.3" customHeight="1">
      <c r="A1000" s="68"/>
      <c r="B1000" s="30"/>
      <c r="C1000" s="30" t="s">
        <v>18</v>
      </c>
      <c r="D1000" s="27"/>
      <c r="E1000" s="27"/>
      <c r="F1000" s="68" t="s">
        <v>2871</v>
      </c>
      <c r="G1000" s="121" t="s">
        <v>2889</v>
      </c>
      <c r="H1000" s="80"/>
      <c r="I1000" s="74"/>
      <c r="J1000" s="74"/>
      <c r="K1000" s="74"/>
      <c r="L1000" s="16"/>
      <c r="M1000" s="6"/>
      <c r="N1000" s="113" t="s">
        <v>14</v>
      </c>
      <c r="O1000" s="122" t="s">
        <v>52</v>
      </c>
      <c r="P1000" s="122" t="s">
        <v>52</v>
      </c>
      <c r="Q1000" s="106"/>
      <c r="R1000" s="30"/>
      <c r="S1000" s="225" t="str">
        <f t="shared" si="15"/>
        <v/>
      </c>
      <c r="T1000" s="2" t="s">
        <v>7617</v>
      </c>
      <c r="U1000" s="7" t="s">
        <v>109</v>
      </c>
      <c r="V1000" s="171" t="str" cm="1">
        <f t="array" ref="V1000">_xlfn.IFS(C1000="","",COUNTIF(C1000,"ตำแหน่งว่าง*"),"ว่าง",COUNTIF(C1000,"&lt;&gt;ตำแหน่งว่าง*"),"คนครอง")</f>
        <v>ว่าง</v>
      </c>
      <c r="W1000" s="49" cm="1">
        <f t="array" ref="W1000">_xlfn.IFS(COUNTIF(F1000,"ผบ.หมู่*"),51,COUNTIF(F1000,"รอง สว.*"),43)</f>
        <v>51</v>
      </c>
      <c r="X1000" s="6" t="s">
        <v>2888</v>
      </c>
      <c r="Y1000" s="6" t="s">
        <v>52</v>
      </c>
    </row>
    <row r="1001" spans="1:25" s="12" customFormat="1" ht="21.3" customHeight="1">
      <c r="A1001" s="27"/>
      <c r="B1001" s="28"/>
      <c r="C1001" s="95" t="s">
        <v>18</v>
      </c>
      <c r="D1001" s="27"/>
      <c r="E1001" s="27"/>
      <c r="F1001" s="68" t="s">
        <v>2871</v>
      </c>
      <c r="G1001" s="101" t="s">
        <v>2891</v>
      </c>
      <c r="H1001" s="75"/>
      <c r="I1001" s="73"/>
      <c r="J1001" s="73"/>
      <c r="K1001" s="73"/>
      <c r="L1001" s="11"/>
      <c r="M1001" s="1"/>
      <c r="N1001" s="111" t="s">
        <v>14</v>
      </c>
      <c r="O1001" s="104" t="s">
        <v>52</v>
      </c>
      <c r="P1001" s="104" t="s">
        <v>52</v>
      </c>
      <c r="Q1001" s="105"/>
      <c r="R1001" s="28"/>
      <c r="S1001" s="225" t="str">
        <f t="shared" si="15"/>
        <v/>
      </c>
      <c r="T1001" s="162" t="s">
        <v>7617</v>
      </c>
      <c r="U1001" s="7" t="s">
        <v>109</v>
      </c>
      <c r="V1001" s="162" t="str" cm="1">
        <f t="array" ref="V1001">_xlfn.IFS(C1001="","",COUNTIF(C1001,"ตำแหน่งว่าง*"),"ว่าง",COUNTIF(C1001,"&lt;&gt;ตำแหน่งว่าง*"),"คนครอง")</f>
        <v>ว่าง</v>
      </c>
      <c r="W1001" s="49" cm="1">
        <f t="array" ref="W1001">_xlfn.IFS(COUNTIF(F1001,"ผบ.หมู่*"),51,COUNTIF(F1001,"รอง สว.*"),43)</f>
        <v>51</v>
      </c>
      <c r="X1001" s="5" t="s">
        <v>2890</v>
      </c>
      <c r="Y1001" s="5" t="s">
        <v>52</v>
      </c>
    </row>
    <row r="1002" spans="1:25" s="12" customFormat="1" ht="21.3" customHeight="1">
      <c r="A1002" s="27" t="s">
        <v>157</v>
      </c>
      <c r="B1002" s="28" t="s">
        <v>12</v>
      </c>
      <c r="C1002" s="27" t="s">
        <v>7723</v>
      </c>
      <c r="D1002" s="27" t="s">
        <v>9080</v>
      </c>
      <c r="E1002" s="27" t="s">
        <v>9081</v>
      </c>
      <c r="F1002" s="27" t="s">
        <v>2871</v>
      </c>
      <c r="G1002" s="101" t="s">
        <v>2894</v>
      </c>
      <c r="H1002" s="75">
        <v>45322</v>
      </c>
      <c r="I1002" s="73">
        <v>34366</v>
      </c>
      <c r="J1002" s="73">
        <v>34366</v>
      </c>
      <c r="K1002" s="73">
        <v>26941</v>
      </c>
      <c r="L1002" s="11" t="s">
        <v>5190</v>
      </c>
      <c r="M1002" s="1"/>
      <c r="N1002" s="112" t="s">
        <v>14</v>
      </c>
      <c r="O1002" s="104" t="s">
        <v>52</v>
      </c>
      <c r="P1002" s="104" t="s">
        <v>52</v>
      </c>
      <c r="Q1002" s="105"/>
      <c r="R1002" s="28" t="s">
        <v>7708</v>
      </c>
      <c r="S1002" s="225">
        <f t="shared" si="15"/>
        <v>49218</v>
      </c>
      <c r="T1002" s="162" t="s">
        <v>7617</v>
      </c>
      <c r="U1002" s="7" t="s">
        <v>109</v>
      </c>
      <c r="V1002" s="162" t="str" cm="1">
        <f t="array" ref="V1002">_xlfn.IFS(C1002="","",COUNTIF(C1002,"ตำแหน่งว่าง*"),"ว่าง",COUNTIF(C1002,"&lt;&gt;ตำแหน่งว่าง*"),"คนครอง")</f>
        <v>คนครอง</v>
      </c>
      <c r="W1002" s="49" cm="1">
        <f t="array" ref="W1002">_xlfn.IFS(COUNTIF(F1002,"ผบ.หมู่*"),51,COUNTIF(F1002,"รอง สว.*"),43)</f>
        <v>51</v>
      </c>
      <c r="X1002" s="1" t="s">
        <v>2893</v>
      </c>
      <c r="Y1002" s="1" t="s">
        <v>52</v>
      </c>
    </row>
    <row r="1003" spans="1:25" s="12" customFormat="1" ht="21.3" customHeight="1">
      <c r="A1003" s="68"/>
      <c r="B1003" s="30"/>
      <c r="C1003" s="30" t="s">
        <v>18</v>
      </c>
      <c r="D1003" s="27"/>
      <c r="E1003" s="27"/>
      <c r="F1003" s="68" t="s">
        <v>2871</v>
      </c>
      <c r="G1003" s="121" t="s">
        <v>2896</v>
      </c>
      <c r="H1003" s="80" t="s">
        <v>19</v>
      </c>
      <c r="I1003" s="74" t="s">
        <v>19</v>
      </c>
      <c r="J1003" s="74" t="s">
        <v>19</v>
      </c>
      <c r="K1003" s="74" t="s">
        <v>19</v>
      </c>
      <c r="L1003" s="16"/>
      <c r="M1003" s="6"/>
      <c r="N1003" s="113" t="s">
        <v>14</v>
      </c>
      <c r="O1003" s="122" t="s">
        <v>52</v>
      </c>
      <c r="P1003" s="122" t="s">
        <v>52</v>
      </c>
      <c r="Q1003" s="106"/>
      <c r="R1003" s="30"/>
      <c r="S1003" s="225" t="str">
        <f t="shared" si="15"/>
        <v/>
      </c>
      <c r="T1003" s="162" t="s">
        <v>7617</v>
      </c>
      <c r="U1003" s="7" t="s">
        <v>109</v>
      </c>
      <c r="V1003" s="171" t="str" cm="1">
        <f t="array" ref="V1003">_xlfn.IFS(C1003="","",COUNTIF(C1003,"ตำแหน่งว่าง*"),"ว่าง",COUNTIF(C1003,"&lt;&gt;ตำแหน่งว่าง*"),"คนครอง")</f>
        <v>ว่าง</v>
      </c>
      <c r="W1003" s="49" cm="1">
        <f t="array" ref="W1003">_xlfn.IFS(COUNTIF(F1003,"ผบ.หมู่*"),51,COUNTIF(F1003,"รอง สว.*"),43)</f>
        <v>51</v>
      </c>
      <c r="X1003" s="6" t="s">
        <v>2895</v>
      </c>
      <c r="Y1003" s="6" t="s">
        <v>52</v>
      </c>
    </row>
    <row r="1004" spans="1:25" s="10" customFormat="1" ht="21.3" customHeight="1">
      <c r="A1004" s="68"/>
      <c r="B1004" s="30"/>
      <c r="C1004" s="30" t="s">
        <v>18</v>
      </c>
      <c r="D1004" s="27"/>
      <c r="E1004" s="27"/>
      <c r="F1004" s="68" t="s">
        <v>2871</v>
      </c>
      <c r="G1004" s="121" t="s">
        <v>2898</v>
      </c>
      <c r="H1004" s="80" t="s">
        <v>19</v>
      </c>
      <c r="I1004" s="74" t="s">
        <v>19</v>
      </c>
      <c r="J1004" s="74" t="s">
        <v>19</v>
      </c>
      <c r="K1004" s="74" t="s">
        <v>19</v>
      </c>
      <c r="L1004" s="16"/>
      <c r="M1004" s="6"/>
      <c r="N1004" s="113" t="s">
        <v>14</v>
      </c>
      <c r="O1004" s="122" t="s">
        <v>52</v>
      </c>
      <c r="P1004" s="122" t="s">
        <v>52</v>
      </c>
      <c r="Q1004" s="106"/>
      <c r="R1004" s="30"/>
      <c r="S1004" s="225" t="str">
        <f t="shared" si="15"/>
        <v/>
      </c>
      <c r="T1004" s="7" t="s">
        <v>7617</v>
      </c>
      <c r="U1004" s="7" t="s">
        <v>109</v>
      </c>
      <c r="V1004" s="171" t="str" cm="1">
        <f t="array" ref="V1004">_xlfn.IFS(C1004="","",COUNTIF(C1004,"ตำแหน่งว่าง*"),"ว่าง",COUNTIF(C1004,"&lt;&gt;ตำแหน่งว่าง*"),"คนครอง")</f>
        <v>ว่าง</v>
      </c>
      <c r="W1004" s="49" cm="1">
        <f t="array" ref="W1004">_xlfn.IFS(COUNTIF(F1004,"ผบ.หมู่*"),51,COUNTIF(F1004,"รอง สว.*"),43)</f>
        <v>51</v>
      </c>
      <c r="X1004" s="6" t="s">
        <v>2897</v>
      </c>
      <c r="Y1004" s="6" t="s">
        <v>52</v>
      </c>
    </row>
    <row r="1005" spans="1:25" s="12" customFormat="1" ht="21.3" customHeight="1">
      <c r="A1005" s="27"/>
      <c r="B1005" s="28"/>
      <c r="C1005" s="30" t="s">
        <v>18</v>
      </c>
      <c r="D1005" s="27"/>
      <c r="E1005" s="27"/>
      <c r="F1005" s="95" t="s">
        <v>2871</v>
      </c>
      <c r="G1005" s="101" t="s">
        <v>2900</v>
      </c>
      <c r="H1005" s="75"/>
      <c r="I1005" s="73"/>
      <c r="J1005" s="73"/>
      <c r="K1005" s="73"/>
      <c r="L1005" s="11"/>
      <c r="M1005" s="1"/>
      <c r="N1005" s="111" t="s">
        <v>14</v>
      </c>
      <c r="O1005" s="104" t="s">
        <v>52</v>
      </c>
      <c r="P1005" s="104" t="s">
        <v>52</v>
      </c>
      <c r="Q1005" s="105"/>
      <c r="R1005" s="28"/>
      <c r="S1005" s="225" t="str">
        <f t="shared" si="15"/>
        <v/>
      </c>
      <c r="T1005" s="162" t="s">
        <v>7617</v>
      </c>
      <c r="U1005" s="7" t="s">
        <v>109</v>
      </c>
      <c r="V1005" s="162" t="str" cm="1">
        <f t="array" ref="V1005">_xlfn.IFS(C1005="","",COUNTIF(C1005,"ตำแหน่งว่าง*"),"ว่าง",COUNTIF(C1005,"&lt;&gt;ตำแหน่งว่าง*"),"คนครอง")</f>
        <v>ว่าง</v>
      </c>
      <c r="W1005" s="49" cm="1">
        <f t="array" ref="W1005">_xlfn.IFS(COUNTIF(F1005,"ผบ.หมู่*"),51,COUNTIF(F1005,"รอง สว.*"),43)</f>
        <v>51</v>
      </c>
      <c r="X1005" s="5" t="s">
        <v>2899</v>
      </c>
      <c r="Y1005" s="5" t="s">
        <v>52</v>
      </c>
    </row>
    <row r="1006" spans="1:25" s="12" customFormat="1" ht="21.3" customHeight="1">
      <c r="A1006" s="132" t="s">
        <v>10753</v>
      </c>
      <c r="B1006" s="28" t="s">
        <v>21</v>
      </c>
      <c r="C1006" s="95" t="s">
        <v>2901</v>
      </c>
      <c r="D1006" s="27" t="s">
        <v>8255</v>
      </c>
      <c r="E1006" s="27" t="s">
        <v>9082</v>
      </c>
      <c r="F1006" s="95" t="s">
        <v>2880</v>
      </c>
      <c r="G1006" s="101" t="s">
        <v>2903</v>
      </c>
      <c r="H1006" s="91">
        <v>45382</v>
      </c>
      <c r="I1006" s="73">
        <v>45382</v>
      </c>
      <c r="J1006" s="73">
        <v>35095</v>
      </c>
      <c r="K1006" s="73">
        <v>26065</v>
      </c>
      <c r="L1006" s="11" t="s">
        <v>31</v>
      </c>
      <c r="M1006" s="1" t="s">
        <v>97</v>
      </c>
      <c r="N1006" s="111" t="s">
        <v>14</v>
      </c>
      <c r="O1006" s="104" t="s">
        <v>52</v>
      </c>
      <c r="P1006" s="104" t="s">
        <v>52</v>
      </c>
      <c r="Q1006" s="105"/>
      <c r="R1006" s="33" t="s">
        <v>7801</v>
      </c>
      <c r="S1006" s="225">
        <f t="shared" si="15"/>
        <v>48122</v>
      </c>
      <c r="T1006" s="162" t="s">
        <v>7617</v>
      </c>
      <c r="U1006" s="7" t="s">
        <v>109</v>
      </c>
      <c r="V1006" s="162" t="str" cm="1">
        <f t="array" ref="V1006">_xlfn.IFS(C1006="","",COUNTIF(C1006,"ตำแหน่งว่าง*"),"ว่าง",COUNTIF(C1006,"&lt;&gt;ตำแหน่งว่าง*"),"คนครอง")</f>
        <v>คนครอง</v>
      </c>
      <c r="W1006" s="49" cm="1">
        <f t="array" ref="W1006">_xlfn.IFS(COUNTIF(F1006,"ผบ.หมู่*"),51,COUNTIF(F1006,"รอง สว.*"),43)</f>
        <v>43</v>
      </c>
      <c r="X1006" s="5" t="s">
        <v>2902</v>
      </c>
      <c r="Y1006" s="5" t="s">
        <v>52</v>
      </c>
    </row>
    <row r="1007" spans="1:25" s="10" customFormat="1" ht="21.3" customHeight="1">
      <c r="A1007" s="27"/>
      <c r="B1007" s="28"/>
      <c r="C1007" s="30" t="s">
        <v>18</v>
      </c>
      <c r="D1007" s="27"/>
      <c r="E1007" s="27"/>
      <c r="F1007" s="68" t="s">
        <v>2871</v>
      </c>
      <c r="G1007" s="121" t="s">
        <v>2905</v>
      </c>
      <c r="H1007" s="75" t="s">
        <v>19</v>
      </c>
      <c r="I1007" s="73" t="s">
        <v>19</v>
      </c>
      <c r="J1007" s="73" t="s">
        <v>19</v>
      </c>
      <c r="K1007" s="73" t="s">
        <v>19</v>
      </c>
      <c r="L1007" s="11"/>
      <c r="M1007" s="1"/>
      <c r="N1007" s="113" t="s">
        <v>14</v>
      </c>
      <c r="O1007" s="122" t="s">
        <v>52</v>
      </c>
      <c r="P1007" s="122" t="s">
        <v>52</v>
      </c>
      <c r="Q1007" s="105"/>
      <c r="R1007" s="28"/>
      <c r="S1007" s="225" t="str">
        <f t="shared" si="15"/>
        <v/>
      </c>
      <c r="T1007" s="7" t="s">
        <v>7617</v>
      </c>
      <c r="U1007" s="7" t="s">
        <v>109</v>
      </c>
      <c r="V1007" s="171" t="str" cm="1">
        <f t="array" ref="V1007">_xlfn.IFS(C1007="","",COUNTIF(C1007,"ตำแหน่งว่าง*"),"ว่าง",COUNTIF(C1007,"&lt;&gt;ตำแหน่งว่าง*"),"คนครอง")</f>
        <v>ว่าง</v>
      </c>
      <c r="W1007" s="49" cm="1">
        <f t="array" ref="W1007">_xlfn.IFS(COUNTIF(F1007,"ผบ.หมู่*"),51,COUNTIF(F1007,"รอง สว.*"),43)</f>
        <v>51</v>
      </c>
      <c r="X1007" s="6" t="s">
        <v>2904</v>
      </c>
      <c r="Y1007" s="6" t="s">
        <v>52</v>
      </c>
    </row>
    <row r="1008" spans="1:25" s="9" customFormat="1" ht="21.3" customHeight="1">
      <c r="A1008" s="27" t="s">
        <v>26</v>
      </c>
      <c r="B1008" s="28" t="s">
        <v>12</v>
      </c>
      <c r="C1008" s="27" t="s">
        <v>2822</v>
      </c>
      <c r="D1008" s="27" t="s">
        <v>8439</v>
      </c>
      <c r="E1008" s="27" t="s">
        <v>9083</v>
      </c>
      <c r="F1008" s="95" t="s">
        <v>2823</v>
      </c>
      <c r="G1008" s="101" t="s">
        <v>2825</v>
      </c>
      <c r="H1008" s="75">
        <v>44286</v>
      </c>
      <c r="I1008" s="75">
        <v>44286</v>
      </c>
      <c r="J1008" s="75">
        <v>44286</v>
      </c>
      <c r="K1008" s="75">
        <v>24764</v>
      </c>
      <c r="L1008" s="34" t="s">
        <v>2826</v>
      </c>
      <c r="M1008" s="28" t="s">
        <v>87</v>
      </c>
      <c r="N1008" s="112" t="s">
        <v>14</v>
      </c>
      <c r="O1008" s="104" t="s">
        <v>52</v>
      </c>
      <c r="P1008" s="104" t="s">
        <v>52</v>
      </c>
      <c r="Q1008" s="105"/>
      <c r="R1008" s="28" t="s">
        <v>1313</v>
      </c>
      <c r="S1008" s="225">
        <f t="shared" si="15"/>
        <v>47027</v>
      </c>
      <c r="T1008" s="2" t="s">
        <v>7616</v>
      </c>
      <c r="U1008" s="7" t="s">
        <v>109</v>
      </c>
      <c r="V1008" s="162" t="str" cm="1">
        <f t="array" ref="V1008">_xlfn.IFS(C1008="","",COUNTIF(C1008,"ตำแหน่งว่าง*"),"ว่าง",COUNTIF(C1008,"&lt;&gt;ตำแหน่งว่าง*"),"คนครอง")</f>
        <v>คนครอง</v>
      </c>
      <c r="W1008" s="49" cm="1">
        <f t="array" ref="W1008">_xlfn.IFS(COUNTIF(F1008,"ผบ.หมู่*"),51,COUNTIF(F1008,"รอง สว.*"),43)</f>
        <v>43</v>
      </c>
      <c r="X1008" s="1" t="s">
        <v>2824</v>
      </c>
      <c r="Y1008" s="1" t="s">
        <v>52</v>
      </c>
    </row>
    <row r="1009" spans="1:25" s="12" customFormat="1" ht="21.3" customHeight="1">
      <c r="A1009" s="132" t="s">
        <v>10753</v>
      </c>
      <c r="B1009" s="28" t="s">
        <v>12</v>
      </c>
      <c r="C1009" s="95" t="s">
        <v>2827</v>
      </c>
      <c r="D1009" s="27" t="s">
        <v>8889</v>
      </c>
      <c r="E1009" s="27" t="s">
        <v>9084</v>
      </c>
      <c r="F1009" s="95" t="s">
        <v>2823</v>
      </c>
      <c r="G1009" s="101" t="s">
        <v>2830</v>
      </c>
      <c r="H1009" s="91">
        <v>45382</v>
      </c>
      <c r="I1009" s="73">
        <v>45382</v>
      </c>
      <c r="J1009" s="75">
        <v>33635</v>
      </c>
      <c r="K1009" s="75">
        <v>25913</v>
      </c>
      <c r="L1009" s="34" t="s">
        <v>2831</v>
      </c>
      <c r="M1009" s="28" t="s">
        <v>87</v>
      </c>
      <c r="N1009" s="111" t="s">
        <v>14</v>
      </c>
      <c r="O1009" s="104" t="s">
        <v>52</v>
      </c>
      <c r="P1009" s="104" t="s">
        <v>52</v>
      </c>
      <c r="Q1009" s="105"/>
      <c r="R1009" s="33" t="s">
        <v>7801</v>
      </c>
      <c r="S1009" s="225">
        <f t="shared" si="15"/>
        <v>48122</v>
      </c>
      <c r="T1009" s="162" t="s">
        <v>7616</v>
      </c>
      <c r="U1009" s="7" t="s">
        <v>109</v>
      </c>
      <c r="V1009" s="162" t="str" cm="1">
        <f t="array" ref="V1009">_xlfn.IFS(C1009="","",COUNTIF(C1009,"ตำแหน่งว่าง*"),"ว่าง",COUNTIF(C1009,"&lt;&gt;ตำแหน่งว่าง*"),"คนครอง")</f>
        <v>คนครอง</v>
      </c>
      <c r="W1009" s="49" cm="1">
        <f t="array" ref="W1009">_xlfn.IFS(COUNTIF(F1009,"ผบ.หมู่*"),51,COUNTIF(F1009,"รอง สว.*"),43)</f>
        <v>43</v>
      </c>
      <c r="X1009" s="5" t="s">
        <v>2829</v>
      </c>
      <c r="Y1009" s="5" t="s">
        <v>52</v>
      </c>
    </row>
    <row r="1010" spans="1:25" s="9" customFormat="1" ht="21.3" customHeight="1">
      <c r="A1010" s="27" t="s">
        <v>157</v>
      </c>
      <c r="B1010" s="28" t="s">
        <v>21</v>
      </c>
      <c r="C1010" s="27" t="s">
        <v>10744</v>
      </c>
      <c r="D1010" s="27" t="s">
        <v>8063</v>
      </c>
      <c r="E1010" s="27" t="s">
        <v>10745</v>
      </c>
      <c r="F1010" s="27" t="s">
        <v>2828</v>
      </c>
      <c r="G1010" s="101" t="s">
        <v>2833</v>
      </c>
      <c r="H1010" s="75">
        <v>45768</v>
      </c>
      <c r="I1010" s="75" t="s">
        <v>7609</v>
      </c>
      <c r="J1010" s="75" t="s">
        <v>7609</v>
      </c>
      <c r="K1010" s="75">
        <v>27524</v>
      </c>
      <c r="L1010" s="34" t="s">
        <v>7609</v>
      </c>
      <c r="M1010" s="28" t="s">
        <v>7609</v>
      </c>
      <c r="N1010" s="112" t="s">
        <v>14</v>
      </c>
      <c r="O1010" s="104" t="s">
        <v>52</v>
      </c>
      <c r="P1010" s="104" t="s">
        <v>52</v>
      </c>
      <c r="Q1010" s="105"/>
      <c r="R1010" s="28" t="s">
        <v>10804</v>
      </c>
      <c r="S1010" s="174">
        <f t="shared" si="15"/>
        <v>49583</v>
      </c>
      <c r="T1010" s="2" t="s">
        <v>7616</v>
      </c>
      <c r="U1010" s="2" t="s">
        <v>109</v>
      </c>
      <c r="V1010" s="203" t="str" cm="1">
        <f t="array" ref="V1010">_xlfn.IFS(C1010="","",COUNTIF(C1010,"ตำแหน่งว่าง*"),"ว่าง",COUNTIF(C1010,"&lt;&gt;ตำแหน่งว่าง*"),"คนครอง")</f>
        <v>คนครอง</v>
      </c>
      <c r="W1010" s="170" cm="1">
        <f t="array" ref="W1010">_xlfn.IFS(COUNTIF(F1010,"ผบ.หมู่*"),51,COUNTIF(F1010,"รอง สว.*"),43)</f>
        <v>51</v>
      </c>
      <c r="X1010" s="1" t="s">
        <v>2832</v>
      </c>
      <c r="Y1010" s="1" t="s">
        <v>52</v>
      </c>
    </row>
    <row r="1011" spans="1:25" s="12" customFormat="1" ht="21.3" customHeight="1">
      <c r="A1011" s="27" t="s">
        <v>26</v>
      </c>
      <c r="B1011" s="28" t="s">
        <v>12</v>
      </c>
      <c r="C1011" s="95" t="s">
        <v>2834</v>
      </c>
      <c r="D1011" s="27" t="s">
        <v>8084</v>
      </c>
      <c r="E1011" s="27" t="s">
        <v>9085</v>
      </c>
      <c r="F1011" s="95" t="s">
        <v>2823</v>
      </c>
      <c r="G1011" s="101" t="s">
        <v>2836</v>
      </c>
      <c r="H1011" s="75">
        <v>44286</v>
      </c>
      <c r="I1011" s="75">
        <v>44286</v>
      </c>
      <c r="J1011" s="75">
        <v>44286</v>
      </c>
      <c r="K1011" s="75">
        <v>25068</v>
      </c>
      <c r="L1011" s="34" t="s">
        <v>2837</v>
      </c>
      <c r="M1011" s="28" t="s">
        <v>87</v>
      </c>
      <c r="N1011" s="111" t="s">
        <v>14</v>
      </c>
      <c r="O1011" s="104" t="s">
        <v>52</v>
      </c>
      <c r="P1011" s="104" t="s">
        <v>52</v>
      </c>
      <c r="Q1011" s="105"/>
      <c r="R1011" s="28" t="s">
        <v>1313</v>
      </c>
      <c r="S1011" s="225">
        <f t="shared" si="15"/>
        <v>47027</v>
      </c>
      <c r="T1011" s="162" t="s">
        <v>7616</v>
      </c>
      <c r="U1011" s="7" t="s">
        <v>109</v>
      </c>
      <c r="V1011" s="162" t="str" cm="1">
        <f t="array" ref="V1011">_xlfn.IFS(C1011="","",COUNTIF(C1011,"ตำแหน่งว่าง*"),"ว่าง",COUNTIF(C1011,"&lt;&gt;ตำแหน่งว่าง*"),"คนครอง")</f>
        <v>คนครอง</v>
      </c>
      <c r="W1011" s="49" cm="1">
        <f t="array" ref="W1011">_xlfn.IFS(COUNTIF(F1011,"ผบ.หมู่*"),51,COUNTIF(F1011,"รอง สว.*"),43)</f>
        <v>43</v>
      </c>
      <c r="X1011" s="5" t="s">
        <v>2835</v>
      </c>
      <c r="Y1011" s="5" t="s">
        <v>52</v>
      </c>
    </row>
    <row r="1012" spans="1:25" s="9" customFormat="1" ht="21.3" customHeight="1">
      <c r="A1012" s="27" t="s">
        <v>10753</v>
      </c>
      <c r="B1012" s="28" t="s">
        <v>12</v>
      </c>
      <c r="C1012" s="27" t="s">
        <v>2838</v>
      </c>
      <c r="D1012" s="27" t="s">
        <v>8287</v>
      </c>
      <c r="E1012" s="27" t="s">
        <v>8016</v>
      </c>
      <c r="F1012" s="27" t="s">
        <v>2823</v>
      </c>
      <c r="G1012" s="101" t="s">
        <v>2840</v>
      </c>
      <c r="H1012" s="75">
        <v>45016</v>
      </c>
      <c r="I1012" s="80">
        <v>45016</v>
      </c>
      <c r="J1012" s="80">
        <v>45016</v>
      </c>
      <c r="K1012" s="80">
        <v>25598</v>
      </c>
      <c r="L1012" s="34" t="s">
        <v>2841</v>
      </c>
      <c r="M1012" s="30" t="s">
        <v>36</v>
      </c>
      <c r="N1012" s="112" t="s">
        <v>14</v>
      </c>
      <c r="O1012" s="104" t="s">
        <v>52</v>
      </c>
      <c r="P1012" s="104" t="s">
        <v>52</v>
      </c>
      <c r="Q1012" s="105"/>
      <c r="R1012" s="28" t="s">
        <v>483</v>
      </c>
      <c r="S1012" s="225">
        <f t="shared" si="15"/>
        <v>47757</v>
      </c>
      <c r="T1012" s="2" t="s">
        <v>7616</v>
      </c>
      <c r="U1012" s="7" t="s">
        <v>109</v>
      </c>
      <c r="V1012" s="162" t="str" cm="1">
        <f t="array" ref="V1012">_xlfn.IFS(C1012="","",COUNTIF(C1012,"ตำแหน่งว่าง*"),"ว่าง",COUNTIF(C1012,"&lt;&gt;ตำแหน่งว่าง*"),"คนครอง")</f>
        <v>คนครอง</v>
      </c>
      <c r="W1012" s="49" cm="1">
        <f t="array" ref="W1012">_xlfn.IFS(COUNTIF(F1012,"ผบ.หมู่*"),51,COUNTIF(F1012,"รอง สว.*"),43)</f>
        <v>43</v>
      </c>
      <c r="X1012" s="1" t="s">
        <v>2839</v>
      </c>
      <c r="Y1012" s="1" t="s">
        <v>52</v>
      </c>
    </row>
    <row r="1013" spans="1:25" s="13" customFormat="1" ht="21.3" customHeight="1">
      <c r="A1013" s="27" t="s">
        <v>612</v>
      </c>
      <c r="B1013" s="28" t="s">
        <v>21</v>
      </c>
      <c r="C1013" s="27" t="s">
        <v>2842</v>
      </c>
      <c r="D1013" s="27" t="s">
        <v>8741</v>
      </c>
      <c r="E1013" s="27" t="s">
        <v>9086</v>
      </c>
      <c r="F1013" s="27" t="s">
        <v>2828</v>
      </c>
      <c r="G1013" s="101" t="s">
        <v>2844</v>
      </c>
      <c r="H1013" s="80">
        <v>44999</v>
      </c>
      <c r="I1013" s="75">
        <v>41944</v>
      </c>
      <c r="J1013" s="75">
        <v>41944</v>
      </c>
      <c r="K1013" s="75">
        <v>32267</v>
      </c>
      <c r="L1013" s="34" t="s">
        <v>261</v>
      </c>
      <c r="M1013" s="28" t="s">
        <v>87</v>
      </c>
      <c r="N1013" s="112" t="s">
        <v>14</v>
      </c>
      <c r="O1013" s="104" t="s">
        <v>52</v>
      </c>
      <c r="P1013" s="104" t="s">
        <v>52</v>
      </c>
      <c r="Q1013" s="105"/>
      <c r="R1013" s="28" t="s">
        <v>74</v>
      </c>
      <c r="S1013" s="225">
        <f t="shared" si="15"/>
        <v>54332</v>
      </c>
      <c r="T1013" s="20" t="s">
        <v>7616</v>
      </c>
      <c r="U1013" s="7" t="s">
        <v>109</v>
      </c>
      <c r="V1013" s="162" t="str" cm="1">
        <f t="array" ref="V1013">_xlfn.IFS(C1013="","",COUNTIF(C1013,"ตำแหน่งว่าง*"),"ว่าง",COUNTIF(C1013,"&lt;&gt;ตำแหน่งว่าง*"),"คนครอง")</f>
        <v>คนครอง</v>
      </c>
      <c r="W1013" s="49" cm="1">
        <f t="array" ref="W1013">_xlfn.IFS(COUNTIF(F1013,"ผบ.หมู่*"),51,COUNTIF(F1013,"รอง สว.*"),43)</f>
        <v>51</v>
      </c>
      <c r="X1013" s="1" t="s">
        <v>2843</v>
      </c>
      <c r="Y1013" s="1" t="s">
        <v>52</v>
      </c>
    </row>
    <row r="1014" spans="1:25" s="10" customFormat="1" ht="21.3" customHeight="1">
      <c r="A1014" s="27" t="s">
        <v>157</v>
      </c>
      <c r="B1014" s="28" t="s">
        <v>21</v>
      </c>
      <c r="C1014" s="95" t="s">
        <v>2845</v>
      </c>
      <c r="D1014" s="27" t="s">
        <v>7985</v>
      </c>
      <c r="E1014" s="27" t="s">
        <v>9087</v>
      </c>
      <c r="F1014" s="95" t="s">
        <v>2828</v>
      </c>
      <c r="G1014" s="101" t="s">
        <v>2847</v>
      </c>
      <c r="H1014" s="75">
        <v>44599</v>
      </c>
      <c r="I1014" s="80">
        <v>40339</v>
      </c>
      <c r="J1014" s="80">
        <v>40339</v>
      </c>
      <c r="K1014" s="80">
        <v>31089</v>
      </c>
      <c r="L1014" s="34" t="s">
        <v>2848</v>
      </c>
      <c r="M1014" s="30" t="s">
        <v>23</v>
      </c>
      <c r="N1014" s="111" t="s">
        <v>14</v>
      </c>
      <c r="O1014" s="104" t="s">
        <v>52</v>
      </c>
      <c r="P1014" s="104" t="s">
        <v>52</v>
      </c>
      <c r="Q1014" s="106"/>
      <c r="R1014" s="28" t="s">
        <v>607</v>
      </c>
      <c r="S1014" s="225">
        <f t="shared" si="15"/>
        <v>53236</v>
      </c>
      <c r="T1014" s="7" t="s">
        <v>7616</v>
      </c>
      <c r="U1014" s="7" t="s">
        <v>109</v>
      </c>
      <c r="V1014" s="162" t="str" cm="1">
        <f t="array" ref="V1014">_xlfn.IFS(C1014="","",COUNTIF(C1014,"ตำแหน่งว่าง*"),"ว่าง",COUNTIF(C1014,"&lt;&gt;ตำแหน่งว่าง*"),"คนครอง")</f>
        <v>คนครอง</v>
      </c>
      <c r="W1014" s="49" cm="1">
        <f t="array" ref="W1014">_xlfn.IFS(COUNTIF(F1014,"ผบ.หมู่*"),51,COUNTIF(F1014,"รอง สว.*"),43)</f>
        <v>51</v>
      </c>
      <c r="X1014" s="5" t="s">
        <v>2846</v>
      </c>
      <c r="Y1014" s="5" t="s">
        <v>52</v>
      </c>
    </row>
    <row r="1015" spans="1:25" s="10" customFormat="1" ht="21.3" customHeight="1">
      <c r="A1015" s="27" t="s">
        <v>157</v>
      </c>
      <c r="B1015" s="28" t="s">
        <v>21</v>
      </c>
      <c r="C1015" s="27" t="s">
        <v>2849</v>
      </c>
      <c r="D1015" s="27" t="s">
        <v>8003</v>
      </c>
      <c r="E1015" s="27" t="s">
        <v>9088</v>
      </c>
      <c r="F1015" s="27" t="s">
        <v>2828</v>
      </c>
      <c r="G1015" s="101" t="s">
        <v>2851</v>
      </c>
      <c r="H1015" s="80">
        <v>44999</v>
      </c>
      <c r="I1015" s="75">
        <v>40339</v>
      </c>
      <c r="J1015" s="75">
        <v>40339</v>
      </c>
      <c r="K1015" s="75">
        <v>30913</v>
      </c>
      <c r="L1015" s="34" t="s">
        <v>68</v>
      </c>
      <c r="M1015" s="28" t="s">
        <v>23</v>
      </c>
      <c r="N1015" s="112" t="s">
        <v>14</v>
      </c>
      <c r="O1015" s="104" t="s">
        <v>52</v>
      </c>
      <c r="P1015" s="104" t="s">
        <v>52</v>
      </c>
      <c r="Q1015" s="105"/>
      <c r="R1015" s="28" t="s">
        <v>74</v>
      </c>
      <c r="S1015" s="225">
        <f t="shared" si="15"/>
        <v>52871</v>
      </c>
      <c r="T1015" s="7" t="s">
        <v>7616</v>
      </c>
      <c r="U1015" s="7" t="s">
        <v>109</v>
      </c>
      <c r="V1015" s="162" t="str" cm="1">
        <f t="array" ref="V1015">_xlfn.IFS(C1015="","",COUNTIF(C1015,"ตำแหน่งว่าง*"),"ว่าง",COUNTIF(C1015,"&lt;&gt;ตำแหน่งว่าง*"),"คนครอง")</f>
        <v>คนครอง</v>
      </c>
      <c r="W1015" s="49" cm="1">
        <f t="array" ref="W1015">_xlfn.IFS(COUNTIF(F1015,"ผบ.หมู่*"),51,COUNTIF(F1015,"รอง สว.*"),43)</f>
        <v>51</v>
      </c>
      <c r="X1015" s="1" t="s">
        <v>2850</v>
      </c>
      <c r="Y1015" s="1" t="s">
        <v>52</v>
      </c>
    </row>
    <row r="1016" spans="1:25" s="12" customFormat="1" ht="21.3" customHeight="1">
      <c r="A1016" s="27" t="s">
        <v>44</v>
      </c>
      <c r="B1016" s="31" t="s">
        <v>12</v>
      </c>
      <c r="C1016" s="95" t="s">
        <v>2852</v>
      </c>
      <c r="D1016" s="27" t="s">
        <v>9089</v>
      </c>
      <c r="E1016" s="27" t="s">
        <v>9090</v>
      </c>
      <c r="F1016" s="95" t="s">
        <v>2823</v>
      </c>
      <c r="G1016" s="101" t="s">
        <v>2854</v>
      </c>
      <c r="H1016" s="80">
        <v>44651</v>
      </c>
      <c r="I1016" s="75">
        <v>44651</v>
      </c>
      <c r="J1016" s="80">
        <v>44651</v>
      </c>
      <c r="K1016" s="75">
        <v>25299</v>
      </c>
      <c r="L1016" s="34" t="s">
        <v>2855</v>
      </c>
      <c r="M1016" s="28" t="s">
        <v>87</v>
      </c>
      <c r="N1016" s="111" t="s">
        <v>14</v>
      </c>
      <c r="O1016" s="104" t="s">
        <v>52</v>
      </c>
      <c r="P1016" s="104" t="s">
        <v>52</v>
      </c>
      <c r="Q1016" s="105"/>
      <c r="R1016" s="30" t="s">
        <v>2856</v>
      </c>
      <c r="S1016" s="225">
        <f t="shared" si="15"/>
        <v>47392</v>
      </c>
      <c r="T1016" s="162" t="s">
        <v>7616</v>
      </c>
      <c r="U1016" s="7" t="s">
        <v>109</v>
      </c>
      <c r="V1016" s="162" t="str" cm="1">
        <f t="array" ref="V1016">_xlfn.IFS(C1016="","",COUNTIF(C1016,"ตำแหน่งว่าง*"),"ว่าง",COUNTIF(C1016,"&lt;&gt;ตำแหน่งว่าง*"),"คนครอง")</f>
        <v>คนครอง</v>
      </c>
      <c r="W1016" s="49" cm="1">
        <f t="array" ref="W1016">_xlfn.IFS(COUNTIF(F1016,"ผบ.หมู่*"),51,COUNTIF(F1016,"รอง สว.*"),43)</f>
        <v>43</v>
      </c>
      <c r="X1016" s="5" t="s">
        <v>2853</v>
      </c>
      <c r="Y1016" s="5" t="s">
        <v>52</v>
      </c>
    </row>
    <row r="1017" spans="1:25" s="12" customFormat="1" ht="21.3" customHeight="1">
      <c r="A1017" s="27" t="s">
        <v>10753</v>
      </c>
      <c r="B1017" s="28" t="s">
        <v>12</v>
      </c>
      <c r="C1017" s="95" t="s">
        <v>2857</v>
      </c>
      <c r="D1017" s="27" t="s">
        <v>9091</v>
      </c>
      <c r="E1017" s="27" t="s">
        <v>9092</v>
      </c>
      <c r="F1017" s="95" t="s">
        <v>2823</v>
      </c>
      <c r="G1017" s="101" t="s">
        <v>2859</v>
      </c>
      <c r="H1017" s="75">
        <v>45016</v>
      </c>
      <c r="I1017" s="75">
        <v>45016</v>
      </c>
      <c r="J1017" s="80">
        <v>45016</v>
      </c>
      <c r="K1017" s="75">
        <v>25489</v>
      </c>
      <c r="L1017" s="34" t="s">
        <v>2671</v>
      </c>
      <c r="M1017" s="28" t="s">
        <v>87</v>
      </c>
      <c r="N1017" s="111" t="s">
        <v>14</v>
      </c>
      <c r="O1017" s="104" t="s">
        <v>52</v>
      </c>
      <c r="P1017" s="104" t="s">
        <v>52</v>
      </c>
      <c r="Q1017" s="105"/>
      <c r="R1017" s="28" t="s">
        <v>483</v>
      </c>
      <c r="S1017" s="225">
        <f t="shared" si="15"/>
        <v>47757</v>
      </c>
      <c r="T1017" s="162" t="s">
        <v>7616</v>
      </c>
      <c r="U1017" s="7" t="s">
        <v>109</v>
      </c>
      <c r="V1017" s="162" t="str" cm="1">
        <f t="array" ref="V1017">_xlfn.IFS(C1017="","",COUNTIF(C1017,"ตำแหน่งว่าง*"),"ว่าง",COUNTIF(C1017,"&lt;&gt;ตำแหน่งว่าง*"),"คนครอง")</f>
        <v>คนครอง</v>
      </c>
      <c r="W1017" s="49" cm="1">
        <f t="array" ref="W1017">_xlfn.IFS(COUNTIF(F1017,"ผบ.หมู่*"),51,COUNTIF(F1017,"รอง สว.*"),43)</f>
        <v>43</v>
      </c>
      <c r="X1017" s="5" t="s">
        <v>2858</v>
      </c>
      <c r="Y1017" s="5" t="s">
        <v>52</v>
      </c>
    </row>
    <row r="1018" spans="1:25" s="12" customFormat="1" ht="21.3" customHeight="1">
      <c r="A1018" s="132" t="s">
        <v>10753</v>
      </c>
      <c r="B1018" s="28" t="s">
        <v>21</v>
      </c>
      <c r="C1018" s="95" t="s">
        <v>2860</v>
      </c>
      <c r="D1018" s="27" t="s">
        <v>8232</v>
      </c>
      <c r="E1018" s="27" t="s">
        <v>9093</v>
      </c>
      <c r="F1018" s="95" t="s">
        <v>2823</v>
      </c>
      <c r="G1018" s="101" t="s">
        <v>2862</v>
      </c>
      <c r="H1018" s="91">
        <v>45382</v>
      </c>
      <c r="I1018" s="73">
        <v>45382</v>
      </c>
      <c r="J1018" s="75">
        <v>34352</v>
      </c>
      <c r="K1018" s="75">
        <v>25877</v>
      </c>
      <c r="L1018" s="34" t="s">
        <v>31</v>
      </c>
      <c r="M1018" s="28" t="s">
        <v>87</v>
      </c>
      <c r="N1018" s="111" t="s">
        <v>14</v>
      </c>
      <c r="O1018" s="104" t="s">
        <v>52</v>
      </c>
      <c r="P1018" s="104" t="s">
        <v>52</v>
      </c>
      <c r="Q1018" s="105"/>
      <c r="R1018" s="33" t="s">
        <v>7801</v>
      </c>
      <c r="S1018" s="225">
        <f t="shared" si="15"/>
        <v>48122</v>
      </c>
      <c r="T1018" s="162" t="s">
        <v>7616</v>
      </c>
      <c r="U1018" s="7" t="s">
        <v>109</v>
      </c>
      <c r="V1018" s="162" t="str" cm="1">
        <f t="array" ref="V1018">_xlfn.IFS(C1018="","",COUNTIF(C1018,"ตำแหน่งว่าง*"),"ว่าง",COUNTIF(C1018,"&lt;&gt;ตำแหน่งว่าง*"),"คนครอง")</f>
        <v>คนครอง</v>
      </c>
      <c r="W1018" s="49" cm="1">
        <f t="array" ref="W1018">_xlfn.IFS(COUNTIF(F1018,"ผบ.หมู่*"),51,COUNTIF(F1018,"รอง สว.*"),43)</f>
        <v>43</v>
      </c>
      <c r="X1018" s="5" t="s">
        <v>2861</v>
      </c>
      <c r="Y1018" s="5" t="s">
        <v>52</v>
      </c>
    </row>
    <row r="1019" spans="1:25" s="12" customFormat="1" ht="21.3" customHeight="1">
      <c r="A1019" s="27" t="s">
        <v>44</v>
      </c>
      <c r="B1019" s="31" t="s">
        <v>12</v>
      </c>
      <c r="C1019" s="95" t="s">
        <v>2863</v>
      </c>
      <c r="D1019" s="27" t="s">
        <v>9094</v>
      </c>
      <c r="E1019" s="27" t="s">
        <v>9095</v>
      </c>
      <c r="F1019" s="95" t="s">
        <v>2823</v>
      </c>
      <c r="G1019" s="101" t="s">
        <v>2865</v>
      </c>
      <c r="H1019" s="80">
        <v>44651</v>
      </c>
      <c r="I1019" s="75">
        <v>44651</v>
      </c>
      <c r="J1019" s="80">
        <v>44651</v>
      </c>
      <c r="K1019" s="75">
        <v>25451</v>
      </c>
      <c r="L1019" s="34" t="s">
        <v>119</v>
      </c>
      <c r="M1019" s="28" t="s">
        <v>87</v>
      </c>
      <c r="N1019" s="111" t="s">
        <v>14</v>
      </c>
      <c r="O1019" s="104" t="s">
        <v>52</v>
      </c>
      <c r="P1019" s="104" t="s">
        <v>52</v>
      </c>
      <c r="Q1019" s="105"/>
      <c r="R1019" s="30" t="s">
        <v>2856</v>
      </c>
      <c r="S1019" s="225">
        <f t="shared" si="15"/>
        <v>47392</v>
      </c>
      <c r="T1019" s="162" t="s">
        <v>7616</v>
      </c>
      <c r="U1019" s="7" t="s">
        <v>109</v>
      </c>
      <c r="V1019" s="162" t="str" cm="1">
        <f t="array" ref="V1019">_xlfn.IFS(C1019="","",COUNTIF(C1019,"ตำแหน่งว่าง*"),"ว่าง",COUNTIF(C1019,"&lt;&gt;ตำแหน่งว่าง*"),"คนครอง")</f>
        <v>คนครอง</v>
      </c>
      <c r="W1019" s="49" cm="1">
        <f t="array" ref="W1019">_xlfn.IFS(COUNTIF(F1019,"ผบ.หมู่*"),51,COUNTIF(F1019,"รอง สว.*"),43)</f>
        <v>43</v>
      </c>
      <c r="X1019" s="5" t="s">
        <v>2864</v>
      </c>
      <c r="Y1019" s="5" t="s">
        <v>52</v>
      </c>
    </row>
    <row r="1020" spans="1:25" s="10" customFormat="1" ht="21.3" customHeight="1">
      <c r="A1020" s="27" t="s">
        <v>44</v>
      </c>
      <c r="B1020" s="28" t="s">
        <v>21</v>
      </c>
      <c r="C1020" s="27" t="s">
        <v>2866</v>
      </c>
      <c r="D1020" s="27" t="s">
        <v>9096</v>
      </c>
      <c r="E1020" s="27" t="s">
        <v>8185</v>
      </c>
      <c r="F1020" s="27" t="s">
        <v>2823</v>
      </c>
      <c r="G1020" s="101" t="s">
        <v>2868</v>
      </c>
      <c r="H1020" s="75">
        <v>44999</v>
      </c>
      <c r="I1020" s="80">
        <v>44651</v>
      </c>
      <c r="J1020" s="80">
        <v>44651</v>
      </c>
      <c r="K1020" s="80">
        <v>25308</v>
      </c>
      <c r="L1020" s="45" t="s">
        <v>162</v>
      </c>
      <c r="M1020" s="30" t="s">
        <v>47</v>
      </c>
      <c r="N1020" s="112" t="s">
        <v>14</v>
      </c>
      <c r="O1020" s="104" t="s">
        <v>52</v>
      </c>
      <c r="P1020" s="104" t="s">
        <v>52</v>
      </c>
      <c r="Q1020" s="106"/>
      <c r="R1020" s="28" t="s">
        <v>440</v>
      </c>
      <c r="S1020" s="225">
        <f t="shared" si="15"/>
        <v>47392</v>
      </c>
      <c r="T1020" s="7" t="s">
        <v>7616</v>
      </c>
      <c r="U1020" s="7" t="s">
        <v>109</v>
      </c>
      <c r="V1020" s="162" t="str" cm="1">
        <f t="array" ref="V1020">_xlfn.IFS(C1020="","",COUNTIF(C1020,"ตำแหน่งว่าง*"),"ว่าง",COUNTIF(C1020,"&lt;&gt;ตำแหน่งว่าง*"),"คนครอง")</f>
        <v>คนครอง</v>
      </c>
      <c r="W1020" s="49" cm="1">
        <f t="array" ref="W1020">_xlfn.IFS(COUNTIF(F1020,"ผบ.หมู่*"),51,COUNTIF(F1020,"รอง สว.*"),43)</f>
        <v>43</v>
      </c>
      <c r="X1020" s="28" t="s">
        <v>2867</v>
      </c>
      <c r="Y1020" s="28" t="s">
        <v>52</v>
      </c>
    </row>
    <row r="1021" spans="1:25" s="12" customFormat="1" ht="21.3" customHeight="1">
      <c r="A1021" s="27"/>
      <c r="B1021" s="28"/>
      <c r="C1021" s="95" t="s">
        <v>18</v>
      </c>
      <c r="D1021" s="27"/>
      <c r="E1021" s="27"/>
      <c r="F1021" s="27" t="s">
        <v>2828</v>
      </c>
      <c r="G1021" s="101" t="s">
        <v>2870</v>
      </c>
      <c r="H1021" s="75"/>
      <c r="I1021" s="75"/>
      <c r="J1021" s="75"/>
      <c r="K1021" s="75"/>
      <c r="L1021" s="34"/>
      <c r="M1021" s="28"/>
      <c r="N1021" s="111" t="s">
        <v>14</v>
      </c>
      <c r="O1021" s="104" t="s">
        <v>52</v>
      </c>
      <c r="P1021" s="104" t="s">
        <v>52</v>
      </c>
      <c r="Q1021" s="105"/>
      <c r="R1021" s="28"/>
      <c r="S1021" s="225" t="str">
        <f t="shared" si="15"/>
        <v/>
      </c>
      <c r="T1021" s="162" t="s">
        <v>7616</v>
      </c>
      <c r="U1021" s="7" t="s">
        <v>109</v>
      </c>
      <c r="V1021" s="162" t="str" cm="1">
        <f t="array" ref="V1021">_xlfn.IFS(C1021="","",COUNTIF(C1021,"ตำแหน่งว่าง*"),"ว่าง",COUNTIF(C1021,"&lt;&gt;ตำแหน่งว่าง*"),"คนครอง")</f>
        <v>ว่าง</v>
      </c>
      <c r="W1021" s="49" cm="1">
        <f t="array" ref="W1021">_xlfn.IFS(COUNTIF(F1021,"ผบ.หมู่*"),51,COUNTIF(F1021,"รอง สว.*"),43)</f>
        <v>51</v>
      </c>
      <c r="X1021" s="5" t="s">
        <v>2869</v>
      </c>
      <c r="Y1021" s="5" t="s">
        <v>52</v>
      </c>
    </row>
    <row r="1022" spans="1:25" s="9" customFormat="1" ht="21.3" customHeight="1">
      <c r="A1022" s="192" t="s">
        <v>169</v>
      </c>
      <c r="B1022" s="193" t="s">
        <v>12</v>
      </c>
      <c r="C1022" s="192" t="s">
        <v>7912</v>
      </c>
      <c r="D1022" s="27" t="s">
        <v>9097</v>
      </c>
      <c r="E1022" s="27" t="s">
        <v>9098</v>
      </c>
      <c r="F1022" s="192" t="s">
        <v>2701</v>
      </c>
      <c r="G1022" s="101" t="s">
        <v>2703</v>
      </c>
      <c r="H1022" s="73">
        <v>45463</v>
      </c>
      <c r="I1022" s="73">
        <v>45463</v>
      </c>
      <c r="J1022" s="73">
        <v>45463</v>
      </c>
      <c r="K1022" s="73">
        <v>32515</v>
      </c>
      <c r="L1022" s="2" t="s">
        <v>82</v>
      </c>
      <c r="M1022" s="1"/>
      <c r="N1022" s="112" t="s">
        <v>14</v>
      </c>
      <c r="O1022" s="104" t="s">
        <v>52</v>
      </c>
      <c r="P1022" s="104" t="s">
        <v>52</v>
      </c>
      <c r="Q1022" s="105"/>
      <c r="R1022" s="28" t="s">
        <v>7961</v>
      </c>
      <c r="S1022" s="174">
        <f t="shared" si="15"/>
        <v>54697</v>
      </c>
      <c r="T1022" s="2" t="s">
        <v>7613</v>
      </c>
      <c r="U1022" s="2" t="s">
        <v>109</v>
      </c>
      <c r="V1022" s="162" t="str" cm="1">
        <f t="array" ref="V1022">_xlfn.IFS(C1022="","",COUNTIF(C1022,"ตำแหน่งว่าง*"),"ว่าง",COUNTIF(C1022,"&lt;&gt;ตำแหน่งว่าง*"),"คนครอง")</f>
        <v>คนครอง</v>
      </c>
      <c r="W1022" s="49" cm="1">
        <f t="array" ref="W1022">_xlfn.IFS(COUNTIF(F1022,"ผบ.หมู่*"),51,COUNTIF(F1022,"รอง สว.*"),43)</f>
        <v>51</v>
      </c>
      <c r="X1022" s="1" t="s">
        <v>2702</v>
      </c>
      <c r="Y1022" s="1" t="s">
        <v>52</v>
      </c>
    </row>
    <row r="1023" spans="1:25" s="10" customFormat="1" ht="21.3" customHeight="1">
      <c r="A1023" s="65" t="s">
        <v>169</v>
      </c>
      <c r="B1023" s="66" t="s">
        <v>12</v>
      </c>
      <c r="C1023" s="65" t="s">
        <v>2704</v>
      </c>
      <c r="D1023" s="27" t="s">
        <v>9099</v>
      </c>
      <c r="E1023" s="27" t="s">
        <v>9100</v>
      </c>
      <c r="F1023" s="65" t="s">
        <v>2701</v>
      </c>
      <c r="G1023" s="101" t="s">
        <v>2706</v>
      </c>
      <c r="H1023" s="81">
        <v>44986</v>
      </c>
      <c r="I1023" s="77">
        <v>44986</v>
      </c>
      <c r="J1023" s="77">
        <v>44986</v>
      </c>
      <c r="K1023" s="77">
        <v>35736</v>
      </c>
      <c r="L1023" s="63" t="s">
        <v>82</v>
      </c>
      <c r="M1023" s="221" t="s">
        <v>72</v>
      </c>
      <c r="N1023" s="223" t="s">
        <v>14</v>
      </c>
      <c r="O1023" s="104" t="s">
        <v>52</v>
      </c>
      <c r="P1023" s="104" t="s">
        <v>52</v>
      </c>
      <c r="Q1023" s="224"/>
      <c r="R1023" s="66" t="s">
        <v>861</v>
      </c>
      <c r="S1023" s="225">
        <f t="shared" si="15"/>
        <v>57984</v>
      </c>
      <c r="T1023" s="7" t="s">
        <v>7613</v>
      </c>
      <c r="U1023" s="7" t="s">
        <v>109</v>
      </c>
      <c r="V1023" s="162" t="str" cm="1">
        <f t="array" ref="V1023">_xlfn.IFS(C1023="","",COUNTIF(C1023,"ตำแหน่งว่าง*"),"ว่าง",COUNTIF(C1023,"&lt;&gt;ตำแหน่งว่าง*"),"คนครอง")</f>
        <v>คนครอง</v>
      </c>
      <c r="W1023" s="49" cm="1">
        <f t="array" ref="W1023">_xlfn.IFS(COUNTIF(F1023,"ผบ.หมู่*"),51,COUNTIF(F1023,"รอง สว.*"),43)</f>
        <v>51</v>
      </c>
      <c r="X1023" s="61" t="s">
        <v>2705</v>
      </c>
      <c r="Y1023" s="61" t="s">
        <v>52</v>
      </c>
    </row>
    <row r="1024" spans="1:25" s="10" customFormat="1" ht="21.3" customHeight="1">
      <c r="A1024" s="68"/>
      <c r="B1024" s="30"/>
      <c r="C1024" s="68" t="s">
        <v>18</v>
      </c>
      <c r="D1024" s="27"/>
      <c r="E1024" s="27"/>
      <c r="F1024" s="68" t="s">
        <v>2701</v>
      </c>
      <c r="G1024" s="121" t="s">
        <v>2708</v>
      </c>
      <c r="H1024" s="80"/>
      <c r="I1024" s="74"/>
      <c r="J1024" s="74"/>
      <c r="K1024" s="74"/>
      <c r="L1024" s="16"/>
      <c r="M1024" s="6"/>
      <c r="N1024" s="113" t="s">
        <v>14</v>
      </c>
      <c r="O1024" s="122" t="s">
        <v>52</v>
      </c>
      <c r="P1024" s="122" t="s">
        <v>52</v>
      </c>
      <c r="Q1024" s="106"/>
      <c r="R1024" s="30"/>
      <c r="S1024" s="225" t="str">
        <f t="shared" si="15"/>
        <v/>
      </c>
      <c r="T1024" s="7" t="s">
        <v>7613</v>
      </c>
      <c r="U1024" s="7" t="s">
        <v>109</v>
      </c>
      <c r="V1024" s="162" t="str" cm="1">
        <f t="array" ref="V1024">_xlfn.IFS(C1024="","",COUNTIF(C1024,"ตำแหน่งว่าง*"),"ว่าง",COUNTIF(C1024,"&lt;&gt;ตำแหน่งว่าง*"),"คนครอง")</f>
        <v>ว่าง</v>
      </c>
      <c r="W1024" s="49" cm="1">
        <f t="array" ref="W1024">_xlfn.IFS(COUNTIF(F1024,"ผบ.หมู่*"),51,COUNTIF(F1024,"รอง สว.*"),43)</f>
        <v>51</v>
      </c>
      <c r="X1024" s="61" t="s">
        <v>2707</v>
      </c>
      <c r="Y1024" s="61" t="s">
        <v>52</v>
      </c>
    </row>
    <row r="1025" spans="1:25" s="10" customFormat="1" ht="21.3" customHeight="1">
      <c r="A1025" s="27"/>
      <c r="B1025" s="30"/>
      <c r="C1025" s="30" t="s">
        <v>18</v>
      </c>
      <c r="D1025" s="27"/>
      <c r="E1025" s="27"/>
      <c r="F1025" s="68" t="s">
        <v>2701</v>
      </c>
      <c r="G1025" s="121" t="s">
        <v>2710</v>
      </c>
      <c r="H1025" s="75" t="s">
        <v>19</v>
      </c>
      <c r="I1025" s="73" t="s">
        <v>19</v>
      </c>
      <c r="J1025" s="73" t="s">
        <v>19</v>
      </c>
      <c r="K1025" s="73" t="s">
        <v>19</v>
      </c>
      <c r="L1025" s="11"/>
      <c r="M1025" s="1"/>
      <c r="N1025" s="113" t="s">
        <v>14</v>
      </c>
      <c r="O1025" s="122" t="s">
        <v>52</v>
      </c>
      <c r="P1025" s="122" t="s">
        <v>52</v>
      </c>
      <c r="Q1025" s="106"/>
      <c r="R1025" s="30"/>
      <c r="S1025" s="225" t="str">
        <f t="shared" si="15"/>
        <v/>
      </c>
      <c r="T1025" s="7" t="s">
        <v>7613</v>
      </c>
      <c r="U1025" s="7" t="s">
        <v>109</v>
      </c>
      <c r="V1025" s="171" t="str" cm="1">
        <f t="array" ref="V1025">_xlfn.IFS(C1025="","",COUNTIF(C1025,"ตำแหน่งว่าง*"),"ว่าง",COUNTIF(C1025,"&lt;&gt;ตำแหน่งว่าง*"),"คนครอง")</f>
        <v>ว่าง</v>
      </c>
      <c r="W1025" s="49" cm="1">
        <f t="array" ref="W1025">_xlfn.IFS(COUNTIF(F1025,"ผบ.หมู่*"),51,COUNTIF(F1025,"รอง สว.*"),43)</f>
        <v>51</v>
      </c>
      <c r="X1025" s="6" t="s">
        <v>2709</v>
      </c>
      <c r="Y1025" s="6" t="s">
        <v>52</v>
      </c>
    </row>
    <row r="1026" spans="1:25" s="10" customFormat="1" ht="21.3" customHeight="1">
      <c r="A1026" s="27"/>
      <c r="B1026" s="30"/>
      <c r="C1026" s="30" t="s">
        <v>18</v>
      </c>
      <c r="D1026" s="27"/>
      <c r="E1026" s="27"/>
      <c r="F1026" s="68" t="s">
        <v>2701</v>
      </c>
      <c r="G1026" s="121" t="s">
        <v>2712</v>
      </c>
      <c r="H1026" s="75" t="s">
        <v>19</v>
      </c>
      <c r="I1026" s="73" t="s">
        <v>19</v>
      </c>
      <c r="J1026" s="73" t="s">
        <v>19</v>
      </c>
      <c r="K1026" s="73" t="s">
        <v>19</v>
      </c>
      <c r="L1026" s="11"/>
      <c r="M1026" s="1"/>
      <c r="N1026" s="113" t="s">
        <v>14</v>
      </c>
      <c r="O1026" s="122" t="s">
        <v>52</v>
      </c>
      <c r="P1026" s="122" t="s">
        <v>52</v>
      </c>
      <c r="Q1026" s="106"/>
      <c r="R1026" s="30"/>
      <c r="S1026" s="225" t="str">
        <f t="shared" ref="S1026:S1089" si="16">IF(K1026&lt;&gt;"",DATE(YEAR(K1026)+60+(K1026&gt;=DATE(YEAR(K1026),10,2)),10,1),"")</f>
        <v/>
      </c>
      <c r="T1026" s="7" t="s">
        <v>7613</v>
      </c>
      <c r="U1026" s="7" t="s">
        <v>109</v>
      </c>
      <c r="V1026" s="171" t="str" cm="1">
        <f t="array" ref="V1026">_xlfn.IFS(C1026="","",COUNTIF(C1026,"ตำแหน่งว่าง*"),"ว่าง",COUNTIF(C1026,"&lt;&gt;ตำแหน่งว่าง*"),"คนครอง")</f>
        <v>ว่าง</v>
      </c>
      <c r="W1026" s="49" cm="1">
        <f t="array" ref="W1026">_xlfn.IFS(COUNTIF(F1026,"ผบ.หมู่*"),51,COUNTIF(F1026,"รอง สว.*"),43)</f>
        <v>51</v>
      </c>
      <c r="X1026" s="6" t="s">
        <v>2711</v>
      </c>
      <c r="Y1026" s="6" t="s">
        <v>52</v>
      </c>
    </row>
    <row r="1027" spans="1:25" s="9" customFormat="1" ht="21.3" customHeight="1">
      <c r="A1027" s="95" t="s">
        <v>208</v>
      </c>
      <c r="B1027" s="28" t="s">
        <v>12</v>
      </c>
      <c r="C1027" s="27" t="s">
        <v>2713</v>
      </c>
      <c r="D1027" s="27" t="s">
        <v>9101</v>
      </c>
      <c r="E1027" s="27" t="s">
        <v>9102</v>
      </c>
      <c r="F1027" s="27" t="s">
        <v>2701</v>
      </c>
      <c r="G1027" s="101" t="s">
        <v>2715</v>
      </c>
      <c r="H1027" s="75">
        <v>43693</v>
      </c>
      <c r="I1027" s="73">
        <v>43693</v>
      </c>
      <c r="J1027" s="73">
        <v>43693</v>
      </c>
      <c r="K1027" s="73">
        <v>36945</v>
      </c>
      <c r="L1027" s="11" t="s">
        <v>82</v>
      </c>
      <c r="M1027" s="1" t="s">
        <v>95</v>
      </c>
      <c r="N1027" s="112" t="s">
        <v>14</v>
      </c>
      <c r="O1027" s="104" t="s">
        <v>52</v>
      </c>
      <c r="P1027" s="104" t="s">
        <v>52</v>
      </c>
      <c r="Q1027" s="105"/>
      <c r="R1027" s="28" t="s">
        <v>645</v>
      </c>
      <c r="S1027" s="225">
        <f t="shared" si="16"/>
        <v>59080</v>
      </c>
      <c r="T1027" s="2" t="s">
        <v>7613</v>
      </c>
      <c r="U1027" s="7" t="s">
        <v>109</v>
      </c>
      <c r="V1027" s="162" t="str" cm="1">
        <f t="array" ref="V1027">_xlfn.IFS(C1027="","",COUNTIF(C1027,"ตำแหน่งว่าง*"),"ว่าง",COUNTIF(C1027,"&lt;&gt;ตำแหน่งว่าง*"),"คนครอง")</f>
        <v>คนครอง</v>
      </c>
      <c r="W1027" s="49" cm="1">
        <f t="array" ref="W1027">_xlfn.IFS(COUNTIF(F1027,"ผบ.หมู่*"),51,COUNTIF(F1027,"รอง สว.*"),43)</f>
        <v>51</v>
      </c>
      <c r="X1027" s="1" t="s">
        <v>2714</v>
      </c>
      <c r="Y1027" s="1" t="s">
        <v>52</v>
      </c>
    </row>
    <row r="1028" spans="1:25" s="9" customFormat="1" ht="21.3" customHeight="1">
      <c r="A1028" s="95" t="s">
        <v>208</v>
      </c>
      <c r="B1028" s="28" t="s">
        <v>21</v>
      </c>
      <c r="C1028" s="27" t="s">
        <v>2716</v>
      </c>
      <c r="D1028" s="27" t="s">
        <v>8813</v>
      </c>
      <c r="E1028" s="27" t="s">
        <v>9103</v>
      </c>
      <c r="F1028" s="27" t="s">
        <v>2701</v>
      </c>
      <c r="G1028" s="101" t="s">
        <v>2718</v>
      </c>
      <c r="H1028" s="75">
        <v>43693</v>
      </c>
      <c r="I1028" s="73">
        <v>43693</v>
      </c>
      <c r="J1028" s="73">
        <v>43693</v>
      </c>
      <c r="K1028" s="73">
        <v>35101</v>
      </c>
      <c r="L1028" s="11" t="s">
        <v>82</v>
      </c>
      <c r="M1028" s="1" t="s">
        <v>72</v>
      </c>
      <c r="N1028" s="112" t="s">
        <v>14</v>
      </c>
      <c r="O1028" s="104" t="s">
        <v>52</v>
      </c>
      <c r="P1028" s="104" t="s">
        <v>52</v>
      </c>
      <c r="Q1028" s="105"/>
      <c r="R1028" s="28" t="s">
        <v>645</v>
      </c>
      <c r="S1028" s="225">
        <f t="shared" si="16"/>
        <v>57254</v>
      </c>
      <c r="T1028" s="2" t="s">
        <v>7613</v>
      </c>
      <c r="U1028" s="7" t="s">
        <v>109</v>
      </c>
      <c r="V1028" s="162" t="str" cm="1">
        <f t="array" ref="V1028">_xlfn.IFS(C1028="","",COUNTIF(C1028,"ตำแหน่งว่าง*"),"ว่าง",COUNTIF(C1028,"&lt;&gt;ตำแหน่งว่าง*"),"คนครอง")</f>
        <v>คนครอง</v>
      </c>
      <c r="W1028" s="49" cm="1">
        <f t="array" ref="W1028">_xlfn.IFS(COUNTIF(F1028,"ผบ.หมู่*"),51,COUNTIF(F1028,"รอง สว.*"),43)</f>
        <v>51</v>
      </c>
      <c r="X1028" s="1" t="s">
        <v>2717</v>
      </c>
      <c r="Y1028" s="1" t="s">
        <v>52</v>
      </c>
    </row>
    <row r="1029" spans="1:25" s="9" customFormat="1" ht="21.3" customHeight="1">
      <c r="A1029" s="27" t="s">
        <v>182</v>
      </c>
      <c r="B1029" s="28" t="s">
        <v>12</v>
      </c>
      <c r="C1029" s="27" t="s">
        <v>2719</v>
      </c>
      <c r="D1029" s="27" t="s">
        <v>8147</v>
      </c>
      <c r="E1029" s="27" t="s">
        <v>9104</v>
      </c>
      <c r="F1029" s="27" t="s">
        <v>2701</v>
      </c>
      <c r="G1029" s="101" t="s">
        <v>2721</v>
      </c>
      <c r="H1029" s="75">
        <v>44043</v>
      </c>
      <c r="I1029" s="73">
        <v>44043</v>
      </c>
      <c r="J1029" s="73">
        <v>44043</v>
      </c>
      <c r="K1029" s="73">
        <v>34904</v>
      </c>
      <c r="L1029" s="11" t="s">
        <v>82</v>
      </c>
      <c r="M1029" s="1" t="s">
        <v>103</v>
      </c>
      <c r="N1029" s="112" t="s">
        <v>14</v>
      </c>
      <c r="O1029" s="104" t="s">
        <v>52</v>
      </c>
      <c r="P1029" s="104" t="s">
        <v>52</v>
      </c>
      <c r="Q1029" s="105"/>
      <c r="R1029" s="28" t="s">
        <v>2436</v>
      </c>
      <c r="S1029" s="225">
        <f t="shared" si="16"/>
        <v>56888</v>
      </c>
      <c r="T1029" s="2" t="s">
        <v>7613</v>
      </c>
      <c r="U1029" s="7" t="s">
        <v>109</v>
      </c>
      <c r="V1029" s="162" t="str" cm="1">
        <f t="array" ref="V1029">_xlfn.IFS(C1029="","",COUNTIF(C1029,"ตำแหน่งว่าง*"),"ว่าง",COUNTIF(C1029,"&lt;&gt;ตำแหน่งว่าง*"),"คนครอง")</f>
        <v>คนครอง</v>
      </c>
      <c r="W1029" s="49" cm="1">
        <f t="array" ref="W1029">_xlfn.IFS(COUNTIF(F1029,"ผบ.หมู่*"),51,COUNTIF(F1029,"รอง สว.*"),43)</f>
        <v>51</v>
      </c>
      <c r="X1029" s="1" t="s">
        <v>2720</v>
      </c>
      <c r="Y1029" s="1" t="s">
        <v>52</v>
      </c>
    </row>
    <row r="1030" spans="1:25" s="9" customFormat="1" ht="21.3" customHeight="1">
      <c r="A1030" s="134"/>
      <c r="B1030" s="26"/>
      <c r="C1030" s="30" t="s">
        <v>18</v>
      </c>
      <c r="D1030" s="27"/>
      <c r="E1030" s="27"/>
      <c r="F1030" s="68" t="s">
        <v>2701</v>
      </c>
      <c r="G1030" s="121" t="s">
        <v>2724</v>
      </c>
      <c r="H1030" s="80"/>
      <c r="I1030" s="74"/>
      <c r="J1030" s="74"/>
      <c r="K1030" s="74"/>
      <c r="L1030" s="44"/>
      <c r="M1030" s="8"/>
      <c r="N1030" s="113" t="s">
        <v>14</v>
      </c>
      <c r="O1030" s="122" t="s">
        <v>52</v>
      </c>
      <c r="P1030" s="122" t="s">
        <v>52</v>
      </c>
      <c r="Q1030" s="106"/>
      <c r="R1030" s="29"/>
      <c r="S1030" s="225" t="str">
        <f t="shared" si="16"/>
        <v/>
      </c>
      <c r="T1030" s="2" t="s">
        <v>7613</v>
      </c>
      <c r="U1030" s="7" t="s">
        <v>109</v>
      </c>
      <c r="V1030" s="171" t="str" cm="1">
        <f t="array" ref="V1030">_xlfn.IFS(C1030="","",COUNTIF(C1030,"ตำแหน่งว่าง*"),"ว่าง",COUNTIF(C1030,"&lt;&gt;ตำแหน่งว่าง*"),"คนครอง")</f>
        <v>ว่าง</v>
      </c>
      <c r="W1030" s="49" cm="1">
        <f t="array" ref="W1030">_xlfn.IFS(COUNTIF(F1030,"ผบ.หมู่*"),51,COUNTIF(F1030,"รอง สว.*"),43)</f>
        <v>51</v>
      </c>
      <c r="X1030" s="6" t="s">
        <v>2723</v>
      </c>
      <c r="Y1030" s="6" t="s">
        <v>52</v>
      </c>
    </row>
    <row r="1031" spans="1:25" s="9" customFormat="1" ht="21.3" customHeight="1">
      <c r="A1031" s="27" t="s">
        <v>157</v>
      </c>
      <c r="B1031" s="28" t="s">
        <v>12</v>
      </c>
      <c r="C1031" s="27" t="s">
        <v>2725</v>
      </c>
      <c r="D1031" s="27" t="s">
        <v>8928</v>
      </c>
      <c r="E1031" s="27" t="s">
        <v>9105</v>
      </c>
      <c r="F1031" s="27" t="s">
        <v>2701</v>
      </c>
      <c r="G1031" s="101" t="s">
        <v>2727</v>
      </c>
      <c r="H1031" s="75">
        <v>44243</v>
      </c>
      <c r="I1031" s="73">
        <v>41579</v>
      </c>
      <c r="J1031" s="73">
        <v>41579</v>
      </c>
      <c r="K1031" s="73">
        <v>32397</v>
      </c>
      <c r="L1031" s="11" t="s">
        <v>200</v>
      </c>
      <c r="M1031" s="1" t="s">
        <v>41</v>
      </c>
      <c r="N1031" s="112" t="s">
        <v>14</v>
      </c>
      <c r="O1031" s="104" t="s">
        <v>52</v>
      </c>
      <c r="P1031" s="104" t="s">
        <v>52</v>
      </c>
      <c r="Q1031" s="105"/>
      <c r="R1031" s="28" t="s">
        <v>617</v>
      </c>
      <c r="S1031" s="225">
        <f t="shared" si="16"/>
        <v>54332</v>
      </c>
      <c r="T1031" s="2" t="s">
        <v>7613</v>
      </c>
      <c r="U1031" s="7" t="s">
        <v>109</v>
      </c>
      <c r="V1031" s="162" t="str" cm="1">
        <f t="array" ref="V1031">_xlfn.IFS(C1031="","",COUNTIF(C1031,"ตำแหน่งว่าง*"),"ว่าง",COUNTIF(C1031,"&lt;&gt;ตำแหน่งว่าง*"),"คนครอง")</f>
        <v>คนครอง</v>
      </c>
      <c r="W1031" s="49" cm="1">
        <f t="array" ref="W1031">_xlfn.IFS(COUNTIF(F1031,"ผบ.หมู่*"),51,COUNTIF(F1031,"รอง สว.*"),43)</f>
        <v>51</v>
      </c>
      <c r="X1031" s="1" t="s">
        <v>2726</v>
      </c>
      <c r="Y1031" s="1" t="s">
        <v>52</v>
      </c>
    </row>
    <row r="1032" spans="1:25" s="10" customFormat="1" ht="21.3" customHeight="1">
      <c r="A1032" s="27"/>
      <c r="B1032" s="28"/>
      <c r="C1032" s="30" t="s">
        <v>18</v>
      </c>
      <c r="D1032" s="27"/>
      <c r="E1032" s="27"/>
      <c r="F1032" s="68" t="s">
        <v>2701</v>
      </c>
      <c r="G1032" s="121" t="s">
        <v>2729</v>
      </c>
      <c r="H1032" s="75" t="s">
        <v>19</v>
      </c>
      <c r="I1032" s="73" t="s">
        <v>19</v>
      </c>
      <c r="J1032" s="73" t="s">
        <v>19</v>
      </c>
      <c r="K1032" s="73" t="s">
        <v>19</v>
      </c>
      <c r="L1032" s="11"/>
      <c r="M1032" s="1"/>
      <c r="N1032" s="113" t="s">
        <v>14</v>
      </c>
      <c r="O1032" s="122" t="s">
        <v>52</v>
      </c>
      <c r="P1032" s="122" t="s">
        <v>52</v>
      </c>
      <c r="Q1032" s="105"/>
      <c r="R1032" s="28"/>
      <c r="S1032" s="225" t="str">
        <f t="shared" si="16"/>
        <v/>
      </c>
      <c r="T1032" s="7" t="s">
        <v>7613</v>
      </c>
      <c r="U1032" s="7" t="s">
        <v>109</v>
      </c>
      <c r="V1032" s="171" t="str" cm="1">
        <f t="array" ref="V1032">_xlfn.IFS(C1032="","",COUNTIF(C1032,"ตำแหน่งว่าง*"),"ว่าง",COUNTIF(C1032,"&lt;&gt;ตำแหน่งว่าง*"),"คนครอง")</f>
        <v>ว่าง</v>
      </c>
      <c r="W1032" s="49" cm="1">
        <f t="array" ref="W1032">_xlfn.IFS(COUNTIF(F1032,"ผบ.หมู่*"),51,COUNTIF(F1032,"รอง สว.*"),43)</f>
        <v>51</v>
      </c>
      <c r="X1032" s="6" t="s">
        <v>2728</v>
      </c>
      <c r="Y1032" s="6" t="s">
        <v>52</v>
      </c>
    </row>
    <row r="1033" spans="1:25" s="10" customFormat="1" ht="21.3" customHeight="1">
      <c r="A1033" s="27"/>
      <c r="B1033" s="28"/>
      <c r="C1033" s="30" t="s">
        <v>18</v>
      </c>
      <c r="D1033" s="27"/>
      <c r="E1033" s="27"/>
      <c r="F1033" s="68" t="s">
        <v>2701</v>
      </c>
      <c r="G1033" s="121" t="s">
        <v>2731</v>
      </c>
      <c r="H1033" s="75" t="s">
        <v>19</v>
      </c>
      <c r="I1033" s="73" t="s">
        <v>19</v>
      </c>
      <c r="J1033" s="73" t="s">
        <v>19</v>
      </c>
      <c r="K1033" s="73" t="s">
        <v>19</v>
      </c>
      <c r="L1033" s="11"/>
      <c r="M1033" s="1"/>
      <c r="N1033" s="113" t="s">
        <v>14</v>
      </c>
      <c r="O1033" s="122" t="s">
        <v>52</v>
      </c>
      <c r="P1033" s="122" t="s">
        <v>52</v>
      </c>
      <c r="Q1033" s="105"/>
      <c r="R1033" s="28"/>
      <c r="S1033" s="225" t="str">
        <f t="shared" si="16"/>
        <v/>
      </c>
      <c r="T1033" s="7" t="s">
        <v>7613</v>
      </c>
      <c r="U1033" s="7" t="s">
        <v>109</v>
      </c>
      <c r="V1033" s="171" t="str" cm="1">
        <f t="array" ref="V1033">_xlfn.IFS(C1033="","",COUNTIF(C1033,"ตำแหน่งว่าง*"),"ว่าง",COUNTIF(C1033,"&lt;&gt;ตำแหน่งว่าง*"),"คนครอง")</f>
        <v>ว่าง</v>
      </c>
      <c r="W1033" s="49" cm="1">
        <f t="array" ref="W1033">_xlfn.IFS(COUNTIF(F1033,"ผบ.หมู่*"),51,COUNTIF(F1033,"รอง สว.*"),43)</f>
        <v>51</v>
      </c>
      <c r="X1033" s="6" t="s">
        <v>2730</v>
      </c>
      <c r="Y1033" s="6" t="s">
        <v>52</v>
      </c>
    </row>
    <row r="1034" spans="1:25" s="10" customFormat="1" ht="21.3" customHeight="1">
      <c r="A1034" s="27"/>
      <c r="B1034" s="28"/>
      <c r="C1034" s="30" t="s">
        <v>18</v>
      </c>
      <c r="D1034" s="27"/>
      <c r="E1034" s="27"/>
      <c r="F1034" s="68" t="s">
        <v>2701</v>
      </c>
      <c r="G1034" s="121" t="s">
        <v>2733</v>
      </c>
      <c r="H1034" s="75" t="s">
        <v>19</v>
      </c>
      <c r="I1034" s="73" t="s">
        <v>19</v>
      </c>
      <c r="J1034" s="73" t="s">
        <v>19</v>
      </c>
      <c r="K1034" s="73" t="s">
        <v>19</v>
      </c>
      <c r="L1034" s="11"/>
      <c r="M1034" s="1"/>
      <c r="N1034" s="113" t="s">
        <v>14</v>
      </c>
      <c r="O1034" s="122" t="s">
        <v>52</v>
      </c>
      <c r="P1034" s="122" t="s">
        <v>52</v>
      </c>
      <c r="Q1034" s="105"/>
      <c r="R1034" s="28"/>
      <c r="S1034" s="225" t="str">
        <f t="shared" si="16"/>
        <v/>
      </c>
      <c r="T1034" s="7" t="s">
        <v>7613</v>
      </c>
      <c r="U1034" s="7" t="s">
        <v>109</v>
      </c>
      <c r="V1034" s="171" t="str" cm="1">
        <f t="array" ref="V1034">_xlfn.IFS(C1034="","",COUNTIF(C1034,"ตำแหน่งว่าง*"),"ว่าง",COUNTIF(C1034,"&lt;&gt;ตำแหน่งว่าง*"),"คนครอง")</f>
        <v>ว่าง</v>
      </c>
      <c r="W1034" s="49" cm="1">
        <f t="array" ref="W1034">_xlfn.IFS(COUNTIF(F1034,"ผบ.หมู่*"),51,COUNTIF(F1034,"รอง สว.*"),43)</f>
        <v>51</v>
      </c>
      <c r="X1034" s="6" t="s">
        <v>2732</v>
      </c>
      <c r="Y1034" s="6" t="s">
        <v>52</v>
      </c>
    </row>
    <row r="1035" spans="1:25" s="10" customFormat="1" ht="21.3" customHeight="1">
      <c r="A1035" s="27"/>
      <c r="B1035" s="28"/>
      <c r="C1035" s="30" t="s">
        <v>18</v>
      </c>
      <c r="D1035" s="27"/>
      <c r="E1035" s="27"/>
      <c r="F1035" s="68" t="s">
        <v>2701</v>
      </c>
      <c r="G1035" s="121" t="s">
        <v>2735</v>
      </c>
      <c r="H1035" s="75" t="s">
        <v>19</v>
      </c>
      <c r="I1035" s="73" t="s">
        <v>19</v>
      </c>
      <c r="J1035" s="73" t="s">
        <v>19</v>
      </c>
      <c r="K1035" s="73" t="s">
        <v>19</v>
      </c>
      <c r="L1035" s="11"/>
      <c r="M1035" s="1"/>
      <c r="N1035" s="113" t="s">
        <v>14</v>
      </c>
      <c r="O1035" s="122" t="s">
        <v>52</v>
      </c>
      <c r="P1035" s="122" t="s">
        <v>52</v>
      </c>
      <c r="Q1035" s="105"/>
      <c r="R1035" s="28"/>
      <c r="S1035" s="225" t="str">
        <f t="shared" si="16"/>
        <v/>
      </c>
      <c r="T1035" s="7" t="s">
        <v>7613</v>
      </c>
      <c r="U1035" s="7" t="s">
        <v>109</v>
      </c>
      <c r="V1035" s="171" t="str" cm="1">
        <f t="array" ref="V1035">_xlfn.IFS(C1035="","",COUNTIF(C1035,"ตำแหน่งว่าง*"),"ว่าง",COUNTIF(C1035,"&lt;&gt;ตำแหน่งว่าง*"),"คนครอง")</f>
        <v>ว่าง</v>
      </c>
      <c r="W1035" s="49" cm="1">
        <f t="array" ref="W1035">_xlfn.IFS(COUNTIF(F1035,"ผบ.หมู่*"),51,COUNTIF(F1035,"รอง สว.*"),43)</f>
        <v>51</v>
      </c>
      <c r="X1035" s="6" t="s">
        <v>2734</v>
      </c>
      <c r="Y1035" s="6" t="s">
        <v>52</v>
      </c>
    </row>
    <row r="1036" spans="1:25" s="10" customFormat="1" ht="21.3" customHeight="1">
      <c r="A1036" s="152" t="s">
        <v>113</v>
      </c>
      <c r="B1036" s="153"/>
      <c r="C1036" s="125"/>
      <c r="D1036" s="27"/>
      <c r="E1036" s="158"/>
      <c r="F1036" s="158"/>
      <c r="G1036" s="125"/>
      <c r="H1036" s="154" t="s">
        <v>19</v>
      </c>
      <c r="I1036" s="126" t="s">
        <v>19</v>
      </c>
      <c r="J1036" s="126" t="s">
        <v>19</v>
      </c>
      <c r="K1036" s="126" t="s">
        <v>19</v>
      </c>
      <c r="L1036" s="127"/>
      <c r="M1036" s="128"/>
      <c r="N1036" s="125"/>
      <c r="O1036" s="125"/>
      <c r="P1036" s="125"/>
      <c r="Q1036" s="160"/>
      <c r="R1036" s="128"/>
      <c r="S1036" s="226" t="str">
        <f t="shared" si="16"/>
        <v/>
      </c>
      <c r="T1036" s="158"/>
      <c r="U1036" s="158"/>
      <c r="V1036" s="171" t="str" cm="1">
        <f t="array" ref="V1036">_xlfn.IFS(C1036="","",COUNTIF(C1036,"ตำแหน่งว่าง*"),"ว่าง",COUNTIF(C1036,"&lt;&gt;ตำแหน่งว่าง*"),"คนครอง")</f>
        <v/>
      </c>
      <c r="W1036" s="125"/>
      <c r="X1036" s="125"/>
      <c r="Y1036" s="125"/>
    </row>
    <row r="1037" spans="1:25" s="10" customFormat="1" ht="21.3" customHeight="1">
      <c r="A1037" s="68"/>
      <c r="B1037" s="30"/>
      <c r="C1037" s="30" t="s">
        <v>18</v>
      </c>
      <c r="D1037" s="27"/>
      <c r="E1037" s="27"/>
      <c r="F1037" s="68" t="s">
        <v>2906</v>
      </c>
      <c r="G1037" s="121" t="s">
        <v>2908</v>
      </c>
      <c r="H1037" s="80" t="s">
        <v>19</v>
      </c>
      <c r="I1037" s="74" t="s">
        <v>19</v>
      </c>
      <c r="J1037" s="74" t="s">
        <v>19</v>
      </c>
      <c r="K1037" s="74" t="s">
        <v>19</v>
      </c>
      <c r="L1037" s="16"/>
      <c r="M1037" s="6"/>
      <c r="N1037" s="113" t="s">
        <v>14</v>
      </c>
      <c r="O1037" s="122" t="s">
        <v>27</v>
      </c>
      <c r="P1037" s="122"/>
      <c r="Q1037" s="106"/>
      <c r="R1037" s="30"/>
      <c r="S1037" s="225" t="str">
        <f t="shared" si="16"/>
        <v/>
      </c>
      <c r="T1037" s="7" t="s">
        <v>113</v>
      </c>
      <c r="U1037" s="7" t="s">
        <v>113</v>
      </c>
      <c r="V1037" s="171" t="str" cm="1">
        <f t="array" ref="V1037">_xlfn.IFS(C1037="","",COUNTIF(C1037,"ตำแหน่งว่าง*"),"ว่าง",COUNTIF(C1037,"&lt;&gt;ตำแหน่งว่าง*"),"คนครอง")</f>
        <v>ว่าง</v>
      </c>
      <c r="W1037" s="6" cm="1">
        <f t="array" ref="W1037">_xlfn.IFS(COUNTIF(F1037,"ผบ.หมู่*"),51,COUNTIF(F1037,"รอง สว.*"),43)</f>
        <v>51</v>
      </c>
      <c r="X1037" s="6" t="s">
        <v>2907</v>
      </c>
      <c r="Y1037" s="6" t="s">
        <v>27</v>
      </c>
    </row>
    <row r="1038" spans="1:25" s="10" customFormat="1" ht="21.3" customHeight="1">
      <c r="A1038" s="27"/>
      <c r="B1038" s="28"/>
      <c r="C1038" s="30" t="s">
        <v>18</v>
      </c>
      <c r="D1038" s="27"/>
      <c r="E1038" s="27"/>
      <c r="F1038" s="68" t="s">
        <v>2906</v>
      </c>
      <c r="G1038" s="121" t="s">
        <v>2910</v>
      </c>
      <c r="H1038" s="91" t="s">
        <v>19</v>
      </c>
      <c r="I1038" s="73" t="s">
        <v>19</v>
      </c>
      <c r="J1038" s="73" t="s">
        <v>19</v>
      </c>
      <c r="K1038" s="73" t="s">
        <v>19</v>
      </c>
      <c r="L1038" s="11"/>
      <c r="M1038" s="1"/>
      <c r="N1038" s="113" t="s">
        <v>14</v>
      </c>
      <c r="O1038" s="122" t="s">
        <v>27</v>
      </c>
      <c r="P1038" s="122"/>
      <c r="Q1038" s="105"/>
      <c r="R1038" s="28"/>
      <c r="S1038" s="225" t="str">
        <f t="shared" si="16"/>
        <v/>
      </c>
      <c r="T1038" s="7" t="s">
        <v>113</v>
      </c>
      <c r="U1038" s="7" t="s">
        <v>113</v>
      </c>
      <c r="V1038" s="171" t="str" cm="1">
        <f t="array" ref="V1038">_xlfn.IFS(C1038="","",COUNTIF(C1038,"ตำแหน่งว่าง*"),"ว่าง",COUNTIF(C1038,"&lt;&gt;ตำแหน่งว่าง*"),"คนครอง")</f>
        <v>ว่าง</v>
      </c>
      <c r="W1038" s="6" cm="1">
        <f t="array" ref="W1038">_xlfn.IFS(COUNTIF(F1038,"ผบ.หมู่*"),51,COUNTIF(F1038,"รอง สว.*"),43)</f>
        <v>51</v>
      </c>
      <c r="X1038" s="6" t="s">
        <v>2909</v>
      </c>
      <c r="Y1038" s="6" t="s">
        <v>27</v>
      </c>
    </row>
    <row r="1039" spans="1:25" s="10" customFormat="1" ht="21.3" customHeight="1">
      <c r="A1039" s="27"/>
      <c r="B1039" s="28"/>
      <c r="C1039" s="30" t="s">
        <v>18</v>
      </c>
      <c r="D1039" s="27"/>
      <c r="E1039" s="27"/>
      <c r="F1039" s="68" t="s">
        <v>2906</v>
      </c>
      <c r="G1039" s="121" t="s">
        <v>2912</v>
      </c>
      <c r="H1039" s="91" t="s">
        <v>19</v>
      </c>
      <c r="I1039" s="73" t="s">
        <v>19</v>
      </c>
      <c r="J1039" s="73" t="s">
        <v>19</v>
      </c>
      <c r="K1039" s="73" t="s">
        <v>19</v>
      </c>
      <c r="L1039" s="11"/>
      <c r="M1039" s="1"/>
      <c r="N1039" s="113" t="s">
        <v>14</v>
      </c>
      <c r="O1039" s="122" t="s">
        <v>27</v>
      </c>
      <c r="P1039" s="122"/>
      <c r="Q1039" s="105"/>
      <c r="R1039" s="28"/>
      <c r="S1039" s="225" t="str">
        <f t="shared" si="16"/>
        <v/>
      </c>
      <c r="T1039" s="7" t="s">
        <v>113</v>
      </c>
      <c r="U1039" s="7" t="s">
        <v>113</v>
      </c>
      <c r="V1039" s="171" t="str" cm="1">
        <f t="array" ref="V1039">_xlfn.IFS(C1039="","",COUNTIF(C1039,"ตำแหน่งว่าง*"),"ว่าง",COUNTIF(C1039,"&lt;&gt;ตำแหน่งว่าง*"),"คนครอง")</f>
        <v>ว่าง</v>
      </c>
      <c r="W1039" s="6" cm="1">
        <f t="array" ref="W1039">_xlfn.IFS(COUNTIF(F1039,"ผบ.หมู่*"),51,COUNTIF(F1039,"รอง สว.*"),43)</f>
        <v>51</v>
      </c>
      <c r="X1039" s="6" t="s">
        <v>2911</v>
      </c>
      <c r="Y1039" s="6" t="s">
        <v>27</v>
      </c>
    </row>
    <row r="1040" spans="1:25" s="10" customFormat="1" ht="21.3" customHeight="1">
      <c r="A1040" s="27"/>
      <c r="B1040" s="28"/>
      <c r="C1040" s="30" t="s">
        <v>18</v>
      </c>
      <c r="D1040" s="27"/>
      <c r="E1040" s="27"/>
      <c r="F1040" s="68" t="s">
        <v>2913</v>
      </c>
      <c r="G1040" s="121" t="s">
        <v>2915</v>
      </c>
      <c r="H1040" s="91" t="s">
        <v>19</v>
      </c>
      <c r="I1040" s="73" t="s">
        <v>19</v>
      </c>
      <c r="J1040" s="73" t="s">
        <v>19</v>
      </c>
      <c r="K1040" s="73" t="s">
        <v>19</v>
      </c>
      <c r="L1040" s="11"/>
      <c r="M1040" s="1"/>
      <c r="N1040" s="113" t="s">
        <v>14</v>
      </c>
      <c r="O1040" s="122" t="s">
        <v>27</v>
      </c>
      <c r="P1040" s="122"/>
      <c r="Q1040" s="105"/>
      <c r="R1040" s="28"/>
      <c r="S1040" s="225" t="str">
        <f t="shared" si="16"/>
        <v/>
      </c>
      <c r="T1040" s="7" t="s">
        <v>7698</v>
      </c>
      <c r="U1040" s="7" t="s">
        <v>113</v>
      </c>
      <c r="V1040" s="171" t="str" cm="1">
        <f t="array" ref="V1040">_xlfn.IFS(C1040="","",COUNTIF(C1040,"ตำแหน่งว่าง*"),"ว่าง",COUNTIF(C1040,"&lt;&gt;ตำแหน่งว่าง*"),"คนครอง")</f>
        <v>ว่าง</v>
      </c>
      <c r="W1040" s="6" cm="1">
        <f t="array" ref="W1040">_xlfn.IFS(COUNTIF(F1040,"ผบ.หมู่*"),51,COUNTIF(F1040,"รอง สว.*"),43)</f>
        <v>51</v>
      </c>
      <c r="X1040" s="6" t="s">
        <v>2914</v>
      </c>
      <c r="Y1040" s="6" t="s">
        <v>27</v>
      </c>
    </row>
    <row r="1041" spans="1:25" s="10" customFormat="1" ht="21.3" customHeight="1">
      <c r="A1041" s="27"/>
      <c r="B1041" s="28"/>
      <c r="C1041" s="30" t="s">
        <v>18</v>
      </c>
      <c r="D1041" s="27"/>
      <c r="E1041" s="27"/>
      <c r="F1041" s="68" t="s">
        <v>2913</v>
      </c>
      <c r="G1041" s="121" t="s">
        <v>2917</v>
      </c>
      <c r="H1041" s="91" t="s">
        <v>19</v>
      </c>
      <c r="I1041" s="73" t="s">
        <v>19</v>
      </c>
      <c r="J1041" s="73" t="s">
        <v>19</v>
      </c>
      <c r="K1041" s="73" t="s">
        <v>19</v>
      </c>
      <c r="L1041" s="11"/>
      <c r="M1041" s="1"/>
      <c r="N1041" s="113" t="s">
        <v>14</v>
      </c>
      <c r="O1041" s="122" t="s">
        <v>27</v>
      </c>
      <c r="P1041" s="122"/>
      <c r="Q1041" s="105"/>
      <c r="R1041" s="28"/>
      <c r="S1041" s="225" t="str">
        <f t="shared" si="16"/>
        <v/>
      </c>
      <c r="T1041" s="7" t="s">
        <v>7698</v>
      </c>
      <c r="U1041" s="7" t="s">
        <v>113</v>
      </c>
      <c r="V1041" s="171" t="str" cm="1">
        <f t="array" ref="V1041">_xlfn.IFS(C1041="","",COUNTIF(C1041,"ตำแหน่งว่าง*"),"ว่าง",COUNTIF(C1041,"&lt;&gt;ตำแหน่งว่าง*"),"คนครอง")</f>
        <v>ว่าง</v>
      </c>
      <c r="W1041" s="6" cm="1">
        <f t="array" ref="W1041">_xlfn.IFS(COUNTIF(F1041,"ผบ.หมู่*"),51,COUNTIF(F1041,"รอง สว.*"),43)</f>
        <v>51</v>
      </c>
      <c r="X1041" s="6" t="s">
        <v>2916</v>
      </c>
      <c r="Y1041" s="6" t="s">
        <v>27</v>
      </c>
    </row>
    <row r="1042" spans="1:25" s="10" customFormat="1" ht="21.3" customHeight="1">
      <c r="A1042" s="27"/>
      <c r="B1042" s="28"/>
      <c r="C1042" s="30" t="s">
        <v>18</v>
      </c>
      <c r="D1042" s="27"/>
      <c r="E1042" s="27"/>
      <c r="F1042" s="68" t="s">
        <v>2913</v>
      </c>
      <c r="G1042" s="121" t="s">
        <v>2919</v>
      </c>
      <c r="H1042" s="91" t="s">
        <v>19</v>
      </c>
      <c r="I1042" s="73" t="s">
        <v>19</v>
      </c>
      <c r="J1042" s="73" t="s">
        <v>19</v>
      </c>
      <c r="K1042" s="73" t="s">
        <v>19</v>
      </c>
      <c r="L1042" s="11"/>
      <c r="M1042" s="1"/>
      <c r="N1042" s="113" t="s">
        <v>14</v>
      </c>
      <c r="O1042" s="122" t="s">
        <v>27</v>
      </c>
      <c r="P1042" s="122"/>
      <c r="Q1042" s="105"/>
      <c r="R1042" s="28"/>
      <c r="S1042" s="225" t="str">
        <f t="shared" si="16"/>
        <v/>
      </c>
      <c r="T1042" s="7" t="s">
        <v>7698</v>
      </c>
      <c r="U1042" s="7" t="s">
        <v>113</v>
      </c>
      <c r="V1042" s="171" t="str" cm="1">
        <f t="array" ref="V1042">_xlfn.IFS(C1042="","",COUNTIF(C1042,"ตำแหน่งว่าง*"),"ว่าง",COUNTIF(C1042,"&lt;&gt;ตำแหน่งว่าง*"),"คนครอง")</f>
        <v>ว่าง</v>
      </c>
      <c r="W1042" s="6" cm="1">
        <f t="array" ref="W1042">_xlfn.IFS(COUNTIF(F1042,"ผบ.หมู่*"),51,COUNTIF(F1042,"รอง สว.*"),43)</f>
        <v>51</v>
      </c>
      <c r="X1042" s="6" t="s">
        <v>2918</v>
      </c>
      <c r="Y1042" s="6" t="s">
        <v>27</v>
      </c>
    </row>
    <row r="1043" spans="1:25" s="10" customFormat="1" ht="21.3" customHeight="1">
      <c r="A1043" s="27"/>
      <c r="B1043" s="28"/>
      <c r="C1043" s="30" t="s">
        <v>18</v>
      </c>
      <c r="D1043" s="27"/>
      <c r="E1043" s="27"/>
      <c r="F1043" s="68" t="s">
        <v>2913</v>
      </c>
      <c r="G1043" s="121" t="s">
        <v>2921</v>
      </c>
      <c r="H1043" s="91" t="s">
        <v>19</v>
      </c>
      <c r="I1043" s="73" t="s">
        <v>19</v>
      </c>
      <c r="J1043" s="73" t="s">
        <v>19</v>
      </c>
      <c r="K1043" s="73" t="s">
        <v>19</v>
      </c>
      <c r="L1043" s="11"/>
      <c r="M1043" s="1"/>
      <c r="N1043" s="113" t="s">
        <v>14</v>
      </c>
      <c r="O1043" s="122" t="s">
        <v>27</v>
      </c>
      <c r="P1043" s="122"/>
      <c r="Q1043" s="105"/>
      <c r="R1043" s="28"/>
      <c r="S1043" s="225" t="str">
        <f t="shared" si="16"/>
        <v/>
      </c>
      <c r="T1043" s="7" t="s">
        <v>7698</v>
      </c>
      <c r="U1043" s="7" t="s">
        <v>113</v>
      </c>
      <c r="V1043" s="171" t="str" cm="1">
        <f t="array" ref="V1043">_xlfn.IFS(C1043="","",COUNTIF(C1043,"ตำแหน่งว่าง*"),"ว่าง",COUNTIF(C1043,"&lt;&gt;ตำแหน่งว่าง*"),"คนครอง")</f>
        <v>ว่าง</v>
      </c>
      <c r="W1043" s="6" cm="1">
        <f t="array" ref="W1043">_xlfn.IFS(COUNTIF(F1043,"ผบ.หมู่*"),51,COUNTIF(F1043,"รอง สว.*"),43)</f>
        <v>51</v>
      </c>
      <c r="X1043" s="6" t="s">
        <v>2920</v>
      </c>
      <c r="Y1043" s="6" t="s">
        <v>27</v>
      </c>
    </row>
    <row r="1044" spans="1:25" s="10" customFormat="1" ht="21.3" customHeight="1">
      <c r="A1044" s="27"/>
      <c r="B1044" s="28"/>
      <c r="C1044" s="30" t="s">
        <v>18</v>
      </c>
      <c r="D1044" s="27"/>
      <c r="E1044" s="27"/>
      <c r="F1044" s="68" t="s">
        <v>2913</v>
      </c>
      <c r="G1044" s="121" t="s">
        <v>2923</v>
      </c>
      <c r="H1044" s="91" t="s">
        <v>19</v>
      </c>
      <c r="I1044" s="73" t="s">
        <v>19</v>
      </c>
      <c r="J1044" s="73" t="s">
        <v>19</v>
      </c>
      <c r="K1044" s="73" t="s">
        <v>19</v>
      </c>
      <c r="L1044" s="11"/>
      <c r="M1044" s="1"/>
      <c r="N1044" s="113" t="s">
        <v>14</v>
      </c>
      <c r="O1044" s="122" t="s">
        <v>27</v>
      </c>
      <c r="P1044" s="122"/>
      <c r="Q1044" s="105"/>
      <c r="R1044" s="28"/>
      <c r="S1044" s="225" t="str">
        <f t="shared" si="16"/>
        <v/>
      </c>
      <c r="T1044" s="7" t="s">
        <v>7698</v>
      </c>
      <c r="U1044" s="7" t="s">
        <v>113</v>
      </c>
      <c r="V1044" s="171" t="str" cm="1">
        <f t="array" ref="V1044">_xlfn.IFS(C1044="","",COUNTIF(C1044,"ตำแหน่งว่าง*"),"ว่าง",COUNTIF(C1044,"&lt;&gt;ตำแหน่งว่าง*"),"คนครอง")</f>
        <v>ว่าง</v>
      </c>
      <c r="W1044" s="6" cm="1">
        <f t="array" ref="W1044">_xlfn.IFS(COUNTIF(F1044,"ผบ.หมู่*"),51,COUNTIF(F1044,"รอง สว.*"),43)</f>
        <v>51</v>
      </c>
      <c r="X1044" s="6" t="s">
        <v>2922</v>
      </c>
      <c r="Y1044" s="6" t="s">
        <v>27</v>
      </c>
    </row>
    <row r="1045" spans="1:25" s="10" customFormat="1" ht="21.3" customHeight="1">
      <c r="A1045" s="27"/>
      <c r="B1045" s="28"/>
      <c r="C1045" s="30" t="s">
        <v>18</v>
      </c>
      <c r="D1045" s="27"/>
      <c r="E1045" s="27"/>
      <c r="F1045" s="68" t="s">
        <v>2913</v>
      </c>
      <c r="G1045" s="121" t="s">
        <v>2925</v>
      </c>
      <c r="H1045" s="91" t="s">
        <v>19</v>
      </c>
      <c r="I1045" s="73" t="s">
        <v>19</v>
      </c>
      <c r="J1045" s="73" t="s">
        <v>19</v>
      </c>
      <c r="K1045" s="73" t="s">
        <v>19</v>
      </c>
      <c r="L1045" s="11"/>
      <c r="M1045" s="1"/>
      <c r="N1045" s="113" t="s">
        <v>14</v>
      </c>
      <c r="O1045" s="122" t="s">
        <v>27</v>
      </c>
      <c r="P1045" s="122"/>
      <c r="Q1045" s="105"/>
      <c r="R1045" s="28"/>
      <c r="S1045" s="225" t="str">
        <f t="shared" si="16"/>
        <v/>
      </c>
      <c r="T1045" s="7" t="s">
        <v>7698</v>
      </c>
      <c r="U1045" s="7" t="s">
        <v>113</v>
      </c>
      <c r="V1045" s="171" t="str" cm="1">
        <f t="array" ref="V1045">_xlfn.IFS(C1045="","",COUNTIF(C1045,"ตำแหน่งว่าง*"),"ว่าง",COUNTIF(C1045,"&lt;&gt;ตำแหน่งว่าง*"),"คนครอง")</f>
        <v>ว่าง</v>
      </c>
      <c r="W1045" s="6" cm="1">
        <f t="array" ref="W1045">_xlfn.IFS(COUNTIF(F1045,"ผบ.หมู่*"),51,COUNTIF(F1045,"รอง สว.*"),43)</f>
        <v>51</v>
      </c>
      <c r="X1045" s="6" t="s">
        <v>2924</v>
      </c>
      <c r="Y1045" s="6" t="s">
        <v>27</v>
      </c>
    </row>
    <row r="1046" spans="1:25" s="10" customFormat="1" ht="21.3" customHeight="1">
      <c r="A1046" s="27"/>
      <c r="B1046" s="28"/>
      <c r="C1046" s="30" t="s">
        <v>18</v>
      </c>
      <c r="D1046" s="27"/>
      <c r="E1046" s="27"/>
      <c r="F1046" s="68" t="s">
        <v>2913</v>
      </c>
      <c r="G1046" s="121" t="s">
        <v>2927</v>
      </c>
      <c r="H1046" s="91" t="s">
        <v>19</v>
      </c>
      <c r="I1046" s="73" t="s">
        <v>19</v>
      </c>
      <c r="J1046" s="73" t="s">
        <v>19</v>
      </c>
      <c r="K1046" s="73" t="s">
        <v>19</v>
      </c>
      <c r="L1046" s="11"/>
      <c r="M1046" s="1"/>
      <c r="N1046" s="113" t="s">
        <v>14</v>
      </c>
      <c r="O1046" s="122" t="s">
        <v>27</v>
      </c>
      <c r="P1046" s="122"/>
      <c r="Q1046" s="105"/>
      <c r="R1046" s="28"/>
      <c r="S1046" s="225" t="str">
        <f t="shared" si="16"/>
        <v/>
      </c>
      <c r="T1046" s="7" t="s">
        <v>7698</v>
      </c>
      <c r="U1046" s="7" t="s">
        <v>113</v>
      </c>
      <c r="V1046" s="171" t="str" cm="1">
        <f t="array" ref="V1046">_xlfn.IFS(C1046="","",COUNTIF(C1046,"ตำแหน่งว่าง*"),"ว่าง",COUNTIF(C1046,"&lt;&gt;ตำแหน่งว่าง*"),"คนครอง")</f>
        <v>ว่าง</v>
      </c>
      <c r="W1046" s="6" cm="1">
        <f t="array" ref="W1046">_xlfn.IFS(COUNTIF(F1046,"ผบ.หมู่*"),51,COUNTIF(F1046,"รอง สว.*"),43)</f>
        <v>51</v>
      </c>
      <c r="X1046" s="6" t="s">
        <v>2926</v>
      </c>
      <c r="Y1046" s="6" t="s">
        <v>27</v>
      </c>
    </row>
    <row r="1047" spans="1:25" s="10" customFormat="1" ht="21.3" customHeight="1">
      <c r="A1047" s="27"/>
      <c r="B1047" s="28"/>
      <c r="C1047" s="30" t="s">
        <v>18</v>
      </c>
      <c r="D1047" s="27"/>
      <c r="E1047" s="27"/>
      <c r="F1047" s="68" t="s">
        <v>2913</v>
      </c>
      <c r="G1047" s="121" t="s">
        <v>2929</v>
      </c>
      <c r="H1047" s="91" t="s">
        <v>19</v>
      </c>
      <c r="I1047" s="73" t="s">
        <v>19</v>
      </c>
      <c r="J1047" s="73" t="s">
        <v>19</v>
      </c>
      <c r="K1047" s="73" t="s">
        <v>19</v>
      </c>
      <c r="L1047" s="11"/>
      <c r="M1047" s="1"/>
      <c r="N1047" s="113" t="s">
        <v>14</v>
      </c>
      <c r="O1047" s="122" t="s">
        <v>27</v>
      </c>
      <c r="P1047" s="122"/>
      <c r="Q1047" s="105"/>
      <c r="R1047" s="28"/>
      <c r="S1047" s="225" t="str">
        <f t="shared" si="16"/>
        <v/>
      </c>
      <c r="T1047" s="7" t="s">
        <v>7698</v>
      </c>
      <c r="U1047" s="7" t="s">
        <v>113</v>
      </c>
      <c r="V1047" s="171" t="str" cm="1">
        <f t="array" ref="V1047">_xlfn.IFS(C1047="","",COUNTIF(C1047,"ตำแหน่งว่าง*"),"ว่าง",COUNTIF(C1047,"&lt;&gt;ตำแหน่งว่าง*"),"คนครอง")</f>
        <v>ว่าง</v>
      </c>
      <c r="W1047" s="6" cm="1">
        <f t="array" ref="W1047">_xlfn.IFS(COUNTIF(F1047,"ผบ.หมู่*"),51,COUNTIF(F1047,"รอง สว.*"),43)</f>
        <v>51</v>
      </c>
      <c r="X1047" s="6" t="s">
        <v>2928</v>
      </c>
      <c r="Y1047" s="6" t="s">
        <v>27</v>
      </c>
    </row>
    <row r="1048" spans="1:25" s="10" customFormat="1" ht="21.3" customHeight="1">
      <c r="A1048" s="27"/>
      <c r="B1048" s="28"/>
      <c r="C1048" s="30" t="s">
        <v>18</v>
      </c>
      <c r="D1048" s="27"/>
      <c r="E1048" s="27"/>
      <c r="F1048" s="68" t="s">
        <v>2913</v>
      </c>
      <c r="G1048" s="121" t="s">
        <v>2931</v>
      </c>
      <c r="H1048" s="91" t="s">
        <v>19</v>
      </c>
      <c r="I1048" s="73" t="s">
        <v>19</v>
      </c>
      <c r="J1048" s="73" t="s">
        <v>19</v>
      </c>
      <c r="K1048" s="73" t="s">
        <v>19</v>
      </c>
      <c r="L1048" s="11"/>
      <c r="M1048" s="1"/>
      <c r="N1048" s="113" t="s">
        <v>14</v>
      </c>
      <c r="O1048" s="122" t="s">
        <v>27</v>
      </c>
      <c r="P1048" s="122"/>
      <c r="Q1048" s="105"/>
      <c r="R1048" s="28"/>
      <c r="S1048" s="225" t="str">
        <f t="shared" si="16"/>
        <v/>
      </c>
      <c r="T1048" s="7" t="s">
        <v>7698</v>
      </c>
      <c r="U1048" s="7" t="s">
        <v>113</v>
      </c>
      <c r="V1048" s="171" t="str" cm="1">
        <f t="array" ref="V1048">_xlfn.IFS(C1048="","",COUNTIF(C1048,"ตำแหน่งว่าง*"),"ว่าง",COUNTIF(C1048,"&lt;&gt;ตำแหน่งว่าง*"),"คนครอง")</f>
        <v>ว่าง</v>
      </c>
      <c r="W1048" s="6" cm="1">
        <f t="array" ref="W1048">_xlfn.IFS(COUNTIF(F1048,"ผบ.หมู่*"),51,COUNTIF(F1048,"รอง สว.*"),43)</f>
        <v>51</v>
      </c>
      <c r="X1048" s="6" t="s">
        <v>2930</v>
      </c>
      <c r="Y1048" s="6" t="s">
        <v>27</v>
      </c>
    </row>
    <row r="1049" spans="1:25" s="12" customFormat="1" ht="21.3" customHeight="1">
      <c r="A1049" s="95" t="s">
        <v>208</v>
      </c>
      <c r="B1049" s="31" t="s">
        <v>21</v>
      </c>
      <c r="C1049" s="95" t="s">
        <v>2962</v>
      </c>
      <c r="D1049" s="27" t="s">
        <v>9106</v>
      </c>
      <c r="E1049" s="27" t="s">
        <v>8383</v>
      </c>
      <c r="F1049" s="95" t="s">
        <v>2913</v>
      </c>
      <c r="G1049" s="101" t="s">
        <v>2964</v>
      </c>
      <c r="H1049" s="92">
        <v>43693</v>
      </c>
      <c r="I1049" s="76">
        <v>43693</v>
      </c>
      <c r="J1049" s="76">
        <v>43693</v>
      </c>
      <c r="K1049" s="76">
        <v>36511</v>
      </c>
      <c r="L1049" s="17" t="s">
        <v>112</v>
      </c>
      <c r="M1049" s="5" t="s">
        <v>17</v>
      </c>
      <c r="N1049" s="111" t="s">
        <v>14</v>
      </c>
      <c r="O1049" s="104" t="s">
        <v>43</v>
      </c>
      <c r="P1049" s="104"/>
      <c r="Q1049" s="108"/>
      <c r="R1049" s="31" t="s">
        <v>326</v>
      </c>
      <c r="S1049" s="225">
        <f t="shared" si="16"/>
        <v>58715</v>
      </c>
      <c r="T1049" s="162" t="s">
        <v>7698</v>
      </c>
      <c r="U1049" s="7" t="s">
        <v>113</v>
      </c>
      <c r="V1049" s="162" t="str" cm="1">
        <f t="array" ref="V1049">_xlfn.IFS(C1049="","",COUNTIF(C1049,"ตำแหน่งว่าง*"),"ว่าง",COUNTIF(C1049,"&lt;&gt;ตำแหน่งว่าง*"),"คนครอง")</f>
        <v>คนครอง</v>
      </c>
      <c r="W1049" s="6" cm="1">
        <f t="array" ref="W1049">_xlfn.IFS(COUNTIF(F1049,"ผบ.หมู่*"),51,COUNTIF(F1049,"รอง สว.*"),43)</f>
        <v>51</v>
      </c>
      <c r="X1049" s="5" t="s">
        <v>2963</v>
      </c>
      <c r="Y1049" s="5" t="s">
        <v>48</v>
      </c>
    </row>
    <row r="1050" spans="1:25" s="10" customFormat="1" ht="21.3" customHeight="1">
      <c r="A1050" s="27" t="s">
        <v>612</v>
      </c>
      <c r="B1050" s="28" t="s">
        <v>12</v>
      </c>
      <c r="C1050" s="95" t="s">
        <v>2932</v>
      </c>
      <c r="D1050" s="27" t="s">
        <v>9107</v>
      </c>
      <c r="E1050" s="27" t="s">
        <v>9108</v>
      </c>
      <c r="F1050" s="95" t="s">
        <v>2913</v>
      </c>
      <c r="G1050" s="101" t="s">
        <v>2934</v>
      </c>
      <c r="H1050" s="91">
        <v>44599</v>
      </c>
      <c r="I1050" s="73">
        <v>42416</v>
      </c>
      <c r="J1050" s="73">
        <v>42416</v>
      </c>
      <c r="K1050" s="73">
        <v>31262</v>
      </c>
      <c r="L1050" s="11" t="s">
        <v>2935</v>
      </c>
      <c r="M1050" s="1" t="s">
        <v>99</v>
      </c>
      <c r="N1050" s="111" t="s">
        <v>14</v>
      </c>
      <c r="O1050" s="104" t="s">
        <v>52</v>
      </c>
      <c r="P1050" s="104" t="s">
        <v>52</v>
      </c>
      <c r="Q1050" s="105"/>
      <c r="R1050" s="28" t="s">
        <v>607</v>
      </c>
      <c r="S1050" s="225">
        <f t="shared" si="16"/>
        <v>53236</v>
      </c>
      <c r="T1050" s="7" t="s">
        <v>7698</v>
      </c>
      <c r="U1050" s="7" t="s">
        <v>113</v>
      </c>
      <c r="V1050" s="162" t="str" cm="1">
        <f t="array" ref="V1050">_xlfn.IFS(C1050="","",COUNTIF(C1050,"ตำแหน่งว่าง*"),"ว่าง",COUNTIF(C1050,"&lt;&gt;ตำแหน่งว่าง*"),"คนครอง")</f>
        <v>คนครอง</v>
      </c>
      <c r="W1050" s="6" cm="1">
        <f t="array" ref="W1050">_xlfn.IFS(COUNTIF(F1050,"ผบ.หมู่*"),51,COUNTIF(F1050,"รอง สว.*"),43)</f>
        <v>51</v>
      </c>
      <c r="X1050" s="5" t="s">
        <v>2933</v>
      </c>
      <c r="Y1050" s="5" t="s">
        <v>52</v>
      </c>
    </row>
    <row r="1051" spans="1:25" s="12" customFormat="1" ht="21.3" customHeight="1">
      <c r="A1051" s="27"/>
      <c r="B1051" s="28"/>
      <c r="C1051" s="95" t="s">
        <v>18</v>
      </c>
      <c r="D1051" s="27"/>
      <c r="E1051" s="27"/>
      <c r="F1051" s="95" t="s">
        <v>2913</v>
      </c>
      <c r="G1051" s="101" t="s">
        <v>2938</v>
      </c>
      <c r="H1051" s="91"/>
      <c r="I1051" s="73"/>
      <c r="J1051" s="73"/>
      <c r="K1051" s="73"/>
      <c r="L1051" s="11"/>
      <c r="M1051" s="1"/>
      <c r="N1051" s="111" t="s">
        <v>14</v>
      </c>
      <c r="O1051" s="104" t="s">
        <v>52</v>
      </c>
      <c r="P1051" s="104" t="s">
        <v>52</v>
      </c>
      <c r="Q1051" s="105"/>
      <c r="R1051" s="28"/>
      <c r="S1051" s="225" t="str">
        <f t="shared" si="16"/>
        <v/>
      </c>
      <c r="T1051" s="162" t="s">
        <v>7698</v>
      </c>
      <c r="U1051" s="7" t="s">
        <v>113</v>
      </c>
      <c r="V1051" s="162" t="str" cm="1">
        <f t="array" ref="V1051">_xlfn.IFS(C1051="","",COUNTIF(C1051,"ตำแหน่งว่าง*"),"ว่าง",COUNTIF(C1051,"&lt;&gt;ตำแหน่งว่าง*"),"คนครอง")</f>
        <v>ว่าง</v>
      </c>
      <c r="W1051" s="5" cm="1">
        <f t="array" ref="W1051">_xlfn.IFS(COUNTIF(F1051,"ผบ.หมู่*"),51,COUNTIF(F1051,"รอง สว.*"),43)</f>
        <v>51</v>
      </c>
      <c r="X1051" s="5" t="s">
        <v>2937</v>
      </c>
      <c r="Y1051" s="5" t="s">
        <v>52</v>
      </c>
    </row>
    <row r="1052" spans="1:25" s="10" customFormat="1" ht="21.3" customHeight="1">
      <c r="A1052" s="65" t="s">
        <v>169</v>
      </c>
      <c r="B1052" s="66" t="s">
        <v>12</v>
      </c>
      <c r="C1052" s="65" t="s">
        <v>2939</v>
      </c>
      <c r="D1052" s="27" t="s">
        <v>9109</v>
      </c>
      <c r="E1052" s="27" t="s">
        <v>9110</v>
      </c>
      <c r="F1052" s="65" t="s">
        <v>2913</v>
      </c>
      <c r="G1052" s="101" t="s">
        <v>2941</v>
      </c>
      <c r="H1052" s="81">
        <v>44986</v>
      </c>
      <c r="I1052" s="77">
        <v>44986</v>
      </c>
      <c r="J1052" s="77">
        <v>44986</v>
      </c>
      <c r="K1052" s="77">
        <v>35195</v>
      </c>
      <c r="L1052" s="63" t="s">
        <v>82</v>
      </c>
      <c r="M1052" s="61" t="s">
        <v>33</v>
      </c>
      <c r="N1052" s="114" t="s">
        <v>14</v>
      </c>
      <c r="O1052" s="104" t="s">
        <v>52</v>
      </c>
      <c r="P1052" s="104" t="s">
        <v>52</v>
      </c>
      <c r="Q1052" s="107"/>
      <c r="R1052" s="66" t="s">
        <v>861</v>
      </c>
      <c r="S1052" s="225">
        <f t="shared" si="16"/>
        <v>57254</v>
      </c>
      <c r="T1052" s="7" t="s">
        <v>7698</v>
      </c>
      <c r="U1052" s="7" t="s">
        <v>113</v>
      </c>
      <c r="V1052" s="162" t="str" cm="1">
        <f t="array" ref="V1052">_xlfn.IFS(C1052="","",COUNTIF(C1052,"ตำแหน่งว่าง*"),"ว่าง",COUNTIF(C1052,"&lt;&gt;ตำแหน่งว่าง*"),"คนครอง")</f>
        <v>คนครอง</v>
      </c>
      <c r="W1052" s="6" cm="1">
        <f t="array" ref="W1052">_xlfn.IFS(COUNTIF(F1052,"ผบ.หมู่*"),51,COUNTIF(F1052,"รอง สว.*"),43)</f>
        <v>51</v>
      </c>
      <c r="X1052" s="61" t="s">
        <v>2940</v>
      </c>
      <c r="Y1052" s="61" t="s">
        <v>52</v>
      </c>
    </row>
    <row r="1053" spans="1:25" s="9" customFormat="1" ht="21.3" customHeight="1">
      <c r="A1053" s="134" t="s">
        <v>157</v>
      </c>
      <c r="B1053" s="26" t="s">
        <v>21</v>
      </c>
      <c r="C1053" s="134" t="s">
        <v>2942</v>
      </c>
      <c r="D1053" s="27" t="s">
        <v>9111</v>
      </c>
      <c r="E1053" s="27" t="s">
        <v>9112</v>
      </c>
      <c r="F1053" s="27" t="s">
        <v>2913</v>
      </c>
      <c r="G1053" s="101" t="s">
        <v>2944</v>
      </c>
      <c r="H1053" s="91">
        <v>44243</v>
      </c>
      <c r="I1053" s="73">
        <v>40814</v>
      </c>
      <c r="J1053" s="73">
        <v>40814</v>
      </c>
      <c r="K1053" s="73">
        <v>31371</v>
      </c>
      <c r="L1053" s="19" t="s">
        <v>2945</v>
      </c>
      <c r="M1053" s="3" t="s">
        <v>17</v>
      </c>
      <c r="N1053" s="112" t="s">
        <v>14</v>
      </c>
      <c r="O1053" s="104" t="s">
        <v>52</v>
      </c>
      <c r="P1053" s="104" t="s">
        <v>52</v>
      </c>
      <c r="Q1053" s="105"/>
      <c r="R1053" s="26" t="s">
        <v>617</v>
      </c>
      <c r="S1053" s="225">
        <f t="shared" si="16"/>
        <v>53601</v>
      </c>
      <c r="T1053" s="2" t="s">
        <v>7698</v>
      </c>
      <c r="U1053" s="7" t="s">
        <v>113</v>
      </c>
      <c r="V1053" s="162" t="str" cm="1">
        <f t="array" ref="V1053">_xlfn.IFS(C1053="","",COUNTIF(C1053,"ตำแหน่งว่าง*"),"ว่าง",COUNTIF(C1053,"&lt;&gt;ตำแหน่งว่าง*"),"คนครอง")</f>
        <v>คนครอง</v>
      </c>
      <c r="W1053" s="6" cm="1">
        <f t="array" ref="W1053">_xlfn.IFS(COUNTIF(F1053,"ผบ.หมู่*"),51,COUNTIF(F1053,"รอง สว.*"),43)</f>
        <v>51</v>
      </c>
      <c r="X1053" s="1" t="s">
        <v>2943</v>
      </c>
      <c r="Y1053" s="1" t="s">
        <v>52</v>
      </c>
    </row>
    <row r="1054" spans="1:25" s="10" customFormat="1" ht="21.3" customHeight="1">
      <c r="A1054" s="65" t="s">
        <v>169</v>
      </c>
      <c r="B1054" s="66" t="s">
        <v>12</v>
      </c>
      <c r="C1054" s="65" t="s">
        <v>2946</v>
      </c>
      <c r="D1054" s="27" t="s">
        <v>8137</v>
      </c>
      <c r="E1054" s="27" t="s">
        <v>9113</v>
      </c>
      <c r="F1054" s="65" t="s">
        <v>2913</v>
      </c>
      <c r="G1054" s="101" t="s">
        <v>2948</v>
      </c>
      <c r="H1054" s="81">
        <v>44986</v>
      </c>
      <c r="I1054" s="77">
        <v>44986</v>
      </c>
      <c r="J1054" s="77">
        <v>44986</v>
      </c>
      <c r="K1054" s="77">
        <v>37833</v>
      </c>
      <c r="L1054" s="63" t="s">
        <v>112</v>
      </c>
      <c r="M1054" s="61" t="s">
        <v>16</v>
      </c>
      <c r="N1054" s="114" t="s">
        <v>14</v>
      </c>
      <c r="O1054" s="104" t="s">
        <v>52</v>
      </c>
      <c r="P1054" s="104" t="s">
        <v>52</v>
      </c>
      <c r="Q1054" s="107"/>
      <c r="R1054" s="66" t="s">
        <v>861</v>
      </c>
      <c r="S1054" s="225">
        <f t="shared" si="16"/>
        <v>59810</v>
      </c>
      <c r="T1054" s="7" t="s">
        <v>7698</v>
      </c>
      <c r="U1054" s="7" t="s">
        <v>113</v>
      </c>
      <c r="V1054" s="162" t="str" cm="1">
        <f t="array" ref="V1054">_xlfn.IFS(C1054="","",COUNTIF(C1054,"ตำแหน่งว่าง*"),"ว่าง",COUNTIF(C1054,"&lt;&gt;ตำแหน่งว่าง*"),"คนครอง")</f>
        <v>คนครอง</v>
      </c>
      <c r="W1054" s="6" cm="1">
        <f t="array" ref="W1054">_xlfn.IFS(COUNTIF(F1054,"ผบ.หมู่*"),51,COUNTIF(F1054,"รอง สว.*"),43)</f>
        <v>51</v>
      </c>
      <c r="X1054" s="61" t="s">
        <v>2947</v>
      </c>
      <c r="Y1054" s="61" t="s">
        <v>52</v>
      </c>
    </row>
    <row r="1055" spans="1:25" s="10" customFormat="1" ht="21.3" customHeight="1">
      <c r="A1055" s="27" t="s">
        <v>26</v>
      </c>
      <c r="B1055" s="28" t="s">
        <v>12</v>
      </c>
      <c r="C1055" s="95" t="s">
        <v>2949</v>
      </c>
      <c r="D1055" s="27" t="s">
        <v>9114</v>
      </c>
      <c r="E1055" s="27" t="s">
        <v>9115</v>
      </c>
      <c r="F1055" s="27" t="s">
        <v>2950</v>
      </c>
      <c r="G1055" s="101" t="s">
        <v>2952</v>
      </c>
      <c r="H1055" s="91">
        <v>44999</v>
      </c>
      <c r="I1055" s="73">
        <v>43656</v>
      </c>
      <c r="J1055" s="73">
        <v>33270</v>
      </c>
      <c r="K1055" s="73">
        <v>24632</v>
      </c>
      <c r="L1055" s="11" t="s">
        <v>2953</v>
      </c>
      <c r="M1055" s="1" t="s">
        <v>17</v>
      </c>
      <c r="N1055" s="111" t="s">
        <v>14</v>
      </c>
      <c r="O1055" s="104" t="s">
        <v>52</v>
      </c>
      <c r="P1055" s="104" t="s">
        <v>52</v>
      </c>
      <c r="Q1055" s="105"/>
      <c r="R1055" s="28" t="s">
        <v>440</v>
      </c>
      <c r="S1055" s="225">
        <f t="shared" si="16"/>
        <v>46661</v>
      </c>
      <c r="T1055" s="7" t="s">
        <v>7698</v>
      </c>
      <c r="U1055" s="7" t="s">
        <v>113</v>
      </c>
      <c r="V1055" s="162" t="str" cm="1">
        <f t="array" ref="V1055">_xlfn.IFS(C1055="","",COUNTIF(C1055,"ตำแหน่งว่าง*"),"ว่าง",COUNTIF(C1055,"&lt;&gt;ตำแหน่งว่าง*"),"คนครอง")</f>
        <v>คนครอง</v>
      </c>
      <c r="W1055" s="5" cm="1">
        <f t="array" ref="W1055">_xlfn.IFS(COUNTIF(F1055,"ผบ.หมู่*"),51,COUNTIF(F1055,"รอง สว.*"),43)</f>
        <v>43</v>
      </c>
      <c r="X1055" s="1" t="s">
        <v>2951</v>
      </c>
      <c r="Y1055" s="5" t="s">
        <v>52</v>
      </c>
    </row>
    <row r="1056" spans="1:25" s="10" customFormat="1" ht="21.3" customHeight="1">
      <c r="A1056" s="27" t="s">
        <v>26</v>
      </c>
      <c r="B1056" s="28" t="s">
        <v>12</v>
      </c>
      <c r="C1056" s="27" t="s">
        <v>2975</v>
      </c>
      <c r="D1056" s="27" t="s">
        <v>9116</v>
      </c>
      <c r="E1056" s="27" t="s">
        <v>9117</v>
      </c>
      <c r="F1056" s="27" t="s">
        <v>2936</v>
      </c>
      <c r="G1056" s="101" t="s">
        <v>2955</v>
      </c>
      <c r="H1056" s="91">
        <v>45322</v>
      </c>
      <c r="I1056" s="73">
        <v>43656</v>
      </c>
      <c r="J1056" s="73">
        <v>34352</v>
      </c>
      <c r="K1056" s="73">
        <v>24423</v>
      </c>
      <c r="L1056" s="11" t="s">
        <v>162</v>
      </c>
      <c r="M1056" s="1" t="s">
        <v>17</v>
      </c>
      <c r="N1056" s="112" t="s">
        <v>14</v>
      </c>
      <c r="O1056" s="104" t="s">
        <v>52</v>
      </c>
      <c r="P1056" s="104" t="s">
        <v>52</v>
      </c>
      <c r="Q1056" s="105"/>
      <c r="R1056" s="28" t="s">
        <v>7778</v>
      </c>
      <c r="S1056" s="225">
        <f t="shared" si="16"/>
        <v>46661</v>
      </c>
      <c r="T1056" s="7" t="s">
        <v>7698</v>
      </c>
      <c r="U1056" s="7" t="s">
        <v>113</v>
      </c>
      <c r="V1056" s="162" t="str" cm="1">
        <f t="array" ref="V1056">_xlfn.IFS(C1056="","",COUNTIF(C1056,"ตำแหน่งว่าง*"),"ว่าง",COUNTIF(C1056,"&lt;&gt;ตำแหน่งว่าง*"),"คนครอง")</f>
        <v>คนครอง</v>
      </c>
      <c r="W1056" s="6" cm="1">
        <f t="array" ref="W1056">_xlfn.IFS(COUNTIF(F1056,"ผบ.หมู่*"),51,COUNTIF(F1056,"รอง สว.*"),43)</f>
        <v>43</v>
      </c>
      <c r="X1056" s="1" t="s">
        <v>2954</v>
      </c>
      <c r="Y1056" s="1" t="s">
        <v>52</v>
      </c>
    </row>
    <row r="1057" spans="1:25" s="10" customFormat="1" ht="21.3" customHeight="1">
      <c r="A1057" s="192" t="s">
        <v>169</v>
      </c>
      <c r="B1057" s="193" t="s">
        <v>21</v>
      </c>
      <c r="C1057" s="192" t="s">
        <v>7913</v>
      </c>
      <c r="D1057" s="27" t="s">
        <v>9118</v>
      </c>
      <c r="E1057" s="27" t="s">
        <v>9119</v>
      </c>
      <c r="F1057" s="192" t="s">
        <v>2913</v>
      </c>
      <c r="G1057" s="101" t="s">
        <v>2957</v>
      </c>
      <c r="H1057" s="73">
        <v>45463</v>
      </c>
      <c r="I1057" s="73">
        <v>45463</v>
      </c>
      <c r="J1057" s="73">
        <v>45463</v>
      </c>
      <c r="K1057" s="73">
        <v>36703</v>
      </c>
      <c r="L1057" s="2" t="s">
        <v>82</v>
      </c>
      <c r="M1057" s="1"/>
      <c r="N1057" s="112" t="s">
        <v>14</v>
      </c>
      <c r="O1057" s="104" t="s">
        <v>52</v>
      </c>
      <c r="P1057" s="104" t="s">
        <v>52</v>
      </c>
      <c r="Q1057" s="105"/>
      <c r="R1057" s="28" t="s">
        <v>7961</v>
      </c>
      <c r="S1057" s="174">
        <f t="shared" si="16"/>
        <v>58715</v>
      </c>
      <c r="T1057" s="2" t="s">
        <v>7698</v>
      </c>
      <c r="U1057" s="2" t="s">
        <v>113</v>
      </c>
      <c r="V1057" s="162" t="str" cm="1">
        <f t="array" ref="V1057">_xlfn.IFS(C1057="","",COUNTIF(C1057,"ตำแหน่งว่าง*"),"ว่าง",COUNTIF(C1057,"&lt;&gt;ตำแหน่งว่าง*"),"คนครอง")</f>
        <v>คนครอง</v>
      </c>
      <c r="W1057" s="1" cm="1">
        <f t="array" ref="W1057">_xlfn.IFS(COUNTIF(F1057,"ผบ.หมู่*"),51,COUNTIF(F1057,"รอง สว.*"),43)</f>
        <v>51</v>
      </c>
      <c r="X1057" s="1" t="s">
        <v>2956</v>
      </c>
      <c r="Y1057" s="1" t="s">
        <v>52</v>
      </c>
    </row>
    <row r="1058" spans="1:25" s="10" customFormat="1" ht="21.3" customHeight="1">
      <c r="A1058" s="27" t="s">
        <v>157</v>
      </c>
      <c r="B1058" s="28" t="s">
        <v>21</v>
      </c>
      <c r="C1058" s="27" t="s">
        <v>1328</v>
      </c>
      <c r="D1058" s="27" t="s">
        <v>8803</v>
      </c>
      <c r="E1058" s="27" t="s">
        <v>8804</v>
      </c>
      <c r="F1058" s="27" t="s">
        <v>2913</v>
      </c>
      <c r="G1058" s="101" t="s">
        <v>2959</v>
      </c>
      <c r="H1058" s="91">
        <v>45768</v>
      </c>
      <c r="I1058" s="73">
        <v>40063</v>
      </c>
      <c r="J1058" s="73">
        <v>34729</v>
      </c>
      <c r="K1058" s="73">
        <v>27111</v>
      </c>
      <c r="L1058" s="11" t="s">
        <v>1331</v>
      </c>
      <c r="M1058" s="1" t="s">
        <v>17</v>
      </c>
      <c r="N1058" s="112" t="s">
        <v>14</v>
      </c>
      <c r="O1058" s="104" t="s">
        <v>52</v>
      </c>
      <c r="P1058" s="104" t="s">
        <v>52</v>
      </c>
      <c r="Q1058" s="105"/>
      <c r="R1058" s="28" t="s">
        <v>10804</v>
      </c>
      <c r="S1058" s="174">
        <f t="shared" si="16"/>
        <v>49218</v>
      </c>
      <c r="T1058" s="2" t="s">
        <v>7698</v>
      </c>
      <c r="U1058" s="2" t="s">
        <v>113</v>
      </c>
      <c r="V1058" s="203" t="str" cm="1">
        <f t="array" ref="V1058">_xlfn.IFS(C1058="","",COUNTIF(C1058,"ตำแหน่งว่าง*"),"ว่าง",COUNTIF(C1058,"&lt;&gt;ตำแหน่งว่าง*"),"คนครอง")</f>
        <v>คนครอง</v>
      </c>
      <c r="W1058" s="1" cm="1">
        <f t="array" ref="W1058">_xlfn.IFS(COUNTIF(F1058,"ผบ.หมู่*"),51,COUNTIF(F1058,"รอง สว.*"),43)</f>
        <v>51</v>
      </c>
      <c r="X1058" s="1" t="s">
        <v>2958</v>
      </c>
      <c r="Y1058" s="1" t="s">
        <v>52</v>
      </c>
    </row>
    <row r="1059" spans="1:25" s="10" customFormat="1" ht="21.3" customHeight="1">
      <c r="A1059" s="27" t="s">
        <v>30</v>
      </c>
      <c r="B1059" s="28" t="s">
        <v>12</v>
      </c>
      <c r="C1059" s="27" t="s">
        <v>3025</v>
      </c>
      <c r="D1059" s="27" t="s">
        <v>9142</v>
      </c>
      <c r="E1059" s="27" t="s">
        <v>9143</v>
      </c>
      <c r="F1059" s="27" t="s">
        <v>2936</v>
      </c>
      <c r="G1059" s="101" t="s">
        <v>2961</v>
      </c>
      <c r="H1059" s="91">
        <v>45768</v>
      </c>
      <c r="I1059" s="73">
        <v>43555</v>
      </c>
      <c r="J1059" s="73">
        <v>34352</v>
      </c>
      <c r="K1059" s="73">
        <v>24230</v>
      </c>
      <c r="L1059" s="11" t="s">
        <v>3029</v>
      </c>
      <c r="M1059" s="1" t="s">
        <v>17</v>
      </c>
      <c r="N1059" s="112" t="s">
        <v>14</v>
      </c>
      <c r="O1059" s="104" t="s">
        <v>52</v>
      </c>
      <c r="P1059" s="104" t="s">
        <v>52</v>
      </c>
      <c r="Q1059" s="105"/>
      <c r="R1059" s="28" t="s">
        <v>10709</v>
      </c>
      <c r="S1059" s="174">
        <f t="shared" si="16"/>
        <v>46296</v>
      </c>
      <c r="T1059" s="2" t="s">
        <v>7698</v>
      </c>
      <c r="U1059" s="2" t="s">
        <v>113</v>
      </c>
      <c r="V1059" s="203" t="str" cm="1">
        <f t="array" ref="V1059">_xlfn.IFS(C1059="","",COUNTIF(C1059,"ตำแหน่งว่าง*"),"ว่าง",COUNTIF(C1059,"&lt;&gt;ตำแหน่งว่าง*"),"คนครอง")</f>
        <v>คนครอง</v>
      </c>
      <c r="W1059" s="1" cm="1">
        <f t="array" ref="W1059">_xlfn.IFS(COUNTIF(F1059,"ผบ.หมู่*"),51,COUNTIF(F1059,"รอง สว.*"),43)</f>
        <v>43</v>
      </c>
      <c r="X1059" s="1" t="s">
        <v>2960</v>
      </c>
      <c r="Y1059" s="1" t="s">
        <v>52</v>
      </c>
    </row>
    <row r="1060" spans="1:25" s="9" customFormat="1" ht="21.3" customHeight="1">
      <c r="A1060" s="192" t="s">
        <v>169</v>
      </c>
      <c r="B1060" s="193" t="s">
        <v>21</v>
      </c>
      <c r="C1060" s="192" t="s">
        <v>7914</v>
      </c>
      <c r="D1060" s="27" t="s">
        <v>9120</v>
      </c>
      <c r="E1060" s="27" t="s">
        <v>9121</v>
      </c>
      <c r="F1060" s="192" t="s">
        <v>2965</v>
      </c>
      <c r="G1060" s="101" t="s">
        <v>2967</v>
      </c>
      <c r="H1060" s="73">
        <v>45463</v>
      </c>
      <c r="I1060" s="73">
        <v>45463</v>
      </c>
      <c r="J1060" s="73">
        <v>45463</v>
      </c>
      <c r="K1060" s="73">
        <v>36854</v>
      </c>
      <c r="L1060" s="2" t="s">
        <v>82</v>
      </c>
      <c r="M1060" s="1"/>
      <c r="N1060" s="112" t="s">
        <v>14</v>
      </c>
      <c r="O1060" s="104" t="s">
        <v>52</v>
      </c>
      <c r="P1060" s="104" t="s">
        <v>52</v>
      </c>
      <c r="Q1060" s="105"/>
      <c r="R1060" s="28" t="s">
        <v>7961</v>
      </c>
      <c r="S1060" s="174">
        <f t="shared" si="16"/>
        <v>59080</v>
      </c>
      <c r="T1060" s="2" t="s">
        <v>7690</v>
      </c>
      <c r="U1060" s="2" t="s">
        <v>113</v>
      </c>
      <c r="V1060" s="162" t="str" cm="1">
        <f t="array" ref="V1060">_xlfn.IFS(C1060="","",COUNTIF(C1060,"ตำแหน่งว่าง*"),"ว่าง",COUNTIF(C1060,"&lt;&gt;ตำแหน่งว่าง*"),"คนครอง")</f>
        <v>คนครอง</v>
      </c>
      <c r="W1060" s="1" cm="1">
        <f t="array" ref="W1060">_xlfn.IFS(COUNTIF(F1060,"ผบ.หมู่*"),51,COUNTIF(F1060,"รอง สว.*"),43)</f>
        <v>51</v>
      </c>
      <c r="X1060" s="1" t="s">
        <v>2966</v>
      </c>
      <c r="Y1060" s="1" t="s">
        <v>52</v>
      </c>
    </row>
    <row r="1061" spans="1:25" s="9" customFormat="1" ht="21.3" customHeight="1">
      <c r="A1061" s="68"/>
      <c r="B1061" s="30"/>
      <c r="C1061" s="68" t="s">
        <v>18</v>
      </c>
      <c r="D1061" s="27"/>
      <c r="E1061" s="27"/>
      <c r="F1061" s="68" t="s">
        <v>2965</v>
      </c>
      <c r="G1061" s="121" t="s">
        <v>2969</v>
      </c>
      <c r="H1061" s="93"/>
      <c r="I1061" s="74"/>
      <c r="J1061" s="74"/>
      <c r="K1061" s="74"/>
      <c r="L1061" s="16"/>
      <c r="M1061" s="6"/>
      <c r="N1061" s="113" t="s">
        <v>14</v>
      </c>
      <c r="O1061" s="122" t="s">
        <v>52</v>
      </c>
      <c r="P1061" s="122" t="s">
        <v>52</v>
      </c>
      <c r="Q1061" s="106"/>
      <c r="R1061" s="30"/>
      <c r="S1061" s="225" t="str">
        <f t="shared" si="16"/>
        <v/>
      </c>
      <c r="T1061" s="2" t="s">
        <v>7690</v>
      </c>
      <c r="U1061" s="7" t="s">
        <v>113</v>
      </c>
      <c r="V1061" s="171" t="str" cm="1">
        <f t="array" ref="V1061">_xlfn.IFS(C1061="","",COUNTIF(C1061,"ตำแหน่งว่าง*"),"ว่าง",COUNTIF(C1061,"&lt;&gt;ตำแหน่งว่าง*"),"คนครอง")</f>
        <v>ว่าง</v>
      </c>
      <c r="W1061" s="6" cm="1">
        <f t="array" ref="W1061">_xlfn.IFS(COUNTIF(F1061,"ผบ.หมู่*"),51,COUNTIF(F1061,"รอง สว.*"),43)</f>
        <v>51</v>
      </c>
      <c r="X1061" s="1" t="s">
        <v>2968</v>
      </c>
      <c r="Y1061" s="1" t="s">
        <v>52</v>
      </c>
    </row>
    <row r="1062" spans="1:25" s="12" customFormat="1" ht="21.3" customHeight="1">
      <c r="A1062" s="27" t="s">
        <v>182</v>
      </c>
      <c r="B1062" s="31" t="s">
        <v>12</v>
      </c>
      <c r="C1062" s="95" t="s">
        <v>2970</v>
      </c>
      <c r="D1062" s="27" t="s">
        <v>8056</v>
      </c>
      <c r="E1062" s="27" t="s">
        <v>9122</v>
      </c>
      <c r="F1062" s="95" t="s">
        <v>2965</v>
      </c>
      <c r="G1062" s="101" t="s">
        <v>2972</v>
      </c>
      <c r="H1062" s="75">
        <v>44636</v>
      </c>
      <c r="I1062" s="89">
        <v>44636</v>
      </c>
      <c r="J1062" s="76">
        <v>44636</v>
      </c>
      <c r="K1062" s="89">
        <v>37554</v>
      </c>
      <c r="L1062" s="17" t="s">
        <v>82</v>
      </c>
      <c r="M1062" s="5" t="s">
        <v>17</v>
      </c>
      <c r="N1062" s="111" t="s">
        <v>14</v>
      </c>
      <c r="O1062" s="104" t="s">
        <v>52</v>
      </c>
      <c r="P1062" s="104" t="s">
        <v>52</v>
      </c>
      <c r="Q1062" s="108"/>
      <c r="R1062" s="31" t="s">
        <v>611</v>
      </c>
      <c r="S1062" s="225">
        <f t="shared" si="16"/>
        <v>59810</v>
      </c>
      <c r="T1062" s="162" t="s">
        <v>7690</v>
      </c>
      <c r="U1062" s="7" t="s">
        <v>113</v>
      </c>
      <c r="V1062" s="162" t="str" cm="1">
        <f t="array" ref="V1062">_xlfn.IFS(C1062="","",COUNTIF(C1062,"ตำแหน่งว่าง*"),"ว่าง",COUNTIF(C1062,"&lt;&gt;ตำแหน่งว่าง*"),"คนครอง")</f>
        <v>คนครอง</v>
      </c>
      <c r="W1062" s="6" cm="1">
        <f t="array" ref="W1062">_xlfn.IFS(COUNTIF(F1062,"ผบ.หมู่*"),51,COUNTIF(F1062,"รอง สว.*"),43)</f>
        <v>51</v>
      </c>
      <c r="X1062" s="5" t="s">
        <v>2971</v>
      </c>
      <c r="Y1062" s="5" t="s">
        <v>52</v>
      </c>
    </row>
    <row r="1063" spans="1:25" s="9" customFormat="1" ht="21.3" customHeight="1">
      <c r="A1063" s="68"/>
      <c r="B1063" s="30"/>
      <c r="C1063" s="30" t="s">
        <v>18</v>
      </c>
      <c r="D1063" s="27"/>
      <c r="E1063" s="27"/>
      <c r="F1063" s="68" t="s">
        <v>2965</v>
      </c>
      <c r="G1063" s="121" t="s">
        <v>2974</v>
      </c>
      <c r="H1063" s="80" t="s">
        <v>19</v>
      </c>
      <c r="I1063" s="74" t="s">
        <v>19</v>
      </c>
      <c r="J1063" s="74" t="s">
        <v>19</v>
      </c>
      <c r="K1063" s="74" t="s">
        <v>19</v>
      </c>
      <c r="L1063" s="16"/>
      <c r="M1063" s="6"/>
      <c r="N1063" s="113" t="s">
        <v>14</v>
      </c>
      <c r="O1063" s="122" t="s">
        <v>52</v>
      </c>
      <c r="P1063" s="122" t="s">
        <v>52</v>
      </c>
      <c r="Q1063" s="106"/>
      <c r="R1063" s="30"/>
      <c r="S1063" s="225" t="str">
        <f t="shared" si="16"/>
        <v/>
      </c>
      <c r="T1063" s="2" t="s">
        <v>7690</v>
      </c>
      <c r="U1063" s="7" t="s">
        <v>113</v>
      </c>
      <c r="V1063" s="171" t="str" cm="1">
        <f t="array" ref="V1063">_xlfn.IFS(C1063="","",COUNTIF(C1063,"ตำแหน่งว่าง*"),"ว่าง",COUNTIF(C1063,"&lt;&gt;ตำแหน่งว่าง*"),"คนครอง")</f>
        <v>ว่าง</v>
      </c>
      <c r="W1063" s="6" cm="1">
        <f t="array" ref="W1063">_xlfn.IFS(COUNTIF(F1063,"ผบ.หมู่*"),51,COUNTIF(F1063,"รอง สว.*"),43)</f>
        <v>51</v>
      </c>
      <c r="X1063" s="6" t="s">
        <v>2973</v>
      </c>
      <c r="Y1063" s="6" t="s">
        <v>52</v>
      </c>
    </row>
    <row r="1064" spans="1:25" s="12" customFormat="1" ht="21.3" customHeight="1">
      <c r="A1064" s="27"/>
      <c r="B1064" s="28"/>
      <c r="C1064" s="30" t="s">
        <v>18</v>
      </c>
      <c r="D1064" s="27"/>
      <c r="E1064" s="27"/>
      <c r="F1064" s="68" t="s">
        <v>2965</v>
      </c>
      <c r="G1064" s="121" t="s">
        <v>2977</v>
      </c>
      <c r="H1064" s="93"/>
      <c r="I1064" s="74"/>
      <c r="J1064" s="74"/>
      <c r="K1064" s="74"/>
      <c r="L1064" s="16"/>
      <c r="M1064" s="6"/>
      <c r="N1064" s="113" t="s">
        <v>14</v>
      </c>
      <c r="O1064" s="122" t="s">
        <v>52</v>
      </c>
      <c r="P1064" s="122" t="s">
        <v>52</v>
      </c>
      <c r="Q1064" s="106"/>
      <c r="R1064" s="30"/>
      <c r="S1064" s="225" t="str">
        <f t="shared" si="16"/>
        <v/>
      </c>
      <c r="T1064" s="162" t="s">
        <v>7690</v>
      </c>
      <c r="U1064" s="7" t="s">
        <v>113</v>
      </c>
      <c r="V1064" s="171" t="str" cm="1">
        <f t="array" ref="V1064">_xlfn.IFS(C1064="","",COUNTIF(C1064,"ตำแหน่งว่าง*"),"ว่าง",COUNTIF(C1064,"&lt;&gt;ตำแหน่งว่าง*"),"คนครอง")</f>
        <v>ว่าง</v>
      </c>
      <c r="W1064" s="5" cm="1">
        <f t="array" ref="W1064">_xlfn.IFS(COUNTIF(F1064,"ผบ.หมู่*"),51,COUNTIF(F1064,"รอง สว.*"),43)</f>
        <v>51</v>
      </c>
      <c r="X1064" s="6" t="s">
        <v>2976</v>
      </c>
      <c r="Y1064" s="6" t="s">
        <v>52</v>
      </c>
    </row>
    <row r="1065" spans="1:25" s="12" customFormat="1" ht="21.3" customHeight="1">
      <c r="A1065" s="27" t="s">
        <v>60</v>
      </c>
      <c r="B1065" s="28" t="s">
        <v>12</v>
      </c>
      <c r="C1065" s="95" t="s">
        <v>2978</v>
      </c>
      <c r="D1065" s="27" t="s">
        <v>9123</v>
      </c>
      <c r="E1065" s="27" t="s">
        <v>9124</v>
      </c>
      <c r="F1065" s="95" t="s">
        <v>10806</v>
      </c>
      <c r="G1065" s="101" t="s">
        <v>2980</v>
      </c>
      <c r="H1065" s="91">
        <v>42501</v>
      </c>
      <c r="I1065" s="73">
        <v>37316</v>
      </c>
      <c r="J1065" s="73">
        <v>37316</v>
      </c>
      <c r="K1065" s="73">
        <v>26329</v>
      </c>
      <c r="L1065" s="11" t="s">
        <v>2981</v>
      </c>
      <c r="M1065" s="1" t="s">
        <v>17</v>
      </c>
      <c r="N1065" s="111" t="s">
        <v>14</v>
      </c>
      <c r="O1065" s="104" t="s">
        <v>52</v>
      </c>
      <c r="P1065" s="104" t="s">
        <v>52</v>
      </c>
      <c r="Q1065" s="105"/>
      <c r="R1065" s="28" t="s">
        <v>110</v>
      </c>
      <c r="S1065" s="225">
        <f t="shared" si="16"/>
        <v>48488</v>
      </c>
      <c r="T1065" s="162" t="s">
        <v>7690</v>
      </c>
      <c r="U1065" s="7" t="s">
        <v>113</v>
      </c>
      <c r="V1065" s="162" t="str" cm="1">
        <f t="array" ref="V1065">_xlfn.IFS(C1065="","",COUNTIF(C1065,"ตำแหน่งว่าง*"),"ว่าง",COUNTIF(C1065,"&lt;&gt;ตำแหน่งว่าง*"),"คนครอง")</f>
        <v>คนครอง</v>
      </c>
      <c r="W1065" s="6" cm="1">
        <f t="array" ref="W1065">_xlfn.IFS(COUNTIF(F1065,"ผบ.หมู่*"),51,COUNTIF(F1065,"รอง สว.*"),43)</f>
        <v>43</v>
      </c>
      <c r="X1065" s="5" t="s">
        <v>2979</v>
      </c>
      <c r="Y1065" s="5" t="s">
        <v>52</v>
      </c>
    </row>
    <row r="1066" spans="1:25" s="9" customFormat="1" ht="21.3" customHeight="1">
      <c r="A1066" s="27" t="s">
        <v>182</v>
      </c>
      <c r="B1066" s="28" t="s">
        <v>12</v>
      </c>
      <c r="C1066" s="27" t="s">
        <v>2982</v>
      </c>
      <c r="D1066" s="27" t="s">
        <v>9125</v>
      </c>
      <c r="E1066" s="27" t="s">
        <v>9126</v>
      </c>
      <c r="F1066" s="27" t="s">
        <v>2965</v>
      </c>
      <c r="G1066" s="101" t="s">
        <v>2984</v>
      </c>
      <c r="H1066" s="75">
        <v>44043</v>
      </c>
      <c r="I1066" s="73">
        <v>44043</v>
      </c>
      <c r="J1066" s="73">
        <v>44043</v>
      </c>
      <c r="K1066" s="73">
        <v>35838</v>
      </c>
      <c r="L1066" s="11" t="s">
        <v>112</v>
      </c>
      <c r="M1066" s="1" t="s">
        <v>88</v>
      </c>
      <c r="N1066" s="112" t="s">
        <v>14</v>
      </c>
      <c r="O1066" s="104" t="s">
        <v>52</v>
      </c>
      <c r="P1066" s="104" t="s">
        <v>52</v>
      </c>
      <c r="Q1066" s="105"/>
      <c r="R1066" s="28" t="s">
        <v>2436</v>
      </c>
      <c r="S1066" s="225">
        <f t="shared" si="16"/>
        <v>57984</v>
      </c>
      <c r="T1066" s="2" t="s">
        <v>7690</v>
      </c>
      <c r="U1066" s="7" t="s">
        <v>113</v>
      </c>
      <c r="V1066" s="162" t="str" cm="1">
        <f t="array" ref="V1066">_xlfn.IFS(C1066="","",COUNTIF(C1066,"ตำแหน่งว่าง*"),"ว่าง",COUNTIF(C1066,"&lt;&gt;ตำแหน่งว่าง*"),"คนครอง")</f>
        <v>คนครอง</v>
      </c>
      <c r="W1066" s="6" cm="1">
        <f t="array" ref="W1066">_xlfn.IFS(COUNTIF(F1066,"ผบ.หมู่*"),51,COUNTIF(F1066,"รอง สว.*"),43)</f>
        <v>51</v>
      </c>
      <c r="X1066" s="1" t="s">
        <v>2983</v>
      </c>
      <c r="Y1066" s="1" t="s">
        <v>52</v>
      </c>
    </row>
    <row r="1067" spans="1:25" s="9" customFormat="1" ht="21.3" customHeight="1">
      <c r="A1067" s="68"/>
      <c r="B1067" s="30"/>
      <c r="C1067" s="30" t="s">
        <v>18</v>
      </c>
      <c r="D1067" s="27"/>
      <c r="E1067" s="27"/>
      <c r="F1067" s="68" t="s">
        <v>2965</v>
      </c>
      <c r="G1067" s="121" t="s">
        <v>2986</v>
      </c>
      <c r="H1067" s="80" t="s">
        <v>19</v>
      </c>
      <c r="I1067" s="74" t="s">
        <v>19</v>
      </c>
      <c r="J1067" s="74" t="s">
        <v>19</v>
      </c>
      <c r="K1067" s="74" t="s">
        <v>19</v>
      </c>
      <c r="L1067" s="16"/>
      <c r="M1067" s="6"/>
      <c r="N1067" s="113" t="s">
        <v>14</v>
      </c>
      <c r="O1067" s="122" t="s">
        <v>52</v>
      </c>
      <c r="P1067" s="122" t="s">
        <v>52</v>
      </c>
      <c r="Q1067" s="106"/>
      <c r="R1067" s="30"/>
      <c r="S1067" s="225" t="str">
        <f t="shared" si="16"/>
        <v/>
      </c>
      <c r="T1067" s="2" t="s">
        <v>7690</v>
      </c>
      <c r="U1067" s="7" t="s">
        <v>113</v>
      </c>
      <c r="V1067" s="171" t="str" cm="1">
        <f t="array" ref="V1067">_xlfn.IFS(C1067="","",COUNTIF(C1067,"ตำแหน่งว่าง*"),"ว่าง",COUNTIF(C1067,"&lt;&gt;ตำแหน่งว่าง*"),"คนครอง")</f>
        <v>ว่าง</v>
      </c>
      <c r="W1067" s="6" cm="1">
        <f t="array" ref="W1067">_xlfn.IFS(COUNTIF(F1067,"ผบ.หมู่*"),51,COUNTIF(F1067,"รอง สว.*"),43)</f>
        <v>51</v>
      </c>
      <c r="X1067" s="6" t="s">
        <v>2985</v>
      </c>
      <c r="Y1067" s="6" t="s">
        <v>52</v>
      </c>
    </row>
    <row r="1068" spans="1:25" s="9" customFormat="1" ht="21.3" customHeight="1">
      <c r="A1068" s="27" t="s">
        <v>182</v>
      </c>
      <c r="B1068" s="28" t="s">
        <v>12</v>
      </c>
      <c r="C1068" s="27" t="s">
        <v>2987</v>
      </c>
      <c r="D1068" s="27" t="s">
        <v>9127</v>
      </c>
      <c r="E1068" s="27" t="s">
        <v>9128</v>
      </c>
      <c r="F1068" s="27" t="s">
        <v>2965</v>
      </c>
      <c r="G1068" s="101" t="s">
        <v>2989</v>
      </c>
      <c r="H1068" s="75">
        <v>44043</v>
      </c>
      <c r="I1068" s="73">
        <v>44043</v>
      </c>
      <c r="J1068" s="73">
        <v>44043</v>
      </c>
      <c r="K1068" s="73">
        <v>35513</v>
      </c>
      <c r="L1068" s="11" t="s">
        <v>82</v>
      </c>
      <c r="M1068" s="1" t="s">
        <v>32</v>
      </c>
      <c r="N1068" s="112" t="s">
        <v>14</v>
      </c>
      <c r="O1068" s="104" t="s">
        <v>52</v>
      </c>
      <c r="P1068" s="104" t="s">
        <v>52</v>
      </c>
      <c r="Q1068" s="105"/>
      <c r="R1068" s="28" t="s">
        <v>2436</v>
      </c>
      <c r="S1068" s="225">
        <f t="shared" si="16"/>
        <v>57619</v>
      </c>
      <c r="T1068" s="2" t="s">
        <v>7690</v>
      </c>
      <c r="U1068" s="7" t="s">
        <v>113</v>
      </c>
      <c r="V1068" s="162" t="str" cm="1">
        <f t="array" ref="V1068">_xlfn.IFS(C1068="","",COUNTIF(C1068,"ตำแหน่งว่าง*"),"ว่าง",COUNTIF(C1068,"&lt;&gt;ตำแหน่งว่าง*"),"คนครอง")</f>
        <v>คนครอง</v>
      </c>
      <c r="W1068" s="6" cm="1">
        <f t="array" ref="W1068">_xlfn.IFS(COUNTIF(F1068,"ผบ.หมู่*"),51,COUNTIF(F1068,"รอง สว.*"),43)</f>
        <v>51</v>
      </c>
      <c r="X1068" s="1" t="s">
        <v>2988</v>
      </c>
      <c r="Y1068" s="1" t="s">
        <v>52</v>
      </c>
    </row>
    <row r="1069" spans="1:25" s="9" customFormat="1" ht="21.3" customHeight="1">
      <c r="A1069" s="27" t="s">
        <v>182</v>
      </c>
      <c r="B1069" s="28" t="s">
        <v>12</v>
      </c>
      <c r="C1069" s="27" t="s">
        <v>2990</v>
      </c>
      <c r="D1069" s="27" t="s">
        <v>9129</v>
      </c>
      <c r="E1069" s="27" t="s">
        <v>9130</v>
      </c>
      <c r="F1069" s="27" t="s">
        <v>2965</v>
      </c>
      <c r="G1069" s="101" t="s">
        <v>2992</v>
      </c>
      <c r="H1069" s="75">
        <v>44043</v>
      </c>
      <c r="I1069" s="73">
        <v>44043</v>
      </c>
      <c r="J1069" s="73">
        <v>44043</v>
      </c>
      <c r="K1069" s="73">
        <v>33780</v>
      </c>
      <c r="L1069" s="11" t="s">
        <v>82</v>
      </c>
      <c r="M1069" s="1" t="s">
        <v>17</v>
      </c>
      <c r="N1069" s="112" t="s">
        <v>14</v>
      </c>
      <c r="O1069" s="104" t="s">
        <v>52</v>
      </c>
      <c r="P1069" s="104" t="s">
        <v>52</v>
      </c>
      <c r="Q1069" s="105"/>
      <c r="R1069" s="28" t="s">
        <v>2436</v>
      </c>
      <c r="S1069" s="225">
        <f t="shared" si="16"/>
        <v>55793</v>
      </c>
      <c r="T1069" s="2" t="s">
        <v>7690</v>
      </c>
      <c r="U1069" s="7" t="s">
        <v>113</v>
      </c>
      <c r="V1069" s="162" t="str" cm="1">
        <f t="array" ref="V1069">_xlfn.IFS(C1069="","",COUNTIF(C1069,"ตำแหน่งว่าง*"),"ว่าง",COUNTIF(C1069,"&lt;&gt;ตำแหน่งว่าง*"),"คนครอง")</f>
        <v>คนครอง</v>
      </c>
      <c r="W1069" s="6" cm="1">
        <f t="array" ref="W1069">_xlfn.IFS(COUNTIF(F1069,"ผบ.หมู่*"),51,COUNTIF(F1069,"รอง สว.*"),43)</f>
        <v>51</v>
      </c>
      <c r="X1069" s="1" t="s">
        <v>2991</v>
      </c>
      <c r="Y1069" s="1" t="s">
        <v>52</v>
      </c>
    </row>
    <row r="1070" spans="1:25" s="9" customFormat="1" ht="21.3" customHeight="1">
      <c r="A1070" s="27" t="s">
        <v>182</v>
      </c>
      <c r="B1070" s="28" t="s">
        <v>21</v>
      </c>
      <c r="C1070" s="27" t="s">
        <v>2993</v>
      </c>
      <c r="D1070" s="27" t="s">
        <v>9131</v>
      </c>
      <c r="E1070" s="27" t="s">
        <v>9132</v>
      </c>
      <c r="F1070" s="27" t="s">
        <v>2965</v>
      </c>
      <c r="G1070" s="101" t="s">
        <v>2995</v>
      </c>
      <c r="H1070" s="75">
        <v>44043</v>
      </c>
      <c r="I1070" s="73">
        <v>44043</v>
      </c>
      <c r="J1070" s="73">
        <v>44043</v>
      </c>
      <c r="K1070" s="73">
        <v>33732</v>
      </c>
      <c r="L1070" s="11" t="s">
        <v>82</v>
      </c>
      <c r="M1070" s="1" t="s">
        <v>163</v>
      </c>
      <c r="N1070" s="112" t="s">
        <v>14</v>
      </c>
      <c r="O1070" s="104" t="s">
        <v>52</v>
      </c>
      <c r="P1070" s="104" t="s">
        <v>52</v>
      </c>
      <c r="Q1070" s="105"/>
      <c r="R1070" s="28" t="s">
        <v>2436</v>
      </c>
      <c r="S1070" s="225">
        <f t="shared" si="16"/>
        <v>55793</v>
      </c>
      <c r="T1070" s="2" t="s">
        <v>7690</v>
      </c>
      <c r="U1070" s="7" t="s">
        <v>113</v>
      </c>
      <c r="V1070" s="162" t="str" cm="1">
        <f t="array" ref="V1070">_xlfn.IFS(C1070="","",COUNTIF(C1070,"ตำแหน่งว่าง*"),"ว่าง",COUNTIF(C1070,"&lt;&gt;ตำแหน่งว่าง*"),"คนครอง")</f>
        <v>คนครอง</v>
      </c>
      <c r="W1070" s="6" cm="1">
        <f t="array" ref="W1070">_xlfn.IFS(COUNTIF(F1070,"ผบ.หมู่*"),51,COUNTIF(F1070,"รอง สว.*"),43)</f>
        <v>51</v>
      </c>
      <c r="X1070" s="1" t="s">
        <v>2994</v>
      </c>
      <c r="Y1070" s="1" t="s">
        <v>52</v>
      </c>
    </row>
    <row r="1071" spans="1:25" s="12" customFormat="1" ht="21.3" customHeight="1">
      <c r="A1071" s="27" t="s">
        <v>26</v>
      </c>
      <c r="B1071" s="28" t="s">
        <v>21</v>
      </c>
      <c r="C1071" s="95" t="s">
        <v>2996</v>
      </c>
      <c r="D1071" s="27" t="s">
        <v>9133</v>
      </c>
      <c r="E1071" s="27" t="s">
        <v>9134</v>
      </c>
      <c r="F1071" s="95" t="s">
        <v>2997</v>
      </c>
      <c r="G1071" s="101" t="s">
        <v>2999</v>
      </c>
      <c r="H1071" s="91">
        <v>43921</v>
      </c>
      <c r="I1071" s="91">
        <v>43921</v>
      </c>
      <c r="J1071" s="73">
        <v>35188</v>
      </c>
      <c r="K1071" s="73">
        <v>24396</v>
      </c>
      <c r="L1071" s="11" t="s">
        <v>3000</v>
      </c>
      <c r="M1071" s="1" t="s">
        <v>17</v>
      </c>
      <c r="N1071" s="111" t="s">
        <v>14</v>
      </c>
      <c r="O1071" s="104" t="s">
        <v>52</v>
      </c>
      <c r="P1071" s="104" t="s">
        <v>52</v>
      </c>
      <c r="Q1071" s="105"/>
      <c r="R1071" s="28" t="s">
        <v>2700</v>
      </c>
      <c r="S1071" s="225">
        <f t="shared" si="16"/>
        <v>46661</v>
      </c>
      <c r="T1071" s="162" t="s">
        <v>115</v>
      </c>
      <c r="U1071" s="7" t="s">
        <v>113</v>
      </c>
      <c r="V1071" s="162" t="str" cm="1">
        <f t="array" ref="V1071">_xlfn.IFS(C1071="","",COUNTIF(C1071,"ตำแหน่งว่าง*"),"ว่าง",COUNTIF(C1071,"&lt;&gt;ตำแหน่งว่าง*"),"คนครอง")</f>
        <v>คนครอง</v>
      </c>
      <c r="W1071" s="5" cm="1">
        <f t="array" ref="W1071">_xlfn.IFS(COUNTIF(F1071,"ผบ.หมู่*"),51,COUNTIF(F1071,"รอง สว.*"),43)</f>
        <v>43</v>
      </c>
      <c r="X1071" s="5" t="s">
        <v>2998</v>
      </c>
      <c r="Y1071" s="5" t="s">
        <v>52</v>
      </c>
    </row>
    <row r="1072" spans="1:25" s="10" customFormat="1" ht="21.3" customHeight="1">
      <c r="A1072" s="27" t="s">
        <v>208</v>
      </c>
      <c r="B1072" s="28" t="s">
        <v>21</v>
      </c>
      <c r="C1072" s="27" t="s">
        <v>7755</v>
      </c>
      <c r="D1072" s="27" t="s">
        <v>7993</v>
      </c>
      <c r="E1072" s="27" t="s">
        <v>9135</v>
      </c>
      <c r="F1072" s="27" t="s">
        <v>3001</v>
      </c>
      <c r="G1072" s="101" t="s">
        <v>3003</v>
      </c>
      <c r="H1072" s="91">
        <v>45322</v>
      </c>
      <c r="I1072" s="73">
        <v>43693</v>
      </c>
      <c r="J1072" s="73">
        <v>43693</v>
      </c>
      <c r="K1072" s="73">
        <v>34134</v>
      </c>
      <c r="L1072" s="11" t="s">
        <v>1914</v>
      </c>
      <c r="M1072" s="1" t="s">
        <v>17</v>
      </c>
      <c r="N1072" s="112" t="s">
        <v>14</v>
      </c>
      <c r="O1072" s="104" t="s">
        <v>52</v>
      </c>
      <c r="P1072" s="104" t="s">
        <v>52</v>
      </c>
      <c r="Q1072" s="105"/>
      <c r="R1072" s="28" t="s">
        <v>7708</v>
      </c>
      <c r="S1072" s="225">
        <f t="shared" si="16"/>
        <v>56158</v>
      </c>
      <c r="T1072" s="7" t="s">
        <v>115</v>
      </c>
      <c r="U1072" s="7" t="s">
        <v>113</v>
      </c>
      <c r="V1072" s="162" t="str" cm="1">
        <f t="array" ref="V1072">_xlfn.IFS(C1072="","",COUNTIF(C1072,"ตำแหน่งว่าง*"),"ว่าง",COUNTIF(C1072,"&lt;&gt;ตำแหน่งว่าง*"),"คนครอง")</f>
        <v>คนครอง</v>
      </c>
      <c r="W1072" s="6" cm="1">
        <f t="array" ref="W1072">_xlfn.IFS(COUNTIF(F1072,"ผบ.หมู่*"),51,COUNTIF(F1072,"รอง สว.*"),43)</f>
        <v>51</v>
      </c>
      <c r="X1072" s="1" t="s">
        <v>3002</v>
      </c>
      <c r="Y1072" s="1" t="s">
        <v>52</v>
      </c>
    </row>
    <row r="1073" spans="1:25" s="10" customFormat="1" ht="21.3" customHeight="1">
      <c r="A1073" s="192" t="s">
        <v>169</v>
      </c>
      <c r="B1073" s="193" t="s">
        <v>21</v>
      </c>
      <c r="C1073" s="192" t="s">
        <v>7915</v>
      </c>
      <c r="D1073" s="27" t="s">
        <v>8013</v>
      </c>
      <c r="E1073" s="27" t="s">
        <v>9136</v>
      </c>
      <c r="F1073" s="192" t="s">
        <v>3001</v>
      </c>
      <c r="G1073" s="101" t="s">
        <v>3005</v>
      </c>
      <c r="H1073" s="73">
        <v>45463</v>
      </c>
      <c r="I1073" s="73">
        <v>45463</v>
      </c>
      <c r="J1073" s="73">
        <v>45463</v>
      </c>
      <c r="K1073" s="73">
        <v>32618</v>
      </c>
      <c r="L1073" s="2" t="s">
        <v>82</v>
      </c>
      <c r="M1073" s="1"/>
      <c r="N1073" s="112" t="s">
        <v>14</v>
      </c>
      <c r="O1073" s="104" t="s">
        <v>52</v>
      </c>
      <c r="P1073" s="104" t="s">
        <v>52</v>
      </c>
      <c r="Q1073" s="105"/>
      <c r="R1073" s="28" t="s">
        <v>7961</v>
      </c>
      <c r="S1073" s="174">
        <f t="shared" si="16"/>
        <v>54697</v>
      </c>
      <c r="T1073" s="2" t="s">
        <v>115</v>
      </c>
      <c r="U1073" s="2" t="s">
        <v>113</v>
      </c>
      <c r="V1073" s="162" t="str" cm="1">
        <f t="array" ref="V1073">_xlfn.IFS(C1073="","",COUNTIF(C1073,"ตำแหน่งว่าง*"),"ว่าง",COUNTIF(C1073,"&lt;&gt;ตำแหน่งว่าง*"),"คนครอง")</f>
        <v>คนครอง</v>
      </c>
      <c r="W1073" s="1" cm="1">
        <f t="array" ref="W1073">_xlfn.IFS(COUNTIF(F1073,"ผบ.หมู่*"),51,COUNTIF(F1073,"รอง สว.*"),43)</f>
        <v>51</v>
      </c>
      <c r="X1073" s="1" t="s">
        <v>3004</v>
      </c>
      <c r="Y1073" s="1" t="s">
        <v>52</v>
      </c>
    </row>
    <row r="1074" spans="1:25" s="10" customFormat="1" ht="21.3" customHeight="1">
      <c r="A1074" s="27"/>
      <c r="B1074" s="28"/>
      <c r="C1074" s="30" t="s">
        <v>18</v>
      </c>
      <c r="D1074" s="27"/>
      <c r="E1074" s="27"/>
      <c r="F1074" s="68" t="s">
        <v>3001</v>
      </c>
      <c r="G1074" s="121" t="s">
        <v>3007</v>
      </c>
      <c r="H1074" s="91" t="s">
        <v>19</v>
      </c>
      <c r="I1074" s="73" t="s">
        <v>19</v>
      </c>
      <c r="J1074" s="73" t="s">
        <v>19</v>
      </c>
      <c r="K1074" s="73" t="s">
        <v>19</v>
      </c>
      <c r="L1074" s="11"/>
      <c r="M1074" s="1"/>
      <c r="N1074" s="113" t="s">
        <v>14</v>
      </c>
      <c r="O1074" s="122" t="s">
        <v>52</v>
      </c>
      <c r="P1074" s="122" t="s">
        <v>52</v>
      </c>
      <c r="Q1074" s="105"/>
      <c r="R1074" s="28"/>
      <c r="S1074" s="225" t="str">
        <f t="shared" si="16"/>
        <v/>
      </c>
      <c r="T1074" s="7" t="s">
        <v>115</v>
      </c>
      <c r="U1074" s="7" t="s">
        <v>113</v>
      </c>
      <c r="V1074" s="171" t="str" cm="1">
        <f t="array" ref="V1074">_xlfn.IFS(C1074="","",COUNTIF(C1074,"ตำแหน่งว่าง*"),"ว่าง",COUNTIF(C1074,"&lt;&gt;ตำแหน่งว่าง*"),"คนครอง")</f>
        <v>ว่าง</v>
      </c>
      <c r="W1074" s="6" cm="1">
        <f t="array" ref="W1074">_xlfn.IFS(COUNTIF(F1074,"ผบ.หมู่*"),51,COUNTIF(F1074,"รอง สว.*"),43)</f>
        <v>51</v>
      </c>
      <c r="X1074" s="6" t="s">
        <v>3006</v>
      </c>
      <c r="Y1074" s="6" t="s">
        <v>52</v>
      </c>
    </row>
    <row r="1075" spans="1:25" s="10" customFormat="1" ht="21.3" customHeight="1">
      <c r="A1075" s="192" t="s">
        <v>169</v>
      </c>
      <c r="B1075" s="193" t="s">
        <v>12</v>
      </c>
      <c r="C1075" s="192" t="s">
        <v>7916</v>
      </c>
      <c r="D1075" s="27" t="s">
        <v>9137</v>
      </c>
      <c r="E1075" s="27" t="s">
        <v>9138</v>
      </c>
      <c r="F1075" s="192" t="s">
        <v>3008</v>
      </c>
      <c r="G1075" s="101" t="s">
        <v>3010</v>
      </c>
      <c r="H1075" s="73">
        <v>45463</v>
      </c>
      <c r="I1075" s="73">
        <v>45463</v>
      </c>
      <c r="J1075" s="73">
        <v>45463</v>
      </c>
      <c r="K1075" s="73">
        <v>36553</v>
      </c>
      <c r="L1075" s="2" t="s">
        <v>82</v>
      </c>
      <c r="M1075" s="1"/>
      <c r="N1075" s="112" t="s">
        <v>14</v>
      </c>
      <c r="O1075" s="104" t="s">
        <v>52</v>
      </c>
      <c r="P1075" s="104" t="s">
        <v>52</v>
      </c>
      <c r="Q1075" s="105"/>
      <c r="R1075" s="28" t="s">
        <v>7961</v>
      </c>
      <c r="S1075" s="174">
        <f t="shared" si="16"/>
        <v>58715</v>
      </c>
      <c r="T1075" s="2" t="s">
        <v>7691</v>
      </c>
      <c r="U1075" s="2" t="s">
        <v>113</v>
      </c>
      <c r="V1075" s="162" t="str" cm="1">
        <f t="array" ref="V1075">_xlfn.IFS(C1075="","",COUNTIF(C1075,"ตำแหน่งว่าง*"),"ว่าง",COUNTIF(C1075,"&lt;&gt;ตำแหน่งว่าง*"),"คนครอง")</f>
        <v>คนครอง</v>
      </c>
      <c r="W1075" s="1" cm="1">
        <f t="array" ref="W1075">_xlfn.IFS(COUNTIF(F1075,"ผบ.หมู่*"),51,COUNTIF(F1075,"รอง สว.*"),43)</f>
        <v>51</v>
      </c>
      <c r="X1075" s="1" t="s">
        <v>3009</v>
      </c>
      <c r="Y1075" s="1" t="s">
        <v>52</v>
      </c>
    </row>
    <row r="1076" spans="1:25" s="9" customFormat="1" ht="21.3" customHeight="1">
      <c r="A1076" s="27" t="s">
        <v>182</v>
      </c>
      <c r="B1076" s="28" t="s">
        <v>12</v>
      </c>
      <c r="C1076" s="27" t="s">
        <v>3011</v>
      </c>
      <c r="D1076" s="27" t="s">
        <v>9139</v>
      </c>
      <c r="E1076" s="27" t="s">
        <v>9140</v>
      </c>
      <c r="F1076" s="27" t="s">
        <v>3008</v>
      </c>
      <c r="G1076" s="101" t="s">
        <v>3013</v>
      </c>
      <c r="H1076" s="75">
        <v>44043</v>
      </c>
      <c r="I1076" s="73">
        <v>44043</v>
      </c>
      <c r="J1076" s="73">
        <v>44043</v>
      </c>
      <c r="K1076" s="73">
        <v>31086</v>
      </c>
      <c r="L1076" s="11" t="s">
        <v>82</v>
      </c>
      <c r="M1076" s="1" t="s">
        <v>17</v>
      </c>
      <c r="N1076" s="112" t="s">
        <v>14</v>
      </c>
      <c r="O1076" s="104" t="s">
        <v>52</v>
      </c>
      <c r="P1076" s="104" t="s">
        <v>52</v>
      </c>
      <c r="Q1076" s="105"/>
      <c r="R1076" s="28" t="s">
        <v>2436</v>
      </c>
      <c r="S1076" s="225">
        <f t="shared" si="16"/>
        <v>53236</v>
      </c>
      <c r="T1076" s="2" t="s">
        <v>7691</v>
      </c>
      <c r="U1076" s="7" t="s">
        <v>113</v>
      </c>
      <c r="V1076" s="162" t="str" cm="1">
        <f t="array" ref="V1076">_xlfn.IFS(C1076="","",COUNTIF(C1076,"ตำแหน่งว่าง*"),"ว่าง",COUNTIF(C1076,"&lt;&gt;ตำแหน่งว่าง*"),"คนครอง")</f>
        <v>คนครอง</v>
      </c>
      <c r="W1076" s="6" cm="1">
        <f t="array" ref="W1076">_xlfn.IFS(COUNTIF(F1076,"ผบ.หมู่*"),51,COUNTIF(F1076,"รอง สว.*"),43)</f>
        <v>51</v>
      </c>
      <c r="X1076" s="1" t="s">
        <v>3012</v>
      </c>
      <c r="Y1076" s="1" t="s">
        <v>52</v>
      </c>
    </row>
    <row r="1077" spans="1:25" s="12" customFormat="1" ht="21.3" customHeight="1">
      <c r="A1077" s="27" t="s">
        <v>157</v>
      </c>
      <c r="B1077" s="28" t="s">
        <v>21</v>
      </c>
      <c r="C1077" s="95" t="s">
        <v>3014</v>
      </c>
      <c r="D1077" s="27" t="s">
        <v>8396</v>
      </c>
      <c r="E1077" s="27" t="s">
        <v>9141</v>
      </c>
      <c r="F1077" s="95" t="s">
        <v>3008</v>
      </c>
      <c r="G1077" s="101" t="s">
        <v>3016</v>
      </c>
      <c r="H1077" s="91">
        <v>42501</v>
      </c>
      <c r="I1077" s="73">
        <v>34729</v>
      </c>
      <c r="J1077" s="73">
        <v>34729</v>
      </c>
      <c r="K1077" s="73">
        <v>27652</v>
      </c>
      <c r="L1077" s="11" t="s">
        <v>68</v>
      </c>
      <c r="M1077" s="1" t="s">
        <v>17</v>
      </c>
      <c r="N1077" s="111" t="s">
        <v>14</v>
      </c>
      <c r="O1077" s="104" t="s">
        <v>52</v>
      </c>
      <c r="P1077" s="104" t="s">
        <v>52</v>
      </c>
      <c r="Q1077" s="105"/>
      <c r="R1077" s="28" t="s">
        <v>110</v>
      </c>
      <c r="S1077" s="225">
        <f t="shared" si="16"/>
        <v>49583</v>
      </c>
      <c r="T1077" s="162" t="s">
        <v>7691</v>
      </c>
      <c r="U1077" s="7" t="s">
        <v>113</v>
      </c>
      <c r="V1077" s="162" t="str" cm="1">
        <f t="array" ref="V1077">_xlfn.IFS(C1077="","",COUNTIF(C1077,"ตำแหน่งว่าง*"),"ว่าง",COUNTIF(C1077,"&lt;&gt;ตำแหน่งว่าง*"),"คนครอง")</f>
        <v>คนครอง</v>
      </c>
      <c r="W1077" s="6" cm="1">
        <f t="array" ref="W1077">_xlfn.IFS(COUNTIF(F1077,"ผบ.หมู่*"),51,COUNTIF(F1077,"รอง สว.*"),43)</f>
        <v>51</v>
      </c>
      <c r="X1077" s="5" t="s">
        <v>3015</v>
      </c>
      <c r="Y1077" s="5" t="s">
        <v>52</v>
      </c>
    </row>
    <row r="1078" spans="1:25" s="9" customFormat="1" ht="21.3" customHeight="1">
      <c r="A1078" s="68"/>
      <c r="B1078" s="30"/>
      <c r="C1078" s="30" t="s">
        <v>18</v>
      </c>
      <c r="D1078" s="27"/>
      <c r="E1078" s="27"/>
      <c r="F1078" s="68" t="s">
        <v>3008</v>
      </c>
      <c r="G1078" s="121" t="s">
        <v>3018</v>
      </c>
      <c r="H1078" s="93" t="s">
        <v>19</v>
      </c>
      <c r="I1078" s="74" t="s">
        <v>19</v>
      </c>
      <c r="J1078" s="74" t="s">
        <v>19</v>
      </c>
      <c r="K1078" s="74" t="s">
        <v>19</v>
      </c>
      <c r="L1078" s="16"/>
      <c r="M1078" s="6"/>
      <c r="N1078" s="113" t="s">
        <v>14</v>
      </c>
      <c r="O1078" s="122" t="s">
        <v>52</v>
      </c>
      <c r="P1078" s="122" t="s">
        <v>52</v>
      </c>
      <c r="Q1078" s="106"/>
      <c r="R1078" s="30"/>
      <c r="S1078" s="225" t="str">
        <f t="shared" si="16"/>
        <v/>
      </c>
      <c r="T1078" s="2" t="s">
        <v>7691</v>
      </c>
      <c r="U1078" s="7" t="s">
        <v>113</v>
      </c>
      <c r="V1078" s="171" t="str" cm="1">
        <f t="array" ref="V1078">_xlfn.IFS(C1078="","",COUNTIF(C1078,"ตำแหน่งว่าง*"),"ว่าง",COUNTIF(C1078,"&lt;&gt;ตำแหน่งว่าง*"),"คนครอง")</f>
        <v>ว่าง</v>
      </c>
      <c r="W1078" s="6" cm="1">
        <f t="array" ref="W1078">_xlfn.IFS(COUNTIF(F1078,"ผบ.หมู่*"),51,COUNTIF(F1078,"รอง สว.*"),43)</f>
        <v>51</v>
      </c>
      <c r="X1078" s="6" t="s">
        <v>3017</v>
      </c>
      <c r="Y1078" s="6" t="s">
        <v>52</v>
      </c>
    </row>
    <row r="1079" spans="1:25" s="12" customFormat="1" ht="21.3" customHeight="1">
      <c r="A1079" s="68"/>
      <c r="B1079" s="30"/>
      <c r="C1079" s="30" t="s">
        <v>18</v>
      </c>
      <c r="D1079" s="27"/>
      <c r="E1079" s="27"/>
      <c r="F1079" s="68" t="s">
        <v>3008</v>
      </c>
      <c r="G1079" s="121" t="s">
        <v>3020</v>
      </c>
      <c r="H1079" s="93" t="s">
        <v>19</v>
      </c>
      <c r="I1079" s="74" t="s">
        <v>19</v>
      </c>
      <c r="J1079" s="74" t="s">
        <v>19</v>
      </c>
      <c r="K1079" s="74" t="s">
        <v>19</v>
      </c>
      <c r="L1079" s="16"/>
      <c r="M1079" s="6"/>
      <c r="N1079" s="113" t="s">
        <v>14</v>
      </c>
      <c r="O1079" s="122" t="s">
        <v>52</v>
      </c>
      <c r="P1079" s="122" t="s">
        <v>52</v>
      </c>
      <c r="Q1079" s="106"/>
      <c r="R1079" s="30"/>
      <c r="S1079" s="225" t="str">
        <f t="shared" si="16"/>
        <v/>
      </c>
      <c r="T1079" s="162" t="s">
        <v>7691</v>
      </c>
      <c r="U1079" s="7" t="s">
        <v>113</v>
      </c>
      <c r="V1079" s="171" t="str" cm="1">
        <f t="array" ref="V1079">_xlfn.IFS(C1079="","",COUNTIF(C1079,"ตำแหน่งว่าง*"),"ว่าง",COUNTIF(C1079,"&lt;&gt;ตำแหน่งว่าง*"),"คนครอง")</f>
        <v>ว่าง</v>
      </c>
      <c r="W1079" s="6" cm="1">
        <f t="array" ref="W1079">_xlfn.IFS(COUNTIF(F1079,"ผบ.หมู่*"),51,COUNTIF(F1079,"รอง สว.*"),43)</f>
        <v>51</v>
      </c>
      <c r="X1079" s="6" t="s">
        <v>3019</v>
      </c>
      <c r="Y1079" s="6" t="s">
        <v>52</v>
      </c>
    </row>
    <row r="1080" spans="1:25" s="12" customFormat="1" ht="21.3" customHeight="1">
      <c r="A1080" s="95"/>
      <c r="B1080" s="31"/>
      <c r="C1080" s="95" t="s">
        <v>18</v>
      </c>
      <c r="D1080" s="27"/>
      <c r="E1080" s="27"/>
      <c r="F1080" s="95" t="s">
        <v>3008</v>
      </c>
      <c r="G1080" s="101" t="s">
        <v>3022</v>
      </c>
      <c r="H1080" s="92"/>
      <c r="I1080" s="76"/>
      <c r="J1080" s="76"/>
      <c r="K1080" s="76"/>
      <c r="L1080" s="17"/>
      <c r="M1080" s="5"/>
      <c r="N1080" s="111" t="s">
        <v>14</v>
      </c>
      <c r="O1080" s="104" t="s">
        <v>52</v>
      </c>
      <c r="P1080" s="104" t="s">
        <v>52</v>
      </c>
      <c r="Q1080" s="108"/>
      <c r="R1080" s="31"/>
      <c r="S1080" s="225" t="str">
        <f t="shared" si="16"/>
        <v/>
      </c>
      <c r="T1080" s="162" t="s">
        <v>7691</v>
      </c>
      <c r="U1080" s="7" t="s">
        <v>113</v>
      </c>
      <c r="V1080" s="162" t="str" cm="1">
        <f t="array" ref="V1080">_xlfn.IFS(C1080="","",COUNTIF(C1080,"ตำแหน่งว่าง*"),"ว่าง",COUNTIF(C1080,"&lt;&gt;ตำแหน่งว่าง*"),"คนครอง")</f>
        <v>ว่าง</v>
      </c>
      <c r="W1080" s="5" cm="1">
        <f t="array" ref="W1080">_xlfn.IFS(COUNTIF(F1080,"ผบ.หมู่*"),51,COUNTIF(F1080,"รอง สว.*"),43)</f>
        <v>51</v>
      </c>
      <c r="X1080" s="5" t="s">
        <v>3021</v>
      </c>
      <c r="Y1080" s="5" t="s">
        <v>52</v>
      </c>
    </row>
    <row r="1081" spans="1:25" s="10" customFormat="1" ht="21.3" customHeight="1">
      <c r="A1081" s="27"/>
      <c r="B1081" s="28"/>
      <c r="C1081" s="30" t="s">
        <v>18</v>
      </c>
      <c r="D1081" s="27"/>
      <c r="E1081" s="27"/>
      <c r="F1081" s="68" t="s">
        <v>3008</v>
      </c>
      <c r="G1081" s="121" t="s">
        <v>3024</v>
      </c>
      <c r="H1081" s="91" t="s">
        <v>19</v>
      </c>
      <c r="I1081" s="73" t="s">
        <v>19</v>
      </c>
      <c r="J1081" s="73" t="s">
        <v>19</v>
      </c>
      <c r="K1081" s="73" t="s">
        <v>19</v>
      </c>
      <c r="L1081" s="11"/>
      <c r="M1081" s="1"/>
      <c r="N1081" s="113" t="s">
        <v>14</v>
      </c>
      <c r="O1081" s="122" t="s">
        <v>52</v>
      </c>
      <c r="P1081" s="122" t="s">
        <v>52</v>
      </c>
      <c r="Q1081" s="105"/>
      <c r="R1081" s="28"/>
      <c r="S1081" s="225" t="str">
        <f t="shared" si="16"/>
        <v/>
      </c>
      <c r="T1081" s="7" t="s">
        <v>7691</v>
      </c>
      <c r="U1081" s="7" t="s">
        <v>113</v>
      </c>
      <c r="V1081" s="171" t="str" cm="1">
        <f t="array" ref="V1081">_xlfn.IFS(C1081="","",COUNTIF(C1081,"ตำแหน่งว่าง*"),"ว่าง",COUNTIF(C1081,"&lt;&gt;ตำแหน่งว่าง*"),"คนครอง")</f>
        <v>ว่าง</v>
      </c>
      <c r="W1081" s="6" cm="1">
        <f t="array" ref="W1081">_xlfn.IFS(COUNTIF(F1081,"ผบ.หมู่*"),51,COUNTIF(F1081,"รอง สว.*"),43)</f>
        <v>51</v>
      </c>
      <c r="X1081" s="6" t="s">
        <v>3023</v>
      </c>
      <c r="Y1081" s="6" t="s">
        <v>52</v>
      </c>
    </row>
    <row r="1082" spans="1:25" s="12" customFormat="1" ht="21.3" customHeight="1">
      <c r="A1082" s="27"/>
      <c r="B1082" s="28"/>
      <c r="C1082" s="27" t="s">
        <v>18</v>
      </c>
      <c r="D1082" s="27"/>
      <c r="E1082" s="27"/>
      <c r="F1082" s="27" t="s">
        <v>3030</v>
      </c>
      <c r="G1082" s="101" t="s">
        <v>3028</v>
      </c>
      <c r="H1082" s="91"/>
      <c r="I1082" s="73"/>
      <c r="J1082" s="73"/>
      <c r="K1082" s="73"/>
      <c r="L1082" s="11"/>
      <c r="M1082" s="1"/>
      <c r="N1082" s="112" t="s">
        <v>14</v>
      </c>
      <c r="O1082" s="104" t="s">
        <v>52</v>
      </c>
      <c r="P1082" s="104" t="s">
        <v>52</v>
      </c>
      <c r="Q1082" s="105"/>
      <c r="R1082" s="28"/>
      <c r="S1082" s="174" t="str">
        <f t="shared" si="16"/>
        <v/>
      </c>
      <c r="T1082" s="2" t="s">
        <v>7692</v>
      </c>
      <c r="U1082" s="2" t="s">
        <v>113</v>
      </c>
      <c r="V1082" s="2" t="str" cm="1">
        <f t="array" ref="V1082">_xlfn.IFS(C1082="","",COUNTIF(C1082,"ตำแหน่งว่าง*"),"ว่าง",COUNTIF(C1082,"&lt;&gt;ตำแหน่งว่าง*"),"คนครอง")</f>
        <v>ว่าง</v>
      </c>
      <c r="W1082" s="1" cm="1">
        <f t="array" ref="W1082">_xlfn.IFS(COUNTIF(F1082,"ผบ.หมู่*"),51,COUNTIF(F1082,"รอง สว.*"),43)</f>
        <v>51</v>
      </c>
      <c r="X1082" s="1" t="s">
        <v>3027</v>
      </c>
      <c r="Y1082" s="1" t="s">
        <v>52</v>
      </c>
    </row>
    <row r="1083" spans="1:25" s="12" customFormat="1" ht="21.3" customHeight="1">
      <c r="A1083" s="27"/>
      <c r="B1083" s="28"/>
      <c r="C1083" s="27" t="s">
        <v>18</v>
      </c>
      <c r="D1083" s="27"/>
      <c r="E1083" s="27"/>
      <c r="F1083" s="27" t="s">
        <v>3030</v>
      </c>
      <c r="G1083" s="101" t="s">
        <v>3032</v>
      </c>
      <c r="H1083" s="75"/>
      <c r="I1083" s="73"/>
      <c r="J1083" s="73"/>
      <c r="K1083" s="73"/>
      <c r="L1083" s="11"/>
      <c r="M1083" s="1"/>
      <c r="N1083" s="112" t="s">
        <v>14</v>
      </c>
      <c r="O1083" s="104" t="s">
        <v>52</v>
      </c>
      <c r="P1083" s="104" t="s">
        <v>52</v>
      </c>
      <c r="Q1083" s="105"/>
      <c r="R1083" s="28"/>
      <c r="S1083" s="174" t="str">
        <f t="shared" si="16"/>
        <v/>
      </c>
      <c r="T1083" s="2" t="s">
        <v>7692</v>
      </c>
      <c r="U1083" s="2" t="s">
        <v>113</v>
      </c>
      <c r="V1083" s="2" t="str" cm="1">
        <f t="array" ref="V1083">_xlfn.IFS(C1083="","",COUNTIF(C1083,"ตำแหน่งว่าง*"),"ว่าง",COUNTIF(C1083,"&lt;&gt;ตำแหน่งว่าง*"),"คนครอง")</f>
        <v>ว่าง</v>
      </c>
      <c r="W1083" s="1" cm="1">
        <f t="array" ref="W1083">_xlfn.IFS(COUNTIF(F1083,"ผบ.หมู่*"),51,COUNTIF(F1083,"รอง สว.*"),43)</f>
        <v>51</v>
      </c>
      <c r="X1083" s="1" t="s">
        <v>3031</v>
      </c>
      <c r="Y1083" s="1" t="s">
        <v>52</v>
      </c>
    </row>
    <row r="1084" spans="1:25" s="9" customFormat="1" ht="21.3" customHeight="1">
      <c r="A1084" s="27" t="s">
        <v>44</v>
      </c>
      <c r="B1084" s="28" t="s">
        <v>12</v>
      </c>
      <c r="C1084" s="27" t="s">
        <v>3033</v>
      </c>
      <c r="D1084" s="27" t="s">
        <v>9144</v>
      </c>
      <c r="E1084" s="27" t="s">
        <v>9145</v>
      </c>
      <c r="F1084" s="95" t="s">
        <v>3026</v>
      </c>
      <c r="G1084" s="101" t="s">
        <v>3035</v>
      </c>
      <c r="H1084" s="75">
        <v>44286</v>
      </c>
      <c r="I1084" s="73">
        <v>44286</v>
      </c>
      <c r="J1084" s="73">
        <v>34352</v>
      </c>
      <c r="K1084" s="73">
        <v>25058</v>
      </c>
      <c r="L1084" s="11" t="s">
        <v>3036</v>
      </c>
      <c r="M1084" s="1" t="s">
        <v>17</v>
      </c>
      <c r="N1084" s="112" t="s">
        <v>14</v>
      </c>
      <c r="O1084" s="104" t="s">
        <v>52</v>
      </c>
      <c r="P1084" s="104" t="s">
        <v>52</v>
      </c>
      <c r="Q1084" s="105"/>
      <c r="R1084" s="28" t="s">
        <v>1313</v>
      </c>
      <c r="S1084" s="225">
        <f t="shared" si="16"/>
        <v>47027</v>
      </c>
      <c r="T1084" s="2" t="s">
        <v>7692</v>
      </c>
      <c r="U1084" s="7" t="s">
        <v>113</v>
      </c>
      <c r="V1084" s="162" t="str" cm="1">
        <f t="array" ref="V1084">_xlfn.IFS(C1084="","",COUNTIF(C1084,"ตำแหน่งว่าง*"),"ว่าง",COUNTIF(C1084,"&lt;&gt;ตำแหน่งว่าง*"),"คนครอง")</f>
        <v>คนครอง</v>
      </c>
      <c r="W1084" s="5" cm="1">
        <f t="array" ref="W1084">_xlfn.IFS(COUNTIF(F1084,"ผบ.หมู่*"),51,COUNTIF(F1084,"รอง สว.*"),43)</f>
        <v>43</v>
      </c>
      <c r="X1084" s="1" t="s">
        <v>3034</v>
      </c>
      <c r="Y1084" s="1" t="s">
        <v>52</v>
      </c>
    </row>
    <row r="1085" spans="1:25" s="10" customFormat="1" ht="21.3" customHeight="1">
      <c r="A1085" s="27" t="s">
        <v>612</v>
      </c>
      <c r="B1085" s="28" t="s">
        <v>12</v>
      </c>
      <c r="C1085" s="27" t="s">
        <v>3037</v>
      </c>
      <c r="D1085" s="27" t="s">
        <v>9146</v>
      </c>
      <c r="E1085" s="27" t="s">
        <v>9147</v>
      </c>
      <c r="F1085" s="27" t="s">
        <v>3030</v>
      </c>
      <c r="G1085" s="101" t="s">
        <v>3039</v>
      </c>
      <c r="H1085" s="75">
        <v>44999</v>
      </c>
      <c r="I1085" s="73">
        <v>42416</v>
      </c>
      <c r="J1085" s="73">
        <v>42416</v>
      </c>
      <c r="K1085" s="73">
        <v>32496</v>
      </c>
      <c r="L1085" s="11" t="s">
        <v>3040</v>
      </c>
      <c r="M1085" s="1" t="s">
        <v>46</v>
      </c>
      <c r="N1085" s="112" t="s">
        <v>14</v>
      </c>
      <c r="O1085" s="104" t="s">
        <v>52</v>
      </c>
      <c r="P1085" s="104" t="s">
        <v>52</v>
      </c>
      <c r="Q1085" s="105"/>
      <c r="R1085" s="28" t="s">
        <v>74</v>
      </c>
      <c r="S1085" s="225">
        <f t="shared" si="16"/>
        <v>54697</v>
      </c>
      <c r="T1085" s="7" t="s">
        <v>7692</v>
      </c>
      <c r="U1085" s="7" t="s">
        <v>113</v>
      </c>
      <c r="V1085" s="162" t="str" cm="1">
        <f t="array" ref="V1085">_xlfn.IFS(C1085="","",COUNTIF(C1085,"ตำแหน่งว่าง*"),"ว่าง",COUNTIF(C1085,"&lt;&gt;ตำแหน่งว่าง*"),"คนครอง")</f>
        <v>คนครอง</v>
      </c>
      <c r="W1085" s="6" cm="1">
        <f t="array" ref="W1085">_xlfn.IFS(COUNTIF(F1085,"ผบ.หมู่*"),51,COUNTIF(F1085,"รอง สว.*"),43)</f>
        <v>51</v>
      </c>
      <c r="X1085" s="1" t="s">
        <v>3038</v>
      </c>
      <c r="Y1085" s="1" t="s">
        <v>52</v>
      </c>
    </row>
    <row r="1086" spans="1:25" s="12" customFormat="1" ht="21.3" customHeight="1">
      <c r="A1086" s="192" t="s">
        <v>169</v>
      </c>
      <c r="B1086" s="193" t="s">
        <v>21</v>
      </c>
      <c r="C1086" s="192" t="s">
        <v>7917</v>
      </c>
      <c r="D1086" s="27" t="s">
        <v>9148</v>
      </c>
      <c r="E1086" s="27" t="s">
        <v>9149</v>
      </c>
      <c r="F1086" s="192" t="s">
        <v>3041</v>
      </c>
      <c r="G1086" s="101" t="s">
        <v>3043</v>
      </c>
      <c r="H1086" s="73">
        <v>45463</v>
      </c>
      <c r="I1086" s="73">
        <v>45463</v>
      </c>
      <c r="J1086" s="73">
        <v>45463</v>
      </c>
      <c r="K1086" s="73">
        <v>33204</v>
      </c>
      <c r="L1086" s="2" t="s">
        <v>82</v>
      </c>
      <c r="M1086" s="1"/>
      <c r="N1086" s="112" t="s">
        <v>14</v>
      </c>
      <c r="O1086" s="104" t="s">
        <v>52</v>
      </c>
      <c r="P1086" s="104" t="s">
        <v>52</v>
      </c>
      <c r="Q1086" s="105"/>
      <c r="R1086" s="28" t="s">
        <v>7961</v>
      </c>
      <c r="S1086" s="174">
        <f t="shared" si="16"/>
        <v>55427</v>
      </c>
      <c r="T1086" s="2" t="s">
        <v>7693</v>
      </c>
      <c r="U1086" s="2" t="s">
        <v>113</v>
      </c>
      <c r="V1086" s="162" t="str" cm="1">
        <f t="array" ref="V1086">_xlfn.IFS(C1086="","",COUNTIF(C1086,"ตำแหน่งว่าง*"),"ว่าง",COUNTIF(C1086,"&lt;&gt;ตำแหน่งว่าง*"),"คนครอง")</f>
        <v>คนครอง</v>
      </c>
      <c r="W1086" s="1" cm="1">
        <f t="array" ref="W1086">_xlfn.IFS(COUNTIF(F1086,"ผบ.หมู่*"),51,COUNTIF(F1086,"รอง สว.*"),43)</f>
        <v>51</v>
      </c>
      <c r="X1086" s="1" t="s">
        <v>3042</v>
      </c>
      <c r="Y1086" s="1" t="s">
        <v>52</v>
      </c>
    </row>
    <row r="1087" spans="1:25" s="12" customFormat="1" ht="21.3" customHeight="1">
      <c r="A1087" s="27" t="s">
        <v>182</v>
      </c>
      <c r="B1087" s="31" t="s">
        <v>12</v>
      </c>
      <c r="C1087" s="95" t="s">
        <v>3044</v>
      </c>
      <c r="D1087" s="27" t="s">
        <v>9150</v>
      </c>
      <c r="E1087" s="27" t="s">
        <v>9151</v>
      </c>
      <c r="F1087" s="95" t="s">
        <v>3041</v>
      </c>
      <c r="G1087" s="101" t="s">
        <v>3046</v>
      </c>
      <c r="H1087" s="75">
        <v>44636</v>
      </c>
      <c r="I1087" s="76">
        <v>44636</v>
      </c>
      <c r="J1087" s="76">
        <v>44636</v>
      </c>
      <c r="K1087" s="76">
        <v>31827</v>
      </c>
      <c r="L1087" s="17" t="s">
        <v>3047</v>
      </c>
      <c r="M1087" s="5" t="s">
        <v>57</v>
      </c>
      <c r="N1087" s="111" t="s">
        <v>14</v>
      </c>
      <c r="O1087" s="104" t="s">
        <v>52</v>
      </c>
      <c r="P1087" s="104" t="s">
        <v>52</v>
      </c>
      <c r="Q1087" s="108"/>
      <c r="R1087" s="31" t="s">
        <v>611</v>
      </c>
      <c r="S1087" s="225">
        <f t="shared" si="16"/>
        <v>53966</v>
      </c>
      <c r="T1087" s="162" t="s">
        <v>7693</v>
      </c>
      <c r="U1087" s="7" t="s">
        <v>113</v>
      </c>
      <c r="V1087" s="162" t="str" cm="1">
        <f t="array" ref="V1087">_xlfn.IFS(C1087="","",COUNTIF(C1087,"ตำแหน่งว่าง*"),"ว่าง",COUNTIF(C1087,"&lt;&gt;ตำแหน่งว่าง*"),"คนครอง")</f>
        <v>คนครอง</v>
      </c>
      <c r="W1087" s="6" cm="1">
        <f t="array" ref="W1087">_xlfn.IFS(COUNTIF(F1087,"ผบ.หมู่*"),51,COUNTIF(F1087,"รอง สว.*"),43)</f>
        <v>51</v>
      </c>
      <c r="X1087" s="5" t="s">
        <v>3045</v>
      </c>
      <c r="Y1087" s="5" t="s">
        <v>52</v>
      </c>
    </row>
    <row r="1088" spans="1:25" s="10" customFormat="1" ht="21.3" customHeight="1">
      <c r="A1088" s="27"/>
      <c r="B1088" s="28"/>
      <c r="C1088" s="30" t="s">
        <v>18</v>
      </c>
      <c r="D1088" s="27"/>
      <c r="E1088" s="27"/>
      <c r="F1088" s="68" t="s">
        <v>3041</v>
      </c>
      <c r="G1088" s="121" t="s">
        <v>3049</v>
      </c>
      <c r="H1088" s="91" t="s">
        <v>19</v>
      </c>
      <c r="I1088" s="73" t="s">
        <v>19</v>
      </c>
      <c r="J1088" s="73" t="s">
        <v>19</v>
      </c>
      <c r="K1088" s="73" t="s">
        <v>19</v>
      </c>
      <c r="L1088" s="11"/>
      <c r="M1088" s="1"/>
      <c r="N1088" s="113" t="s">
        <v>14</v>
      </c>
      <c r="O1088" s="122" t="s">
        <v>52</v>
      </c>
      <c r="P1088" s="122" t="s">
        <v>52</v>
      </c>
      <c r="Q1088" s="105"/>
      <c r="R1088" s="28"/>
      <c r="S1088" s="225" t="str">
        <f t="shared" si="16"/>
        <v/>
      </c>
      <c r="T1088" s="7" t="s">
        <v>7693</v>
      </c>
      <c r="U1088" s="7" t="s">
        <v>113</v>
      </c>
      <c r="V1088" s="171" t="str" cm="1">
        <f t="array" ref="V1088">_xlfn.IFS(C1088="","",COUNTIF(C1088,"ตำแหน่งว่าง*"),"ว่าง",COUNTIF(C1088,"&lt;&gt;ตำแหน่งว่าง*"),"คนครอง")</f>
        <v>ว่าง</v>
      </c>
      <c r="W1088" s="6" cm="1">
        <f t="array" ref="W1088">_xlfn.IFS(COUNTIF(F1088,"ผบ.หมู่*"),51,COUNTIF(F1088,"รอง สว.*"),43)</f>
        <v>51</v>
      </c>
      <c r="X1088" s="6" t="s">
        <v>3048</v>
      </c>
      <c r="Y1088" s="6" t="s">
        <v>52</v>
      </c>
    </row>
    <row r="1089" spans="1:25" s="10" customFormat="1" ht="21.3" customHeight="1">
      <c r="A1089" s="27"/>
      <c r="B1089" s="28"/>
      <c r="C1089" s="30" t="s">
        <v>18</v>
      </c>
      <c r="D1089" s="27"/>
      <c r="E1089" s="27"/>
      <c r="F1089" s="68" t="s">
        <v>3041</v>
      </c>
      <c r="G1089" s="121" t="s">
        <v>3051</v>
      </c>
      <c r="H1089" s="91" t="s">
        <v>19</v>
      </c>
      <c r="I1089" s="73" t="s">
        <v>19</v>
      </c>
      <c r="J1089" s="73" t="s">
        <v>19</v>
      </c>
      <c r="K1089" s="73" t="s">
        <v>19</v>
      </c>
      <c r="L1089" s="11"/>
      <c r="M1089" s="1"/>
      <c r="N1089" s="113" t="s">
        <v>14</v>
      </c>
      <c r="O1089" s="122" t="s">
        <v>52</v>
      </c>
      <c r="P1089" s="122" t="s">
        <v>52</v>
      </c>
      <c r="Q1089" s="105"/>
      <c r="R1089" s="28"/>
      <c r="S1089" s="225" t="str">
        <f t="shared" si="16"/>
        <v/>
      </c>
      <c r="T1089" s="7" t="s">
        <v>7693</v>
      </c>
      <c r="U1089" s="7" t="s">
        <v>113</v>
      </c>
      <c r="V1089" s="171" t="str" cm="1">
        <f t="array" ref="V1089">_xlfn.IFS(C1089="","",COUNTIF(C1089,"ตำแหน่งว่าง*"),"ว่าง",COUNTIF(C1089,"&lt;&gt;ตำแหน่งว่าง*"),"คนครอง")</f>
        <v>ว่าง</v>
      </c>
      <c r="W1089" s="6" cm="1">
        <f t="array" ref="W1089">_xlfn.IFS(COUNTIF(F1089,"ผบ.หมู่*"),51,COUNTIF(F1089,"รอง สว.*"),43)</f>
        <v>51</v>
      </c>
      <c r="X1089" s="6" t="s">
        <v>3050</v>
      </c>
      <c r="Y1089" s="6" t="s">
        <v>52</v>
      </c>
    </row>
    <row r="1090" spans="1:25" s="12" customFormat="1" ht="21.3" customHeight="1">
      <c r="A1090" s="68"/>
      <c r="B1090" s="30"/>
      <c r="C1090" s="30" t="s">
        <v>18</v>
      </c>
      <c r="D1090" s="27"/>
      <c r="E1090" s="27"/>
      <c r="F1090" s="68" t="s">
        <v>3052</v>
      </c>
      <c r="G1090" s="121" t="s">
        <v>3054</v>
      </c>
      <c r="H1090" s="80"/>
      <c r="I1090" s="74"/>
      <c r="J1090" s="74"/>
      <c r="K1090" s="74"/>
      <c r="L1090" s="16"/>
      <c r="M1090" s="6"/>
      <c r="N1090" s="113" t="s">
        <v>14</v>
      </c>
      <c r="O1090" s="122" t="s">
        <v>52</v>
      </c>
      <c r="P1090" s="122" t="s">
        <v>52</v>
      </c>
      <c r="Q1090" s="106"/>
      <c r="R1090" s="30"/>
      <c r="S1090" s="225" t="str">
        <f t="shared" ref="S1090:S1153" si="17">IF(K1090&lt;&gt;"",DATE(YEAR(K1090)+60+(K1090&gt;=DATE(YEAR(K1090),10,2)),10,1),"")</f>
        <v/>
      </c>
      <c r="T1090" s="162" t="s">
        <v>7694</v>
      </c>
      <c r="U1090" s="7" t="s">
        <v>113</v>
      </c>
      <c r="V1090" s="162" t="str" cm="1">
        <f t="array" ref="V1090">_xlfn.IFS(C1090="","",COUNTIF(C1090,"ตำแหน่งว่าง*"),"ว่าง",COUNTIF(C1090,"&lt;&gt;ตำแหน่งว่าง*"),"คนครอง")</f>
        <v>ว่าง</v>
      </c>
      <c r="W1090" s="6" cm="1">
        <f t="array" ref="W1090">_xlfn.IFS(COUNTIF(F1090,"ผบ.หมู่*"),51,COUNTIF(F1090,"รอง สว.*"),43)</f>
        <v>51</v>
      </c>
      <c r="X1090" s="5" t="s">
        <v>3053</v>
      </c>
      <c r="Y1090" s="5" t="s">
        <v>52</v>
      </c>
    </row>
    <row r="1091" spans="1:25" s="12" customFormat="1" ht="21.3" customHeight="1">
      <c r="A1091" s="27"/>
      <c r="B1091" s="28"/>
      <c r="C1091" s="30" t="s">
        <v>18</v>
      </c>
      <c r="D1091" s="27"/>
      <c r="E1091" s="27"/>
      <c r="F1091" s="95" t="s">
        <v>3052</v>
      </c>
      <c r="G1091" s="101" t="s">
        <v>3056</v>
      </c>
      <c r="H1091" s="91"/>
      <c r="I1091" s="91"/>
      <c r="J1091" s="73"/>
      <c r="K1091" s="73"/>
      <c r="L1091" s="11"/>
      <c r="M1091" s="1"/>
      <c r="N1091" s="111" t="s">
        <v>14</v>
      </c>
      <c r="O1091" s="104" t="s">
        <v>52</v>
      </c>
      <c r="P1091" s="104" t="s">
        <v>52</v>
      </c>
      <c r="Q1091" s="105"/>
      <c r="R1091" s="28"/>
      <c r="S1091" s="225" t="str">
        <f t="shared" si="17"/>
        <v/>
      </c>
      <c r="T1091" s="162" t="s">
        <v>7694</v>
      </c>
      <c r="U1091" s="7" t="s">
        <v>113</v>
      </c>
      <c r="V1091" s="162" t="str" cm="1">
        <f t="array" ref="V1091">_xlfn.IFS(C1091="","",COUNTIF(C1091,"ตำแหน่งว่าง*"),"ว่าง",COUNTIF(C1091,"&lt;&gt;ตำแหน่งว่าง*"),"คนครอง")</f>
        <v>ว่าง</v>
      </c>
      <c r="W1091" s="5" cm="1">
        <f t="array" ref="W1091">_xlfn.IFS(COUNTIF(F1091,"ผบ.หมู่*"),51,COUNTIF(F1091,"รอง สว.*"),43)</f>
        <v>51</v>
      </c>
      <c r="X1091" s="5" t="s">
        <v>3055</v>
      </c>
      <c r="Y1091" s="5" t="s">
        <v>52</v>
      </c>
    </row>
    <row r="1092" spans="1:25" s="9" customFormat="1" ht="21.3" customHeight="1">
      <c r="A1092" s="95" t="s">
        <v>208</v>
      </c>
      <c r="B1092" s="28" t="s">
        <v>21</v>
      </c>
      <c r="C1092" s="27" t="s">
        <v>3057</v>
      </c>
      <c r="D1092" s="27" t="s">
        <v>9152</v>
      </c>
      <c r="E1092" s="27" t="s">
        <v>9153</v>
      </c>
      <c r="F1092" s="27" t="s">
        <v>3052</v>
      </c>
      <c r="G1092" s="101" t="s">
        <v>3059</v>
      </c>
      <c r="H1092" s="91">
        <v>43693</v>
      </c>
      <c r="I1092" s="73">
        <v>43693</v>
      </c>
      <c r="J1092" s="73">
        <v>43693</v>
      </c>
      <c r="K1092" s="73">
        <v>34398</v>
      </c>
      <c r="L1092" s="11" t="s">
        <v>82</v>
      </c>
      <c r="M1092" s="1" t="s">
        <v>77</v>
      </c>
      <c r="N1092" s="112" t="s">
        <v>14</v>
      </c>
      <c r="O1092" s="104" t="s">
        <v>52</v>
      </c>
      <c r="P1092" s="104" t="s">
        <v>52</v>
      </c>
      <c r="Q1092" s="105"/>
      <c r="R1092" s="28" t="s">
        <v>645</v>
      </c>
      <c r="S1092" s="225">
        <f t="shared" si="17"/>
        <v>56523</v>
      </c>
      <c r="T1092" s="2" t="s">
        <v>7694</v>
      </c>
      <c r="U1092" s="7" t="s">
        <v>113</v>
      </c>
      <c r="V1092" s="162" t="str" cm="1">
        <f t="array" ref="V1092">_xlfn.IFS(C1092="","",COUNTIF(C1092,"ตำแหน่งว่าง*"),"ว่าง",COUNTIF(C1092,"&lt;&gt;ตำแหน่งว่าง*"),"คนครอง")</f>
        <v>คนครอง</v>
      </c>
      <c r="W1092" s="6" cm="1">
        <f t="array" ref="W1092">_xlfn.IFS(COUNTIF(F1092,"ผบ.หมู่*"),51,COUNTIF(F1092,"รอง สว.*"),43)</f>
        <v>51</v>
      </c>
      <c r="X1092" s="1" t="s">
        <v>3058</v>
      </c>
      <c r="Y1092" s="1" t="s">
        <v>52</v>
      </c>
    </row>
    <row r="1093" spans="1:25" s="10" customFormat="1" ht="21.3" customHeight="1">
      <c r="A1093" s="192" t="s">
        <v>169</v>
      </c>
      <c r="B1093" s="193" t="s">
        <v>21</v>
      </c>
      <c r="C1093" s="192" t="s">
        <v>7918</v>
      </c>
      <c r="D1093" s="27" t="s">
        <v>9154</v>
      </c>
      <c r="E1093" s="27" t="s">
        <v>9155</v>
      </c>
      <c r="F1093" s="192" t="s">
        <v>3052</v>
      </c>
      <c r="G1093" s="101" t="s">
        <v>3061</v>
      </c>
      <c r="H1093" s="73">
        <v>45463</v>
      </c>
      <c r="I1093" s="73">
        <v>45463</v>
      </c>
      <c r="J1093" s="73">
        <v>45463</v>
      </c>
      <c r="K1093" s="73">
        <v>35650</v>
      </c>
      <c r="L1093" s="2" t="s">
        <v>82</v>
      </c>
      <c r="M1093" s="1"/>
      <c r="N1093" s="112" t="s">
        <v>14</v>
      </c>
      <c r="O1093" s="104" t="s">
        <v>52</v>
      </c>
      <c r="P1093" s="104" t="s">
        <v>52</v>
      </c>
      <c r="Q1093" s="105"/>
      <c r="R1093" s="28" t="s">
        <v>7961</v>
      </c>
      <c r="S1093" s="174">
        <f t="shared" si="17"/>
        <v>57619</v>
      </c>
      <c r="T1093" s="2" t="s">
        <v>7694</v>
      </c>
      <c r="U1093" s="2" t="s">
        <v>113</v>
      </c>
      <c r="V1093" s="162" t="str" cm="1">
        <f t="array" ref="V1093">_xlfn.IFS(C1093="","",COUNTIF(C1093,"ตำแหน่งว่าง*"),"ว่าง",COUNTIF(C1093,"&lt;&gt;ตำแหน่งว่าง*"),"คนครอง")</f>
        <v>คนครอง</v>
      </c>
      <c r="W1093" s="1" cm="1">
        <f t="array" ref="W1093">_xlfn.IFS(COUNTIF(F1093,"ผบ.หมู่*"),51,COUNTIF(F1093,"รอง สว.*"),43)</f>
        <v>51</v>
      </c>
      <c r="X1093" s="1" t="s">
        <v>3060</v>
      </c>
      <c r="Y1093" s="1" t="s">
        <v>52</v>
      </c>
    </row>
    <row r="1094" spans="1:25" s="10" customFormat="1" ht="21.3" customHeight="1">
      <c r="A1094" s="27"/>
      <c r="B1094" s="28"/>
      <c r="C1094" s="30" t="s">
        <v>18</v>
      </c>
      <c r="D1094" s="27"/>
      <c r="E1094" s="27"/>
      <c r="F1094" s="68" t="s">
        <v>3052</v>
      </c>
      <c r="G1094" s="121" t="s">
        <v>3063</v>
      </c>
      <c r="H1094" s="91" t="s">
        <v>19</v>
      </c>
      <c r="I1094" s="73" t="s">
        <v>19</v>
      </c>
      <c r="J1094" s="73" t="s">
        <v>19</v>
      </c>
      <c r="K1094" s="73" t="s">
        <v>19</v>
      </c>
      <c r="L1094" s="11"/>
      <c r="M1094" s="1"/>
      <c r="N1094" s="113" t="s">
        <v>14</v>
      </c>
      <c r="O1094" s="122" t="s">
        <v>52</v>
      </c>
      <c r="P1094" s="122" t="s">
        <v>52</v>
      </c>
      <c r="Q1094" s="105"/>
      <c r="R1094" s="28"/>
      <c r="S1094" s="225" t="str">
        <f t="shared" si="17"/>
        <v/>
      </c>
      <c r="T1094" s="7" t="s">
        <v>7694</v>
      </c>
      <c r="U1094" s="7" t="s">
        <v>113</v>
      </c>
      <c r="V1094" s="171" t="str" cm="1">
        <f t="array" ref="V1094">_xlfn.IFS(C1094="","",COUNTIF(C1094,"ตำแหน่งว่าง*"),"ว่าง",COUNTIF(C1094,"&lt;&gt;ตำแหน่งว่าง*"),"คนครอง")</f>
        <v>ว่าง</v>
      </c>
      <c r="W1094" s="6" cm="1">
        <f t="array" ref="W1094">_xlfn.IFS(COUNTIF(F1094,"ผบ.หมู่*"),51,COUNTIF(F1094,"รอง สว.*"),43)</f>
        <v>51</v>
      </c>
      <c r="X1094" s="6" t="s">
        <v>3062</v>
      </c>
      <c r="Y1094" s="6" t="s">
        <v>52</v>
      </c>
    </row>
    <row r="1095" spans="1:25" s="9" customFormat="1" ht="21.3" customHeight="1">
      <c r="A1095" s="192" t="s">
        <v>169</v>
      </c>
      <c r="B1095" s="193" t="s">
        <v>21</v>
      </c>
      <c r="C1095" s="192" t="s">
        <v>7919</v>
      </c>
      <c r="D1095" s="27" t="s">
        <v>9156</v>
      </c>
      <c r="E1095" s="27" t="s">
        <v>9157</v>
      </c>
      <c r="F1095" s="192" t="s">
        <v>3064</v>
      </c>
      <c r="G1095" s="101" t="s">
        <v>3066</v>
      </c>
      <c r="H1095" s="73">
        <v>45463</v>
      </c>
      <c r="I1095" s="73">
        <v>45463</v>
      </c>
      <c r="J1095" s="73">
        <v>45463</v>
      </c>
      <c r="K1095" s="73">
        <v>36239</v>
      </c>
      <c r="L1095" s="2" t="s">
        <v>82</v>
      </c>
      <c r="M1095" s="1"/>
      <c r="N1095" s="112" t="s">
        <v>14</v>
      </c>
      <c r="O1095" s="104" t="s">
        <v>52</v>
      </c>
      <c r="P1095" s="104" t="s">
        <v>52</v>
      </c>
      <c r="Q1095" s="105"/>
      <c r="R1095" s="28" t="s">
        <v>7961</v>
      </c>
      <c r="S1095" s="174">
        <f t="shared" si="17"/>
        <v>58349</v>
      </c>
      <c r="T1095" s="2" t="s">
        <v>7695</v>
      </c>
      <c r="U1095" s="2" t="s">
        <v>113</v>
      </c>
      <c r="V1095" s="162" t="str" cm="1">
        <f t="array" ref="V1095">_xlfn.IFS(C1095="","",COUNTIF(C1095,"ตำแหน่งว่าง*"),"ว่าง",COUNTIF(C1095,"&lt;&gt;ตำแหน่งว่าง*"),"คนครอง")</f>
        <v>คนครอง</v>
      </c>
      <c r="W1095" s="1" cm="1">
        <f t="array" ref="W1095">_xlfn.IFS(COUNTIF(F1095,"ผบ.หมู่*"),51,COUNTIF(F1095,"รอง สว.*"),43)</f>
        <v>51</v>
      </c>
      <c r="X1095" s="1" t="s">
        <v>3065</v>
      </c>
      <c r="Y1095" s="1" t="s">
        <v>52</v>
      </c>
    </row>
    <row r="1096" spans="1:25" s="10" customFormat="1" ht="21.3" customHeight="1">
      <c r="A1096" s="65" t="s">
        <v>169</v>
      </c>
      <c r="B1096" s="66" t="s">
        <v>21</v>
      </c>
      <c r="C1096" s="65" t="s">
        <v>3067</v>
      </c>
      <c r="D1096" s="27" t="s">
        <v>9158</v>
      </c>
      <c r="E1096" s="27" t="s">
        <v>9159</v>
      </c>
      <c r="F1096" s="65" t="s">
        <v>3064</v>
      </c>
      <c r="G1096" s="101" t="s">
        <v>3069</v>
      </c>
      <c r="H1096" s="81">
        <v>44986</v>
      </c>
      <c r="I1096" s="77">
        <v>44986</v>
      </c>
      <c r="J1096" s="77">
        <v>44986</v>
      </c>
      <c r="K1096" s="77">
        <v>37828</v>
      </c>
      <c r="L1096" s="63" t="s">
        <v>82</v>
      </c>
      <c r="M1096" s="61" t="s">
        <v>80</v>
      </c>
      <c r="N1096" s="114" t="s">
        <v>14</v>
      </c>
      <c r="O1096" s="104" t="s">
        <v>52</v>
      </c>
      <c r="P1096" s="104" t="s">
        <v>52</v>
      </c>
      <c r="Q1096" s="107"/>
      <c r="R1096" s="66" t="s">
        <v>861</v>
      </c>
      <c r="S1096" s="225">
        <f t="shared" si="17"/>
        <v>59810</v>
      </c>
      <c r="T1096" s="7" t="s">
        <v>7695</v>
      </c>
      <c r="U1096" s="7" t="s">
        <v>113</v>
      </c>
      <c r="V1096" s="162" t="str" cm="1">
        <f t="array" ref="V1096">_xlfn.IFS(C1096="","",COUNTIF(C1096,"ตำแหน่งว่าง*"),"ว่าง",COUNTIF(C1096,"&lt;&gt;ตำแหน่งว่าง*"),"คนครอง")</f>
        <v>คนครอง</v>
      </c>
      <c r="W1096" s="6" cm="1">
        <f t="array" ref="W1096">_xlfn.IFS(COUNTIF(F1096,"ผบ.หมู่*"),51,COUNTIF(F1096,"รอง สว.*"),43)</f>
        <v>51</v>
      </c>
      <c r="X1096" s="61" t="s">
        <v>3068</v>
      </c>
      <c r="Y1096" s="61" t="s">
        <v>52</v>
      </c>
    </row>
    <row r="1097" spans="1:25" s="10" customFormat="1" ht="21.3" customHeight="1">
      <c r="A1097" s="65" t="s">
        <v>169</v>
      </c>
      <c r="B1097" s="66" t="s">
        <v>21</v>
      </c>
      <c r="C1097" s="65" t="s">
        <v>3070</v>
      </c>
      <c r="D1097" s="27" t="s">
        <v>9160</v>
      </c>
      <c r="E1097" s="27" t="s">
        <v>9161</v>
      </c>
      <c r="F1097" s="65" t="s">
        <v>3064</v>
      </c>
      <c r="G1097" s="101" t="s">
        <v>3072</v>
      </c>
      <c r="H1097" s="81">
        <v>44986</v>
      </c>
      <c r="I1097" s="77">
        <v>44986</v>
      </c>
      <c r="J1097" s="77">
        <v>44986</v>
      </c>
      <c r="K1097" s="77">
        <v>35745</v>
      </c>
      <c r="L1097" s="63" t="s">
        <v>82</v>
      </c>
      <c r="M1097" s="61" t="s">
        <v>99</v>
      </c>
      <c r="N1097" s="114" t="s">
        <v>14</v>
      </c>
      <c r="O1097" s="104" t="s">
        <v>52</v>
      </c>
      <c r="P1097" s="104" t="s">
        <v>52</v>
      </c>
      <c r="Q1097" s="107"/>
      <c r="R1097" s="66" t="s">
        <v>861</v>
      </c>
      <c r="S1097" s="225">
        <f t="shared" si="17"/>
        <v>57984</v>
      </c>
      <c r="T1097" s="7" t="s">
        <v>7695</v>
      </c>
      <c r="U1097" s="7" t="s">
        <v>113</v>
      </c>
      <c r="V1097" s="162" t="str" cm="1">
        <f t="array" ref="V1097">_xlfn.IFS(C1097="","",COUNTIF(C1097,"ตำแหน่งว่าง*"),"ว่าง",COUNTIF(C1097,"&lt;&gt;ตำแหน่งว่าง*"),"คนครอง")</f>
        <v>คนครอง</v>
      </c>
      <c r="W1097" s="6" cm="1">
        <f t="array" ref="W1097">_xlfn.IFS(COUNTIF(F1097,"ผบ.หมู่*"),51,COUNTIF(F1097,"รอง สว.*"),43)</f>
        <v>51</v>
      </c>
      <c r="X1097" s="61" t="s">
        <v>3071</v>
      </c>
      <c r="Y1097" s="61" t="s">
        <v>52</v>
      </c>
    </row>
    <row r="1098" spans="1:25" s="10" customFormat="1" ht="21.3" customHeight="1">
      <c r="A1098" s="27"/>
      <c r="B1098" s="28"/>
      <c r="C1098" s="30" t="s">
        <v>18</v>
      </c>
      <c r="D1098" s="27"/>
      <c r="E1098" s="27"/>
      <c r="F1098" s="68" t="s">
        <v>3064</v>
      </c>
      <c r="G1098" s="121" t="s">
        <v>3074</v>
      </c>
      <c r="H1098" s="91" t="s">
        <v>19</v>
      </c>
      <c r="I1098" s="73" t="s">
        <v>19</v>
      </c>
      <c r="J1098" s="73" t="s">
        <v>19</v>
      </c>
      <c r="K1098" s="73" t="s">
        <v>19</v>
      </c>
      <c r="L1098" s="11"/>
      <c r="M1098" s="1"/>
      <c r="N1098" s="113" t="s">
        <v>14</v>
      </c>
      <c r="O1098" s="122" t="s">
        <v>52</v>
      </c>
      <c r="P1098" s="122" t="s">
        <v>52</v>
      </c>
      <c r="Q1098" s="105"/>
      <c r="R1098" s="28"/>
      <c r="S1098" s="225" t="str">
        <f t="shared" si="17"/>
        <v/>
      </c>
      <c r="T1098" s="7" t="s">
        <v>7695</v>
      </c>
      <c r="U1098" s="7" t="s">
        <v>113</v>
      </c>
      <c r="V1098" s="171" t="str" cm="1">
        <f t="array" ref="V1098">_xlfn.IFS(C1098="","",COUNTIF(C1098,"ตำแหน่งว่าง*"),"ว่าง",COUNTIF(C1098,"&lt;&gt;ตำแหน่งว่าง*"),"คนครอง")</f>
        <v>ว่าง</v>
      </c>
      <c r="W1098" s="6" cm="1">
        <f t="array" ref="W1098">_xlfn.IFS(COUNTIF(F1098,"ผบ.หมู่*"),51,COUNTIF(F1098,"รอง สว.*"),43)</f>
        <v>51</v>
      </c>
      <c r="X1098" s="6" t="s">
        <v>3073</v>
      </c>
      <c r="Y1098" s="6" t="s">
        <v>52</v>
      </c>
    </row>
    <row r="1099" spans="1:25" s="10" customFormat="1" ht="21.3" customHeight="1">
      <c r="A1099" s="65" t="s">
        <v>169</v>
      </c>
      <c r="B1099" s="66" t="s">
        <v>12</v>
      </c>
      <c r="C1099" s="65" t="s">
        <v>3075</v>
      </c>
      <c r="D1099" s="27" t="s">
        <v>9162</v>
      </c>
      <c r="E1099" s="27" t="s">
        <v>8720</v>
      </c>
      <c r="F1099" s="65" t="s">
        <v>3076</v>
      </c>
      <c r="G1099" s="101" t="s">
        <v>3078</v>
      </c>
      <c r="H1099" s="81">
        <v>44986</v>
      </c>
      <c r="I1099" s="77">
        <v>44986</v>
      </c>
      <c r="J1099" s="77">
        <v>44986</v>
      </c>
      <c r="K1099" s="77">
        <v>34315</v>
      </c>
      <c r="L1099" s="63" t="s">
        <v>82</v>
      </c>
      <c r="M1099" s="61" t="s">
        <v>28</v>
      </c>
      <c r="N1099" s="114" t="s">
        <v>14</v>
      </c>
      <c r="O1099" s="104" t="s">
        <v>52</v>
      </c>
      <c r="P1099" s="104" t="s">
        <v>52</v>
      </c>
      <c r="Q1099" s="107"/>
      <c r="R1099" s="66" t="s">
        <v>861</v>
      </c>
      <c r="S1099" s="225">
        <f t="shared" si="17"/>
        <v>56523</v>
      </c>
      <c r="T1099" s="7" t="s">
        <v>7696</v>
      </c>
      <c r="U1099" s="7" t="s">
        <v>113</v>
      </c>
      <c r="V1099" s="162" t="str" cm="1">
        <f t="array" ref="V1099">_xlfn.IFS(C1099="","",COUNTIF(C1099,"ตำแหน่งว่าง*"),"ว่าง",COUNTIF(C1099,"&lt;&gt;ตำแหน่งว่าง*"),"คนครอง")</f>
        <v>คนครอง</v>
      </c>
      <c r="W1099" s="6" cm="1">
        <f t="array" ref="W1099">_xlfn.IFS(COUNTIF(F1099,"ผบ.หมู่*"),51,COUNTIF(F1099,"รอง สว.*"),43)</f>
        <v>51</v>
      </c>
      <c r="X1099" s="61" t="s">
        <v>3077</v>
      </c>
      <c r="Y1099" s="61" t="s">
        <v>52</v>
      </c>
    </row>
    <row r="1100" spans="1:25" s="10" customFormat="1" ht="21.3" customHeight="1">
      <c r="A1100" s="65" t="s">
        <v>169</v>
      </c>
      <c r="B1100" s="66" t="s">
        <v>12</v>
      </c>
      <c r="C1100" s="65" t="s">
        <v>3079</v>
      </c>
      <c r="D1100" s="27" t="s">
        <v>9163</v>
      </c>
      <c r="E1100" s="27" t="s">
        <v>9164</v>
      </c>
      <c r="F1100" s="65" t="s">
        <v>3076</v>
      </c>
      <c r="G1100" s="101" t="s">
        <v>3081</v>
      </c>
      <c r="H1100" s="81">
        <v>44986</v>
      </c>
      <c r="I1100" s="77">
        <v>44986</v>
      </c>
      <c r="J1100" s="77">
        <v>44986</v>
      </c>
      <c r="K1100" s="77">
        <v>32879</v>
      </c>
      <c r="L1100" s="63" t="s">
        <v>82</v>
      </c>
      <c r="M1100" s="61" t="s">
        <v>28</v>
      </c>
      <c r="N1100" s="114" t="s">
        <v>14</v>
      </c>
      <c r="O1100" s="104" t="s">
        <v>52</v>
      </c>
      <c r="P1100" s="104" t="s">
        <v>52</v>
      </c>
      <c r="Q1100" s="107"/>
      <c r="R1100" s="66" t="s">
        <v>861</v>
      </c>
      <c r="S1100" s="225">
        <f t="shared" si="17"/>
        <v>55062</v>
      </c>
      <c r="T1100" s="7" t="s">
        <v>7696</v>
      </c>
      <c r="U1100" s="7" t="s">
        <v>113</v>
      </c>
      <c r="V1100" s="162" t="str" cm="1">
        <f t="array" ref="V1100">_xlfn.IFS(C1100="","",COUNTIF(C1100,"ตำแหน่งว่าง*"),"ว่าง",COUNTIF(C1100,"&lt;&gt;ตำแหน่งว่าง*"),"คนครอง")</f>
        <v>คนครอง</v>
      </c>
      <c r="W1100" s="6" cm="1">
        <f t="array" ref="W1100">_xlfn.IFS(COUNTIF(F1100,"ผบ.หมู่*"),51,COUNTIF(F1100,"รอง สว.*"),43)</f>
        <v>51</v>
      </c>
      <c r="X1100" s="61" t="s">
        <v>3080</v>
      </c>
      <c r="Y1100" s="61" t="s">
        <v>52</v>
      </c>
    </row>
    <row r="1101" spans="1:25" s="10" customFormat="1" ht="21.3" customHeight="1">
      <c r="A1101" s="27"/>
      <c r="B1101" s="28"/>
      <c r="C1101" s="30" t="s">
        <v>18</v>
      </c>
      <c r="D1101" s="27"/>
      <c r="E1101" s="27"/>
      <c r="F1101" s="68" t="s">
        <v>3076</v>
      </c>
      <c r="G1101" s="121" t="s">
        <v>3083</v>
      </c>
      <c r="H1101" s="91" t="s">
        <v>19</v>
      </c>
      <c r="I1101" s="73" t="s">
        <v>19</v>
      </c>
      <c r="J1101" s="73" t="s">
        <v>19</v>
      </c>
      <c r="K1101" s="73" t="s">
        <v>19</v>
      </c>
      <c r="L1101" s="11"/>
      <c r="M1101" s="1"/>
      <c r="N1101" s="113" t="s">
        <v>14</v>
      </c>
      <c r="O1101" s="122" t="s">
        <v>52</v>
      </c>
      <c r="P1101" s="122" t="s">
        <v>52</v>
      </c>
      <c r="Q1101" s="105"/>
      <c r="R1101" s="28"/>
      <c r="S1101" s="225" t="str">
        <f t="shared" si="17"/>
        <v/>
      </c>
      <c r="T1101" s="7" t="s">
        <v>7696</v>
      </c>
      <c r="U1101" s="7" t="s">
        <v>113</v>
      </c>
      <c r="V1101" s="171" t="str" cm="1">
        <f t="array" ref="V1101">_xlfn.IFS(C1101="","",COUNTIF(C1101,"ตำแหน่งว่าง*"),"ว่าง",COUNTIF(C1101,"&lt;&gt;ตำแหน่งว่าง*"),"คนครอง")</f>
        <v>ว่าง</v>
      </c>
      <c r="W1101" s="6" cm="1">
        <f t="array" ref="W1101">_xlfn.IFS(COUNTIF(F1101,"ผบ.หมู่*"),51,COUNTIF(F1101,"รอง สว.*"),43)</f>
        <v>51</v>
      </c>
      <c r="X1101" s="6" t="s">
        <v>3082</v>
      </c>
      <c r="Y1101" s="6" t="s">
        <v>52</v>
      </c>
    </row>
    <row r="1102" spans="1:25" s="10" customFormat="1" ht="21.3" customHeight="1">
      <c r="A1102" s="27"/>
      <c r="B1102" s="28"/>
      <c r="C1102" s="30" t="s">
        <v>18</v>
      </c>
      <c r="D1102" s="27"/>
      <c r="E1102" s="27"/>
      <c r="F1102" s="68" t="s">
        <v>3076</v>
      </c>
      <c r="G1102" s="121" t="s">
        <v>3085</v>
      </c>
      <c r="H1102" s="91" t="s">
        <v>19</v>
      </c>
      <c r="I1102" s="73" t="s">
        <v>19</v>
      </c>
      <c r="J1102" s="73" t="s">
        <v>19</v>
      </c>
      <c r="K1102" s="73" t="s">
        <v>19</v>
      </c>
      <c r="L1102" s="11"/>
      <c r="M1102" s="1"/>
      <c r="N1102" s="113" t="s">
        <v>14</v>
      </c>
      <c r="O1102" s="122" t="s">
        <v>52</v>
      </c>
      <c r="P1102" s="122" t="s">
        <v>52</v>
      </c>
      <c r="Q1102" s="105"/>
      <c r="R1102" s="28"/>
      <c r="S1102" s="225" t="str">
        <f t="shared" si="17"/>
        <v/>
      </c>
      <c r="T1102" s="7" t="s">
        <v>7696</v>
      </c>
      <c r="U1102" s="7" t="s">
        <v>113</v>
      </c>
      <c r="V1102" s="171" t="str" cm="1">
        <f t="array" ref="V1102">_xlfn.IFS(C1102="","",COUNTIF(C1102,"ตำแหน่งว่าง*"),"ว่าง",COUNTIF(C1102,"&lt;&gt;ตำแหน่งว่าง*"),"คนครอง")</f>
        <v>ว่าง</v>
      </c>
      <c r="W1102" s="6" cm="1">
        <f t="array" ref="W1102">_xlfn.IFS(COUNTIF(F1102,"ผบ.หมู่*"),51,COUNTIF(F1102,"รอง สว.*"),43)</f>
        <v>51</v>
      </c>
      <c r="X1102" s="6" t="s">
        <v>3084</v>
      </c>
      <c r="Y1102" s="6" t="s">
        <v>52</v>
      </c>
    </row>
    <row r="1103" spans="1:25" s="10" customFormat="1" ht="21.3" customHeight="1">
      <c r="A1103" s="27"/>
      <c r="B1103" s="28"/>
      <c r="C1103" s="30" t="s">
        <v>18</v>
      </c>
      <c r="D1103" s="27"/>
      <c r="E1103" s="27"/>
      <c r="F1103" s="68" t="s">
        <v>3086</v>
      </c>
      <c r="G1103" s="121" t="s">
        <v>3088</v>
      </c>
      <c r="H1103" s="91" t="s">
        <v>19</v>
      </c>
      <c r="I1103" s="73" t="s">
        <v>19</v>
      </c>
      <c r="J1103" s="73" t="s">
        <v>19</v>
      </c>
      <c r="K1103" s="73" t="s">
        <v>19</v>
      </c>
      <c r="L1103" s="11"/>
      <c r="M1103" s="1"/>
      <c r="N1103" s="113" t="s">
        <v>14</v>
      </c>
      <c r="O1103" s="122" t="s">
        <v>52</v>
      </c>
      <c r="P1103" s="122" t="s">
        <v>52</v>
      </c>
      <c r="Q1103" s="105"/>
      <c r="R1103" s="28"/>
      <c r="S1103" s="225" t="str">
        <f t="shared" si="17"/>
        <v/>
      </c>
      <c r="T1103" s="7" t="s">
        <v>7697</v>
      </c>
      <c r="U1103" s="7" t="s">
        <v>113</v>
      </c>
      <c r="V1103" s="171" t="str" cm="1">
        <f t="array" ref="V1103">_xlfn.IFS(C1103="","",COUNTIF(C1103,"ตำแหน่งว่าง*"),"ว่าง",COUNTIF(C1103,"&lt;&gt;ตำแหน่งว่าง*"),"คนครอง")</f>
        <v>ว่าง</v>
      </c>
      <c r="W1103" s="6" cm="1">
        <f t="array" ref="W1103">_xlfn.IFS(COUNTIF(F1103,"ผบ.หมู่*"),51,COUNTIF(F1103,"รอง สว.*"),43)</f>
        <v>51</v>
      </c>
      <c r="X1103" s="6" t="s">
        <v>3087</v>
      </c>
      <c r="Y1103" s="6" t="s">
        <v>52</v>
      </c>
    </row>
    <row r="1104" spans="1:25" s="9" customFormat="1" ht="21.3" customHeight="1">
      <c r="A1104" s="27" t="s">
        <v>157</v>
      </c>
      <c r="B1104" s="28" t="s">
        <v>21</v>
      </c>
      <c r="C1104" s="27" t="s">
        <v>3089</v>
      </c>
      <c r="D1104" s="27" t="s">
        <v>9165</v>
      </c>
      <c r="E1104" s="27" t="s">
        <v>9166</v>
      </c>
      <c r="F1104" s="27" t="s">
        <v>3090</v>
      </c>
      <c r="G1104" s="101" t="s">
        <v>3092</v>
      </c>
      <c r="H1104" s="91">
        <v>43871</v>
      </c>
      <c r="I1104" s="73">
        <v>40339</v>
      </c>
      <c r="J1104" s="73">
        <v>40339</v>
      </c>
      <c r="K1104" s="73">
        <v>31054</v>
      </c>
      <c r="L1104" s="11" t="s">
        <v>3093</v>
      </c>
      <c r="M1104" s="1" t="s">
        <v>70</v>
      </c>
      <c r="N1104" s="112" t="s">
        <v>14</v>
      </c>
      <c r="O1104" s="104" t="s">
        <v>52</v>
      </c>
      <c r="P1104" s="104" t="s">
        <v>52</v>
      </c>
      <c r="Q1104" s="105"/>
      <c r="R1104" s="28" t="s">
        <v>688</v>
      </c>
      <c r="S1104" s="225">
        <f t="shared" si="17"/>
        <v>53236</v>
      </c>
      <c r="T1104" s="2" t="s">
        <v>7618</v>
      </c>
      <c r="U1104" s="7" t="s">
        <v>113</v>
      </c>
      <c r="V1104" s="162" t="str" cm="1">
        <f t="array" ref="V1104">_xlfn.IFS(C1104="","",COUNTIF(C1104,"ตำแหน่งว่าง*"),"ว่าง",COUNTIF(C1104,"&lt;&gt;ตำแหน่งว่าง*"),"คนครอง")</f>
        <v>คนครอง</v>
      </c>
      <c r="W1104" s="6" cm="1">
        <f t="array" ref="W1104">_xlfn.IFS(COUNTIF(F1104,"ผบ.หมู่*"),51,COUNTIF(F1104,"รอง สว.*"),43)</f>
        <v>51</v>
      </c>
      <c r="X1104" s="1" t="s">
        <v>3091</v>
      </c>
      <c r="Y1104" s="1" t="s">
        <v>52</v>
      </c>
    </row>
    <row r="1105" spans="1:25" s="9" customFormat="1" ht="21.3" customHeight="1">
      <c r="A1105" s="27" t="s">
        <v>208</v>
      </c>
      <c r="B1105" s="28" t="s">
        <v>21</v>
      </c>
      <c r="C1105" s="27" t="s">
        <v>7779</v>
      </c>
      <c r="D1105" s="27" t="s">
        <v>9167</v>
      </c>
      <c r="E1105" s="27" t="s">
        <v>9168</v>
      </c>
      <c r="F1105" s="27" t="s">
        <v>3090</v>
      </c>
      <c r="G1105" s="101" t="s">
        <v>3095</v>
      </c>
      <c r="H1105" s="91">
        <v>45322</v>
      </c>
      <c r="I1105" s="73">
        <v>43693</v>
      </c>
      <c r="J1105" s="73">
        <v>43693</v>
      </c>
      <c r="K1105" s="73">
        <v>34971</v>
      </c>
      <c r="L1105" s="11" t="s">
        <v>82</v>
      </c>
      <c r="M1105" s="1" t="s">
        <v>123</v>
      </c>
      <c r="N1105" s="112" t="s">
        <v>14</v>
      </c>
      <c r="O1105" s="104" t="s">
        <v>52</v>
      </c>
      <c r="P1105" s="104" t="s">
        <v>52</v>
      </c>
      <c r="Q1105" s="105"/>
      <c r="R1105" s="30" t="s">
        <v>7778</v>
      </c>
      <c r="S1105" s="225">
        <f t="shared" si="17"/>
        <v>56888</v>
      </c>
      <c r="T1105" s="2" t="s">
        <v>7618</v>
      </c>
      <c r="U1105" s="7" t="s">
        <v>113</v>
      </c>
      <c r="V1105" s="162" t="str" cm="1">
        <f t="array" ref="V1105">_xlfn.IFS(C1105="","",COUNTIF(C1105,"ตำแหน่งว่าง*"),"ว่าง",COUNTIF(C1105,"&lt;&gt;ตำแหน่งว่าง*"),"คนครอง")</f>
        <v>คนครอง</v>
      </c>
      <c r="W1105" s="6" cm="1">
        <f t="array" ref="W1105">_xlfn.IFS(COUNTIF(F1105,"ผบ.หมู่*"),51,COUNTIF(F1105,"รอง สว.*"),43)</f>
        <v>51</v>
      </c>
      <c r="X1105" s="1" t="s">
        <v>3094</v>
      </c>
      <c r="Y1105" s="1" t="s">
        <v>52</v>
      </c>
    </row>
    <row r="1106" spans="1:25" s="10" customFormat="1" ht="21.3" customHeight="1">
      <c r="A1106" s="192" t="s">
        <v>169</v>
      </c>
      <c r="B1106" s="193" t="s">
        <v>21</v>
      </c>
      <c r="C1106" s="192" t="s">
        <v>7920</v>
      </c>
      <c r="D1106" s="27" t="s">
        <v>9169</v>
      </c>
      <c r="E1106" s="27" t="s">
        <v>9170</v>
      </c>
      <c r="F1106" s="192" t="s">
        <v>3090</v>
      </c>
      <c r="G1106" s="101" t="s">
        <v>3097</v>
      </c>
      <c r="H1106" s="73">
        <v>45463</v>
      </c>
      <c r="I1106" s="73">
        <v>45463</v>
      </c>
      <c r="J1106" s="73">
        <v>45463</v>
      </c>
      <c r="K1106" s="73">
        <v>37223</v>
      </c>
      <c r="L1106" s="2" t="s">
        <v>82</v>
      </c>
      <c r="M1106" s="1"/>
      <c r="N1106" s="112" t="s">
        <v>14</v>
      </c>
      <c r="O1106" s="104" t="s">
        <v>52</v>
      </c>
      <c r="P1106" s="104" t="s">
        <v>52</v>
      </c>
      <c r="Q1106" s="105"/>
      <c r="R1106" s="28" t="s">
        <v>7961</v>
      </c>
      <c r="S1106" s="174">
        <f t="shared" si="17"/>
        <v>59445</v>
      </c>
      <c r="T1106" s="2" t="s">
        <v>7618</v>
      </c>
      <c r="U1106" s="2" t="s">
        <v>113</v>
      </c>
      <c r="V1106" s="162" t="str" cm="1">
        <f t="array" ref="V1106">_xlfn.IFS(C1106="","",COUNTIF(C1106,"ตำแหน่งว่าง*"),"ว่าง",COUNTIF(C1106,"&lt;&gt;ตำแหน่งว่าง*"),"คนครอง")</f>
        <v>คนครอง</v>
      </c>
      <c r="W1106" s="1" cm="1">
        <f t="array" ref="W1106">_xlfn.IFS(COUNTIF(F1106,"ผบ.หมู่*"),51,COUNTIF(F1106,"รอง สว.*"),43)</f>
        <v>51</v>
      </c>
      <c r="X1106" s="1" t="s">
        <v>3096</v>
      </c>
      <c r="Y1106" s="1" t="s">
        <v>52</v>
      </c>
    </row>
    <row r="1107" spans="1:25" s="9" customFormat="1" ht="21.3" customHeight="1">
      <c r="A1107" s="195" t="s">
        <v>169</v>
      </c>
      <c r="B1107" s="194" t="s">
        <v>21</v>
      </c>
      <c r="C1107" s="192" t="s">
        <v>7921</v>
      </c>
      <c r="D1107" s="27" t="s">
        <v>9171</v>
      </c>
      <c r="E1107" s="27" t="s">
        <v>9172</v>
      </c>
      <c r="F1107" s="192" t="s">
        <v>3090</v>
      </c>
      <c r="G1107" s="101" t="s">
        <v>3100</v>
      </c>
      <c r="H1107" s="73">
        <v>45463</v>
      </c>
      <c r="I1107" s="73">
        <v>45463</v>
      </c>
      <c r="J1107" s="73">
        <v>45463</v>
      </c>
      <c r="K1107" s="73">
        <v>37092</v>
      </c>
      <c r="L1107" s="2" t="s">
        <v>82</v>
      </c>
      <c r="M1107" s="3"/>
      <c r="N1107" s="112" t="s">
        <v>14</v>
      </c>
      <c r="O1107" s="104" t="s">
        <v>52</v>
      </c>
      <c r="P1107" s="104" t="s">
        <v>52</v>
      </c>
      <c r="Q1107" s="105"/>
      <c r="R1107" s="28" t="s">
        <v>7961</v>
      </c>
      <c r="S1107" s="174">
        <f t="shared" si="17"/>
        <v>59080</v>
      </c>
      <c r="T1107" s="2" t="s">
        <v>7618</v>
      </c>
      <c r="U1107" s="2" t="s">
        <v>113</v>
      </c>
      <c r="V1107" s="162" t="str" cm="1">
        <f t="array" ref="V1107">_xlfn.IFS(C1107="","",COUNTIF(C1107,"ตำแหน่งว่าง*"),"ว่าง",COUNTIF(C1107,"&lt;&gt;ตำแหน่งว่าง*"),"คนครอง")</f>
        <v>คนครอง</v>
      </c>
      <c r="W1107" s="1" cm="1">
        <f t="array" ref="W1107">_xlfn.IFS(COUNTIF(F1107,"ผบ.หมู่*"),51,COUNTIF(F1107,"รอง สว.*"),43)</f>
        <v>51</v>
      </c>
      <c r="X1107" s="1" t="s">
        <v>3099</v>
      </c>
      <c r="Y1107" s="1" t="s">
        <v>52</v>
      </c>
    </row>
    <row r="1108" spans="1:25" s="10" customFormat="1" ht="21.3" customHeight="1">
      <c r="A1108" s="27"/>
      <c r="B1108" s="28"/>
      <c r="C1108" s="30" t="s">
        <v>18</v>
      </c>
      <c r="D1108" s="27"/>
      <c r="E1108" s="27"/>
      <c r="F1108" s="68" t="s">
        <v>3090</v>
      </c>
      <c r="G1108" s="121" t="s">
        <v>3102</v>
      </c>
      <c r="H1108" s="91" t="s">
        <v>19</v>
      </c>
      <c r="I1108" s="73" t="s">
        <v>19</v>
      </c>
      <c r="J1108" s="73" t="s">
        <v>19</v>
      </c>
      <c r="K1108" s="73" t="s">
        <v>19</v>
      </c>
      <c r="L1108" s="11"/>
      <c r="M1108" s="1"/>
      <c r="N1108" s="113" t="s">
        <v>14</v>
      </c>
      <c r="O1108" s="122" t="s">
        <v>52</v>
      </c>
      <c r="P1108" s="122" t="s">
        <v>52</v>
      </c>
      <c r="Q1108" s="105"/>
      <c r="R1108" s="28"/>
      <c r="S1108" s="225" t="str">
        <f t="shared" si="17"/>
        <v/>
      </c>
      <c r="T1108" s="7" t="s">
        <v>7618</v>
      </c>
      <c r="U1108" s="7" t="s">
        <v>113</v>
      </c>
      <c r="V1108" s="171" t="str" cm="1">
        <f t="array" ref="V1108">_xlfn.IFS(C1108="","",COUNTIF(C1108,"ตำแหน่งว่าง*"),"ว่าง",COUNTIF(C1108,"&lt;&gt;ตำแหน่งว่าง*"),"คนครอง")</f>
        <v>ว่าง</v>
      </c>
      <c r="W1108" s="6" cm="1">
        <f t="array" ref="W1108">_xlfn.IFS(COUNTIF(F1108,"ผบ.หมู่*"),51,COUNTIF(F1108,"รอง สว.*"),43)</f>
        <v>51</v>
      </c>
      <c r="X1108" s="6" t="s">
        <v>3101</v>
      </c>
      <c r="Y1108" s="6" t="s">
        <v>52</v>
      </c>
    </row>
    <row r="1109" spans="1:25" s="12" customFormat="1" ht="21.3" customHeight="1">
      <c r="A1109" s="27" t="s">
        <v>30</v>
      </c>
      <c r="B1109" s="28" t="s">
        <v>12</v>
      </c>
      <c r="C1109" s="95" t="s">
        <v>3103</v>
      </c>
      <c r="D1109" s="27" t="s">
        <v>9173</v>
      </c>
      <c r="E1109" s="27" t="s">
        <v>9174</v>
      </c>
      <c r="F1109" s="95" t="s">
        <v>3104</v>
      </c>
      <c r="G1109" s="101" t="s">
        <v>3106</v>
      </c>
      <c r="H1109" s="91">
        <v>43555</v>
      </c>
      <c r="I1109" s="91">
        <v>43555</v>
      </c>
      <c r="J1109" s="73">
        <v>31444</v>
      </c>
      <c r="K1109" s="73">
        <v>24379</v>
      </c>
      <c r="L1109" s="11" t="s">
        <v>3107</v>
      </c>
      <c r="M1109" s="1" t="s">
        <v>70</v>
      </c>
      <c r="N1109" s="111" t="s">
        <v>14</v>
      </c>
      <c r="O1109" s="104" t="s">
        <v>52</v>
      </c>
      <c r="P1109" s="104" t="s">
        <v>52</v>
      </c>
      <c r="Q1109" s="105"/>
      <c r="R1109" s="28" t="s">
        <v>2892</v>
      </c>
      <c r="S1109" s="225">
        <f t="shared" si="17"/>
        <v>46296</v>
      </c>
      <c r="T1109" s="162" t="s">
        <v>7618</v>
      </c>
      <c r="U1109" s="7" t="s">
        <v>113</v>
      </c>
      <c r="V1109" s="162" t="str" cm="1">
        <f t="array" ref="V1109">_xlfn.IFS(C1109="","",COUNTIF(C1109,"ตำแหน่งว่าง*"),"ว่าง",COUNTIF(C1109,"&lt;&gt;ตำแหน่งว่าง*"),"คนครอง")</f>
        <v>คนครอง</v>
      </c>
      <c r="W1109" s="5" cm="1">
        <f t="array" ref="W1109">_xlfn.IFS(COUNTIF(F1109,"ผบ.หมู่*"),51,COUNTIF(F1109,"รอง สว.*"),43)</f>
        <v>43</v>
      </c>
      <c r="X1109" s="5" t="s">
        <v>3105</v>
      </c>
      <c r="Y1109" s="5" t="s">
        <v>52</v>
      </c>
    </row>
    <row r="1110" spans="1:25" s="10" customFormat="1" ht="21.3" customHeight="1">
      <c r="A1110" s="27"/>
      <c r="B1110" s="28"/>
      <c r="C1110" s="30" t="s">
        <v>18</v>
      </c>
      <c r="D1110" s="27"/>
      <c r="E1110" s="27"/>
      <c r="F1110" s="68" t="s">
        <v>3090</v>
      </c>
      <c r="G1110" s="121" t="s">
        <v>3109</v>
      </c>
      <c r="H1110" s="91" t="s">
        <v>19</v>
      </c>
      <c r="I1110" s="73" t="s">
        <v>19</v>
      </c>
      <c r="J1110" s="73" t="s">
        <v>19</v>
      </c>
      <c r="K1110" s="73" t="s">
        <v>19</v>
      </c>
      <c r="L1110" s="11"/>
      <c r="M1110" s="1"/>
      <c r="N1110" s="113" t="s">
        <v>14</v>
      </c>
      <c r="O1110" s="122" t="s">
        <v>52</v>
      </c>
      <c r="P1110" s="122" t="s">
        <v>52</v>
      </c>
      <c r="Q1110" s="105"/>
      <c r="R1110" s="28"/>
      <c r="S1110" s="225" t="str">
        <f t="shared" si="17"/>
        <v/>
      </c>
      <c r="T1110" s="7" t="s">
        <v>7618</v>
      </c>
      <c r="U1110" s="7" t="s">
        <v>113</v>
      </c>
      <c r="V1110" s="171" t="str" cm="1">
        <f t="array" ref="V1110">_xlfn.IFS(C1110="","",COUNTIF(C1110,"ตำแหน่งว่าง*"),"ว่าง",COUNTIF(C1110,"&lt;&gt;ตำแหน่งว่าง*"),"คนครอง")</f>
        <v>ว่าง</v>
      </c>
      <c r="W1110" s="6" cm="1">
        <f t="array" ref="W1110">_xlfn.IFS(COUNTIF(F1110,"ผบ.หมู่*"),51,COUNTIF(F1110,"รอง สว.*"),43)</f>
        <v>51</v>
      </c>
      <c r="X1110" s="6" t="s">
        <v>3108</v>
      </c>
      <c r="Y1110" s="6" t="s">
        <v>52</v>
      </c>
    </row>
    <row r="1111" spans="1:25" s="12" customFormat="1" ht="21.3" customHeight="1">
      <c r="A1111" s="27" t="s">
        <v>612</v>
      </c>
      <c r="B1111" s="28" t="s">
        <v>12</v>
      </c>
      <c r="C1111" s="95" t="s">
        <v>3110</v>
      </c>
      <c r="D1111" s="27" t="s">
        <v>9175</v>
      </c>
      <c r="E1111" s="27" t="s">
        <v>9176</v>
      </c>
      <c r="F1111" s="95" t="s">
        <v>3090</v>
      </c>
      <c r="G1111" s="101" t="s">
        <v>3112</v>
      </c>
      <c r="H1111" s="75">
        <v>42501</v>
      </c>
      <c r="I1111" s="73">
        <v>42416</v>
      </c>
      <c r="J1111" s="73">
        <v>42416</v>
      </c>
      <c r="K1111" s="73">
        <v>34515</v>
      </c>
      <c r="L1111" s="11" t="s">
        <v>3113</v>
      </c>
      <c r="M1111" s="1" t="s">
        <v>28</v>
      </c>
      <c r="N1111" s="111" t="s">
        <v>14</v>
      </c>
      <c r="O1111" s="104" t="s">
        <v>52</v>
      </c>
      <c r="P1111" s="104" t="s">
        <v>52</v>
      </c>
      <c r="Q1111" s="105"/>
      <c r="R1111" s="28" t="s">
        <v>110</v>
      </c>
      <c r="S1111" s="225">
        <f t="shared" si="17"/>
        <v>56523</v>
      </c>
      <c r="T1111" s="162" t="s">
        <v>7618</v>
      </c>
      <c r="U1111" s="7" t="s">
        <v>113</v>
      </c>
      <c r="V1111" s="162" t="str" cm="1">
        <f t="array" ref="V1111">_xlfn.IFS(C1111="","",COUNTIF(C1111,"ตำแหน่งว่าง*"),"ว่าง",COUNTIF(C1111,"&lt;&gt;ตำแหน่งว่าง*"),"คนครอง")</f>
        <v>คนครอง</v>
      </c>
      <c r="W1111" s="6" cm="1">
        <f t="array" ref="W1111">_xlfn.IFS(COUNTIF(F1111,"ผบ.หมู่*"),51,COUNTIF(F1111,"รอง สว.*"),43)</f>
        <v>51</v>
      </c>
      <c r="X1111" s="5" t="s">
        <v>3111</v>
      </c>
      <c r="Y1111" s="5" t="s">
        <v>52</v>
      </c>
    </row>
    <row r="1112" spans="1:25" s="10" customFormat="1" ht="21.3" customHeight="1">
      <c r="A1112" s="27"/>
      <c r="B1112" s="30"/>
      <c r="C1112" s="30" t="s">
        <v>18</v>
      </c>
      <c r="D1112" s="27"/>
      <c r="E1112" s="27"/>
      <c r="F1112" s="68" t="s">
        <v>3090</v>
      </c>
      <c r="G1112" s="121" t="s">
        <v>3115</v>
      </c>
      <c r="H1112" s="91" t="s">
        <v>19</v>
      </c>
      <c r="I1112" s="73" t="s">
        <v>19</v>
      </c>
      <c r="J1112" s="73" t="s">
        <v>19</v>
      </c>
      <c r="K1112" s="73" t="s">
        <v>19</v>
      </c>
      <c r="L1112" s="11"/>
      <c r="M1112" s="6"/>
      <c r="N1112" s="113" t="s">
        <v>14</v>
      </c>
      <c r="O1112" s="122" t="s">
        <v>52</v>
      </c>
      <c r="P1112" s="122" t="s">
        <v>52</v>
      </c>
      <c r="Q1112" s="106"/>
      <c r="R1112" s="30"/>
      <c r="S1112" s="225" t="str">
        <f t="shared" si="17"/>
        <v/>
      </c>
      <c r="T1112" s="7" t="s">
        <v>7618</v>
      </c>
      <c r="U1112" s="7" t="s">
        <v>113</v>
      </c>
      <c r="V1112" s="171" t="str" cm="1">
        <f t="array" ref="V1112">_xlfn.IFS(C1112="","",COUNTIF(C1112,"ตำแหน่งว่าง*"),"ว่าง",COUNTIF(C1112,"&lt;&gt;ตำแหน่งว่าง*"),"คนครอง")</f>
        <v>ว่าง</v>
      </c>
      <c r="W1112" s="6" cm="1">
        <f t="array" ref="W1112">_xlfn.IFS(COUNTIF(F1112,"ผบ.หมู่*"),51,COUNTIF(F1112,"รอง สว.*"),43)</f>
        <v>51</v>
      </c>
      <c r="X1112" s="6" t="s">
        <v>3114</v>
      </c>
      <c r="Y1112" s="6" t="s">
        <v>52</v>
      </c>
    </row>
    <row r="1113" spans="1:25" s="12" customFormat="1" ht="21.3" customHeight="1">
      <c r="A1113" s="68"/>
      <c r="B1113" s="30"/>
      <c r="C1113" s="30" t="s">
        <v>18</v>
      </c>
      <c r="D1113" s="27"/>
      <c r="E1113" s="27"/>
      <c r="F1113" s="68" t="s">
        <v>3090</v>
      </c>
      <c r="G1113" s="121" t="s">
        <v>3117</v>
      </c>
      <c r="H1113" s="93" t="s">
        <v>19</v>
      </c>
      <c r="I1113" s="74" t="s">
        <v>19</v>
      </c>
      <c r="J1113" s="74" t="s">
        <v>19</v>
      </c>
      <c r="K1113" s="74" t="s">
        <v>19</v>
      </c>
      <c r="L1113" s="16"/>
      <c r="M1113" s="6"/>
      <c r="N1113" s="113" t="s">
        <v>14</v>
      </c>
      <c r="O1113" s="122" t="s">
        <v>52</v>
      </c>
      <c r="P1113" s="122" t="s">
        <v>52</v>
      </c>
      <c r="Q1113" s="106"/>
      <c r="R1113" s="30"/>
      <c r="S1113" s="225" t="str">
        <f t="shared" si="17"/>
        <v/>
      </c>
      <c r="T1113" s="162" t="s">
        <v>7618</v>
      </c>
      <c r="U1113" s="7" t="s">
        <v>113</v>
      </c>
      <c r="V1113" s="171" t="str" cm="1">
        <f t="array" ref="V1113">_xlfn.IFS(C1113="","",COUNTIF(C1113,"ตำแหน่งว่าง*"),"ว่าง",COUNTIF(C1113,"&lt;&gt;ตำแหน่งว่าง*"),"คนครอง")</f>
        <v>ว่าง</v>
      </c>
      <c r="W1113" s="6" cm="1">
        <f t="array" ref="W1113">_xlfn.IFS(COUNTIF(F1113,"ผบ.หมู่*"),51,COUNTIF(F1113,"รอง สว.*"),43)</f>
        <v>51</v>
      </c>
      <c r="X1113" s="6" t="s">
        <v>3116</v>
      </c>
      <c r="Y1113" s="6" t="s">
        <v>52</v>
      </c>
    </row>
    <row r="1114" spans="1:25" s="12" customFormat="1" ht="21.3" customHeight="1">
      <c r="A1114" s="27" t="s">
        <v>30</v>
      </c>
      <c r="B1114" s="28" t="s">
        <v>12</v>
      </c>
      <c r="C1114" s="95" t="s">
        <v>3118</v>
      </c>
      <c r="D1114" s="27" t="s">
        <v>9177</v>
      </c>
      <c r="E1114" s="27" t="s">
        <v>9178</v>
      </c>
      <c r="F1114" s="95" t="s">
        <v>3104</v>
      </c>
      <c r="G1114" s="101" t="s">
        <v>3120</v>
      </c>
      <c r="H1114" s="91">
        <v>43555</v>
      </c>
      <c r="I1114" s="91">
        <v>43555</v>
      </c>
      <c r="J1114" s="73">
        <v>31444</v>
      </c>
      <c r="K1114" s="73">
        <v>24137</v>
      </c>
      <c r="L1114" s="11" t="s">
        <v>3121</v>
      </c>
      <c r="M1114" s="1" t="s">
        <v>70</v>
      </c>
      <c r="N1114" s="111" t="s">
        <v>14</v>
      </c>
      <c r="O1114" s="104" t="s">
        <v>52</v>
      </c>
      <c r="P1114" s="104" t="s">
        <v>52</v>
      </c>
      <c r="Q1114" s="105"/>
      <c r="R1114" s="28" t="s">
        <v>110</v>
      </c>
      <c r="S1114" s="225">
        <f t="shared" si="17"/>
        <v>46296</v>
      </c>
      <c r="T1114" s="162" t="s">
        <v>7618</v>
      </c>
      <c r="U1114" s="7" t="s">
        <v>113</v>
      </c>
      <c r="V1114" s="162" t="str" cm="1">
        <f t="array" ref="V1114">_xlfn.IFS(C1114="","",COUNTIF(C1114,"ตำแหน่งว่าง*"),"ว่าง",COUNTIF(C1114,"&lt;&gt;ตำแหน่งว่าง*"),"คนครอง")</f>
        <v>คนครอง</v>
      </c>
      <c r="W1114" s="5" cm="1">
        <f t="array" ref="W1114">_xlfn.IFS(COUNTIF(F1114,"ผบ.หมู่*"),51,COUNTIF(F1114,"รอง สว.*"),43)</f>
        <v>43</v>
      </c>
      <c r="X1114" s="5" t="s">
        <v>3119</v>
      </c>
      <c r="Y1114" s="5" t="s">
        <v>52</v>
      </c>
    </row>
    <row r="1115" spans="1:25" s="10" customFormat="1" ht="21.3" customHeight="1">
      <c r="A1115" s="27"/>
      <c r="B1115" s="28"/>
      <c r="C1115" s="30" t="s">
        <v>18</v>
      </c>
      <c r="D1115" s="27"/>
      <c r="E1115" s="27"/>
      <c r="F1115" s="68" t="s">
        <v>3090</v>
      </c>
      <c r="G1115" s="121" t="s">
        <v>3123</v>
      </c>
      <c r="H1115" s="91" t="s">
        <v>19</v>
      </c>
      <c r="I1115" s="73" t="s">
        <v>19</v>
      </c>
      <c r="J1115" s="73" t="s">
        <v>19</v>
      </c>
      <c r="K1115" s="73" t="s">
        <v>19</v>
      </c>
      <c r="L1115" s="11"/>
      <c r="M1115" s="1"/>
      <c r="N1115" s="113" t="s">
        <v>14</v>
      </c>
      <c r="O1115" s="122" t="s">
        <v>52</v>
      </c>
      <c r="P1115" s="122" t="s">
        <v>52</v>
      </c>
      <c r="Q1115" s="105"/>
      <c r="R1115" s="28"/>
      <c r="S1115" s="225" t="str">
        <f t="shared" si="17"/>
        <v/>
      </c>
      <c r="T1115" s="7" t="s">
        <v>7618</v>
      </c>
      <c r="U1115" s="7" t="s">
        <v>113</v>
      </c>
      <c r="V1115" s="171" t="str" cm="1">
        <f t="array" ref="V1115">_xlfn.IFS(C1115="","",COUNTIF(C1115,"ตำแหน่งว่าง*"),"ว่าง",COUNTIF(C1115,"&lt;&gt;ตำแหน่งว่าง*"),"คนครอง")</f>
        <v>ว่าง</v>
      </c>
      <c r="W1115" s="6" cm="1">
        <f t="array" ref="W1115">_xlfn.IFS(COUNTIF(F1115,"ผบ.หมู่*"),51,COUNTIF(F1115,"รอง สว.*"),43)</f>
        <v>51</v>
      </c>
      <c r="X1115" s="6" t="s">
        <v>3122</v>
      </c>
      <c r="Y1115" s="6" t="s">
        <v>52</v>
      </c>
    </row>
    <row r="1116" spans="1:25" s="10" customFormat="1" ht="21.3" customHeight="1">
      <c r="A1116" s="27"/>
      <c r="B1116" s="28"/>
      <c r="C1116" s="30" t="s">
        <v>18</v>
      </c>
      <c r="D1116" s="27"/>
      <c r="E1116" s="27"/>
      <c r="F1116" s="68" t="s">
        <v>3090</v>
      </c>
      <c r="G1116" s="121" t="s">
        <v>3125</v>
      </c>
      <c r="H1116" s="91" t="s">
        <v>19</v>
      </c>
      <c r="I1116" s="73" t="s">
        <v>19</v>
      </c>
      <c r="J1116" s="73" t="s">
        <v>19</v>
      </c>
      <c r="K1116" s="73" t="s">
        <v>19</v>
      </c>
      <c r="L1116" s="11"/>
      <c r="M1116" s="1"/>
      <c r="N1116" s="113" t="s">
        <v>14</v>
      </c>
      <c r="O1116" s="122" t="s">
        <v>52</v>
      </c>
      <c r="P1116" s="122" t="s">
        <v>52</v>
      </c>
      <c r="Q1116" s="105"/>
      <c r="R1116" s="28"/>
      <c r="S1116" s="225" t="str">
        <f t="shared" si="17"/>
        <v/>
      </c>
      <c r="T1116" s="7" t="s">
        <v>7618</v>
      </c>
      <c r="U1116" s="7" t="s">
        <v>113</v>
      </c>
      <c r="V1116" s="171" t="str" cm="1">
        <f t="array" ref="V1116">_xlfn.IFS(C1116="","",COUNTIF(C1116,"ตำแหน่งว่าง*"),"ว่าง",COUNTIF(C1116,"&lt;&gt;ตำแหน่งว่าง*"),"คนครอง")</f>
        <v>ว่าง</v>
      </c>
      <c r="W1116" s="6" cm="1">
        <f t="array" ref="W1116">_xlfn.IFS(COUNTIF(F1116,"ผบ.หมู่*"),51,COUNTIF(F1116,"รอง สว.*"),43)</f>
        <v>51</v>
      </c>
      <c r="X1116" s="6" t="s">
        <v>3124</v>
      </c>
      <c r="Y1116" s="6" t="s">
        <v>52</v>
      </c>
    </row>
    <row r="1117" spans="1:25" s="12" customFormat="1" ht="21.3" customHeight="1">
      <c r="A1117" s="132" t="s">
        <v>10753</v>
      </c>
      <c r="B1117" s="28" t="s">
        <v>21</v>
      </c>
      <c r="C1117" s="95" t="s">
        <v>3126</v>
      </c>
      <c r="D1117" s="27" t="s">
        <v>9179</v>
      </c>
      <c r="E1117" s="27" t="s">
        <v>9180</v>
      </c>
      <c r="F1117" s="95" t="s">
        <v>3104</v>
      </c>
      <c r="G1117" s="101" t="s">
        <v>3128</v>
      </c>
      <c r="H1117" s="91">
        <v>45382</v>
      </c>
      <c r="I1117" s="73">
        <v>45382</v>
      </c>
      <c r="J1117" s="73">
        <v>34729</v>
      </c>
      <c r="K1117" s="73">
        <v>26028</v>
      </c>
      <c r="L1117" s="11" t="s">
        <v>3129</v>
      </c>
      <c r="M1117" s="1" t="s">
        <v>70</v>
      </c>
      <c r="N1117" s="111" t="s">
        <v>14</v>
      </c>
      <c r="O1117" s="104" t="s">
        <v>52</v>
      </c>
      <c r="P1117" s="104" t="s">
        <v>52</v>
      </c>
      <c r="Q1117" s="105"/>
      <c r="R1117" s="33" t="s">
        <v>7801</v>
      </c>
      <c r="S1117" s="225">
        <f t="shared" si="17"/>
        <v>48122</v>
      </c>
      <c r="T1117" s="162" t="s">
        <v>7618</v>
      </c>
      <c r="U1117" s="7" t="s">
        <v>113</v>
      </c>
      <c r="V1117" s="162" t="str" cm="1">
        <f t="array" ref="V1117">_xlfn.IFS(C1117="","",COUNTIF(C1117,"ตำแหน่งว่าง*"),"ว่าง",COUNTIF(C1117,"&lt;&gt;ตำแหน่งว่าง*"),"คนครอง")</f>
        <v>คนครอง</v>
      </c>
      <c r="W1117" s="6" cm="1">
        <f t="array" ref="W1117">_xlfn.IFS(COUNTIF(F1117,"ผบ.หมู่*"),51,COUNTIF(F1117,"รอง สว.*"),43)</f>
        <v>43</v>
      </c>
      <c r="X1117" s="5" t="s">
        <v>3127</v>
      </c>
      <c r="Y1117" s="5" t="s">
        <v>52</v>
      </c>
    </row>
    <row r="1118" spans="1:25" s="12" customFormat="1" ht="21.3" customHeight="1">
      <c r="A1118" s="27" t="s">
        <v>157</v>
      </c>
      <c r="B1118" s="28" t="s">
        <v>12</v>
      </c>
      <c r="C1118" s="95" t="s">
        <v>3130</v>
      </c>
      <c r="D1118" s="27" t="s">
        <v>9046</v>
      </c>
      <c r="E1118" s="27" t="s">
        <v>9181</v>
      </c>
      <c r="F1118" s="95" t="s">
        <v>3090</v>
      </c>
      <c r="G1118" s="101" t="s">
        <v>3132</v>
      </c>
      <c r="H1118" s="91">
        <v>42501</v>
      </c>
      <c r="I1118" s="73">
        <v>42501</v>
      </c>
      <c r="J1118" s="73">
        <v>34352</v>
      </c>
      <c r="K1118" s="73">
        <v>26880</v>
      </c>
      <c r="L1118" s="11" t="s">
        <v>3133</v>
      </c>
      <c r="M1118" s="1" t="s">
        <v>70</v>
      </c>
      <c r="N1118" s="111" t="s">
        <v>14</v>
      </c>
      <c r="O1118" s="104" t="s">
        <v>52</v>
      </c>
      <c r="P1118" s="104" t="s">
        <v>52</v>
      </c>
      <c r="Q1118" s="105"/>
      <c r="R1118" s="28" t="s">
        <v>110</v>
      </c>
      <c r="S1118" s="225">
        <f t="shared" si="17"/>
        <v>48853</v>
      </c>
      <c r="T1118" s="162" t="s">
        <v>7618</v>
      </c>
      <c r="U1118" s="7" t="s">
        <v>113</v>
      </c>
      <c r="V1118" s="162" t="str" cm="1">
        <f t="array" ref="V1118">_xlfn.IFS(C1118="","",COUNTIF(C1118,"ตำแหน่งว่าง*"),"ว่าง",COUNTIF(C1118,"&lt;&gt;ตำแหน่งว่าง*"),"คนครอง")</f>
        <v>คนครอง</v>
      </c>
      <c r="W1118" s="6" cm="1">
        <f t="array" ref="W1118">_xlfn.IFS(COUNTIF(F1118,"ผบ.หมู่*"),51,COUNTIF(F1118,"รอง สว.*"),43)</f>
        <v>51</v>
      </c>
      <c r="X1118" s="5" t="s">
        <v>3131</v>
      </c>
      <c r="Y1118" s="5" t="s">
        <v>52</v>
      </c>
    </row>
    <row r="1119" spans="1:25" s="10" customFormat="1" ht="21.3" customHeight="1">
      <c r="A1119" s="27"/>
      <c r="B1119" s="28"/>
      <c r="C1119" s="30" t="s">
        <v>18</v>
      </c>
      <c r="D1119" s="27"/>
      <c r="E1119" s="27"/>
      <c r="F1119" s="68" t="s">
        <v>3090</v>
      </c>
      <c r="G1119" s="121" t="s">
        <v>3135</v>
      </c>
      <c r="H1119" s="91" t="s">
        <v>19</v>
      </c>
      <c r="I1119" s="73" t="s">
        <v>19</v>
      </c>
      <c r="J1119" s="73" t="s">
        <v>19</v>
      </c>
      <c r="K1119" s="73" t="s">
        <v>19</v>
      </c>
      <c r="L1119" s="11"/>
      <c r="M1119" s="1"/>
      <c r="N1119" s="113" t="s">
        <v>14</v>
      </c>
      <c r="O1119" s="122" t="s">
        <v>52</v>
      </c>
      <c r="P1119" s="122" t="s">
        <v>52</v>
      </c>
      <c r="Q1119" s="105"/>
      <c r="R1119" s="28"/>
      <c r="S1119" s="225" t="str">
        <f t="shared" si="17"/>
        <v/>
      </c>
      <c r="T1119" s="7" t="s">
        <v>7618</v>
      </c>
      <c r="U1119" s="7" t="s">
        <v>113</v>
      </c>
      <c r="V1119" s="171" t="str" cm="1">
        <f t="array" ref="V1119">_xlfn.IFS(C1119="","",COUNTIF(C1119,"ตำแหน่งว่าง*"),"ว่าง",COUNTIF(C1119,"&lt;&gt;ตำแหน่งว่าง*"),"คนครอง")</f>
        <v>ว่าง</v>
      </c>
      <c r="W1119" s="6" cm="1">
        <f t="array" ref="W1119">_xlfn.IFS(COUNTIF(F1119,"ผบ.หมู่*"),51,COUNTIF(F1119,"รอง สว.*"),43)</f>
        <v>51</v>
      </c>
      <c r="X1119" s="6" t="s">
        <v>3134</v>
      </c>
      <c r="Y1119" s="6" t="s">
        <v>52</v>
      </c>
    </row>
    <row r="1120" spans="1:25" s="10" customFormat="1" ht="21.3" customHeight="1">
      <c r="A1120" s="27"/>
      <c r="B1120" s="28"/>
      <c r="C1120" s="30" t="s">
        <v>18</v>
      </c>
      <c r="D1120" s="27"/>
      <c r="E1120" s="27"/>
      <c r="F1120" s="68" t="s">
        <v>3090</v>
      </c>
      <c r="G1120" s="121" t="s">
        <v>3137</v>
      </c>
      <c r="H1120" s="91" t="s">
        <v>19</v>
      </c>
      <c r="I1120" s="73" t="s">
        <v>19</v>
      </c>
      <c r="J1120" s="73" t="s">
        <v>19</v>
      </c>
      <c r="K1120" s="73" t="s">
        <v>19</v>
      </c>
      <c r="L1120" s="11"/>
      <c r="M1120" s="1"/>
      <c r="N1120" s="113" t="s">
        <v>14</v>
      </c>
      <c r="O1120" s="122" t="s">
        <v>52</v>
      </c>
      <c r="P1120" s="122" t="s">
        <v>52</v>
      </c>
      <c r="Q1120" s="105"/>
      <c r="R1120" s="28"/>
      <c r="S1120" s="225" t="str">
        <f t="shared" si="17"/>
        <v/>
      </c>
      <c r="T1120" s="7" t="s">
        <v>7618</v>
      </c>
      <c r="U1120" s="7" t="s">
        <v>113</v>
      </c>
      <c r="V1120" s="171" t="str" cm="1">
        <f t="array" ref="V1120">_xlfn.IFS(C1120="","",COUNTIF(C1120,"ตำแหน่งว่าง*"),"ว่าง",COUNTIF(C1120,"&lt;&gt;ตำแหน่งว่าง*"),"คนครอง")</f>
        <v>ว่าง</v>
      </c>
      <c r="W1120" s="6" cm="1">
        <f t="array" ref="W1120">_xlfn.IFS(COUNTIF(F1120,"ผบ.หมู่*"),51,COUNTIF(F1120,"รอง สว.*"),43)</f>
        <v>51</v>
      </c>
      <c r="X1120" s="6" t="s">
        <v>3136</v>
      </c>
      <c r="Y1120" s="6" t="s">
        <v>52</v>
      </c>
    </row>
    <row r="1121" spans="1:25" s="9" customFormat="1" ht="21.3" customHeight="1">
      <c r="A1121" s="27" t="s">
        <v>182</v>
      </c>
      <c r="B1121" s="28" t="s">
        <v>12</v>
      </c>
      <c r="C1121" s="27" t="s">
        <v>3309</v>
      </c>
      <c r="D1121" s="27" t="s">
        <v>9182</v>
      </c>
      <c r="E1121" s="27" t="s">
        <v>9183</v>
      </c>
      <c r="F1121" s="27" t="s">
        <v>3310</v>
      </c>
      <c r="G1121" s="101" t="s">
        <v>3312</v>
      </c>
      <c r="H1121" s="75">
        <v>44043</v>
      </c>
      <c r="I1121" s="73">
        <v>44043</v>
      </c>
      <c r="J1121" s="73">
        <v>44043</v>
      </c>
      <c r="K1121" s="73">
        <v>32232</v>
      </c>
      <c r="L1121" s="11" t="s">
        <v>82</v>
      </c>
      <c r="M1121" s="28" t="s">
        <v>22</v>
      </c>
      <c r="N1121" s="112" t="s">
        <v>14</v>
      </c>
      <c r="O1121" s="104" t="s">
        <v>52</v>
      </c>
      <c r="P1121" s="104" t="s">
        <v>52</v>
      </c>
      <c r="Q1121" s="105"/>
      <c r="R1121" s="28" t="s">
        <v>2436</v>
      </c>
      <c r="S1121" s="225">
        <f t="shared" si="17"/>
        <v>54332</v>
      </c>
      <c r="T1121" s="2" t="s">
        <v>7623</v>
      </c>
      <c r="U1121" s="7" t="s">
        <v>113</v>
      </c>
      <c r="V1121" s="162" t="str" cm="1">
        <f t="array" ref="V1121">_xlfn.IFS(C1121="","",COUNTIF(C1121,"ตำแหน่งว่าง*"),"ว่าง",COUNTIF(C1121,"&lt;&gt;ตำแหน่งว่าง*"),"คนครอง")</f>
        <v>คนครอง</v>
      </c>
      <c r="W1121" s="6" cm="1">
        <f t="array" ref="W1121">_xlfn.IFS(COUNTIF(F1121,"ผบ.หมู่*"),51,COUNTIF(F1121,"รอง สว.*"),43)</f>
        <v>51</v>
      </c>
      <c r="X1121" s="1" t="s">
        <v>3311</v>
      </c>
      <c r="Y1121" s="1" t="s">
        <v>52</v>
      </c>
    </row>
    <row r="1122" spans="1:25" s="12" customFormat="1" ht="21.3" customHeight="1">
      <c r="A1122" s="27" t="s">
        <v>612</v>
      </c>
      <c r="B1122" s="28" t="s">
        <v>12</v>
      </c>
      <c r="C1122" s="95" t="s">
        <v>3313</v>
      </c>
      <c r="D1122" s="27" t="s">
        <v>9002</v>
      </c>
      <c r="E1122" s="27" t="s">
        <v>9184</v>
      </c>
      <c r="F1122" s="95" t="s">
        <v>3310</v>
      </c>
      <c r="G1122" s="101" t="s">
        <v>3315</v>
      </c>
      <c r="H1122" s="75">
        <v>42501</v>
      </c>
      <c r="I1122" s="73">
        <v>42416</v>
      </c>
      <c r="J1122" s="73">
        <v>42416</v>
      </c>
      <c r="K1122" s="73">
        <v>34147</v>
      </c>
      <c r="L1122" s="11" t="s">
        <v>3316</v>
      </c>
      <c r="M1122" s="28" t="s">
        <v>117</v>
      </c>
      <c r="N1122" s="111" t="s">
        <v>14</v>
      </c>
      <c r="O1122" s="104" t="s">
        <v>52</v>
      </c>
      <c r="P1122" s="104" t="s">
        <v>52</v>
      </c>
      <c r="Q1122" s="105"/>
      <c r="R1122" s="28" t="s">
        <v>110</v>
      </c>
      <c r="S1122" s="225">
        <f t="shared" si="17"/>
        <v>56158</v>
      </c>
      <c r="T1122" s="162" t="s">
        <v>7623</v>
      </c>
      <c r="U1122" s="7" t="s">
        <v>113</v>
      </c>
      <c r="V1122" s="162" t="str" cm="1">
        <f t="array" ref="V1122">_xlfn.IFS(C1122="","",COUNTIF(C1122,"ตำแหน่งว่าง*"),"ว่าง",COUNTIF(C1122,"&lt;&gt;ตำแหน่งว่าง*"),"คนครอง")</f>
        <v>คนครอง</v>
      </c>
      <c r="W1122" s="6" cm="1">
        <f t="array" ref="W1122">_xlfn.IFS(COUNTIF(F1122,"ผบ.หมู่*"),51,COUNTIF(F1122,"รอง สว.*"),43)</f>
        <v>51</v>
      </c>
      <c r="X1122" s="5" t="s">
        <v>3314</v>
      </c>
      <c r="Y1122" s="5" t="s">
        <v>52</v>
      </c>
    </row>
    <row r="1123" spans="1:25" s="10" customFormat="1" ht="21.3" customHeight="1">
      <c r="A1123" s="27" t="s">
        <v>157</v>
      </c>
      <c r="B1123" s="28" t="s">
        <v>12</v>
      </c>
      <c r="C1123" s="27" t="s">
        <v>3317</v>
      </c>
      <c r="D1123" s="27" t="s">
        <v>9185</v>
      </c>
      <c r="E1123" s="27" t="s">
        <v>9186</v>
      </c>
      <c r="F1123" s="27" t="s">
        <v>3310</v>
      </c>
      <c r="G1123" s="101" t="s">
        <v>3319</v>
      </c>
      <c r="H1123" s="91">
        <v>44599</v>
      </c>
      <c r="I1123" s="82">
        <v>38838</v>
      </c>
      <c r="J1123" s="82">
        <v>38838</v>
      </c>
      <c r="K1123" s="82">
        <v>28751</v>
      </c>
      <c r="L1123" s="58" t="s">
        <v>112</v>
      </c>
      <c r="M1123" s="28"/>
      <c r="N1123" s="112" t="s">
        <v>14</v>
      </c>
      <c r="O1123" s="104" t="s">
        <v>52</v>
      </c>
      <c r="P1123" s="104" t="s">
        <v>52</v>
      </c>
      <c r="Q1123" s="105"/>
      <c r="R1123" s="28" t="s">
        <v>132</v>
      </c>
      <c r="S1123" s="225">
        <f t="shared" si="17"/>
        <v>50679</v>
      </c>
      <c r="T1123" s="7" t="s">
        <v>7623</v>
      </c>
      <c r="U1123" s="7" t="s">
        <v>113</v>
      </c>
      <c r="V1123" s="162" t="str" cm="1">
        <f t="array" ref="V1123">_xlfn.IFS(C1123="","",COUNTIF(C1123,"ตำแหน่งว่าง*"),"ว่าง",COUNTIF(C1123,"&lt;&gt;ตำแหน่งว่าง*"),"คนครอง")</f>
        <v>คนครอง</v>
      </c>
      <c r="W1123" s="6" cm="1">
        <f t="array" ref="W1123">_xlfn.IFS(COUNTIF(F1123,"ผบ.หมู่*"),51,COUNTIF(F1123,"รอง สว.*"),43)</f>
        <v>51</v>
      </c>
      <c r="X1123" s="1" t="s">
        <v>3318</v>
      </c>
      <c r="Y1123" s="1" t="s">
        <v>52</v>
      </c>
    </row>
    <row r="1124" spans="1:25" s="9" customFormat="1" ht="21.3" customHeight="1">
      <c r="A1124" s="95" t="s">
        <v>208</v>
      </c>
      <c r="B1124" s="28" t="s">
        <v>12</v>
      </c>
      <c r="C1124" s="27" t="s">
        <v>3320</v>
      </c>
      <c r="D1124" s="27" t="s">
        <v>8264</v>
      </c>
      <c r="E1124" s="27" t="s">
        <v>9187</v>
      </c>
      <c r="F1124" s="27" t="s">
        <v>3310</v>
      </c>
      <c r="G1124" s="101" t="s">
        <v>3322</v>
      </c>
      <c r="H1124" s="91">
        <v>43693</v>
      </c>
      <c r="I1124" s="73">
        <v>43693</v>
      </c>
      <c r="J1124" s="73">
        <v>43693</v>
      </c>
      <c r="K1124" s="73">
        <v>34328</v>
      </c>
      <c r="L1124" s="11" t="s">
        <v>82</v>
      </c>
      <c r="M1124" s="28" t="s">
        <v>22</v>
      </c>
      <c r="N1124" s="112" t="s">
        <v>14</v>
      </c>
      <c r="O1124" s="104" t="s">
        <v>52</v>
      </c>
      <c r="P1124" s="104" t="s">
        <v>52</v>
      </c>
      <c r="Q1124" s="105"/>
      <c r="R1124" s="28" t="s">
        <v>645</v>
      </c>
      <c r="S1124" s="225">
        <f t="shared" si="17"/>
        <v>56523</v>
      </c>
      <c r="T1124" s="2" t="s">
        <v>7623</v>
      </c>
      <c r="U1124" s="7" t="s">
        <v>113</v>
      </c>
      <c r="V1124" s="162" t="str" cm="1">
        <f t="array" ref="V1124">_xlfn.IFS(C1124="","",COUNTIF(C1124,"ตำแหน่งว่าง*"),"ว่าง",COUNTIF(C1124,"&lt;&gt;ตำแหน่งว่าง*"),"คนครอง")</f>
        <v>คนครอง</v>
      </c>
      <c r="W1124" s="6" cm="1">
        <f t="array" ref="W1124">_xlfn.IFS(COUNTIF(F1124,"ผบ.หมู่*"),51,COUNTIF(F1124,"รอง สว.*"),43)</f>
        <v>51</v>
      </c>
      <c r="X1124" s="1" t="s">
        <v>3321</v>
      </c>
      <c r="Y1124" s="1" t="s">
        <v>52</v>
      </c>
    </row>
    <row r="1125" spans="1:25" s="9" customFormat="1" ht="21.3" customHeight="1">
      <c r="A1125" s="27" t="s">
        <v>157</v>
      </c>
      <c r="B1125" s="28" t="s">
        <v>12</v>
      </c>
      <c r="C1125" s="27" t="s">
        <v>3323</v>
      </c>
      <c r="D1125" s="27" t="s">
        <v>8253</v>
      </c>
      <c r="E1125" s="27" t="s">
        <v>9188</v>
      </c>
      <c r="F1125" s="27" t="s">
        <v>3310</v>
      </c>
      <c r="G1125" s="101" t="s">
        <v>3325</v>
      </c>
      <c r="H1125" s="91">
        <v>43656</v>
      </c>
      <c r="I1125" s="73">
        <v>34366</v>
      </c>
      <c r="J1125" s="73">
        <v>34366</v>
      </c>
      <c r="K1125" s="73">
        <v>26722</v>
      </c>
      <c r="L1125" s="11" t="s">
        <v>82</v>
      </c>
      <c r="M1125" s="28" t="s">
        <v>22</v>
      </c>
      <c r="N1125" s="112" t="s">
        <v>14</v>
      </c>
      <c r="O1125" s="104" t="s">
        <v>52</v>
      </c>
      <c r="P1125" s="104" t="s">
        <v>52</v>
      </c>
      <c r="Q1125" s="105"/>
      <c r="R1125" s="28" t="s">
        <v>2794</v>
      </c>
      <c r="S1125" s="225">
        <f t="shared" si="17"/>
        <v>48853</v>
      </c>
      <c r="T1125" s="2" t="s">
        <v>7623</v>
      </c>
      <c r="U1125" s="7" t="s">
        <v>113</v>
      </c>
      <c r="V1125" s="162" t="str" cm="1">
        <f t="array" ref="V1125">_xlfn.IFS(C1125="","",COUNTIF(C1125,"ตำแหน่งว่าง*"),"ว่าง",COUNTIF(C1125,"&lt;&gt;ตำแหน่งว่าง*"),"คนครอง")</f>
        <v>คนครอง</v>
      </c>
      <c r="W1125" s="6" cm="1">
        <f t="array" ref="W1125">_xlfn.IFS(COUNTIF(F1125,"ผบ.หมู่*"),51,COUNTIF(F1125,"รอง สว.*"),43)</f>
        <v>51</v>
      </c>
      <c r="X1125" s="1" t="s">
        <v>3324</v>
      </c>
      <c r="Y1125" s="1" t="s">
        <v>52</v>
      </c>
    </row>
    <row r="1126" spans="1:25" s="9" customFormat="1" ht="21.3" customHeight="1">
      <c r="A1126" s="27" t="s">
        <v>182</v>
      </c>
      <c r="B1126" s="28" t="s">
        <v>21</v>
      </c>
      <c r="C1126" s="27" t="s">
        <v>3326</v>
      </c>
      <c r="D1126" s="27" t="s">
        <v>9189</v>
      </c>
      <c r="E1126" s="27" t="s">
        <v>9190</v>
      </c>
      <c r="F1126" s="27" t="s">
        <v>3310</v>
      </c>
      <c r="G1126" s="101" t="s">
        <v>3328</v>
      </c>
      <c r="H1126" s="75">
        <v>44043</v>
      </c>
      <c r="I1126" s="73">
        <v>44043</v>
      </c>
      <c r="J1126" s="73">
        <v>44043</v>
      </c>
      <c r="K1126" s="73">
        <v>35161</v>
      </c>
      <c r="L1126" s="11" t="s">
        <v>82</v>
      </c>
      <c r="M1126" s="28" t="s">
        <v>35</v>
      </c>
      <c r="N1126" s="112" t="s">
        <v>14</v>
      </c>
      <c r="O1126" s="104" t="s">
        <v>52</v>
      </c>
      <c r="P1126" s="104" t="s">
        <v>52</v>
      </c>
      <c r="Q1126" s="105"/>
      <c r="R1126" s="28" t="s">
        <v>2436</v>
      </c>
      <c r="S1126" s="225">
        <f t="shared" si="17"/>
        <v>57254</v>
      </c>
      <c r="T1126" s="2" t="s">
        <v>7623</v>
      </c>
      <c r="U1126" s="7" t="s">
        <v>113</v>
      </c>
      <c r="V1126" s="162" t="str" cm="1">
        <f t="array" ref="V1126">_xlfn.IFS(C1126="","",COUNTIF(C1126,"ตำแหน่งว่าง*"),"ว่าง",COUNTIF(C1126,"&lt;&gt;ตำแหน่งว่าง*"),"คนครอง")</f>
        <v>คนครอง</v>
      </c>
      <c r="W1126" s="6" cm="1">
        <f t="array" ref="W1126">_xlfn.IFS(COUNTIF(F1126,"ผบ.หมู่*"),51,COUNTIF(F1126,"รอง สว.*"),43)</f>
        <v>51</v>
      </c>
      <c r="X1126" s="1" t="s">
        <v>3327</v>
      </c>
      <c r="Y1126" s="1" t="s">
        <v>52</v>
      </c>
    </row>
    <row r="1127" spans="1:25" s="9" customFormat="1" ht="21.3" customHeight="1">
      <c r="A1127" s="27"/>
      <c r="B1127" s="28"/>
      <c r="C1127" s="27" t="s">
        <v>18</v>
      </c>
      <c r="D1127" s="27"/>
      <c r="E1127" s="27"/>
      <c r="F1127" s="27" t="s">
        <v>3310</v>
      </c>
      <c r="G1127" s="101" t="s">
        <v>3331</v>
      </c>
      <c r="H1127" s="75"/>
      <c r="I1127" s="73"/>
      <c r="J1127" s="73"/>
      <c r="K1127" s="73"/>
      <c r="L1127" s="11"/>
      <c r="M1127" s="28"/>
      <c r="N1127" s="112" t="s">
        <v>14</v>
      </c>
      <c r="O1127" s="104" t="s">
        <v>52</v>
      </c>
      <c r="P1127" s="104" t="s">
        <v>52</v>
      </c>
      <c r="Q1127" s="105"/>
      <c r="R1127" s="28"/>
      <c r="S1127" s="174" t="str">
        <f t="shared" si="17"/>
        <v/>
      </c>
      <c r="T1127" s="2" t="s">
        <v>7623</v>
      </c>
      <c r="U1127" s="2" t="s">
        <v>113</v>
      </c>
      <c r="V1127" s="2" t="str" cm="1">
        <f t="array" ref="V1127">_xlfn.IFS(C1127="","",COUNTIF(C1127,"ตำแหน่งว่าง*"),"ว่าง",COUNTIF(C1127,"&lt;&gt;ตำแหน่งว่าง*"),"คนครอง")</f>
        <v>ว่าง</v>
      </c>
      <c r="W1127" s="1" cm="1">
        <f t="array" ref="W1127">_xlfn.IFS(COUNTIF(F1127,"ผบ.หมู่*"),51,COUNTIF(F1127,"รอง สว.*"),43)</f>
        <v>51</v>
      </c>
      <c r="X1127" s="1" t="s">
        <v>3330</v>
      </c>
      <c r="Y1127" s="1" t="s">
        <v>52</v>
      </c>
    </row>
    <row r="1128" spans="1:25" s="10" customFormat="1" ht="21.3" customHeight="1">
      <c r="A1128" s="27" t="s">
        <v>60</v>
      </c>
      <c r="B1128" s="28" t="s">
        <v>12</v>
      </c>
      <c r="C1128" s="27" t="s">
        <v>3332</v>
      </c>
      <c r="D1128" s="27" t="s">
        <v>9193</v>
      </c>
      <c r="E1128" s="27" t="s">
        <v>9194</v>
      </c>
      <c r="F1128" s="27" t="s">
        <v>3333</v>
      </c>
      <c r="G1128" s="101" t="s">
        <v>3335</v>
      </c>
      <c r="H1128" s="91">
        <v>45016</v>
      </c>
      <c r="I1128" s="73">
        <v>45016</v>
      </c>
      <c r="J1128" s="73">
        <v>45016</v>
      </c>
      <c r="K1128" s="73">
        <v>33270</v>
      </c>
      <c r="L1128" s="11"/>
      <c r="M1128" s="28"/>
      <c r="N1128" s="112" t="s">
        <v>14</v>
      </c>
      <c r="O1128" s="104" t="s">
        <v>52</v>
      </c>
      <c r="P1128" s="104" t="s">
        <v>52</v>
      </c>
      <c r="Q1128" s="105"/>
      <c r="R1128" s="28" t="s">
        <v>483</v>
      </c>
      <c r="S1128" s="225">
        <f t="shared" si="17"/>
        <v>55427</v>
      </c>
      <c r="T1128" s="7" t="s">
        <v>7623</v>
      </c>
      <c r="U1128" s="7" t="s">
        <v>113</v>
      </c>
      <c r="V1128" s="162" t="str" cm="1">
        <f t="array" ref="V1128">_xlfn.IFS(C1128="","",COUNTIF(C1128,"ตำแหน่งว่าง*"),"ว่าง",COUNTIF(C1128,"&lt;&gt;ตำแหน่งว่าง*"),"คนครอง")</f>
        <v>คนครอง</v>
      </c>
      <c r="W1128" s="5" cm="1">
        <f t="array" ref="W1128">_xlfn.IFS(COUNTIF(F1128,"ผบ.หมู่*"),51,COUNTIF(F1128,"รอง สว.*"),43)</f>
        <v>43</v>
      </c>
      <c r="X1128" s="1" t="s">
        <v>3334</v>
      </c>
      <c r="Y1128" s="1" t="s">
        <v>52</v>
      </c>
    </row>
    <row r="1129" spans="1:25" s="10" customFormat="1" ht="21.3" customHeight="1">
      <c r="A1129" s="192" t="s">
        <v>169</v>
      </c>
      <c r="B1129" s="193" t="s">
        <v>21</v>
      </c>
      <c r="C1129" s="192" t="s">
        <v>7922</v>
      </c>
      <c r="D1129" s="27" t="s">
        <v>8946</v>
      </c>
      <c r="E1129" s="27" t="s">
        <v>9195</v>
      </c>
      <c r="F1129" s="192" t="s">
        <v>3310</v>
      </c>
      <c r="G1129" s="101" t="s">
        <v>3337</v>
      </c>
      <c r="H1129" s="73">
        <v>45463</v>
      </c>
      <c r="I1129" s="73">
        <v>45463</v>
      </c>
      <c r="J1129" s="73">
        <v>45463</v>
      </c>
      <c r="K1129" s="73">
        <v>35626</v>
      </c>
      <c r="L1129" s="2" t="s">
        <v>82</v>
      </c>
      <c r="M1129" s="28"/>
      <c r="N1129" s="112" t="s">
        <v>14</v>
      </c>
      <c r="O1129" s="104" t="s">
        <v>52</v>
      </c>
      <c r="P1129" s="104" t="s">
        <v>52</v>
      </c>
      <c r="Q1129" s="105"/>
      <c r="R1129" s="28" t="s">
        <v>7961</v>
      </c>
      <c r="S1129" s="174">
        <f t="shared" si="17"/>
        <v>57619</v>
      </c>
      <c r="T1129" s="2" t="s">
        <v>7623</v>
      </c>
      <c r="U1129" s="2" t="s">
        <v>113</v>
      </c>
      <c r="V1129" s="162" t="str" cm="1">
        <f t="array" ref="V1129">_xlfn.IFS(C1129="","",COUNTIF(C1129,"ตำแหน่งว่าง*"),"ว่าง",COUNTIF(C1129,"&lt;&gt;ตำแหน่งว่าง*"),"คนครอง")</f>
        <v>คนครอง</v>
      </c>
      <c r="W1129" s="1" cm="1">
        <f t="array" ref="W1129">_xlfn.IFS(COUNTIF(F1129,"ผบ.หมู่*"),51,COUNTIF(F1129,"รอง สว.*"),43)</f>
        <v>51</v>
      </c>
      <c r="X1129" s="1" t="s">
        <v>3336</v>
      </c>
      <c r="Y1129" s="1" t="s">
        <v>52</v>
      </c>
    </row>
    <row r="1130" spans="1:25" s="12" customFormat="1" ht="21.3" customHeight="1">
      <c r="A1130" s="27" t="s">
        <v>182</v>
      </c>
      <c r="B1130" s="31" t="s">
        <v>12</v>
      </c>
      <c r="C1130" s="95" t="s">
        <v>3338</v>
      </c>
      <c r="D1130" s="27" t="s">
        <v>8360</v>
      </c>
      <c r="E1130" s="27" t="s">
        <v>7972</v>
      </c>
      <c r="F1130" s="95" t="s">
        <v>3310</v>
      </c>
      <c r="G1130" s="101" t="s">
        <v>3340</v>
      </c>
      <c r="H1130" s="75">
        <v>44636</v>
      </c>
      <c r="I1130" s="76">
        <v>44636</v>
      </c>
      <c r="J1130" s="76">
        <v>44636</v>
      </c>
      <c r="K1130" s="76">
        <v>32983</v>
      </c>
      <c r="L1130" s="17" t="s">
        <v>82</v>
      </c>
      <c r="M1130" s="31"/>
      <c r="N1130" s="111" t="s">
        <v>14</v>
      </c>
      <c r="O1130" s="104" t="s">
        <v>52</v>
      </c>
      <c r="P1130" s="104" t="s">
        <v>52</v>
      </c>
      <c r="Q1130" s="108"/>
      <c r="R1130" s="31" t="s">
        <v>611</v>
      </c>
      <c r="S1130" s="225">
        <f t="shared" si="17"/>
        <v>55062</v>
      </c>
      <c r="T1130" s="162" t="s">
        <v>7623</v>
      </c>
      <c r="U1130" s="7" t="s">
        <v>113</v>
      </c>
      <c r="V1130" s="162" t="str" cm="1">
        <f t="array" ref="V1130">_xlfn.IFS(C1130="","",COUNTIF(C1130,"ตำแหน่งว่าง*"),"ว่าง",COUNTIF(C1130,"&lt;&gt;ตำแหน่งว่าง*"),"คนครอง")</f>
        <v>คนครอง</v>
      </c>
      <c r="W1130" s="6" cm="1">
        <f t="array" ref="W1130">_xlfn.IFS(COUNTIF(F1130,"ผบ.หมู่*"),51,COUNTIF(F1130,"รอง สว.*"),43)</f>
        <v>51</v>
      </c>
      <c r="X1130" s="5" t="s">
        <v>3339</v>
      </c>
      <c r="Y1130" s="5" t="s">
        <v>52</v>
      </c>
    </row>
    <row r="1131" spans="1:25" s="9" customFormat="1" ht="21.3" customHeight="1">
      <c r="A1131" s="27" t="s">
        <v>30</v>
      </c>
      <c r="B1131" s="28" t="s">
        <v>12</v>
      </c>
      <c r="C1131" s="27" t="s">
        <v>3341</v>
      </c>
      <c r="D1131" s="27" t="s">
        <v>9196</v>
      </c>
      <c r="E1131" s="27" t="s">
        <v>9197</v>
      </c>
      <c r="F1131" s="27" t="s">
        <v>3333</v>
      </c>
      <c r="G1131" s="101" t="s">
        <v>3343</v>
      </c>
      <c r="H1131" s="75">
        <v>42501</v>
      </c>
      <c r="I1131" s="73">
        <v>42501</v>
      </c>
      <c r="J1131" s="73">
        <v>34352</v>
      </c>
      <c r="K1131" s="73">
        <v>24135</v>
      </c>
      <c r="L1131" s="11" t="s">
        <v>3344</v>
      </c>
      <c r="M1131" s="28" t="s">
        <v>63</v>
      </c>
      <c r="N1131" s="112" t="s">
        <v>14</v>
      </c>
      <c r="O1131" s="104" t="s">
        <v>52</v>
      </c>
      <c r="P1131" s="104" t="s">
        <v>52</v>
      </c>
      <c r="Q1131" s="105"/>
      <c r="R1131" s="28" t="s">
        <v>110</v>
      </c>
      <c r="S1131" s="225">
        <f t="shared" si="17"/>
        <v>46296</v>
      </c>
      <c r="T1131" s="2" t="s">
        <v>7623</v>
      </c>
      <c r="U1131" s="7" t="s">
        <v>113</v>
      </c>
      <c r="V1131" s="162" t="str" cm="1">
        <f t="array" ref="V1131">_xlfn.IFS(C1131="","",COUNTIF(C1131,"ตำแหน่งว่าง*"),"ว่าง",COUNTIF(C1131,"&lt;&gt;ตำแหน่งว่าง*"),"คนครอง")</f>
        <v>คนครอง</v>
      </c>
      <c r="W1131" s="5" cm="1">
        <f t="array" ref="W1131">_xlfn.IFS(COUNTIF(F1131,"ผบ.หมู่*"),51,COUNTIF(F1131,"รอง สว.*"),43)</f>
        <v>43</v>
      </c>
      <c r="X1131" s="1" t="s">
        <v>3342</v>
      </c>
      <c r="Y1131" s="1" t="s">
        <v>52</v>
      </c>
    </row>
    <row r="1132" spans="1:25" s="10" customFormat="1" ht="21.3" customHeight="1">
      <c r="A1132" s="27"/>
      <c r="B1132" s="28"/>
      <c r="C1132" s="30" t="s">
        <v>18</v>
      </c>
      <c r="D1132" s="27"/>
      <c r="E1132" s="27"/>
      <c r="F1132" s="68" t="s">
        <v>3310</v>
      </c>
      <c r="G1132" s="121" t="s">
        <v>3346</v>
      </c>
      <c r="H1132" s="91" t="s">
        <v>19</v>
      </c>
      <c r="I1132" s="73" t="s">
        <v>19</v>
      </c>
      <c r="J1132" s="73" t="s">
        <v>19</v>
      </c>
      <c r="K1132" s="73" t="s">
        <v>19</v>
      </c>
      <c r="L1132" s="11"/>
      <c r="M1132" s="1"/>
      <c r="N1132" s="113" t="s">
        <v>14</v>
      </c>
      <c r="O1132" s="122" t="s">
        <v>52</v>
      </c>
      <c r="P1132" s="122" t="s">
        <v>52</v>
      </c>
      <c r="Q1132" s="105"/>
      <c r="R1132" s="28"/>
      <c r="S1132" s="225" t="str">
        <f t="shared" si="17"/>
        <v/>
      </c>
      <c r="T1132" s="7" t="s">
        <v>7623</v>
      </c>
      <c r="U1132" s="7" t="s">
        <v>113</v>
      </c>
      <c r="V1132" s="171" t="str" cm="1">
        <f t="array" ref="V1132">_xlfn.IFS(C1132="","",COUNTIF(C1132,"ตำแหน่งว่าง*"),"ว่าง",COUNTIF(C1132,"&lt;&gt;ตำแหน่งว่าง*"),"คนครอง")</f>
        <v>ว่าง</v>
      </c>
      <c r="W1132" s="6" cm="1">
        <f t="array" ref="W1132">_xlfn.IFS(COUNTIF(F1132,"ผบ.หมู่*"),51,COUNTIF(F1132,"รอง สว.*"),43)</f>
        <v>51</v>
      </c>
      <c r="X1132" s="6" t="s">
        <v>3345</v>
      </c>
      <c r="Y1132" s="6" t="s">
        <v>52</v>
      </c>
    </row>
    <row r="1133" spans="1:25" s="10" customFormat="1" ht="21.3" customHeight="1">
      <c r="A1133" s="27"/>
      <c r="B1133" s="28"/>
      <c r="C1133" s="30" t="s">
        <v>18</v>
      </c>
      <c r="D1133" s="27"/>
      <c r="E1133" s="27"/>
      <c r="F1133" s="68" t="s">
        <v>3310</v>
      </c>
      <c r="G1133" s="121" t="s">
        <v>3348</v>
      </c>
      <c r="H1133" s="91" t="s">
        <v>19</v>
      </c>
      <c r="I1133" s="73" t="s">
        <v>19</v>
      </c>
      <c r="J1133" s="73" t="s">
        <v>19</v>
      </c>
      <c r="K1133" s="73" t="s">
        <v>19</v>
      </c>
      <c r="L1133" s="11"/>
      <c r="M1133" s="1"/>
      <c r="N1133" s="113" t="s">
        <v>14</v>
      </c>
      <c r="O1133" s="122" t="s">
        <v>52</v>
      </c>
      <c r="P1133" s="122" t="s">
        <v>52</v>
      </c>
      <c r="Q1133" s="105"/>
      <c r="R1133" s="28"/>
      <c r="S1133" s="225" t="str">
        <f t="shared" si="17"/>
        <v/>
      </c>
      <c r="T1133" s="7" t="s">
        <v>7623</v>
      </c>
      <c r="U1133" s="7" t="s">
        <v>113</v>
      </c>
      <c r="V1133" s="171" t="str" cm="1">
        <f t="array" ref="V1133">_xlfn.IFS(C1133="","",COUNTIF(C1133,"ตำแหน่งว่าง*"),"ว่าง",COUNTIF(C1133,"&lt;&gt;ตำแหน่งว่าง*"),"คนครอง")</f>
        <v>ว่าง</v>
      </c>
      <c r="W1133" s="6" cm="1">
        <f t="array" ref="W1133">_xlfn.IFS(COUNTIF(F1133,"ผบ.หมู่*"),51,COUNTIF(F1133,"รอง สว.*"),43)</f>
        <v>51</v>
      </c>
      <c r="X1133" s="6" t="s">
        <v>3347</v>
      </c>
      <c r="Y1133" s="6" t="s">
        <v>52</v>
      </c>
    </row>
    <row r="1134" spans="1:25" s="10" customFormat="1" ht="21.3" customHeight="1">
      <c r="A1134" s="27"/>
      <c r="B1134" s="30"/>
      <c r="C1134" s="30" t="s">
        <v>18</v>
      </c>
      <c r="D1134" s="27"/>
      <c r="E1134" s="27"/>
      <c r="F1134" s="68" t="s">
        <v>3310</v>
      </c>
      <c r="G1134" s="121" t="s">
        <v>3350</v>
      </c>
      <c r="H1134" s="91" t="s">
        <v>19</v>
      </c>
      <c r="I1134" s="73" t="s">
        <v>19</v>
      </c>
      <c r="J1134" s="73" t="s">
        <v>19</v>
      </c>
      <c r="K1134" s="73" t="s">
        <v>19</v>
      </c>
      <c r="L1134" s="11"/>
      <c r="M1134" s="6"/>
      <c r="N1134" s="113" t="s">
        <v>14</v>
      </c>
      <c r="O1134" s="122" t="s">
        <v>52</v>
      </c>
      <c r="P1134" s="122" t="s">
        <v>52</v>
      </c>
      <c r="Q1134" s="106"/>
      <c r="R1134" s="30"/>
      <c r="S1134" s="225" t="str">
        <f t="shared" si="17"/>
        <v/>
      </c>
      <c r="T1134" s="7" t="s">
        <v>7623</v>
      </c>
      <c r="U1134" s="7" t="s">
        <v>113</v>
      </c>
      <c r="V1134" s="171" t="str" cm="1">
        <f t="array" ref="V1134">_xlfn.IFS(C1134="","",COUNTIF(C1134,"ตำแหน่งว่าง*"),"ว่าง",COUNTIF(C1134,"&lt;&gt;ตำแหน่งว่าง*"),"คนครอง")</f>
        <v>ว่าง</v>
      </c>
      <c r="W1134" s="6" cm="1">
        <f t="array" ref="W1134">_xlfn.IFS(COUNTIF(F1134,"ผบ.หมู่*"),51,COUNTIF(F1134,"รอง สว.*"),43)</f>
        <v>51</v>
      </c>
      <c r="X1134" s="6" t="s">
        <v>3349</v>
      </c>
      <c r="Y1134" s="6" t="s">
        <v>52</v>
      </c>
    </row>
    <row r="1135" spans="1:25" s="10" customFormat="1" ht="21.3" customHeight="1">
      <c r="A1135" s="192" t="s">
        <v>169</v>
      </c>
      <c r="B1135" s="193" t="s">
        <v>21</v>
      </c>
      <c r="C1135" s="192" t="s">
        <v>7923</v>
      </c>
      <c r="D1135" s="27" t="s">
        <v>9198</v>
      </c>
      <c r="E1135" s="27" t="s">
        <v>9199</v>
      </c>
      <c r="F1135" s="192" t="s">
        <v>3267</v>
      </c>
      <c r="G1135" s="101" t="s">
        <v>3269</v>
      </c>
      <c r="H1135" s="73">
        <v>45463</v>
      </c>
      <c r="I1135" s="73">
        <v>45463</v>
      </c>
      <c r="J1135" s="73">
        <v>45463</v>
      </c>
      <c r="K1135" s="73">
        <v>38393</v>
      </c>
      <c r="L1135" s="2" t="s">
        <v>82</v>
      </c>
      <c r="M1135" s="1"/>
      <c r="N1135" s="112" t="s">
        <v>14</v>
      </c>
      <c r="O1135" s="104" t="s">
        <v>52</v>
      </c>
      <c r="P1135" s="104" t="s">
        <v>52</v>
      </c>
      <c r="Q1135" s="105"/>
      <c r="R1135" s="28" t="s">
        <v>7961</v>
      </c>
      <c r="S1135" s="174">
        <f t="shared" si="17"/>
        <v>60541</v>
      </c>
      <c r="T1135" s="2" t="s">
        <v>7622</v>
      </c>
      <c r="U1135" s="2" t="s">
        <v>113</v>
      </c>
      <c r="V1135" s="162" t="str" cm="1">
        <f t="array" ref="V1135">_xlfn.IFS(C1135="","",COUNTIF(C1135,"ตำแหน่งว่าง*"),"ว่าง",COUNTIF(C1135,"&lt;&gt;ตำแหน่งว่าง*"),"คนครอง")</f>
        <v>คนครอง</v>
      </c>
      <c r="W1135" s="1" cm="1">
        <f t="array" ref="W1135">_xlfn.IFS(COUNTIF(F1135,"ผบ.หมู่*"),51,COUNTIF(F1135,"รอง สว.*"),43)</f>
        <v>51</v>
      </c>
      <c r="X1135" s="1" t="s">
        <v>3268</v>
      </c>
      <c r="Y1135" s="1" t="s">
        <v>52</v>
      </c>
    </row>
    <row r="1136" spans="1:25" s="9" customFormat="1" ht="21.3" customHeight="1">
      <c r="A1136" s="95" t="s">
        <v>208</v>
      </c>
      <c r="B1136" s="28" t="s">
        <v>12</v>
      </c>
      <c r="C1136" s="27" t="s">
        <v>3270</v>
      </c>
      <c r="D1136" s="27" t="s">
        <v>9200</v>
      </c>
      <c r="E1136" s="27" t="s">
        <v>9201</v>
      </c>
      <c r="F1136" s="27" t="s">
        <v>3267</v>
      </c>
      <c r="G1136" s="101" t="s">
        <v>3272</v>
      </c>
      <c r="H1136" s="91">
        <v>43693</v>
      </c>
      <c r="I1136" s="73">
        <v>43693</v>
      </c>
      <c r="J1136" s="73">
        <v>43693</v>
      </c>
      <c r="K1136" s="73">
        <v>32042</v>
      </c>
      <c r="L1136" s="11" t="s">
        <v>82</v>
      </c>
      <c r="M1136" s="28" t="s">
        <v>102</v>
      </c>
      <c r="N1136" s="112" t="s">
        <v>14</v>
      </c>
      <c r="O1136" s="104" t="s">
        <v>52</v>
      </c>
      <c r="P1136" s="104" t="s">
        <v>52</v>
      </c>
      <c r="Q1136" s="105"/>
      <c r="R1136" s="28" t="s">
        <v>645</v>
      </c>
      <c r="S1136" s="225">
        <f t="shared" si="17"/>
        <v>53966</v>
      </c>
      <c r="T1136" s="2" t="s">
        <v>7622</v>
      </c>
      <c r="U1136" s="7" t="s">
        <v>113</v>
      </c>
      <c r="V1136" s="162" t="str" cm="1">
        <f t="array" ref="V1136">_xlfn.IFS(C1136="","",COUNTIF(C1136,"ตำแหน่งว่าง*"),"ว่าง",COUNTIF(C1136,"&lt;&gt;ตำแหน่งว่าง*"),"คนครอง")</f>
        <v>คนครอง</v>
      </c>
      <c r="W1136" s="6" cm="1">
        <f t="array" ref="W1136">_xlfn.IFS(COUNTIF(F1136,"ผบ.หมู่*"),51,COUNTIF(F1136,"รอง สว.*"),43)</f>
        <v>51</v>
      </c>
      <c r="X1136" s="1" t="s">
        <v>3271</v>
      </c>
      <c r="Y1136" s="1" t="s">
        <v>52</v>
      </c>
    </row>
    <row r="1137" spans="1:25" s="9" customFormat="1" ht="21.3" customHeight="1">
      <c r="A1137" s="95" t="s">
        <v>208</v>
      </c>
      <c r="B1137" s="28" t="s">
        <v>12</v>
      </c>
      <c r="C1137" s="27" t="s">
        <v>3273</v>
      </c>
      <c r="D1137" s="27" t="s">
        <v>9202</v>
      </c>
      <c r="E1137" s="27" t="s">
        <v>9203</v>
      </c>
      <c r="F1137" s="27" t="s">
        <v>3267</v>
      </c>
      <c r="G1137" s="101" t="s">
        <v>3275</v>
      </c>
      <c r="H1137" s="91">
        <v>43693</v>
      </c>
      <c r="I1137" s="73">
        <v>43693</v>
      </c>
      <c r="J1137" s="73">
        <v>43693</v>
      </c>
      <c r="K1137" s="73">
        <v>31655</v>
      </c>
      <c r="L1137" s="11" t="s">
        <v>82</v>
      </c>
      <c r="M1137" s="28" t="s">
        <v>24</v>
      </c>
      <c r="N1137" s="112" t="s">
        <v>14</v>
      </c>
      <c r="O1137" s="104" t="s">
        <v>52</v>
      </c>
      <c r="P1137" s="104" t="s">
        <v>52</v>
      </c>
      <c r="Q1137" s="105"/>
      <c r="R1137" s="28" t="s">
        <v>645</v>
      </c>
      <c r="S1137" s="225">
        <f t="shared" si="17"/>
        <v>53601</v>
      </c>
      <c r="T1137" s="2" t="s">
        <v>7622</v>
      </c>
      <c r="U1137" s="7" t="s">
        <v>113</v>
      </c>
      <c r="V1137" s="162" t="str" cm="1">
        <f t="array" ref="V1137">_xlfn.IFS(C1137="","",COUNTIF(C1137,"ตำแหน่งว่าง*"),"ว่าง",COUNTIF(C1137,"&lt;&gt;ตำแหน่งว่าง*"),"คนครอง")</f>
        <v>คนครอง</v>
      </c>
      <c r="W1137" s="6" cm="1">
        <f t="array" ref="W1137">_xlfn.IFS(COUNTIF(F1137,"ผบ.หมู่*"),51,COUNTIF(F1137,"รอง สว.*"),43)</f>
        <v>51</v>
      </c>
      <c r="X1137" s="1" t="s">
        <v>3274</v>
      </c>
      <c r="Y1137" s="1" t="s">
        <v>52</v>
      </c>
    </row>
    <row r="1138" spans="1:25" s="10" customFormat="1" ht="21.3" customHeight="1">
      <c r="A1138" s="27"/>
      <c r="B1138" s="30"/>
      <c r="C1138" s="30" t="s">
        <v>18</v>
      </c>
      <c r="D1138" s="27"/>
      <c r="E1138" s="27"/>
      <c r="F1138" s="68" t="s">
        <v>3267</v>
      </c>
      <c r="G1138" s="121" t="s">
        <v>3277</v>
      </c>
      <c r="H1138" s="91" t="s">
        <v>19</v>
      </c>
      <c r="I1138" s="73" t="s">
        <v>19</v>
      </c>
      <c r="J1138" s="73" t="s">
        <v>19</v>
      </c>
      <c r="K1138" s="73" t="s">
        <v>19</v>
      </c>
      <c r="L1138" s="11"/>
      <c r="M1138" s="30"/>
      <c r="N1138" s="113" t="s">
        <v>14</v>
      </c>
      <c r="O1138" s="122" t="s">
        <v>52</v>
      </c>
      <c r="P1138" s="122" t="s">
        <v>52</v>
      </c>
      <c r="Q1138" s="106"/>
      <c r="R1138" s="30"/>
      <c r="S1138" s="225" t="str">
        <f t="shared" si="17"/>
        <v/>
      </c>
      <c r="T1138" s="7" t="s">
        <v>7622</v>
      </c>
      <c r="U1138" s="7" t="s">
        <v>113</v>
      </c>
      <c r="V1138" s="171" t="str" cm="1">
        <f t="array" ref="V1138">_xlfn.IFS(C1138="","",COUNTIF(C1138,"ตำแหน่งว่าง*"),"ว่าง",COUNTIF(C1138,"&lt;&gt;ตำแหน่งว่าง*"),"คนครอง")</f>
        <v>ว่าง</v>
      </c>
      <c r="W1138" s="6" cm="1">
        <f t="array" ref="W1138">_xlfn.IFS(COUNTIF(F1138,"ผบ.หมู่*"),51,COUNTIF(F1138,"รอง สว.*"),43)</f>
        <v>51</v>
      </c>
      <c r="X1138" s="6" t="s">
        <v>3276</v>
      </c>
      <c r="Y1138" s="6" t="s">
        <v>52</v>
      </c>
    </row>
    <row r="1139" spans="1:25" s="12" customFormat="1" ht="21.3" customHeight="1">
      <c r="A1139" s="27" t="s">
        <v>157</v>
      </c>
      <c r="B1139" s="28" t="s">
        <v>12</v>
      </c>
      <c r="C1139" s="95" t="s">
        <v>3278</v>
      </c>
      <c r="D1139" s="27" t="s">
        <v>8008</v>
      </c>
      <c r="E1139" s="27" t="s">
        <v>9204</v>
      </c>
      <c r="F1139" s="95" t="s">
        <v>3267</v>
      </c>
      <c r="G1139" s="101" t="s">
        <v>3280</v>
      </c>
      <c r="H1139" s="75">
        <v>42501</v>
      </c>
      <c r="I1139" s="73">
        <v>34729</v>
      </c>
      <c r="J1139" s="73">
        <v>34729</v>
      </c>
      <c r="K1139" s="73">
        <v>27788</v>
      </c>
      <c r="L1139" s="11" t="s">
        <v>112</v>
      </c>
      <c r="M1139" s="28" t="s">
        <v>75</v>
      </c>
      <c r="N1139" s="111" t="s">
        <v>14</v>
      </c>
      <c r="O1139" s="104" t="s">
        <v>52</v>
      </c>
      <c r="P1139" s="104" t="s">
        <v>52</v>
      </c>
      <c r="Q1139" s="105"/>
      <c r="R1139" s="28" t="s">
        <v>110</v>
      </c>
      <c r="S1139" s="225">
        <f t="shared" si="17"/>
        <v>49949</v>
      </c>
      <c r="T1139" s="162" t="s">
        <v>7622</v>
      </c>
      <c r="U1139" s="7" t="s">
        <v>113</v>
      </c>
      <c r="V1139" s="162" t="str" cm="1">
        <f t="array" ref="V1139">_xlfn.IFS(C1139="","",COUNTIF(C1139,"ตำแหน่งว่าง*"),"ว่าง",COUNTIF(C1139,"&lt;&gt;ตำแหน่งว่าง*"),"คนครอง")</f>
        <v>คนครอง</v>
      </c>
      <c r="W1139" s="6" cm="1">
        <f t="array" ref="W1139">_xlfn.IFS(COUNTIF(F1139,"ผบ.หมู่*"),51,COUNTIF(F1139,"รอง สว.*"),43)</f>
        <v>51</v>
      </c>
      <c r="X1139" s="5" t="s">
        <v>3279</v>
      </c>
      <c r="Y1139" s="5" t="s">
        <v>52</v>
      </c>
    </row>
    <row r="1140" spans="1:25" s="9" customFormat="1" ht="21.3" customHeight="1">
      <c r="A1140" s="27" t="s">
        <v>182</v>
      </c>
      <c r="B1140" s="28" t="s">
        <v>12</v>
      </c>
      <c r="C1140" s="27" t="s">
        <v>3281</v>
      </c>
      <c r="D1140" s="27" t="s">
        <v>8696</v>
      </c>
      <c r="E1140" s="27" t="s">
        <v>9205</v>
      </c>
      <c r="F1140" s="27" t="s">
        <v>3267</v>
      </c>
      <c r="G1140" s="101" t="s">
        <v>3283</v>
      </c>
      <c r="H1140" s="75">
        <v>44043</v>
      </c>
      <c r="I1140" s="73">
        <v>44043</v>
      </c>
      <c r="J1140" s="73">
        <v>44043</v>
      </c>
      <c r="K1140" s="73">
        <v>33140</v>
      </c>
      <c r="L1140" s="11" t="s">
        <v>82</v>
      </c>
      <c r="M1140" s="28" t="s">
        <v>17</v>
      </c>
      <c r="N1140" s="112" t="s">
        <v>14</v>
      </c>
      <c r="O1140" s="104" t="s">
        <v>52</v>
      </c>
      <c r="P1140" s="104" t="s">
        <v>52</v>
      </c>
      <c r="Q1140" s="105"/>
      <c r="R1140" s="28" t="s">
        <v>2436</v>
      </c>
      <c r="S1140" s="225">
        <f t="shared" si="17"/>
        <v>55062</v>
      </c>
      <c r="T1140" s="2" t="s">
        <v>7622</v>
      </c>
      <c r="U1140" s="7" t="s">
        <v>113</v>
      </c>
      <c r="V1140" s="162" t="str" cm="1">
        <f t="array" ref="V1140">_xlfn.IFS(C1140="","",COUNTIF(C1140,"ตำแหน่งว่าง*"),"ว่าง",COUNTIF(C1140,"&lt;&gt;ตำแหน่งว่าง*"),"คนครอง")</f>
        <v>คนครอง</v>
      </c>
      <c r="W1140" s="6" cm="1">
        <f t="array" ref="W1140">_xlfn.IFS(COUNTIF(F1140,"ผบ.หมู่*"),51,COUNTIF(F1140,"รอง สว.*"),43)</f>
        <v>51</v>
      </c>
      <c r="X1140" s="1" t="s">
        <v>3282</v>
      </c>
      <c r="Y1140" s="1" t="s">
        <v>52</v>
      </c>
    </row>
    <row r="1141" spans="1:25" s="12" customFormat="1" ht="21.3" customHeight="1">
      <c r="A1141" s="68"/>
      <c r="B1141" s="30"/>
      <c r="C1141" s="30" t="s">
        <v>18</v>
      </c>
      <c r="D1141" s="27"/>
      <c r="E1141" s="27"/>
      <c r="F1141" s="68" t="s">
        <v>3267</v>
      </c>
      <c r="G1141" s="121" t="s">
        <v>3285</v>
      </c>
      <c r="H1141" s="80" t="s">
        <v>19</v>
      </c>
      <c r="I1141" s="74" t="s">
        <v>19</v>
      </c>
      <c r="J1141" s="74" t="s">
        <v>19</v>
      </c>
      <c r="K1141" s="74" t="s">
        <v>19</v>
      </c>
      <c r="L1141" s="16"/>
      <c r="M1141" s="30"/>
      <c r="N1141" s="113" t="s">
        <v>14</v>
      </c>
      <c r="O1141" s="122" t="s">
        <v>52</v>
      </c>
      <c r="P1141" s="122" t="s">
        <v>52</v>
      </c>
      <c r="Q1141" s="106"/>
      <c r="R1141" s="30"/>
      <c r="S1141" s="225" t="str">
        <f t="shared" si="17"/>
        <v/>
      </c>
      <c r="T1141" s="162" t="s">
        <v>7622</v>
      </c>
      <c r="U1141" s="7" t="s">
        <v>113</v>
      </c>
      <c r="V1141" s="171" t="str" cm="1">
        <f t="array" ref="V1141">_xlfn.IFS(C1141="","",COUNTIF(C1141,"ตำแหน่งว่าง*"),"ว่าง",COUNTIF(C1141,"&lt;&gt;ตำแหน่งว่าง*"),"คนครอง")</f>
        <v>ว่าง</v>
      </c>
      <c r="W1141" s="6" cm="1">
        <f t="array" ref="W1141">_xlfn.IFS(COUNTIF(F1141,"ผบ.หมู่*"),51,COUNTIF(F1141,"รอง สว.*"),43)</f>
        <v>51</v>
      </c>
      <c r="X1141" s="6" t="s">
        <v>3284</v>
      </c>
      <c r="Y1141" s="6" t="s">
        <v>52</v>
      </c>
    </row>
    <row r="1142" spans="1:25" s="9" customFormat="1" ht="21.3" customHeight="1">
      <c r="A1142" s="68"/>
      <c r="B1142" s="30"/>
      <c r="C1142" s="68" t="s">
        <v>18</v>
      </c>
      <c r="D1142" s="27"/>
      <c r="E1142" s="27"/>
      <c r="F1142" s="68" t="s">
        <v>3267</v>
      </c>
      <c r="G1142" s="121" t="s">
        <v>3287</v>
      </c>
      <c r="H1142" s="93"/>
      <c r="I1142" s="74"/>
      <c r="J1142" s="90"/>
      <c r="K1142" s="74"/>
      <c r="L1142" s="16"/>
      <c r="M1142" s="30"/>
      <c r="N1142" s="113" t="s">
        <v>14</v>
      </c>
      <c r="O1142" s="122" t="s">
        <v>52</v>
      </c>
      <c r="P1142" s="122" t="s">
        <v>52</v>
      </c>
      <c r="Q1142" s="106"/>
      <c r="R1142" s="30"/>
      <c r="S1142" s="225" t="str">
        <f t="shared" si="17"/>
        <v/>
      </c>
      <c r="T1142" s="2" t="s">
        <v>7622</v>
      </c>
      <c r="U1142" s="7" t="s">
        <v>113</v>
      </c>
      <c r="V1142" s="171" t="str" cm="1">
        <f t="array" ref="V1142">_xlfn.IFS(C1142="","",COUNTIF(C1142,"ตำแหน่งว่าง*"),"ว่าง",COUNTIF(C1142,"&lt;&gt;ตำแหน่งว่าง*"),"คนครอง")</f>
        <v>ว่าง</v>
      </c>
      <c r="W1142" s="6" cm="1">
        <f t="array" ref="W1142">_xlfn.IFS(COUNTIF(F1142,"ผบ.หมู่*"),51,COUNTIF(F1142,"รอง สว.*"),43)</f>
        <v>51</v>
      </c>
      <c r="X1142" s="1" t="s">
        <v>3286</v>
      </c>
      <c r="Y1142" s="1" t="s">
        <v>52</v>
      </c>
    </row>
    <row r="1143" spans="1:25" s="9" customFormat="1" ht="21.3" customHeight="1">
      <c r="A1143" s="68"/>
      <c r="B1143" s="30"/>
      <c r="C1143" s="68" t="s">
        <v>18</v>
      </c>
      <c r="D1143" s="27"/>
      <c r="E1143" s="27"/>
      <c r="F1143" s="68" t="s">
        <v>3267</v>
      </c>
      <c r="G1143" s="121" t="s">
        <v>3289</v>
      </c>
      <c r="H1143" s="93"/>
      <c r="I1143" s="74"/>
      <c r="J1143" s="90"/>
      <c r="K1143" s="74"/>
      <c r="L1143" s="16"/>
      <c r="M1143" s="30"/>
      <c r="N1143" s="113" t="s">
        <v>14</v>
      </c>
      <c r="O1143" s="122" t="s">
        <v>52</v>
      </c>
      <c r="P1143" s="122" t="s">
        <v>52</v>
      </c>
      <c r="Q1143" s="106"/>
      <c r="R1143" s="30"/>
      <c r="S1143" s="225" t="str">
        <f t="shared" si="17"/>
        <v/>
      </c>
      <c r="T1143" s="2" t="s">
        <v>7622</v>
      </c>
      <c r="U1143" s="7" t="s">
        <v>113</v>
      </c>
      <c r="V1143" s="171" t="str" cm="1">
        <f t="array" ref="V1143">_xlfn.IFS(C1143="","",COUNTIF(C1143,"ตำแหน่งว่าง*"),"ว่าง",COUNTIF(C1143,"&lt;&gt;ตำแหน่งว่าง*"),"คนครอง")</f>
        <v>ว่าง</v>
      </c>
      <c r="W1143" s="6" cm="1">
        <f t="array" ref="W1143">_xlfn.IFS(COUNTIF(F1143,"ผบ.หมู่*"),51,COUNTIF(F1143,"รอง สว.*"),43)</f>
        <v>51</v>
      </c>
      <c r="X1143" s="1" t="s">
        <v>3288</v>
      </c>
      <c r="Y1143" s="1" t="s">
        <v>52</v>
      </c>
    </row>
    <row r="1144" spans="1:25" s="10" customFormat="1" ht="21.3" customHeight="1">
      <c r="A1144" s="27"/>
      <c r="B1144" s="30"/>
      <c r="C1144" s="30" t="s">
        <v>18</v>
      </c>
      <c r="D1144" s="27"/>
      <c r="E1144" s="27"/>
      <c r="F1144" s="68" t="s">
        <v>3267</v>
      </c>
      <c r="G1144" s="121" t="s">
        <v>3291</v>
      </c>
      <c r="H1144" s="91" t="s">
        <v>19</v>
      </c>
      <c r="I1144" s="230" t="s">
        <v>19</v>
      </c>
      <c r="J1144" s="230" t="s">
        <v>19</v>
      </c>
      <c r="K1144" s="230" t="s">
        <v>19</v>
      </c>
      <c r="L1144" s="11"/>
      <c r="M1144" s="30"/>
      <c r="N1144" s="113" t="s">
        <v>14</v>
      </c>
      <c r="O1144" s="122" t="s">
        <v>52</v>
      </c>
      <c r="P1144" s="122" t="s">
        <v>52</v>
      </c>
      <c r="Q1144" s="231"/>
      <c r="R1144" s="45"/>
      <c r="S1144" s="225" t="str">
        <f t="shared" si="17"/>
        <v/>
      </c>
      <c r="T1144" s="7" t="s">
        <v>7622</v>
      </c>
      <c r="U1144" s="7" t="s">
        <v>113</v>
      </c>
      <c r="V1144" s="171" t="str" cm="1">
        <f t="array" ref="V1144">_xlfn.IFS(C1144="","",COUNTIF(C1144,"ตำแหน่งว่าง*"),"ว่าง",COUNTIF(C1144,"&lt;&gt;ตำแหน่งว่าง*"),"คนครอง")</f>
        <v>ว่าง</v>
      </c>
      <c r="W1144" s="6" cm="1">
        <f t="array" ref="W1144">_xlfn.IFS(COUNTIF(F1144,"ผบ.หมู่*"),51,COUNTIF(F1144,"รอง สว.*"),43)</f>
        <v>51</v>
      </c>
      <c r="X1144" s="6" t="s">
        <v>3290</v>
      </c>
      <c r="Y1144" s="6" t="s">
        <v>52</v>
      </c>
    </row>
    <row r="1145" spans="1:25" s="12" customFormat="1" ht="21.3" customHeight="1">
      <c r="A1145" s="27"/>
      <c r="B1145" s="28"/>
      <c r="C1145" s="95" t="s">
        <v>18</v>
      </c>
      <c r="D1145" s="27"/>
      <c r="E1145" s="27"/>
      <c r="F1145" s="68" t="s">
        <v>3267</v>
      </c>
      <c r="G1145" s="101" t="s">
        <v>3293</v>
      </c>
      <c r="H1145" s="75"/>
      <c r="I1145" s="73"/>
      <c r="J1145" s="73"/>
      <c r="K1145" s="73"/>
      <c r="L1145" s="11"/>
      <c r="M1145" s="28"/>
      <c r="N1145" s="111" t="s">
        <v>14</v>
      </c>
      <c r="O1145" s="104" t="s">
        <v>52</v>
      </c>
      <c r="P1145" s="104" t="s">
        <v>52</v>
      </c>
      <c r="Q1145" s="105"/>
      <c r="R1145" s="28"/>
      <c r="S1145" s="225" t="str">
        <f t="shared" si="17"/>
        <v/>
      </c>
      <c r="T1145" s="162" t="s">
        <v>7622</v>
      </c>
      <c r="U1145" s="7" t="s">
        <v>113</v>
      </c>
      <c r="V1145" s="162" t="str" cm="1">
        <f t="array" ref="V1145">_xlfn.IFS(C1145="","",COUNTIF(C1145,"ตำแหน่งว่าง*"),"ว่าง",COUNTIF(C1145,"&lt;&gt;ตำแหน่งว่าง*"),"คนครอง")</f>
        <v>ว่าง</v>
      </c>
      <c r="W1145" s="5" cm="1">
        <f t="array" ref="W1145">_xlfn.IFS(COUNTIF(F1145,"ผบ.หมู่*"),51,COUNTIF(F1145,"รอง สว.*"),43)</f>
        <v>51</v>
      </c>
      <c r="X1145" s="5" t="s">
        <v>3292</v>
      </c>
      <c r="Y1145" s="5" t="s">
        <v>52</v>
      </c>
    </row>
    <row r="1146" spans="1:25" s="9" customFormat="1" ht="21.3" customHeight="1">
      <c r="A1146" s="27" t="s">
        <v>157</v>
      </c>
      <c r="B1146" s="28" t="s">
        <v>12</v>
      </c>
      <c r="C1146" s="27" t="s">
        <v>3294</v>
      </c>
      <c r="D1146" s="27" t="s">
        <v>9206</v>
      </c>
      <c r="E1146" s="27" t="s">
        <v>9207</v>
      </c>
      <c r="F1146" s="27" t="s">
        <v>3267</v>
      </c>
      <c r="G1146" s="101" t="s">
        <v>3296</v>
      </c>
      <c r="H1146" s="75">
        <v>44243</v>
      </c>
      <c r="I1146" s="73">
        <v>37653</v>
      </c>
      <c r="J1146" s="73">
        <v>37653</v>
      </c>
      <c r="K1146" s="73">
        <v>30799</v>
      </c>
      <c r="L1146" s="11" t="s">
        <v>82</v>
      </c>
      <c r="M1146" s="28" t="s">
        <v>75</v>
      </c>
      <c r="N1146" s="112" t="s">
        <v>14</v>
      </c>
      <c r="O1146" s="104" t="s">
        <v>52</v>
      </c>
      <c r="P1146" s="104" t="s">
        <v>52</v>
      </c>
      <c r="Q1146" s="105"/>
      <c r="R1146" s="28" t="s">
        <v>617</v>
      </c>
      <c r="S1146" s="225">
        <f t="shared" si="17"/>
        <v>52871</v>
      </c>
      <c r="T1146" s="2" t="s">
        <v>7622</v>
      </c>
      <c r="U1146" s="7" t="s">
        <v>113</v>
      </c>
      <c r="V1146" s="162" t="str" cm="1">
        <f t="array" ref="V1146">_xlfn.IFS(C1146="","",COUNTIF(C1146,"ตำแหน่งว่าง*"),"ว่าง",COUNTIF(C1146,"&lt;&gt;ตำแหน่งว่าง*"),"คนครอง")</f>
        <v>คนครอง</v>
      </c>
      <c r="W1146" s="6" cm="1">
        <f t="array" ref="W1146">_xlfn.IFS(COUNTIF(F1146,"ผบ.หมู่*"),51,COUNTIF(F1146,"รอง สว.*"),43)</f>
        <v>51</v>
      </c>
      <c r="X1146" s="1" t="s">
        <v>3295</v>
      </c>
      <c r="Y1146" s="1" t="s">
        <v>52</v>
      </c>
    </row>
    <row r="1147" spans="1:25" s="12" customFormat="1" ht="21.3" customHeight="1">
      <c r="A1147" s="27" t="s">
        <v>157</v>
      </c>
      <c r="B1147" s="28" t="s">
        <v>21</v>
      </c>
      <c r="C1147" s="95" t="s">
        <v>3297</v>
      </c>
      <c r="D1147" s="27" t="s">
        <v>9208</v>
      </c>
      <c r="E1147" s="27" t="s">
        <v>9209</v>
      </c>
      <c r="F1147" s="95" t="s">
        <v>3267</v>
      </c>
      <c r="G1147" s="101" t="s">
        <v>3299</v>
      </c>
      <c r="H1147" s="75">
        <v>42501</v>
      </c>
      <c r="I1147" s="73">
        <v>37408</v>
      </c>
      <c r="J1147" s="73">
        <v>37408</v>
      </c>
      <c r="K1147" s="73">
        <v>27469</v>
      </c>
      <c r="L1147" s="11" t="s">
        <v>3300</v>
      </c>
      <c r="M1147" s="28" t="s">
        <v>75</v>
      </c>
      <c r="N1147" s="111" t="s">
        <v>14</v>
      </c>
      <c r="O1147" s="104" t="s">
        <v>52</v>
      </c>
      <c r="P1147" s="104" t="s">
        <v>52</v>
      </c>
      <c r="Q1147" s="105"/>
      <c r="R1147" s="28" t="s">
        <v>110</v>
      </c>
      <c r="S1147" s="225">
        <f t="shared" si="17"/>
        <v>49583</v>
      </c>
      <c r="T1147" s="162" t="s">
        <v>7622</v>
      </c>
      <c r="U1147" s="7" t="s">
        <v>113</v>
      </c>
      <c r="V1147" s="162" t="str" cm="1">
        <f t="array" ref="V1147">_xlfn.IFS(C1147="","",COUNTIF(C1147,"ตำแหน่งว่าง*"),"ว่าง",COUNTIF(C1147,"&lt;&gt;ตำแหน่งว่าง*"),"คนครอง")</f>
        <v>คนครอง</v>
      </c>
      <c r="W1147" s="6" cm="1">
        <f t="array" ref="W1147">_xlfn.IFS(COUNTIF(F1147,"ผบ.หมู่*"),51,COUNTIF(F1147,"รอง สว.*"),43)</f>
        <v>51</v>
      </c>
      <c r="X1147" s="5" t="s">
        <v>3298</v>
      </c>
      <c r="Y1147" s="5" t="s">
        <v>52</v>
      </c>
    </row>
    <row r="1148" spans="1:25" s="10" customFormat="1" ht="21.3" customHeight="1">
      <c r="A1148" s="27"/>
      <c r="B1148" s="28"/>
      <c r="C1148" s="30" t="s">
        <v>18</v>
      </c>
      <c r="D1148" s="27"/>
      <c r="E1148" s="27"/>
      <c r="F1148" s="68" t="s">
        <v>3267</v>
      </c>
      <c r="G1148" s="121" t="s">
        <v>3302</v>
      </c>
      <c r="H1148" s="91" t="s">
        <v>19</v>
      </c>
      <c r="I1148" s="73" t="s">
        <v>19</v>
      </c>
      <c r="J1148" s="73" t="s">
        <v>19</v>
      </c>
      <c r="K1148" s="73" t="s">
        <v>19</v>
      </c>
      <c r="L1148" s="11"/>
      <c r="M1148" s="1"/>
      <c r="N1148" s="113" t="s">
        <v>14</v>
      </c>
      <c r="O1148" s="122" t="s">
        <v>52</v>
      </c>
      <c r="P1148" s="122" t="s">
        <v>52</v>
      </c>
      <c r="Q1148" s="105"/>
      <c r="R1148" s="28"/>
      <c r="S1148" s="225" t="str">
        <f t="shared" si="17"/>
        <v/>
      </c>
      <c r="T1148" s="7" t="s">
        <v>7622</v>
      </c>
      <c r="U1148" s="7" t="s">
        <v>113</v>
      </c>
      <c r="V1148" s="171" t="str" cm="1">
        <f t="array" ref="V1148">_xlfn.IFS(C1148="","",COUNTIF(C1148,"ตำแหน่งว่าง*"),"ว่าง",COUNTIF(C1148,"&lt;&gt;ตำแหน่งว่าง*"),"คนครอง")</f>
        <v>ว่าง</v>
      </c>
      <c r="W1148" s="6" cm="1">
        <f t="array" ref="W1148">_xlfn.IFS(COUNTIF(F1148,"ผบ.หมู่*"),51,COUNTIF(F1148,"รอง สว.*"),43)</f>
        <v>51</v>
      </c>
      <c r="X1148" s="6" t="s">
        <v>3301</v>
      </c>
      <c r="Y1148" s="6" t="s">
        <v>52</v>
      </c>
    </row>
    <row r="1149" spans="1:25" s="10" customFormat="1" ht="21.3" customHeight="1">
      <c r="A1149" s="27"/>
      <c r="B1149" s="28"/>
      <c r="C1149" s="30" t="s">
        <v>18</v>
      </c>
      <c r="D1149" s="27"/>
      <c r="E1149" s="27"/>
      <c r="F1149" s="68" t="s">
        <v>3267</v>
      </c>
      <c r="G1149" s="121" t="s">
        <v>3304</v>
      </c>
      <c r="H1149" s="91" t="s">
        <v>19</v>
      </c>
      <c r="I1149" s="73" t="s">
        <v>19</v>
      </c>
      <c r="J1149" s="73" t="s">
        <v>19</v>
      </c>
      <c r="K1149" s="73" t="s">
        <v>19</v>
      </c>
      <c r="L1149" s="11"/>
      <c r="M1149" s="1"/>
      <c r="N1149" s="113" t="s">
        <v>14</v>
      </c>
      <c r="O1149" s="122" t="s">
        <v>52</v>
      </c>
      <c r="P1149" s="122" t="s">
        <v>52</v>
      </c>
      <c r="Q1149" s="105"/>
      <c r="R1149" s="28"/>
      <c r="S1149" s="225" t="str">
        <f t="shared" si="17"/>
        <v/>
      </c>
      <c r="T1149" s="7" t="s">
        <v>7622</v>
      </c>
      <c r="U1149" s="7" t="s">
        <v>113</v>
      </c>
      <c r="V1149" s="171" t="str" cm="1">
        <f t="array" ref="V1149">_xlfn.IFS(C1149="","",COUNTIF(C1149,"ตำแหน่งว่าง*"),"ว่าง",COUNTIF(C1149,"&lt;&gt;ตำแหน่งว่าง*"),"คนครอง")</f>
        <v>ว่าง</v>
      </c>
      <c r="W1149" s="6" cm="1">
        <f t="array" ref="W1149">_xlfn.IFS(COUNTIF(F1149,"ผบ.หมู่*"),51,COUNTIF(F1149,"รอง สว.*"),43)</f>
        <v>51</v>
      </c>
      <c r="X1149" s="6" t="s">
        <v>3303</v>
      </c>
      <c r="Y1149" s="6" t="s">
        <v>52</v>
      </c>
    </row>
    <row r="1150" spans="1:25" s="10" customFormat="1" ht="21.3" customHeight="1">
      <c r="A1150" s="27"/>
      <c r="B1150" s="28"/>
      <c r="C1150" s="30" t="s">
        <v>18</v>
      </c>
      <c r="D1150" s="27"/>
      <c r="E1150" s="27"/>
      <c r="F1150" s="68" t="s">
        <v>3267</v>
      </c>
      <c r="G1150" s="121" t="s">
        <v>3306</v>
      </c>
      <c r="H1150" s="91" t="s">
        <v>19</v>
      </c>
      <c r="I1150" s="73" t="s">
        <v>19</v>
      </c>
      <c r="J1150" s="73" t="s">
        <v>19</v>
      </c>
      <c r="K1150" s="73" t="s">
        <v>19</v>
      </c>
      <c r="L1150" s="11"/>
      <c r="M1150" s="1"/>
      <c r="N1150" s="113" t="s">
        <v>14</v>
      </c>
      <c r="O1150" s="122" t="s">
        <v>52</v>
      </c>
      <c r="P1150" s="122" t="s">
        <v>52</v>
      </c>
      <c r="Q1150" s="105"/>
      <c r="R1150" s="28"/>
      <c r="S1150" s="225" t="str">
        <f t="shared" si="17"/>
        <v/>
      </c>
      <c r="T1150" s="7" t="s">
        <v>7622</v>
      </c>
      <c r="U1150" s="7" t="s">
        <v>113</v>
      </c>
      <c r="V1150" s="171" t="str" cm="1">
        <f t="array" ref="V1150">_xlfn.IFS(C1150="","",COUNTIF(C1150,"ตำแหน่งว่าง*"),"ว่าง",COUNTIF(C1150,"&lt;&gt;ตำแหน่งว่าง*"),"คนครอง")</f>
        <v>ว่าง</v>
      </c>
      <c r="W1150" s="6" cm="1">
        <f t="array" ref="W1150">_xlfn.IFS(COUNTIF(F1150,"ผบ.หมู่*"),51,COUNTIF(F1150,"รอง สว.*"),43)</f>
        <v>51</v>
      </c>
      <c r="X1150" s="6" t="s">
        <v>3305</v>
      </c>
      <c r="Y1150" s="6" t="s">
        <v>52</v>
      </c>
    </row>
    <row r="1151" spans="1:25" s="10" customFormat="1" ht="21.3" customHeight="1">
      <c r="A1151" s="27"/>
      <c r="B1151" s="28"/>
      <c r="C1151" s="30" t="s">
        <v>18</v>
      </c>
      <c r="D1151" s="27"/>
      <c r="E1151" s="27"/>
      <c r="F1151" s="68" t="s">
        <v>3267</v>
      </c>
      <c r="G1151" s="121" t="s">
        <v>3308</v>
      </c>
      <c r="H1151" s="91" t="s">
        <v>19</v>
      </c>
      <c r="I1151" s="73" t="s">
        <v>19</v>
      </c>
      <c r="J1151" s="73" t="s">
        <v>19</v>
      </c>
      <c r="K1151" s="73" t="s">
        <v>19</v>
      </c>
      <c r="L1151" s="11"/>
      <c r="M1151" s="1"/>
      <c r="N1151" s="113" t="s">
        <v>14</v>
      </c>
      <c r="O1151" s="122" t="s">
        <v>52</v>
      </c>
      <c r="P1151" s="122" t="s">
        <v>52</v>
      </c>
      <c r="Q1151" s="105"/>
      <c r="R1151" s="28"/>
      <c r="S1151" s="225" t="str">
        <f t="shared" si="17"/>
        <v/>
      </c>
      <c r="T1151" s="7" t="s">
        <v>7622</v>
      </c>
      <c r="U1151" s="7" t="s">
        <v>113</v>
      </c>
      <c r="V1151" s="171" t="str" cm="1">
        <f t="array" ref="V1151">_xlfn.IFS(C1151="","",COUNTIF(C1151,"ตำแหน่งว่าง*"),"ว่าง",COUNTIF(C1151,"&lt;&gt;ตำแหน่งว่าง*"),"คนครอง")</f>
        <v>ว่าง</v>
      </c>
      <c r="W1151" s="6" cm="1">
        <f t="array" ref="W1151">_xlfn.IFS(COUNTIF(F1151,"ผบ.หมู่*"),51,COUNTIF(F1151,"รอง สว.*"),43)</f>
        <v>51</v>
      </c>
      <c r="X1151" s="6" t="s">
        <v>3307</v>
      </c>
      <c r="Y1151" s="6" t="s">
        <v>52</v>
      </c>
    </row>
    <row r="1152" spans="1:25" s="9" customFormat="1" ht="21.3" customHeight="1">
      <c r="A1152" s="27" t="s">
        <v>157</v>
      </c>
      <c r="B1152" s="28" t="s">
        <v>12</v>
      </c>
      <c r="C1152" s="27" t="s">
        <v>3138</v>
      </c>
      <c r="D1152" s="27" t="s">
        <v>7987</v>
      </c>
      <c r="E1152" s="27" t="s">
        <v>9210</v>
      </c>
      <c r="F1152" s="27" t="s">
        <v>3139</v>
      </c>
      <c r="G1152" s="101" t="s">
        <v>3141</v>
      </c>
      <c r="H1152" s="75">
        <v>42501</v>
      </c>
      <c r="I1152" s="73">
        <v>42501</v>
      </c>
      <c r="J1152" s="73">
        <v>37316</v>
      </c>
      <c r="K1152" s="73">
        <v>29511</v>
      </c>
      <c r="L1152" s="11" t="s">
        <v>3142</v>
      </c>
      <c r="M1152" s="28" t="s">
        <v>118</v>
      </c>
      <c r="N1152" s="112" t="s">
        <v>14</v>
      </c>
      <c r="O1152" s="104" t="s">
        <v>52</v>
      </c>
      <c r="P1152" s="104" t="s">
        <v>52</v>
      </c>
      <c r="Q1152" s="105"/>
      <c r="R1152" s="28" t="s">
        <v>110</v>
      </c>
      <c r="S1152" s="225">
        <f t="shared" si="17"/>
        <v>51775</v>
      </c>
      <c r="T1152" s="2" t="s">
        <v>7619</v>
      </c>
      <c r="U1152" s="7" t="s">
        <v>113</v>
      </c>
      <c r="V1152" s="162" t="str" cm="1">
        <f t="array" ref="V1152">_xlfn.IFS(C1152="","",COUNTIF(C1152,"ตำแหน่งว่าง*"),"ว่าง",COUNTIF(C1152,"&lt;&gt;ตำแหน่งว่าง*"),"คนครอง")</f>
        <v>คนครอง</v>
      </c>
      <c r="W1152" s="6" cm="1">
        <f t="array" ref="W1152">_xlfn.IFS(COUNTIF(F1152,"ผบ.หมู่*"),51,COUNTIF(F1152,"รอง สว.*"),43)</f>
        <v>51</v>
      </c>
      <c r="X1152" s="1" t="s">
        <v>3140</v>
      </c>
      <c r="Y1152" s="1" t="s">
        <v>52</v>
      </c>
    </row>
    <row r="1153" spans="1:25" s="10" customFormat="1" ht="21.3" customHeight="1">
      <c r="A1153" s="27" t="s">
        <v>157</v>
      </c>
      <c r="B1153" s="28" t="s">
        <v>12</v>
      </c>
      <c r="C1153" s="27" t="s">
        <v>3143</v>
      </c>
      <c r="D1153" s="27" t="s">
        <v>9211</v>
      </c>
      <c r="E1153" s="27" t="s">
        <v>9212</v>
      </c>
      <c r="F1153" s="27" t="s">
        <v>3139</v>
      </c>
      <c r="G1153" s="101" t="s">
        <v>3145</v>
      </c>
      <c r="H1153" s="75">
        <v>44999</v>
      </c>
      <c r="I1153" s="82">
        <v>36923</v>
      </c>
      <c r="J1153" s="82">
        <v>36923</v>
      </c>
      <c r="K1153" s="82">
        <v>28407</v>
      </c>
      <c r="L1153" s="58" t="s">
        <v>82</v>
      </c>
      <c r="M1153" s="56"/>
      <c r="N1153" s="112" t="s">
        <v>14</v>
      </c>
      <c r="O1153" s="104" t="s">
        <v>52</v>
      </c>
      <c r="P1153" s="104" t="s">
        <v>52</v>
      </c>
      <c r="Q1153" s="105"/>
      <c r="R1153" s="28" t="s">
        <v>74</v>
      </c>
      <c r="S1153" s="225">
        <f t="shared" si="17"/>
        <v>50679</v>
      </c>
      <c r="T1153" s="7" t="s">
        <v>7619</v>
      </c>
      <c r="U1153" s="7" t="s">
        <v>113</v>
      </c>
      <c r="V1153" s="162" t="str" cm="1">
        <f t="array" ref="V1153">_xlfn.IFS(C1153="","",COUNTIF(C1153,"ตำแหน่งว่าง*"),"ว่าง",COUNTIF(C1153,"&lt;&gt;ตำแหน่งว่าง*"),"คนครอง")</f>
        <v>คนครอง</v>
      </c>
      <c r="W1153" s="6" cm="1">
        <f t="array" ref="W1153">_xlfn.IFS(COUNTIF(F1153,"ผบ.หมู่*"),51,COUNTIF(F1153,"รอง สว.*"),43)</f>
        <v>51</v>
      </c>
      <c r="X1153" s="28" t="s">
        <v>3144</v>
      </c>
      <c r="Y1153" s="28" t="s">
        <v>52</v>
      </c>
    </row>
    <row r="1154" spans="1:25" s="9" customFormat="1" ht="21.3" customHeight="1">
      <c r="A1154" s="27" t="s">
        <v>612</v>
      </c>
      <c r="B1154" s="28" t="s">
        <v>12</v>
      </c>
      <c r="C1154" s="27" t="s">
        <v>3146</v>
      </c>
      <c r="D1154" s="27" t="s">
        <v>8106</v>
      </c>
      <c r="E1154" s="27" t="s">
        <v>9213</v>
      </c>
      <c r="F1154" s="27" t="s">
        <v>3139</v>
      </c>
      <c r="G1154" s="101" t="s">
        <v>3148</v>
      </c>
      <c r="H1154" s="75">
        <v>42501</v>
      </c>
      <c r="I1154" s="73">
        <v>42416</v>
      </c>
      <c r="J1154" s="73">
        <v>42416</v>
      </c>
      <c r="K1154" s="73">
        <v>34137</v>
      </c>
      <c r="L1154" s="11" t="s">
        <v>82</v>
      </c>
      <c r="M1154" s="28" t="s">
        <v>90</v>
      </c>
      <c r="N1154" s="112" t="s">
        <v>14</v>
      </c>
      <c r="O1154" s="104" t="s">
        <v>52</v>
      </c>
      <c r="P1154" s="104" t="s">
        <v>52</v>
      </c>
      <c r="Q1154" s="105"/>
      <c r="R1154" s="28" t="s">
        <v>110</v>
      </c>
      <c r="S1154" s="225">
        <f t="shared" ref="S1154:S1217" si="18">IF(K1154&lt;&gt;"",DATE(YEAR(K1154)+60+(K1154&gt;=DATE(YEAR(K1154),10,2)),10,1),"")</f>
        <v>56158</v>
      </c>
      <c r="T1154" s="2" t="s">
        <v>7619</v>
      </c>
      <c r="U1154" s="7" t="s">
        <v>113</v>
      </c>
      <c r="V1154" s="162" t="str" cm="1">
        <f t="array" ref="V1154">_xlfn.IFS(C1154="","",COUNTIF(C1154,"ตำแหน่งว่าง*"),"ว่าง",COUNTIF(C1154,"&lt;&gt;ตำแหน่งว่าง*"),"คนครอง")</f>
        <v>คนครอง</v>
      </c>
      <c r="W1154" s="6" cm="1">
        <f t="array" ref="W1154">_xlfn.IFS(COUNTIF(F1154,"ผบ.หมู่*"),51,COUNTIF(F1154,"รอง สว.*"),43)</f>
        <v>51</v>
      </c>
      <c r="X1154" s="1" t="s">
        <v>3147</v>
      </c>
      <c r="Y1154" s="1" t="s">
        <v>52</v>
      </c>
    </row>
    <row r="1155" spans="1:25" s="9" customFormat="1" ht="21.3" customHeight="1">
      <c r="A1155" s="192" t="s">
        <v>169</v>
      </c>
      <c r="B1155" s="193" t="s">
        <v>21</v>
      </c>
      <c r="C1155" s="192" t="s">
        <v>7924</v>
      </c>
      <c r="D1155" s="27" t="s">
        <v>9214</v>
      </c>
      <c r="E1155" s="27" t="s">
        <v>9215</v>
      </c>
      <c r="F1155" s="192" t="s">
        <v>3139</v>
      </c>
      <c r="G1155" s="101" t="s">
        <v>3150</v>
      </c>
      <c r="H1155" s="73">
        <v>45463</v>
      </c>
      <c r="I1155" s="73">
        <v>45463</v>
      </c>
      <c r="J1155" s="73">
        <v>45463</v>
      </c>
      <c r="K1155" s="73">
        <v>37870</v>
      </c>
      <c r="L1155" s="2" t="s">
        <v>82</v>
      </c>
      <c r="M1155" s="28"/>
      <c r="N1155" s="112" t="s">
        <v>14</v>
      </c>
      <c r="O1155" s="104" t="s">
        <v>52</v>
      </c>
      <c r="P1155" s="104" t="s">
        <v>52</v>
      </c>
      <c r="Q1155" s="105"/>
      <c r="R1155" s="28" t="s">
        <v>7961</v>
      </c>
      <c r="S1155" s="174">
        <f t="shared" si="18"/>
        <v>59810</v>
      </c>
      <c r="T1155" s="2" t="s">
        <v>7619</v>
      </c>
      <c r="U1155" s="2" t="s">
        <v>113</v>
      </c>
      <c r="V1155" s="162" t="str" cm="1">
        <f t="array" ref="V1155">_xlfn.IFS(C1155="","",COUNTIF(C1155,"ตำแหน่งว่าง*"),"ว่าง",COUNTIF(C1155,"&lt;&gt;ตำแหน่งว่าง*"),"คนครอง")</f>
        <v>คนครอง</v>
      </c>
      <c r="W1155" s="1" cm="1">
        <f t="array" ref="W1155">_xlfn.IFS(COUNTIF(F1155,"ผบ.หมู่*"),51,COUNTIF(F1155,"รอง สว.*"),43)</f>
        <v>51</v>
      </c>
      <c r="X1155" s="1" t="s">
        <v>3149</v>
      </c>
      <c r="Y1155" s="1" t="s">
        <v>52</v>
      </c>
    </row>
    <row r="1156" spans="1:25" s="10" customFormat="1" ht="21.3" customHeight="1">
      <c r="A1156" s="27" t="s">
        <v>157</v>
      </c>
      <c r="B1156" s="28" t="s">
        <v>12</v>
      </c>
      <c r="C1156" s="27" t="s">
        <v>3151</v>
      </c>
      <c r="D1156" s="27" t="s">
        <v>9216</v>
      </c>
      <c r="E1156" s="27" t="s">
        <v>9217</v>
      </c>
      <c r="F1156" s="27" t="s">
        <v>3139</v>
      </c>
      <c r="G1156" s="101" t="s">
        <v>3153</v>
      </c>
      <c r="H1156" s="91">
        <v>44599</v>
      </c>
      <c r="I1156" s="73">
        <v>44599</v>
      </c>
      <c r="J1156" s="73">
        <v>40339</v>
      </c>
      <c r="K1156" s="73">
        <v>30600</v>
      </c>
      <c r="L1156" s="11"/>
      <c r="M1156" s="28"/>
      <c r="N1156" s="112" t="s">
        <v>14</v>
      </c>
      <c r="O1156" s="104" t="s">
        <v>52</v>
      </c>
      <c r="P1156" s="104" t="s">
        <v>52</v>
      </c>
      <c r="Q1156" s="105"/>
      <c r="R1156" s="28" t="s">
        <v>121</v>
      </c>
      <c r="S1156" s="225">
        <f t="shared" si="18"/>
        <v>52871</v>
      </c>
      <c r="T1156" s="7" t="s">
        <v>7619</v>
      </c>
      <c r="U1156" s="7" t="s">
        <v>113</v>
      </c>
      <c r="V1156" s="162" t="str" cm="1">
        <f t="array" ref="V1156">_xlfn.IFS(C1156="","",COUNTIF(C1156,"ตำแหน่งว่าง*"),"ว่าง",COUNTIF(C1156,"&lt;&gt;ตำแหน่งว่าง*"),"คนครอง")</f>
        <v>คนครอง</v>
      </c>
      <c r="W1156" s="6" cm="1">
        <f t="array" ref="W1156">_xlfn.IFS(COUNTIF(F1156,"ผบ.หมู่*"),51,COUNTIF(F1156,"รอง สว.*"),43)</f>
        <v>51</v>
      </c>
      <c r="X1156" s="1" t="s">
        <v>3152</v>
      </c>
      <c r="Y1156" s="1" t="s">
        <v>52</v>
      </c>
    </row>
    <row r="1157" spans="1:25" s="10" customFormat="1" ht="21.3" customHeight="1">
      <c r="A1157" s="95" t="s">
        <v>44</v>
      </c>
      <c r="B1157" s="31" t="s">
        <v>12</v>
      </c>
      <c r="C1157" s="95" t="s">
        <v>3154</v>
      </c>
      <c r="D1157" s="27" t="s">
        <v>9041</v>
      </c>
      <c r="E1157" s="27" t="s">
        <v>9218</v>
      </c>
      <c r="F1157" s="27" t="s">
        <v>3155</v>
      </c>
      <c r="G1157" s="101" t="s">
        <v>3157</v>
      </c>
      <c r="H1157" s="92">
        <v>44999</v>
      </c>
      <c r="I1157" s="76">
        <v>43921</v>
      </c>
      <c r="J1157" s="76">
        <v>33635</v>
      </c>
      <c r="K1157" s="76">
        <v>25344</v>
      </c>
      <c r="L1157" s="17" t="s">
        <v>3158</v>
      </c>
      <c r="M1157" s="31" t="s">
        <v>118</v>
      </c>
      <c r="N1157" s="111" t="s">
        <v>14</v>
      </c>
      <c r="O1157" s="104" t="s">
        <v>52</v>
      </c>
      <c r="P1157" s="104" t="s">
        <v>52</v>
      </c>
      <c r="Q1157" s="108"/>
      <c r="R1157" s="31" t="s">
        <v>440</v>
      </c>
      <c r="S1157" s="225">
        <f t="shared" si="18"/>
        <v>47392</v>
      </c>
      <c r="T1157" s="7" t="s">
        <v>7619</v>
      </c>
      <c r="U1157" s="7" t="s">
        <v>113</v>
      </c>
      <c r="V1157" s="162" t="str" cm="1">
        <f t="array" ref="V1157">_xlfn.IFS(C1157="","",COUNTIF(C1157,"ตำแหน่งว่าง*"),"ว่าง",COUNTIF(C1157,"&lt;&gt;ตำแหน่งว่าง*"),"คนครอง")</f>
        <v>คนครอง</v>
      </c>
      <c r="W1157" s="5" cm="1">
        <f t="array" ref="W1157">_xlfn.IFS(COUNTIF(F1157,"ผบ.หมู่*"),51,COUNTIF(F1157,"รอง สว.*"),43)</f>
        <v>43</v>
      </c>
      <c r="X1157" s="6" t="s">
        <v>3156</v>
      </c>
      <c r="Y1157" s="5" t="s">
        <v>52</v>
      </c>
    </row>
    <row r="1158" spans="1:25" s="9" customFormat="1" ht="21.3" customHeight="1">
      <c r="A1158" s="27" t="s">
        <v>182</v>
      </c>
      <c r="B1158" s="28" t="s">
        <v>21</v>
      </c>
      <c r="C1158" s="34" t="s">
        <v>3159</v>
      </c>
      <c r="D1158" s="27" t="s">
        <v>8154</v>
      </c>
      <c r="E1158" s="27" t="s">
        <v>9219</v>
      </c>
      <c r="F1158" s="27" t="s">
        <v>3139</v>
      </c>
      <c r="G1158" s="101" t="s">
        <v>3161</v>
      </c>
      <c r="H1158" s="75">
        <v>44043</v>
      </c>
      <c r="I1158" s="73">
        <v>44043</v>
      </c>
      <c r="J1158" s="73">
        <v>44043</v>
      </c>
      <c r="K1158" s="73">
        <v>32904</v>
      </c>
      <c r="L1158" s="11" t="s">
        <v>82</v>
      </c>
      <c r="M1158" s="28" t="s">
        <v>89</v>
      </c>
      <c r="N1158" s="112" t="s">
        <v>14</v>
      </c>
      <c r="O1158" s="104" t="s">
        <v>52</v>
      </c>
      <c r="P1158" s="104" t="s">
        <v>52</v>
      </c>
      <c r="Q1158" s="105"/>
      <c r="R1158" s="28" t="s">
        <v>2436</v>
      </c>
      <c r="S1158" s="225">
        <f t="shared" si="18"/>
        <v>55062</v>
      </c>
      <c r="T1158" s="2" t="s">
        <v>7619</v>
      </c>
      <c r="U1158" s="7" t="s">
        <v>113</v>
      </c>
      <c r="V1158" s="162" t="str" cm="1">
        <f t="array" ref="V1158">_xlfn.IFS(C1158="","",COUNTIF(C1158,"ตำแหน่งว่าง*"),"ว่าง",COUNTIF(C1158,"&lt;&gt;ตำแหน่งว่าง*"),"คนครอง")</f>
        <v>คนครอง</v>
      </c>
      <c r="W1158" s="6" cm="1">
        <f t="array" ref="W1158">_xlfn.IFS(COUNTIF(F1158,"ผบ.หมู่*"),51,COUNTIF(F1158,"รอง สว.*"),43)</f>
        <v>51</v>
      </c>
      <c r="X1158" s="1" t="s">
        <v>3160</v>
      </c>
      <c r="Y1158" s="1" t="s">
        <v>52</v>
      </c>
    </row>
    <row r="1159" spans="1:25" s="9" customFormat="1" ht="21.3" customHeight="1">
      <c r="A1159" s="27" t="s">
        <v>612</v>
      </c>
      <c r="B1159" s="28" t="s">
        <v>12</v>
      </c>
      <c r="C1159" s="34" t="s">
        <v>3162</v>
      </c>
      <c r="D1159" s="27" t="s">
        <v>8106</v>
      </c>
      <c r="E1159" s="27" t="s">
        <v>9220</v>
      </c>
      <c r="F1159" s="27" t="s">
        <v>3139</v>
      </c>
      <c r="G1159" s="101" t="s">
        <v>3164</v>
      </c>
      <c r="H1159" s="75">
        <v>43656</v>
      </c>
      <c r="I1159" s="73">
        <v>41944</v>
      </c>
      <c r="J1159" s="73">
        <v>41944</v>
      </c>
      <c r="K1159" s="73">
        <v>33555</v>
      </c>
      <c r="L1159" s="11" t="s">
        <v>3165</v>
      </c>
      <c r="M1159" s="28" t="s">
        <v>118</v>
      </c>
      <c r="N1159" s="112" t="s">
        <v>14</v>
      </c>
      <c r="O1159" s="104" t="s">
        <v>52</v>
      </c>
      <c r="P1159" s="104" t="s">
        <v>52</v>
      </c>
      <c r="Q1159" s="105"/>
      <c r="R1159" s="28" t="s">
        <v>713</v>
      </c>
      <c r="S1159" s="225">
        <f t="shared" si="18"/>
        <v>55793</v>
      </c>
      <c r="T1159" s="2" t="s">
        <v>7619</v>
      </c>
      <c r="U1159" s="7" t="s">
        <v>113</v>
      </c>
      <c r="V1159" s="162" t="str" cm="1">
        <f t="array" ref="V1159">_xlfn.IFS(C1159="","",COUNTIF(C1159,"ตำแหน่งว่าง*"),"ว่าง",COUNTIF(C1159,"&lt;&gt;ตำแหน่งว่าง*"),"คนครอง")</f>
        <v>คนครอง</v>
      </c>
      <c r="W1159" s="6" cm="1">
        <f t="array" ref="W1159">_xlfn.IFS(COUNTIF(F1159,"ผบ.หมู่*"),51,COUNTIF(F1159,"รอง สว.*"),43)</f>
        <v>51</v>
      </c>
      <c r="X1159" s="1" t="s">
        <v>3163</v>
      </c>
      <c r="Y1159" s="1" t="s">
        <v>52</v>
      </c>
    </row>
    <row r="1160" spans="1:25" s="9" customFormat="1" ht="21.3" customHeight="1">
      <c r="A1160" s="27" t="s">
        <v>182</v>
      </c>
      <c r="B1160" s="28" t="s">
        <v>21</v>
      </c>
      <c r="C1160" s="34" t="s">
        <v>3166</v>
      </c>
      <c r="D1160" s="27" t="s">
        <v>8014</v>
      </c>
      <c r="E1160" s="27" t="s">
        <v>9221</v>
      </c>
      <c r="F1160" s="27" t="s">
        <v>3139</v>
      </c>
      <c r="G1160" s="101" t="s">
        <v>3168</v>
      </c>
      <c r="H1160" s="75">
        <v>44043</v>
      </c>
      <c r="I1160" s="73">
        <v>44043</v>
      </c>
      <c r="J1160" s="73">
        <v>44043</v>
      </c>
      <c r="K1160" s="73">
        <v>36513</v>
      </c>
      <c r="L1160" s="11" t="s">
        <v>82</v>
      </c>
      <c r="M1160" s="28" t="s">
        <v>64</v>
      </c>
      <c r="N1160" s="112" t="s">
        <v>14</v>
      </c>
      <c r="O1160" s="104" t="s">
        <v>52</v>
      </c>
      <c r="P1160" s="104" t="s">
        <v>52</v>
      </c>
      <c r="Q1160" s="105"/>
      <c r="R1160" s="28" t="s">
        <v>2436</v>
      </c>
      <c r="S1160" s="225">
        <f t="shared" si="18"/>
        <v>58715</v>
      </c>
      <c r="T1160" s="2" t="s">
        <v>7619</v>
      </c>
      <c r="U1160" s="7" t="s">
        <v>113</v>
      </c>
      <c r="V1160" s="162" t="str" cm="1">
        <f t="array" ref="V1160">_xlfn.IFS(C1160="","",COUNTIF(C1160,"ตำแหน่งว่าง*"),"ว่าง",COUNTIF(C1160,"&lt;&gt;ตำแหน่งว่าง*"),"คนครอง")</f>
        <v>คนครอง</v>
      </c>
      <c r="W1160" s="6" cm="1">
        <f t="array" ref="W1160">_xlfn.IFS(COUNTIF(F1160,"ผบ.หมู่*"),51,COUNTIF(F1160,"รอง สว.*"),43)</f>
        <v>51</v>
      </c>
      <c r="X1160" s="1" t="s">
        <v>3167</v>
      </c>
      <c r="Y1160" s="1" t="s">
        <v>52</v>
      </c>
    </row>
    <row r="1161" spans="1:25" s="9" customFormat="1" ht="21.3" customHeight="1">
      <c r="A1161" s="27" t="s">
        <v>612</v>
      </c>
      <c r="B1161" s="28" t="s">
        <v>21</v>
      </c>
      <c r="C1161" s="27" t="s">
        <v>3169</v>
      </c>
      <c r="D1161" s="27" t="s">
        <v>9222</v>
      </c>
      <c r="E1161" s="27" t="s">
        <v>9223</v>
      </c>
      <c r="F1161" s="27" t="s">
        <v>3139</v>
      </c>
      <c r="G1161" s="101" t="s">
        <v>3171</v>
      </c>
      <c r="H1161" s="75">
        <v>44243</v>
      </c>
      <c r="I1161" s="73">
        <v>42416</v>
      </c>
      <c r="J1161" s="73">
        <v>42416</v>
      </c>
      <c r="K1161" s="73">
        <v>33848</v>
      </c>
      <c r="L1161" s="11" t="s">
        <v>3172</v>
      </c>
      <c r="M1161" s="28" t="s">
        <v>118</v>
      </c>
      <c r="N1161" s="112" t="s">
        <v>14</v>
      </c>
      <c r="O1161" s="104" t="s">
        <v>52</v>
      </c>
      <c r="P1161" s="104" t="s">
        <v>52</v>
      </c>
      <c r="Q1161" s="105"/>
      <c r="R1161" s="28" t="s">
        <v>617</v>
      </c>
      <c r="S1161" s="225">
        <f t="shared" si="18"/>
        <v>55793</v>
      </c>
      <c r="T1161" s="2" t="s">
        <v>7619</v>
      </c>
      <c r="U1161" s="7" t="s">
        <v>113</v>
      </c>
      <c r="V1161" s="162" t="str" cm="1">
        <f t="array" ref="V1161">_xlfn.IFS(C1161="","",COUNTIF(C1161,"ตำแหน่งว่าง*"),"ว่าง",COUNTIF(C1161,"&lt;&gt;ตำแหน่งว่าง*"),"คนครอง")</f>
        <v>คนครอง</v>
      </c>
      <c r="W1161" s="6" cm="1">
        <f t="array" ref="W1161">_xlfn.IFS(COUNTIF(F1161,"ผบ.หมู่*"),51,COUNTIF(F1161,"รอง สว.*"),43)</f>
        <v>51</v>
      </c>
      <c r="X1161" s="1" t="s">
        <v>3170</v>
      </c>
      <c r="Y1161" s="1" t="s">
        <v>52</v>
      </c>
    </row>
    <row r="1162" spans="1:25" s="10" customFormat="1" ht="21.3" customHeight="1">
      <c r="A1162" s="68"/>
      <c r="B1162" s="30"/>
      <c r="C1162" s="30" t="s">
        <v>18</v>
      </c>
      <c r="D1162" s="27"/>
      <c r="E1162" s="27"/>
      <c r="F1162" s="68" t="s">
        <v>3139</v>
      </c>
      <c r="G1162" s="121" t="s">
        <v>3174</v>
      </c>
      <c r="H1162" s="80" t="s">
        <v>19</v>
      </c>
      <c r="I1162" s="74" t="s">
        <v>19</v>
      </c>
      <c r="J1162" s="74" t="s">
        <v>19</v>
      </c>
      <c r="K1162" s="74" t="s">
        <v>19</v>
      </c>
      <c r="L1162" s="16"/>
      <c r="M1162" s="30"/>
      <c r="N1162" s="113" t="s">
        <v>14</v>
      </c>
      <c r="O1162" s="122" t="s">
        <v>52</v>
      </c>
      <c r="P1162" s="122" t="s">
        <v>52</v>
      </c>
      <c r="Q1162" s="106"/>
      <c r="R1162" s="30"/>
      <c r="S1162" s="225" t="str">
        <f t="shared" si="18"/>
        <v/>
      </c>
      <c r="T1162" s="7" t="s">
        <v>7619</v>
      </c>
      <c r="U1162" s="7" t="s">
        <v>113</v>
      </c>
      <c r="V1162" s="171" t="str" cm="1">
        <f t="array" ref="V1162">_xlfn.IFS(C1162="","",COUNTIF(C1162,"ตำแหน่งว่าง*"),"ว่าง",COUNTIF(C1162,"&lt;&gt;ตำแหน่งว่าง*"),"คนครอง")</f>
        <v>ว่าง</v>
      </c>
      <c r="W1162" s="6" cm="1">
        <f t="array" ref="W1162">_xlfn.IFS(COUNTIF(F1162,"ผบ.หมู่*"),51,COUNTIF(F1162,"รอง สว.*"),43)</f>
        <v>51</v>
      </c>
      <c r="X1162" s="6" t="s">
        <v>3173</v>
      </c>
      <c r="Y1162" s="6" t="s">
        <v>52</v>
      </c>
    </row>
    <row r="1163" spans="1:25" s="9" customFormat="1" ht="21.3" customHeight="1">
      <c r="A1163" s="27" t="s">
        <v>612</v>
      </c>
      <c r="B1163" s="28" t="s">
        <v>21</v>
      </c>
      <c r="C1163" s="27" t="s">
        <v>3175</v>
      </c>
      <c r="D1163" s="27" t="s">
        <v>7966</v>
      </c>
      <c r="E1163" s="27" t="s">
        <v>9224</v>
      </c>
      <c r="F1163" s="27" t="s">
        <v>3139</v>
      </c>
      <c r="G1163" s="101" t="s">
        <v>3177</v>
      </c>
      <c r="H1163" s="91">
        <v>44243</v>
      </c>
      <c r="I1163" s="73">
        <v>42416</v>
      </c>
      <c r="J1163" s="73">
        <v>42416</v>
      </c>
      <c r="K1163" s="73">
        <v>31844</v>
      </c>
      <c r="L1163" s="11"/>
      <c r="M1163" s="28" t="s">
        <v>118</v>
      </c>
      <c r="N1163" s="112" t="s">
        <v>14</v>
      </c>
      <c r="O1163" s="104" t="s">
        <v>52</v>
      </c>
      <c r="P1163" s="104" t="s">
        <v>52</v>
      </c>
      <c r="Q1163" s="105"/>
      <c r="R1163" s="28" t="s">
        <v>617</v>
      </c>
      <c r="S1163" s="225">
        <f t="shared" si="18"/>
        <v>53966</v>
      </c>
      <c r="T1163" s="2" t="s">
        <v>7619</v>
      </c>
      <c r="U1163" s="7" t="s">
        <v>113</v>
      </c>
      <c r="V1163" s="162" t="str" cm="1">
        <f t="array" ref="V1163">_xlfn.IFS(C1163="","",COUNTIF(C1163,"ตำแหน่งว่าง*"),"ว่าง",COUNTIF(C1163,"&lt;&gt;ตำแหน่งว่าง*"),"คนครอง")</f>
        <v>คนครอง</v>
      </c>
      <c r="W1163" s="6" cm="1">
        <f t="array" ref="W1163">_xlfn.IFS(COUNTIF(F1163,"ผบ.หมู่*"),51,COUNTIF(F1163,"รอง สว.*"),43)</f>
        <v>51</v>
      </c>
      <c r="X1163" s="1" t="s">
        <v>3176</v>
      </c>
      <c r="Y1163" s="1" t="s">
        <v>52</v>
      </c>
    </row>
    <row r="1164" spans="1:25" s="10" customFormat="1" ht="21.3" customHeight="1">
      <c r="A1164" s="27"/>
      <c r="B1164" s="28"/>
      <c r="C1164" s="30" t="s">
        <v>18</v>
      </c>
      <c r="D1164" s="27"/>
      <c r="E1164" s="27"/>
      <c r="F1164" s="68" t="s">
        <v>3139</v>
      </c>
      <c r="G1164" s="121" t="s">
        <v>3179</v>
      </c>
      <c r="H1164" s="91" t="s">
        <v>19</v>
      </c>
      <c r="I1164" s="73" t="s">
        <v>19</v>
      </c>
      <c r="J1164" s="73" t="s">
        <v>19</v>
      </c>
      <c r="K1164" s="73" t="s">
        <v>19</v>
      </c>
      <c r="L1164" s="11"/>
      <c r="M1164" s="28"/>
      <c r="N1164" s="113" t="s">
        <v>14</v>
      </c>
      <c r="O1164" s="122" t="s">
        <v>52</v>
      </c>
      <c r="P1164" s="122" t="s">
        <v>52</v>
      </c>
      <c r="Q1164" s="105"/>
      <c r="R1164" s="28"/>
      <c r="S1164" s="225" t="str">
        <f t="shared" si="18"/>
        <v/>
      </c>
      <c r="T1164" s="7" t="s">
        <v>7619</v>
      </c>
      <c r="U1164" s="7" t="s">
        <v>113</v>
      </c>
      <c r="V1164" s="171" t="str" cm="1">
        <f t="array" ref="V1164">_xlfn.IFS(C1164="","",COUNTIF(C1164,"ตำแหน่งว่าง*"),"ว่าง",COUNTIF(C1164,"&lt;&gt;ตำแหน่งว่าง*"),"คนครอง")</f>
        <v>ว่าง</v>
      </c>
      <c r="W1164" s="6" cm="1">
        <f t="array" ref="W1164">_xlfn.IFS(COUNTIF(F1164,"ผบ.หมู่*"),51,COUNTIF(F1164,"รอง สว.*"),43)</f>
        <v>51</v>
      </c>
      <c r="X1164" s="6" t="s">
        <v>3178</v>
      </c>
      <c r="Y1164" s="6" t="s">
        <v>52</v>
      </c>
    </row>
    <row r="1165" spans="1:25" s="10" customFormat="1" ht="21.3" customHeight="1">
      <c r="A1165" s="27"/>
      <c r="B1165" s="28"/>
      <c r="C1165" s="30" t="s">
        <v>18</v>
      </c>
      <c r="D1165" s="27"/>
      <c r="E1165" s="27"/>
      <c r="F1165" s="68" t="s">
        <v>3139</v>
      </c>
      <c r="G1165" s="121" t="s">
        <v>3181</v>
      </c>
      <c r="H1165" s="91" t="s">
        <v>19</v>
      </c>
      <c r="I1165" s="73" t="s">
        <v>19</v>
      </c>
      <c r="J1165" s="73" t="s">
        <v>19</v>
      </c>
      <c r="K1165" s="73" t="s">
        <v>19</v>
      </c>
      <c r="L1165" s="11"/>
      <c r="M1165" s="28"/>
      <c r="N1165" s="113" t="s">
        <v>14</v>
      </c>
      <c r="O1165" s="122" t="s">
        <v>52</v>
      </c>
      <c r="P1165" s="122" t="s">
        <v>52</v>
      </c>
      <c r="Q1165" s="105"/>
      <c r="R1165" s="28"/>
      <c r="S1165" s="225" t="str">
        <f t="shared" si="18"/>
        <v/>
      </c>
      <c r="T1165" s="7" t="s">
        <v>7619</v>
      </c>
      <c r="U1165" s="7" t="s">
        <v>113</v>
      </c>
      <c r="V1165" s="171" t="str" cm="1">
        <f t="array" ref="V1165">_xlfn.IFS(C1165="","",COUNTIF(C1165,"ตำแหน่งว่าง*"),"ว่าง",COUNTIF(C1165,"&lt;&gt;ตำแหน่งว่าง*"),"คนครอง")</f>
        <v>ว่าง</v>
      </c>
      <c r="W1165" s="6" cm="1">
        <f t="array" ref="W1165">_xlfn.IFS(COUNTIF(F1165,"ผบ.หมู่*"),51,COUNTIF(F1165,"รอง สว.*"),43)</f>
        <v>51</v>
      </c>
      <c r="X1165" s="6" t="s">
        <v>3180</v>
      </c>
      <c r="Y1165" s="6" t="s">
        <v>52</v>
      </c>
    </row>
    <row r="1166" spans="1:25" s="10" customFormat="1" ht="21.3" customHeight="1">
      <c r="A1166" s="27"/>
      <c r="B1166" s="28"/>
      <c r="C1166" s="30" t="s">
        <v>18</v>
      </c>
      <c r="D1166" s="27"/>
      <c r="E1166" s="27"/>
      <c r="F1166" s="68" t="s">
        <v>3139</v>
      </c>
      <c r="G1166" s="121" t="s">
        <v>3183</v>
      </c>
      <c r="H1166" s="91" t="s">
        <v>19</v>
      </c>
      <c r="I1166" s="73" t="s">
        <v>19</v>
      </c>
      <c r="J1166" s="73" t="s">
        <v>19</v>
      </c>
      <c r="K1166" s="73" t="s">
        <v>19</v>
      </c>
      <c r="L1166" s="11"/>
      <c r="M1166" s="28"/>
      <c r="N1166" s="113" t="s">
        <v>14</v>
      </c>
      <c r="O1166" s="122" t="s">
        <v>52</v>
      </c>
      <c r="P1166" s="122" t="s">
        <v>52</v>
      </c>
      <c r="Q1166" s="105"/>
      <c r="R1166" s="28"/>
      <c r="S1166" s="225" t="str">
        <f t="shared" si="18"/>
        <v/>
      </c>
      <c r="T1166" s="7" t="s">
        <v>7619</v>
      </c>
      <c r="U1166" s="7" t="s">
        <v>113</v>
      </c>
      <c r="V1166" s="171" t="str" cm="1">
        <f t="array" ref="V1166">_xlfn.IFS(C1166="","",COUNTIF(C1166,"ตำแหน่งว่าง*"),"ว่าง",COUNTIF(C1166,"&lt;&gt;ตำแหน่งว่าง*"),"คนครอง")</f>
        <v>ว่าง</v>
      </c>
      <c r="W1166" s="6" cm="1">
        <f t="array" ref="W1166">_xlfn.IFS(COUNTIF(F1166,"ผบ.หมู่*"),51,COUNTIF(F1166,"รอง สว.*"),43)</f>
        <v>51</v>
      </c>
      <c r="X1166" s="6" t="s">
        <v>3182</v>
      </c>
      <c r="Y1166" s="6" t="s">
        <v>52</v>
      </c>
    </row>
    <row r="1167" spans="1:25" s="10" customFormat="1" ht="21.3" customHeight="1">
      <c r="A1167" s="27"/>
      <c r="B1167" s="28"/>
      <c r="C1167" s="30" t="s">
        <v>18</v>
      </c>
      <c r="D1167" s="27"/>
      <c r="E1167" s="27"/>
      <c r="F1167" s="68" t="s">
        <v>3139</v>
      </c>
      <c r="G1167" s="121" t="s">
        <v>3185</v>
      </c>
      <c r="H1167" s="91" t="s">
        <v>19</v>
      </c>
      <c r="I1167" s="73" t="s">
        <v>19</v>
      </c>
      <c r="J1167" s="73" t="s">
        <v>19</v>
      </c>
      <c r="K1167" s="73" t="s">
        <v>19</v>
      </c>
      <c r="L1167" s="11"/>
      <c r="M1167" s="28"/>
      <c r="N1167" s="113" t="s">
        <v>14</v>
      </c>
      <c r="O1167" s="122" t="s">
        <v>52</v>
      </c>
      <c r="P1167" s="122" t="s">
        <v>52</v>
      </c>
      <c r="Q1167" s="105"/>
      <c r="R1167" s="28"/>
      <c r="S1167" s="225" t="str">
        <f t="shared" si="18"/>
        <v/>
      </c>
      <c r="T1167" s="7" t="s">
        <v>7619</v>
      </c>
      <c r="U1167" s="7" t="s">
        <v>113</v>
      </c>
      <c r="V1167" s="171" t="str" cm="1">
        <f t="array" ref="V1167">_xlfn.IFS(C1167="","",COUNTIF(C1167,"ตำแหน่งว่าง*"),"ว่าง",COUNTIF(C1167,"&lt;&gt;ตำแหน่งว่าง*"),"คนครอง")</f>
        <v>ว่าง</v>
      </c>
      <c r="W1167" s="6" cm="1">
        <f t="array" ref="W1167">_xlfn.IFS(COUNTIF(F1167,"ผบ.หมู่*"),51,COUNTIF(F1167,"รอง สว.*"),43)</f>
        <v>51</v>
      </c>
      <c r="X1167" s="6" t="s">
        <v>3184</v>
      </c>
      <c r="Y1167" s="6" t="s">
        <v>52</v>
      </c>
    </row>
    <row r="1168" spans="1:25" s="12" customFormat="1" ht="21.3" customHeight="1">
      <c r="A1168" s="27" t="s">
        <v>60</v>
      </c>
      <c r="B1168" s="28" t="s">
        <v>21</v>
      </c>
      <c r="C1168" s="95" t="s">
        <v>3186</v>
      </c>
      <c r="D1168" s="27" t="s">
        <v>9225</v>
      </c>
      <c r="E1168" s="27" t="s">
        <v>9226</v>
      </c>
      <c r="F1168" s="95" t="s">
        <v>3155</v>
      </c>
      <c r="G1168" s="101" t="s">
        <v>3188</v>
      </c>
      <c r="H1168" s="75">
        <v>42501</v>
      </c>
      <c r="I1168" s="73">
        <v>34352</v>
      </c>
      <c r="J1168" s="73">
        <v>34352</v>
      </c>
      <c r="K1168" s="73">
        <v>26327</v>
      </c>
      <c r="L1168" s="11" t="s">
        <v>3189</v>
      </c>
      <c r="M1168" s="28" t="s">
        <v>118</v>
      </c>
      <c r="N1168" s="111" t="s">
        <v>14</v>
      </c>
      <c r="O1168" s="104" t="s">
        <v>52</v>
      </c>
      <c r="P1168" s="104" t="s">
        <v>52</v>
      </c>
      <c r="Q1168" s="105"/>
      <c r="R1168" s="28" t="s">
        <v>110</v>
      </c>
      <c r="S1168" s="225">
        <f t="shared" si="18"/>
        <v>48488</v>
      </c>
      <c r="T1168" s="162" t="s">
        <v>7619</v>
      </c>
      <c r="U1168" s="7" t="s">
        <v>113</v>
      </c>
      <c r="V1168" s="162" t="str" cm="1">
        <f t="array" ref="V1168">_xlfn.IFS(C1168="","",COUNTIF(C1168,"ตำแหน่งว่าง*"),"ว่าง",COUNTIF(C1168,"&lt;&gt;ตำแหน่งว่าง*"),"คนครอง")</f>
        <v>คนครอง</v>
      </c>
      <c r="W1168" s="6" cm="1">
        <f t="array" ref="W1168">_xlfn.IFS(COUNTIF(F1168,"ผบ.หมู่*"),51,COUNTIF(F1168,"รอง สว.*"),43)</f>
        <v>43</v>
      </c>
      <c r="X1168" s="5" t="s">
        <v>3187</v>
      </c>
      <c r="Y1168" s="5" t="s">
        <v>52</v>
      </c>
    </row>
    <row r="1169" spans="1:25" s="9" customFormat="1" ht="21.3" customHeight="1">
      <c r="A1169" s="68"/>
      <c r="B1169" s="30"/>
      <c r="C1169" s="68" t="s">
        <v>18</v>
      </c>
      <c r="D1169" s="27"/>
      <c r="E1169" s="27"/>
      <c r="F1169" s="68" t="s">
        <v>3190</v>
      </c>
      <c r="G1169" s="121" t="s">
        <v>3192</v>
      </c>
      <c r="H1169" s="93"/>
      <c r="I1169" s="74"/>
      <c r="J1169" s="74"/>
      <c r="K1169" s="74"/>
      <c r="L1169" s="16"/>
      <c r="M1169" s="30"/>
      <c r="N1169" s="113" t="s">
        <v>14</v>
      </c>
      <c r="O1169" s="122" t="s">
        <v>52</v>
      </c>
      <c r="P1169" s="122" t="s">
        <v>52</v>
      </c>
      <c r="Q1169" s="106"/>
      <c r="R1169" s="30"/>
      <c r="S1169" s="225" t="str">
        <f t="shared" si="18"/>
        <v/>
      </c>
      <c r="T1169" s="2" t="s">
        <v>7620</v>
      </c>
      <c r="U1169" s="7" t="s">
        <v>113</v>
      </c>
      <c r="V1169" s="171" t="str" cm="1">
        <f t="array" ref="V1169">_xlfn.IFS(C1169="","",COUNTIF(C1169,"ตำแหน่งว่าง*"),"ว่าง",COUNTIF(C1169,"&lt;&gt;ตำแหน่งว่าง*"),"คนครอง")</f>
        <v>ว่าง</v>
      </c>
      <c r="W1169" s="6" cm="1">
        <f t="array" ref="W1169">_xlfn.IFS(COUNTIF(F1169,"ผบ.หมู่*"),51,COUNTIF(F1169,"รอง สว.*"),43)</f>
        <v>51</v>
      </c>
      <c r="X1169" s="1" t="s">
        <v>3191</v>
      </c>
      <c r="Y1169" s="1" t="s">
        <v>52</v>
      </c>
    </row>
    <row r="1170" spans="1:25" s="12" customFormat="1" ht="21.3" customHeight="1">
      <c r="A1170" s="192" t="s">
        <v>169</v>
      </c>
      <c r="B1170" s="193" t="s">
        <v>21</v>
      </c>
      <c r="C1170" s="192" t="s">
        <v>7925</v>
      </c>
      <c r="D1170" s="27" t="s">
        <v>8176</v>
      </c>
      <c r="E1170" s="27" t="s">
        <v>9227</v>
      </c>
      <c r="F1170" s="192" t="s">
        <v>3190</v>
      </c>
      <c r="G1170" s="101" t="s">
        <v>3194</v>
      </c>
      <c r="H1170" s="73">
        <v>45463</v>
      </c>
      <c r="I1170" s="73">
        <v>45463</v>
      </c>
      <c r="J1170" s="73">
        <v>45463</v>
      </c>
      <c r="K1170" s="73">
        <v>33213</v>
      </c>
      <c r="L1170" s="2" t="s">
        <v>82</v>
      </c>
      <c r="M1170" s="28"/>
      <c r="N1170" s="112" t="s">
        <v>14</v>
      </c>
      <c r="O1170" s="104" t="s">
        <v>52</v>
      </c>
      <c r="P1170" s="104" t="s">
        <v>52</v>
      </c>
      <c r="Q1170" s="105"/>
      <c r="R1170" s="28" t="s">
        <v>7961</v>
      </c>
      <c r="S1170" s="174">
        <f t="shared" si="18"/>
        <v>55427</v>
      </c>
      <c r="T1170" s="2" t="s">
        <v>7620</v>
      </c>
      <c r="U1170" s="2" t="s">
        <v>113</v>
      </c>
      <c r="V1170" s="162" t="str" cm="1">
        <f t="array" ref="V1170">_xlfn.IFS(C1170="","",COUNTIF(C1170,"ตำแหน่งว่าง*"),"ว่าง",COUNTIF(C1170,"&lt;&gt;ตำแหน่งว่าง*"),"คนครอง")</f>
        <v>คนครอง</v>
      </c>
      <c r="W1170" s="1" cm="1">
        <f t="array" ref="W1170">_xlfn.IFS(COUNTIF(F1170,"ผบ.หมู่*"),51,COUNTIF(F1170,"รอง สว.*"),43)</f>
        <v>51</v>
      </c>
      <c r="X1170" s="1" t="s">
        <v>3193</v>
      </c>
      <c r="Y1170" s="1" t="s">
        <v>52</v>
      </c>
    </row>
    <row r="1171" spans="1:25" s="12" customFormat="1" ht="21.3" customHeight="1">
      <c r="A1171" s="27" t="s">
        <v>10753</v>
      </c>
      <c r="B1171" s="28" t="s">
        <v>12</v>
      </c>
      <c r="C1171" s="95" t="s">
        <v>3195</v>
      </c>
      <c r="D1171" s="27" t="s">
        <v>9228</v>
      </c>
      <c r="E1171" s="27" t="s">
        <v>9229</v>
      </c>
      <c r="F1171" s="95" t="s">
        <v>3196</v>
      </c>
      <c r="G1171" s="101" t="s">
        <v>3198</v>
      </c>
      <c r="H1171" s="75">
        <v>45016</v>
      </c>
      <c r="I1171" s="73">
        <v>45016</v>
      </c>
      <c r="J1171" s="73">
        <v>33270</v>
      </c>
      <c r="K1171" s="73">
        <v>25622</v>
      </c>
      <c r="L1171" s="11" t="s">
        <v>591</v>
      </c>
      <c r="M1171" s="28" t="s">
        <v>120</v>
      </c>
      <c r="N1171" s="111" t="s">
        <v>14</v>
      </c>
      <c r="O1171" s="104" t="s">
        <v>52</v>
      </c>
      <c r="P1171" s="104" t="s">
        <v>52</v>
      </c>
      <c r="Q1171" s="105"/>
      <c r="R1171" s="28" t="s">
        <v>483</v>
      </c>
      <c r="S1171" s="225">
        <f t="shared" si="18"/>
        <v>47757</v>
      </c>
      <c r="T1171" s="162" t="s">
        <v>7620</v>
      </c>
      <c r="U1171" s="7" t="s">
        <v>113</v>
      </c>
      <c r="V1171" s="162" t="str" cm="1">
        <f t="array" ref="V1171">_xlfn.IFS(C1171="","",COUNTIF(C1171,"ตำแหน่งว่าง*"),"ว่าง",COUNTIF(C1171,"&lt;&gt;ตำแหน่งว่าง*"),"คนครอง")</f>
        <v>คนครอง</v>
      </c>
      <c r="W1171" s="5" cm="1">
        <f t="array" ref="W1171">_xlfn.IFS(COUNTIF(F1171,"ผบ.หมู่*"),51,COUNTIF(F1171,"รอง สว.*"),43)</f>
        <v>43</v>
      </c>
      <c r="X1171" s="5" t="s">
        <v>3197</v>
      </c>
      <c r="Y1171" s="5" t="s">
        <v>52</v>
      </c>
    </row>
    <row r="1172" spans="1:25" s="9" customFormat="1" ht="21.3" customHeight="1">
      <c r="A1172" s="27" t="s">
        <v>182</v>
      </c>
      <c r="B1172" s="28" t="s">
        <v>12</v>
      </c>
      <c r="C1172" s="27" t="s">
        <v>3199</v>
      </c>
      <c r="D1172" s="27" t="s">
        <v>9230</v>
      </c>
      <c r="E1172" s="27" t="s">
        <v>9231</v>
      </c>
      <c r="F1172" s="27" t="s">
        <v>3190</v>
      </c>
      <c r="G1172" s="101" t="s">
        <v>3201</v>
      </c>
      <c r="H1172" s="75">
        <v>44043</v>
      </c>
      <c r="I1172" s="73">
        <v>44043</v>
      </c>
      <c r="J1172" s="73">
        <v>44043</v>
      </c>
      <c r="K1172" s="73">
        <v>31465</v>
      </c>
      <c r="L1172" s="11" t="s">
        <v>3202</v>
      </c>
      <c r="M1172" s="28" t="s">
        <v>70</v>
      </c>
      <c r="N1172" s="112" t="s">
        <v>14</v>
      </c>
      <c r="O1172" s="104" t="s">
        <v>52</v>
      </c>
      <c r="P1172" s="104" t="s">
        <v>52</v>
      </c>
      <c r="Q1172" s="105"/>
      <c r="R1172" s="28" t="s">
        <v>2436</v>
      </c>
      <c r="S1172" s="225">
        <f t="shared" si="18"/>
        <v>53601</v>
      </c>
      <c r="T1172" s="2" t="s">
        <v>7620</v>
      </c>
      <c r="U1172" s="7" t="s">
        <v>113</v>
      </c>
      <c r="V1172" s="162" t="str" cm="1">
        <f t="array" ref="V1172">_xlfn.IFS(C1172="","",COUNTIF(C1172,"ตำแหน่งว่าง*"),"ว่าง",COUNTIF(C1172,"&lt;&gt;ตำแหน่งว่าง*"),"คนครอง")</f>
        <v>คนครอง</v>
      </c>
      <c r="W1172" s="6" cm="1">
        <f t="array" ref="W1172">_xlfn.IFS(COUNTIF(F1172,"ผบ.หมู่*"),51,COUNTIF(F1172,"รอง สว.*"),43)</f>
        <v>51</v>
      </c>
      <c r="X1172" s="1" t="s">
        <v>3200</v>
      </c>
      <c r="Y1172" s="1" t="s">
        <v>52</v>
      </c>
    </row>
    <row r="1173" spans="1:25" s="9" customFormat="1" ht="21.3" customHeight="1">
      <c r="A1173" s="27"/>
      <c r="B1173" s="28"/>
      <c r="C1173" s="30" t="s">
        <v>18</v>
      </c>
      <c r="D1173" s="27"/>
      <c r="E1173" s="27"/>
      <c r="F1173" s="27" t="s">
        <v>3190</v>
      </c>
      <c r="G1173" s="101" t="s">
        <v>3204</v>
      </c>
      <c r="H1173" s="75"/>
      <c r="I1173" s="73"/>
      <c r="J1173" s="73"/>
      <c r="K1173" s="73"/>
      <c r="L1173" s="11"/>
      <c r="M1173" s="28"/>
      <c r="N1173" s="112" t="s">
        <v>14</v>
      </c>
      <c r="O1173" s="104" t="s">
        <v>52</v>
      </c>
      <c r="P1173" s="104" t="s">
        <v>52</v>
      </c>
      <c r="Q1173" s="105"/>
      <c r="R1173" s="28"/>
      <c r="S1173" s="225" t="str">
        <f t="shared" si="18"/>
        <v/>
      </c>
      <c r="T1173" s="2" t="s">
        <v>7620</v>
      </c>
      <c r="U1173" s="7" t="s">
        <v>113</v>
      </c>
      <c r="V1173" s="162" t="str" cm="1">
        <f t="array" ref="V1173">_xlfn.IFS(C1173="","",COUNTIF(C1173,"ตำแหน่งว่าง*"),"ว่าง",COUNTIF(C1173,"&lt;&gt;ตำแหน่งว่าง*"),"คนครอง")</f>
        <v>ว่าง</v>
      </c>
      <c r="W1173" s="6" cm="1">
        <f t="array" ref="W1173">_xlfn.IFS(COUNTIF(F1173,"ผบ.หมู่*"),51,COUNTIF(F1173,"รอง สว.*"),43)</f>
        <v>51</v>
      </c>
      <c r="X1173" s="1" t="s">
        <v>3203</v>
      </c>
      <c r="Y1173" s="1" t="s">
        <v>52</v>
      </c>
    </row>
    <row r="1174" spans="1:25" s="10" customFormat="1" ht="21.3" customHeight="1">
      <c r="A1174" s="27" t="s">
        <v>157</v>
      </c>
      <c r="B1174" s="28" t="s">
        <v>21</v>
      </c>
      <c r="C1174" s="27" t="s">
        <v>3205</v>
      </c>
      <c r="D1174" s="27" t="s">
        <v>9232</v>
      </c>
      <c r="E1174" s="27" t="s">
        <v>9233</v>
      </c>
      <c r="F1174" s="27" t="s">
        <v>3190</v>
      </c>
      <c r="G1174" s="101" t="s">
        <v>3207</v>
      </c>
      <c r="H1174" s="91">
        <v>44599</v>
      </c>
      <c r="I1174" s="82">
        <v>43617</v>
      </c>
      <c r="J1174" s="82">
        <v>40339</v>
      </c>
      <c r="K1174" s="82">
        <v>30187</v>
      </c>
      <c r="L1174" s="58" t="s">
        <v>82</v>
      </c>
      <c r="M1174" s="56" t="s">
        <v>24</v>
      </c>
      <c r="N1174" s="112" t="s">
        <v>14</v>
      </c>
      <c r="O1174" s="104" t="s">
        <v>52</v>
      </c>
      <c r="P1174" s="104" t="s">
        <v>52</v>
      </c>
      <c r="Q1174" s="105"/>
      <c r="R1174" s="28" t="s">
        <v>121</v>
      </c>
      <c r="S1174" s="225">
        <f t="shared" si="18"/>
        <v>52140</v>
      </c>
      <c r="T1174" s="7" t="s">
        <v>7620</v>
      </c>
      <c r="U1174" s="7" t="s">
        <v>113</v>
      </c>
      <c r="V1174" s="162" t="str" cm="1">
        <f t="array" ref="V1174">_xlfn.IFS(C1174="","",COUNTIF(C1174,"ตำแหน่งว่าง*"),"ว่าง",COUNTIF(C1174,"&lt;&gt;ตำแหน่งว่าง*"),"คนครอง")</f>
        <v>คนครอง</v>
      </c>
      <c r="W1174" s="6" cm="1">
        <f t="array" ref="W1174">_xlfn.IFS(COUNTIF(F1174,"ผบ.หมู่*"),51,COUNTIF(F1174,"รอง สว.*"),43)</f>
        <v>51</v>
      </c>
      <c r="X1174" s="1" t="s">
        <v>3206</v>
      </c>
      <c r="Y1174" s="1" t="s">
        <v>52</v>
      </c>
    </row>
    <row r="1175" spans="1:25" s="10" customFormat="1" ht="21.3" customHeight="1">
      <c r="A1175" s="27"/>
      <c r="B1175" s="30"/>
      <c r="C1175" s="30" t="s">
        <v>18</v>
      </c>
      <c r="D1175" s="27"/>
      <c r="E1175" s="27"/>
      <c r="F1175" s="68" t="s">
        <v>3190</v>
      </c>
      <c r="G1175" s="121" t="s">
        <v>3209</v>
      </c>
      <c r="H1175" s="91" t="s">
        <v>19</v>
      </c>
      <c r="I1175" s="73" t="s">
        <v>19</v>
      </c>
      <c r="J1175" s="73" t="s">
        <v>19</v>
      </c>
      <c r="K1175" s="73" t="s">
        <v>19</v>
      </c>
      <c r="L1175" s="11"/>
      <c r="M1175" s="30"/>
      <c r="N1175" s="113" t="s">
        <v>14</v>
      </c>
      <c r="O1175" s="122" t="s">
        <v>52</v>
      </c>
      <c r="P1175" s="122" t="s">
        <v>52</v>
      </c>
      <c r="Q1175" s="106"/>
      <c r="R1175" s="28"/>
      <c r="S1175" s="225" t="str">
        <f t="shared" si="18"/>
        <v/>
      </c>
      <c r="T1175" s="7" t="s">
        <v>7620</v>
      </c>
      <c r="U1175" s="7" t="s">
        <v>113</v>
      </c>
      <c r="V1175" s="171" t="str" cm="1">
        <f t="array" ref="V1175">_xlfn.IFS(C1175="","",COUNTIF(C1175,"ตำแหน่งว่าง*"),"ว่าง",COUNTIF(C1175,"&lt;&gt;ตำแหน่งว่าง*"),"คนครอง")</f>
        <v>ว่าง</v>
      </c>
      <c r="W1175" s="6" cm="1">
        <f t="array" ref="W1175">_xlfn.IFS(COUNTIF(F1175,"ผบ.หมู่*"),51,COUNTIF(F1175,"รอง สว.*"),43)</f>
        <v>51</v>
      </c>
      <c r="X1175" s="6" t="s">
        <v>3208</v>
      </c>
      <c r="Y1175" s="6" t="s">
        <v>52</v>
      </c>
    </row>
    <row r="1176" spans="1:25" s="9" customFormat="1" ht="21.3" customHeight="1">
      <c r="A1176" s="27" t="s">
        <v>182</v>
      </c>
      <c r="B1176" s="28" t="s">
        <v>12</v>
      </c>
      <c r="C1176" s="27" t="s">
        <v>3210</v>
      </c>
      <c r="D1176" s="27" t="s">
        <v>9234</v>
      </c>
      <c r="E1176" s="27" t="s">
        <v>9235</v>
      </c>
      <c r="F1176" s="27" t="s">
        <v>3190</v>
      </c>
      <c r="G1176" s="101" t="s">
        <v>3212</v>
      </c>
      <c r="H1176" s="75">
        <v>44043</v>
      </c>
      <c r="I1176" s="73">
        <v>44043</v>
      </c>
      <c r="J1176" s="73">
        <v>44043</v>
      </c>
      <c r="K1176" s="73">
        <v>34523</v>
      </c>
      <c r="L1176" s="11" t="s">
        <v>3202</v>
      </c>
      <c r="M1176" s="28" t="s">
        <v>41</v>
      </c>
      <c r="N1176" s="112" t="s">
        <v>14</v>
      </c>
      <c r="O1176" s="104" t="s">
        <v>52</v>
      </c>
      <c r="P1176" s="104" t="s">
        <v>52</v>
      </c>
      <c r="Q1176" s="105"/>
      <c r="R1176" s="28" t="s">
        <v>2436</v>
      </c>
      <c r="S1176" s="225">
        <f t="shared" si="18"/>
        <v>56523</v>
      </c>
      <c r="T1176" s="2" t="s">
        <v>7620</v>
      </c>
      <c r="U1176" s="7" t="s">
        <v>113</v>
      </c>
      <c r="V1176" s="162" t="str" cm="1">
        <f t="array" ref="V1176">_xlfn.IFS(C1176="","",COUNTIF(C1176,"ตำแหน่งว่าง*"),"ว่าง",COUNTIF(C1176,"&lt;&gt;ตำแหน่งว่าง*"),"คนครอง")</f>
        <v>คนครอง</v>
      </c>
      <c r="W1176" s="6" cm="1">
        <f t="array" ref="W1176">_xlfn.IFS(COUNTIF(F1176,"ผบ.หมู่*"),51,COUNTIF(F1176,"รอง สว.*"),43)</f>
        <v>51</v>
      </c>
      <c r="X1176" s="1" t="s">
        <v>3211</v>
      </c>
      <c r="Y1176" s="1" t="s">
        <v>52</v>
      </c>
    </row>
    <row r="1177" spans="1:25" s="9" customFormat="1" ht="21.3" customHeight="1">
      <c r="A1177" s="27"/>
      <c r="B1177" s="28"/>
      <c r="C1177" s="27" t="s">
        <v>18</v>
      </c>
      <c r="D1177" s="27"/>
      <c r="E1177" s="27"/>
      <c r="F1177" s="27" t="s">
        <v>3190</v>
      </c>
      <c r="G1177" s="101" t="s">
        <v>3215</v>
      </c>
      <c r="H1177" s="75"/>
      <c r="I1177" s="73"/>
      <c r="J1177" s="73"/>
      <c r="K1177" s="73"/>
      <c r="L1177" s="11"/>
      <c r="M1177" s="28"/>
      <c r="N1177" s="112" t="s">
        <v>14</v>
      </c>
      <c r="O1177" s="104" t="s">
        <v>52</v>
      </c>
      <c r="P1177" s="104" t="s">
        <v>52</v>
      </c>
      <c r="Q1177" s="105"/>
      <c r="R1177" s="28"/>
      <c r="S1177" s="174" t="str">
        <f t="shared" si="18"/>
        <v/>
      </c>
      <c r="T1177" s="2" t="s">
        <v>7620</v>
      </c>
      <c r="U1177" s="2" t="s">
        <v>113</v>
      </c>
      <c r="V1177" s="2" t="str" cm="1">
        <f t="array" ref="V1177">_xlfn.IFS(C1177="","",COUNTIF(C1177,"ตำแหน่งว่าง*"),"ว่าง",COUNTIF(C1177,"&lt;&gt;ตำแหน่งว่าง*"),"คนครอง")</f>
        <v>ว่าง</v>
      </c>
      <c r="W1177" s="1" cm="1">
        <f t="array" ref="W1177">_xlfn.IFS(COUNTIF(F1177,"ผบ.หมู่*"),51,COUNTIF(F1177,"รอง สว.*"),43)</f>
        <v>51</v>
      </c>
      <c r="X1177" s="1" t="s">
        <v>3214</v>
      </c>
      <c r="Y1177" s="1" t="s">
        <v>52</v>
      </c>
    </row>
    <row r="1178" spans="1:25" s="10" customFormat="1" ht="21.3" customHeight="1">
      <c r="A1178" s="27"/>
      <c r="B1178" s="28"/>
      <c r="C1178" s="30" t="s">
        <v>18</v>
      </c>
      <c r="D1178" s="27"/>
      <c r="E1178" s="27"/>
      <c r="F1178" s="68" t="s">
        <v>3190</v>
      </c>
      <c r="G1178" s="121" t="s">
        <v>3217</v>
      </c>
      <c r="H1178" s="91" t="s">
        <v>19</v>
      </c>
      <c r="I1178" s="73" t="s">
        <v>19</v>
      </c>
      <c r="J1178" s="73" t="s">
        <v>19</v>
      </c>
      <c r="K1178" s="73" t="s">
        <v>19</v>
      </c>
      <c r="L1178" s="11"/>
      <c r="M1178" s="1"/>
      <c r="N1178" s="113" t="s">
        <v>14</v>
      </c>
      <c r="O1178" s="122" t="s">
        <v>52</v>
      </c>
      <c r="P1178" s="122" t="s">
        <v>52</v>
      </c>
      <c r="Q1178" s="105"/>
      <c r="R1178" s="28"/>
      <c r="S1178" s="225" t="str">
        <f t="shared" si="18"/>
        <v/>
      </c>
      <c r="T1178" s="7" t="s">
        <v>7620</v>
      </c>
      <c r="U1178" s="7" t="s">
        <v>113</v>
      </c>
      <c r="V1178" s="171" t="str" cm="1">
        <f t="array" ref="V1178">_xlfn.IFS(C1178="","",COUNTIF(C1178,"ตำแหน่งว่าง*"),"ว่าง",COUNTIF(C1178,"&lt;&gt;ตำแหน่งว่าง*"),"คนครอง")</f>
        <v>ว่าง</v>
      </c>
      <c r="W1178" s="6" cm="1">
        <f t="array" ref="W1178">_xlfn.IFS(COUNTIF(F1178,"ผบ.หมู่*"),51,COUNTIF(F1178,"รอง สว.*"),43)</f>
        <v>51</v>
      </c>
      <c r="X1178" s="6" t="s">
        <v>3216</v>
      </c>
      <c r="Y1178" s="6" t="s">
        <v>52</v>
      </c>
    </row>
    <row r="1179" spans="1:25" s="10" customFormat="1" ht="21.3" customHeight="1">
      <c r="A1179" s="27"/>
      <c r="B1179" s="28"/>
      <c r="C1179" s="30" t="s">
        <v>18</v>
      </c>
      <c r="D1179" s="27"/>
      <c r="E1179" s="27"/>
      <c r="F1179" s="68" t="s">
        <v>3190</v>
      </c>
      <c r="G1179" s="121" t="s">
        <v>3219</v>
      </c>
      <c r="H1179" s="91" t="s">
        <v>19</v>
      </c>
      <c r="I1179" s="73" t="s">
        <v>19</v>
      </c>
      <c r="J1179" s="73" t="s">
        <v>19</v>
      </c>
      <c r="K1179" s="73" t="s">
        <v>19</v>
      </c>
      <c r="L1179" s="11"/>
      <c r="M1179" s="1"/>
      <c r="N1179" s="113" t="s">
        <v>14</v>
      </c>
      <c r="O1179" s="122" t="s">
        <v>52</v>
      </c>
      <c r="P1179" s="122" t="s">
        <v>52</v>
      </c>
      <c r="Q1179" s="105"/>
      <c r="R1179" s="28"/>
      <c r="S1179" s="225" t="str">
        <f t="shared" si="18"/>
        <v/>
      </c>
      <c r="T1179" s="7" t="s">
        <v>7620</v>
      </c>
      <c r="U1179" s="7" t="s">
        <v>113</v>
      </c>
      <c r="V1179" s="171" t="str" cm="1">
        <f t="array" ref="V1179">_xlfn.IFS(C1179="","",COUNTIF(C1179,"ตำแหน่งว่าง*"),"ว่าง",COUNTIF(C1179,"&lt;&gt;ตำแหน่งว่าง*"),"คนครอง")</f>
        <v>ว่าง</v>
      </c>
      <c r="W1179" s="6" cm="1">
        <f t="array" ref="W1179">_xlfn.IFS(COUNTIF(F1179,"ผบ.หมู่*"),51,COUNTIF(F1179,"รอง สว.*"),43)</f>
        <v>51</v>
      </c>
      <c r="X1179" s="6" t="s">
        <v>3218</v>
      </c>
      <c r="Y1179" s="6" t="s">
        <v>52</v>
      </c>
    </row>
    <row r="1180" spans="1:25" s="10" customFormat="1" ht="21.3" customHeight="1">
      <c r="A1180" s="27"/>
      <c r="B1180" s="28"/>
      <c r="C1180" s="30" t="s">
        <v>18</v>
      </c>
      <c r="D1180" s="27"/>
      <c r="E1180" s="27"/>
      <c r="F1180" s="68" t="s">
        <v>3190</v>
      </c>
      <c r="G1180" s="121" t="s">
        <v>3221</v>
      </c>
      <c r="H1180" s="91" t="s">
        <v>19</v>
      </c>
      <c r="I1180" s="73" t="s">
        <v>19</v>
      </c>
      <c r="J1180" s="73" t="s">
        <v>19</v>
      </c>
      <c r="K1180" s="73" t="s">
        <v>19</v>
      </c>
      <c r="L1180" s="11"/>
      <c r="M1180" s="1"/>
      <c r="N1180" s="113" t="s">
        <v>14</v>
      </c>
      <c r="O1180" s="122" t="s">
        <v>52</v>
      </c>
      <c r="P1180" s="122" t="s">
        <v>52</v>
      </c>
      <c r="Q1180" s="105"/>
      <c r="R1180" s="28"/>
      <c r="S1180" s="225" t="str">
        <f t="shared" si="18"/>
        <v/>
      </c>
      <c r="T1180" s="7" t="s">
        <v>7620</v>
      </c>
      <c r="U1180" s="7" t="s">
        <v>113</v>
      </c>
      <c r="V1180" s="171" t="str" cm="1">
        <f t="array" ref="V1180">_xlfn.IFS(C1180="","",COUNTIF(C1180,"ตำแหน่งว่าง*"),"ว่าง",COUNTIF(C1180,"&lt;&gt;ตำแหน่งว่าง*"),"คนครอง")</f>
        <v>ว่าง</v>
      </c>
      <c r="W1180" s="6" cm="1">
        <f t="array" ref="W1180">_xlfn.IFS(COUNTIF(F1180,"ผบ.หมู่*"),51,COUNTIF(F1180,"รอง สว.*"),43)</f>
        <v>51</v>
      </c>
      <c r="X1180" s="6" t="s">
        <v>3220</v>
      </c>
      <c r="Y1180" s="6" t="s">
        <v>52</v>
      </c>
    </row>
    <row r="1181" spans="1:25" s="10" customFormat="1" ht="21.3" customHeight="1">
      <c r="A1181" s="27"/>
      <c r="B1181" s="28"/>
      <c r="C1181" s="30" t="s">
        <v>18</v>
      </c>
      <c r="D1181" s="27"/>
      <c r="E1181" s="27"/>
      <c r="F1181" s="68" t="s">
        <v>3190</v>
      </c>
      <c r="G1181" s="121" t="s">
        <v>3223</v>
      </c>
      <c r="H1181" s="91" t="s">
        <v>19</v>
      </c>
      <c r="I1181" s="73" t="s">
        <v>19</v>
      </c>
      <c r="J1181" s="73" t="s">
        <v>19</v>
      </c>
      <c r="K1181" s="73" t="s">
        <v>19</v>
      </c>
      <c r="L1181" s="11"/>
      <c r="M1181" s="1"/>
      <c r="N1181" s="113" t="s">
        <v>14</v>
      </c>
      <c r="O1181" s="122" t="s">
        <v>52</v>
      </c>
      <c r="P1181" s="122" t="s">
        <v>52</v>
      </c>
      <c r="Q1181" s="105"/>
      <c r="R1181" s="28"/>
      <c r="S1181" s="225" t="str">
        <f t="shared" si="18"/>
        <v/>
      </c>
      <c r="T1181" s="7" t="s">
        <v>7620</v>
      </c>
      <c r="U1181" s="7" t="s">
        <v>113</v>
      </c>
      <c r="V1181" s="171" t="str" cm="1">
        <f t="array" ref="V1181">_xlfn.IFS(C1181="","",COUNTIF(C1181,"ตำแหน่งว่าง*"),"ว่าง",COUNTIF(C1181,"&lt;&gt;ตำแหน่งว่าง*"),"คนครอง")</f>
        <v>ว่าง</v>
      </c>
      <c r="W1181" s="6" cm="1">
        <f t="array" ref="W1181">_xlfn.IFS(COUNTIF(F1181,"ผบ.หมู่*"),51,COUNTIF(F1181,"รอง สว.*"),43)</f>
        <v>51</v>
      </c>
      <c r="X1181" s="6" t="s">
        <v>3222</v>
      </c>
      <c r="Y1181" s="6" t="s">
        <v>52</v>
      </c>
    </row>
    <row r="1182" spans="1:25" s="10" customFormat="1" ht="21.3" customHeight="1">
      <c r="A1182" s="27"/>
      <c r="B1182" s="28"/>
      <c r="C1182" s="30" t="s">
        <v>18</v>
      </c>
      <c r="D1182" s="27"/>
      <c r="E1182" s="27"/>
      <c r="F1182" s="68" t="s">
        <v>3190</v>
      </c>
      <c r="G1182" s="121" t="s">
        <v>3225</v>
      </c>
      <c r="H1182" s="91" t="s">
        <v>19</v>
      </c>
      <c r="I1182" s="73" t="s">
        <v>19</v>
      </c>
      <c r="J1182" s="73" t="s">
        <v>19</v>
      </c>
      <c r="K1182" s="73" t="s">
        <v>19</v>
      </c>
      <c r="L1182" s="11"/>
      <c r="M1182" s="1"/>
      <c r="N1182" s="113" t="s">
        <v>14</v>
      </c>
      <c r="O1182" s="122" t="s">
        <v>52</v>
      </c>
      <c r="P1182" s="122" t="s">
        <v>52</v>
      </c>
      <c r="Q1182" s="105"/>
      <c r="R1182" s="28"/>
      <c r="S1182" s="225" t="str">
        <f t="shared" si="18"/>
        <v/>
      </c>
      <c r="T1182" s="7" t="s">
        <v>7620</v>
      </c>
      <c r="U1182" s="7" t="s">
        <v>113</v>
      </c>
      <c r="V1182" s="171" t="str" cm="1">
        <f t="array" ref="V1182">_xlfn.IFS(C1182="","",COUNTIF(C1182,"ตำแหน่งว่าง*"),"ว่าง",COUNTIF(C1182,"&lt;&gt;ตำแหน่งว่าง*"),"คนครอง")</f>
        <v>ว่าง</v>
      </c>
      <c r="W1182" s="6" cm="1">
        <f t="array" ref="W1182">_xlfn.IFS(COUNTIF(F1182,"ผบ.หมู่*"),51,COUNTIF(F1182,"รอง สว.*"),43)</f>
        <v>51</v>
      </c>
      <c r="X1182" s="6" t="s">
        <v>3224</v>
      </c>
      <c r="Y1182" s="6" t="s">
        <v>52</v>
      </c>
    </row>
    <row r="1183" spans="1:25" s="12" customFormat="1" ht="21.3" customHeight="1">
      <c r="A1183" s="27"/>
      <c r="B1183" s="28"/>
      <c r="C1183" s="95" t="s">
        <v>18</v>
      </c>
      <c r="D1183" s="27"/>
      <c r="E1183" s="27"/>
      <c r="F1183" s="95" t="s">
        <v>3356</v>
      </c>
      <c r="G1183" s="101" t="s">
        <v>3353</v>
      </c>
      <c r="H1183" s="91"/>
      <c r="I1183" s="73"/>
      <c r="J1183" s="73"/>
      <c r="K1183" s="73"/>
      <c r="L1183" s="11"/>
      <c r="M1183" s="28"/>
      <c r="N1183" s="111" t="s">
        <v>14</v>
      </c>
      <c r="O1183" s="104" t="s">
        <v>52</v>
      </c>
      <c r="P1183" s="104" t="s">
        <v>52</v>
      </c>
      <c r="Q1183" s="105"/>
      <c r="R1183" s="28"/>
      <c r="S1183" s="225" t="str">
        <f t="shared" si="18"/>
        <v/>
      </c>
      <c r="T1183" s="162" t="s">
        <v>7624</v>
      </c>
      <c r="U1183" s="7" t="s">
        <v>113</v>
      </c>
      <c r="V1183" s="162" t="str" cm="1">
        <f t="array" ref="V1183">_xlfn.IFS(C1183="","",COUNTIF(C1183,"ตำแหน่งว่าง*"),"ว่าง",COUNTIF(C1183,"&lt;&gt;ตำแหน่งว่าง*"),"คนครอง")</f>
        <v>ว่าง</v>
      </c>
      <c r="W1183" s="5" cm="1">
        <f t="array" ref="W1183">_xlfn.IFS(COUNTIF(F1183,"ผบ.หมู่*"),51,COUNTIF(F1183,"รอง สว.*"),43)</f>
        <v>51</v>
      </c>
      <c r="X1183" s="5" t="s">
        <v>3352</v>
      </c>
      <c r="Y1183" s="5" t="s">
        <v>52</v>
      </c>
    </row>
    <row r="1184" spans="1:25" s="10" customFormat="1" ht="21.3" customHeight="1">
      <c r="A1184" s="27" t="s">
        <v>10753</v>
      </c>
      <c r="B1184" s="28" t="s">
        <v>12</v>
      </c>
      <c r="C1184" s="27" t="s">
        <v>7823</v>
      </c>
      <c r="D1184" s="27" t="s">
        <v>9237</v>
      </c>
      <c r="E1184" s="27" t="s">
        <v>9238</v>
      </c>
      <c r="F1184" s="95" t="s">
        <v>3351</v>
      </c>
      <c r="G1184" s="101" t="s">
        <v>3355</v>
      </c>
      <c r="H1184" s="91">
        <v>45016</v>
      </c>
      <c r="I1184" s="82">
        <v>45016</v>
      </c>
      <c r="J1184" s="82">
        <v>45016</v>
      </c>
      <c r="K1184" s="82">
        <v>34001</v>
      </c>
      <c r="L1184" s="58" t="s">
        <v>82</v>
      </c>
      <c r="M1184" s="56" t="s">
        <v>99</v>
      </c>
      <c r="N1184" s="113" t="s">
        <v>14</v>
      </c>
      <c r="O1184" s="104" t="s">
        <v>52</v>
      </c>
      <c r="P1184" s="104" t="s">
        <v>52</v>
      </c>
      <c r="Q1184" s="105"/>
      <c r="R1184" s="28" t="s">
        <v>483</v>
      </c>
      <c r="S1184" s="225">
        <f t="shared" si="18"/>
        <v>56158</v>
      </c>
      <c r="T1184" s="7" t="s">
        <v>7624</v>
      </c>
      <c r="U1184" s="7" t="s">
        <v>113</v>
      </c>
      <c r="V1184" s="162" t="str" cm="1">
        <f t="array" ref="V1184">_xlfn.IFS(C1184="","",COUNTIF(C1184,"ตำแหน่งว่าง*"),"ว่าง",COUNTIF(C1184,"&lt;&gt;ตำแหน่งว่าง*"),"คนครอง")</f>
        <v>คนครอง</v>
      </c>
      <c r="W1184" s="5" cm="1">
        <f t="array" ref="W1184">_xlfn.IFS(COUNTIF(F1184,"ผบ.หมู่*"),51,COUNTIF(F1184,"รอง สว.*"),43)</f>
        <v>43</v>
      </c>
      <c r="X1184" s="1" t="s">
        <v>3354</v>
      </c>
      <c r="Y1184" s="6" t="s">
        <v>52</v>
      </c>
    </row>
    <row r="1185" spans="1:25" s="9" customFormat="1" ht="21.3" customHeight="1">
      <c r="A1185" s="68"/>
      <c r="B1185" s="30"/>
      <c r="C1185" s="30" t="s">
        <v>18</v>
      </c>
      <c r="D1185" s="27"/>
      <c r="E1185" s="27"/>
      <c r="F1185" s="68" t="s">
        <v>3356</v>
      </c>
      <c r="G1185" s="121" t="s">
        <v>3358</v>
      </c>
      <c r="H1185" s="93"/>
      <c r="I1185" s="74"/>
      <c r="J1185" s="74"/>
      <c r="K1185" s="74"/>
      <c r="L1185" s="16"/>
      <c r="M1185" s="30"/>
      <c r="N1185" s="113" t="s">
        <v>14</v>
      </c>
      <c r="O1185" s="122" t="s">
        <v>52</v>
      </c>
      <c r="P1185" s="122" t="s">
        <v>52</v>
      </c>
      <c r="Q1185" s="106"/>
      <c r="R1185" s="30"/>
      <c r="S1185" s="225" t="str">
        <f t="shared" si="18"/>
        <v/>
      </c>
      <c r="T1185" s="2" t="s">
        <v>7624</v>
      </c>
      <c r="U1185" s="7" t="s">
        <v>113</v>
      </c>
      <c r="V1185" s="171" t="str" cm="1">
        <f t="array" ref="V1185">_xlfn.IFS(C1185="","",COUNTIF(C1185,"ตำแหน่งว่าง*"),"ว่าง",COUNTIF(C1185,"&lt;&gt;ตำแหน่งว่าง*"),"คนครอง")</f>
        <v>ว่าง</v>
      </c>
      <c r="W1185" s="6" cm="1">
        <f t="array" ref="W1185">_xlfn.IFS(COUNTIF(F1185,"ผบ.หมู่*"),51,COUNTIF(F1185,"รอง สว.*"),43)</f>
        <v>51</v>
      </c>
      <c r="X1185" s="1" t="s">
        <v>3357</v>
      </c>
      <c r="Y1185" s="1" t="s">
        <v>52</v>
      </c>
    </row>
    <row r="1186" spans="1:25" s="9" customFormat="1" ht="21.3" customHeight="1">
      <c r="A1186" s="95" t="s">
        <v>208</v>
      </c>
      <c r="B1186" s="28" t="s">
        <v>12</v>
      </c>
      <c r="C1186" s="27" t="s">
        <v>3359</v>
      </c>
      <c r="D1186" s="27" t="s">
        <v>9239</v>
      </c>
      <c r="E1186" s="27" t="s">
        <v>9240</v>
      </c>
      <c r="F1186" s="27" t="s">
        <v>3356</v>
      </c>
      <c r="G1186" s="101" t="s">
        <v>3361</v>
      </c>
      <c r="H1186" s="91">
        <v>43693</v>
      </c>
      <c r="I1186" s="73">
        <v>43693</v>
      </c>
      <c r="J1186" s="73">
        <v>43693</v>
      </c>
      <c r="K1186" s="73">
        <v>34576</v>
      </c>
      <c r="L1186" s="11" t="s">
        <v>112</v>
      </c>
      <c r="M1186" s="28" t="s">
        <v>35</v>
      </c>
      <c r="N1186" s="112" t="s">
        <v>14</v>
      </c>
      <c r="O1186" s="104" t="s">
        <v>52</v>
      </c>
      <c r="P1186" s="104" t="s">
        <v>52</v>
      </c>
      <c r="Q1186" s="105"/>
      <c r="R1186" s="28" t="s">
        <v>645</v>
      </c>
      <c r="S1186" s="225">
        <f t="shared" si="18"/>
        <v>56523</v>
      </c>
      <c r="T1186" s="2" t="s">
        <v>7624</v>
      </c>
      <c r="U1186" s="7" t="s">
        <v>113</v>
      </c>
      <c r="V1186" s="162" t="str" cm="1">
        <f t="array" ref="V1186">_xlfn.IFS(C1186="","",COUNTIF(C1186,"ตำแหน่งว่าง*"),"ว่าง",COUNTIF(C1186,"&lt;&gt;ตำแหน่งว่าง*"),"คนครอง")</f>
        <v>คนครอง</v>
      </c>
      <c r="W1186" s="6" cm="1">
        <f t="array" ref="W1186">_xlfn.IFS(COUNTIF(F1186,"ผบ.หมู่*"),51,COUNTIF(F1186,"รอง สว.*"),43)</f>
        <v>51</v>
      </c>
      <c r="X1186" s="1" t="s">
        <v>3360</v>
      </c>
      <c r="Y1186" s="1" t="s">
        <v>52</v>
      </c>
    </row>
    <row r="1187" spans="1:25" s="12" customFormat="1" ht="21.3" customHeight="1">
      <c r="A1187" s="192" t="s">
        <v>169</v>
      </c>
      <c r="B1187" s="193" t="s">
        <v>21</v>
      </c>
      <c r="C1187" s="192" t="s">
        <v>7926</v>
      </c>
      <c r="D1187" s="27" t="s">
        <v>9241</v>
      </c>
      <c r="E1187" s="27" t="s">
        <v>9242</v>
      </c>
      <c r="F1187" s="192" t="s">
        <v>3356</v>
      </c>
      <c r="G1187" s="101" t="s">
        <v>3363</v>
      </c>
      <c r="H1187" s="73">
        <v>45463</v>
      </c>
      <c r="I1187" s="73">
        <v>45463</v>
      </c>
      <c r="J1187" s="73">
        <v>45463</v>
      </c>
      <c r="K1187" s="73">
        <v>36249</v>
      </c>
      <c r="L1187" s="2" t="s">
        <v>82</v>
      </c>
      <c r="M1187" s="28"/>
      <c r="N1187" s="112" t="s">
        <v>14</v>
      </c>
      <c r="O1187" s="104" t="s">
        <v>52</v>
      </c>
      <c r="P1187" s="104" t="s">
        <v>52</v>
      </c>
      <c r="Q1187" s="105"/>
      <c r="R1187" s="28" t="s">
        <v>7961</v>
      </c>
      <c r="S1187" s="174">
        <f t="shared" si="18"/>
        <v>58349</v>
      </c>
      <c r="T1187" s="2" t="s">
        <v>7624</v>
      </c>
      <c r="U1187" s="2" t="s">
        <v>113</v>
      </c>
      <c r="V1187" s="162" t="str" cm="1">
        <f t="array" ref="V1187">_xlfn.IFS(C1187="","",COUNTIF(C1187,"ตำแหน่งว่าง*"),"ว่าง",COUNTIF(C1187,"&lt;&gt;ตำแหน่งว่าง*"),"คนครอง")</f>
        <v>คนครอง</v>
      </c>
      <c r="W1187" s="1" cm="1">
        <f t="array" ref="W1187">_xlfn.IFS(COUNTIF(F1187,"ผบ.หมู่*"),51,COUNTIF(F1187,"รอง สว.*"),43)</f>
        <v>51</v>
      </c>
      <c r="X1187" s="1" t="s">
        <v>3362</v>
      </c>
      <c r="Y1187" s="1" t="s">
        <v>52</v>
      </c>
    </row>
    <row r="1188" spans="1:25" s="9" customFormat="1" ht="21.3" customHeight="1">
      <c r="A1188" s="27" t="s">
        <v>182</v>
      </c>
      <c r="B1188" s="28" t="s">
        <v>12</v>
      </c>
      <c r="C1188" s="27" t="s">
        <v>3364</v>
      </c>
      <c r="D1188" s="27" t="s">
        <v>9243</v>
      </c>
      <c r="E1188" s="27" t="s">
        <v>9244</v>
      </c>
      <c r="F1188" s="27" t="s">
        <v>3356</v>
      </c>
      <c r="G1188" s="101" t="s">
        <v>3366</v>
      </c>
      <c r="H1188" s="75">
        <v>44043</v>
      </c>
      <c r="I1188" s="73">
        <v>44043</v>
      </c>
      <c r="J1188" s="73">
        <v>44043</v>
      </c>
      <c r="K1188" s="73">
        <v>34953</v>
      </c>
      <c r="L1188" s="11" t="s">
        <v>82</v>
      </c>
      <c r="M1188" s="28" t="s">
        <v>28</v>
      </c>
      <c r="N1188" s="112" t="s">
        <v>14</v>
      </c>
      <c r="O1188" s="104" t="s">
        <v>52</v>
      </c>
      <c r="P1188" s="104" t="s">
        <v>52</v>
      </c>
      <c r="Q1188" s="105"/>
      <c r="R1188" s="28" t="s">
        <v>2436</v>
      </c>
      <c r="S1188" s="225">
        <f t="shared" si="18"/>
        <v>56888</v>
      </c>
      <c r="T1188" s="2" t="s">
        <v>7624</v>
      </c>
      <c r="U1188" s="7" t="s">
        <v>113</v>
      </c>
      <c r="V1188" s="162" t="str" cm="1">
        <f t="array" ref="V1188">_xlfn.IFS(C1188="","",COUNTIF(C1188,"ตำแหน่งว่าง*"),"ว่าง",COUNTIF(C1188,"&lt;&gt;ตำแหน่งว่าง*"),"คนครอง")</f>
        <v>คนครอง</v>
      </c>
      <c r="W1188" s="6" cm="1">
        <f t="array" ref="W1188">_xlfn.IFS(COUNTIF(F1188,"ผบ.หมู่*"),51,COUNTIF(F1188,"รอง สว.*"),43)</f>
        <v>51</v>
      </c>
      <c r="X1188" s="1" t="s">
        <v>3365</v>
      </c>
      <c r="Y1188" s="1" t="s">
        <v>52</v>
      </c>
    </row>
    <row r="1189" spans="1:25" s="9" customFormat="1" ht="21.3" customHeight="1">
      <c r="A1189" s="27" t="s">
        <v>182</v>
      </c>
      <c r="B1189" s="28" t="s">
        <v>12</v>
      </c>
      <c r="C1189" s="27" t="s">
        <v>3367</v>
      </c>
      <c r="D1189" s="27" t="s">
        <v>9245</v>
      </c>
      <c r="E1189" s="27" t="s">
        <v>9246</v>
      </c>
      <c r="F1189" s="27" t="s">
        <v>3356</v>
      </c>
      <c r="G1189" s="101" t="s">
        <v>3369</v>
      </c>
      <c r="H1189" s="75">
        <v>44043</v>
      </c>
      <c r="I1189" s="73">
        <v>44043</v>
      </c>
      <c r="J1189" s="73">
        <v>44043</v>
      </c>
      <c r="K1189" s="73">
        <v>36960</v>
      </c>
      <c r="L1189" s="11" t="s">
        <v>82</v>
      </c>
      <c r="M1189" s="28" t="s">
        <v>90</v>
      </c>
      <c r="N1189" s="112" t="s">
        <v>14</v>
      </c>
      <c r="O1189" s="104" t="s">
        <v>52</v>
      </c>
      <c r="P1189" s="104" t="s">
        <v>52</v>
      </c>
      <c r="Q1189" s="105"/>
      <c r="R1189" s="28" t="s">
        <v>2436</v>
      </c>
      <c r="S1189" s="225">
        <f t="shared" si="18"/>
        <v>59080</v>
      </c>
      <c r="T1189" s="2" t="s">
        <v>7624</v>
      </c>
      <c r="U1189" s="7" t="s">
        <v>113</v>
      </c>
      <c r="V1189" s="162" t="str" cm="1">
        <f t="array" ref="V1189">_xlfn.IFS(C1189="","",COUNTIF(C1189,"ตำแหน่งว่าง*"),"ว่าง",COUNTIF(C1189,"&lt;&gt;ตำแหน่งว่าง*"),"คนครอง")</f>
        <v>คนครอง</v>
      </c>
      <c r="W1189" s="6" cm="1">
        <f t="array" ref="W1189">_xlfn.IFS(COUNTIF(F1189,"ผบ.หมู่*"),51,COUNTIF(F1189,"รอง สว.*"),43)</f>
        <v>51</v>
      </c>
      <c r="X1189" s="1" t="s">
        <v>3368</v>
      </c>
      <c r="Y1189" s="1" t="s">
        <v>52</v>
      </c>
    </row>
    <row r="1190" spans="1:25" s="9" customFormat="1" ht="21.3" customHeight="1">
      <c r="A1190" s="27"/>
      <c r="B1190" s="28"/>
      <c r="C1190" s="28" t="s">
        <v>18</v>
      </c>
      <c r="D1190" s="27"/>
      <c r="E1190" s="27"/>
      <c r="F1190" s="27" t="s">
        <v>3356</v>
      </c>
      <c r="G1190" s="101" t="s">
        <v>3372</v>
      </c>
      <c r="H1190" s="75"/>
      <c r="I1190" s="73"/>
      <c r="J1190" s="73"/>
      <c r="K1190" s="73"/>
      <c r="L1190" s="11"/>
      <c r="M1190" s="28"/>
      <c r="N1190" s="112" t="s">
        <v>14</v>
      </c>
      <c r="O1190" s="104" t="s">
        <v>52</v>
      </c>
      <c r="P1190" s="104" t="s">
        <v>52</v>
      </c>
      <c r="Q1190" s="105"/>
      <c r="R1190" s="28"/>
      <c r="S1190" s="174" t="str">
        <f t="shared" si="18"/>
        <v/>
      </c>
      <c r="T1190" s="2" t="s">
        <v>7624</v>
      </c>
      <c r="U1190" s="2" t="s">
        <v>113</v>
      </c>
      <c r="V1190" s="2" t="str" cm="1">
        <f t="array" ref="V1190">_xlfn.IFS(C1190="","",COUNTIF(C1190,"ตำแหน่งว่าง*"),"ว่าง",COUNTIF(C1190,"&lt;&gt;ตำแหน่งว่าง*"),"คนครอง")</f>
        <v>ว่าง</v>
      </c>
      <c r="W1190" s="1" cm="1">
        <f t="array" ref="W1190">_xlfn.IFS(COUNTIF(F1190,"ผบ.หมู่*"),51,COUNTIF(F1190,"รอง สว.*"),43)</f>
        <v>51</v>
      </c>
      <c r="X1190" s="1" t="s">
        <v>3371</v>
      </c>
      <c r="Y1190" s="1" t="s">
        <v>52</v>
      </c>
    </row>
    <row r="1191" spans="1:25" s="10" customFormat="1" ht="21.3" customHeight="1">
      <c r="A1191" s="27"/>
      <c r="B1191" s="28"/>
      <c r="C1191" s="30" t="s">
        <v>18</v>
      </c>
      <c r="D1191" s="27"/>
      <c r="E1191" s="27"/>
      <c r="F1191" s="68" t="s">
        <v>3356</v>
      </c>
      <c r="G1191" s="121" t="s">
        <v>3375</v>
      </c>
      <c r="H1191" s="75" t="s">
        <v>19</v>
      </c>
      <c r="I1191" s="73" t="s">
        <v>19</v>
      </c>
      <c r="J1191" s="73" t="s">
        <v>19</v>
      </c>
      <c r="K1191" s="73" t="s">
        <v>19</v>
      </c>
      <c r="L1191" s="11"/>
      <c r="M1191" s="28"/>
      <c r="N1191" s="113" t="s">
        <v>14</v>
      </c>
      <c r="O1191" s="122" t="s">
        <v>52</v>
      </c>
      <c r="P1191" s="122" t="s">
        <v>52</v>
      </c>
      <c r="Q1191" s="105"/>
      <c r="R1191" s="28"/>
      <c r="S1191" s="225" t="str">
        <f t="shared" si="18"/>
        <v/>
      </c>
      <c r="T1191" s="7" t="s">
        <v>7624</v>
      </c>
      <c r="U1191" s="7" t="s">
        <v>113</v>
      </c>
      <c r="V1191" s="171" t="str" cm="1">
        <f t="array" ref="V1191">_xlfn.IFS(C1191="","",COUNTIF(C1191,"ตำแหน่งว่าง*"),"ว่าง",COUNTIF(C1191,"&lt;&gt;ตำแหน่งว่าง*"),"คนครอง")</f>
        <v>ว่าง</v>
      </c>
      <c r="W1191" s="6" cm="1">
        <f t="array" ref="W1191">_xlfn.IFS(COUNTIF(F1191,"ผบ.หมู่*"),51,COUNTIF(F1191,"รอง สว.*"),43)</f>
        <v>51</v>
      </c>
      <c r="X1191" s="6" t="s">
        <v>3374</v>
      </c>
      <c r="Y1191" s="6" t="s">
        <v>52</v>
      </c>
    </row>
    <row r="1192" spans="1:25" s="10" customFormat="1" ht="21.3" customHeight="1">
      <c r="A1192" s="27"/>
      <c r="B1192" s="28"/>
      <c r="C1192" s="30" t="s">
        <v>18</v>
      </c>
      <c r="D1192" s="27"/>
      <c r="E1192" s="27"/>
      <c r="F1192" s="68" t="s">
        <v>3356</v>
      </c>
      <c r="G1192" s="121" t="s">
        <v>3377</v>
      </c>
      <c r="H1192" s="91" t="s">
        <v>19</v>
      </c>
      <c r="I1192" s="73" t="s">
        <v>19</v>
      </c>
      <c r="J1192" s="73" t="s">
        <v>19</v>
      </c>
      <c r="K1192" s="73" t="s">
        <v>19</v>
      </c>
      <c r="L1192" s="11"/>
      <c r="M1192" s="28"/>
      <c r="N1192" s="113" t="s">
        <v>14</v>
      </c>
      <c r="O1192" s="122" t="s">
        <v>52</v>
      </c>
      <c r="P1192" s="122" t="s">
        <v>52</v>
      </c>
      <c r="Q1192" s="105"/>
      <c r="R1192" s="28"/>
      <c r="S1192" s="225" t="str">
        <f t="shared" si="18"/>
        <v/>
      </c>
      <c r="T1192" s="7" t="s">
        <v>7624</v>
      </c>
      <c r="U1192" s="7" t="s">
        <v>113</v>
      </c>
      <c r="V1192" s="171" t="str" cm="1">
        <f t="array" ref="V1192">_xlfn.IFS(C1192="","",COUNTIF(C1192,"ตำแหน่งว่าง*"),"ว่าง",COUNTIF(C1192,"&lt;&gt;ตำแหน่งว่าง*"),"คนครอง")</f>
        <v>ว่าง</v>
      </c>
      <c r="W1192" s="6" cm="1">
        <f t="array" ref="W1192">_xlfn.IFS(COUNTIF(F1192,"ผบ.หมู่*"),51,COUNTIF(F1192,"รอง สว.*"),43)</f>
        <v>51</v>
      </c>
      <c r="X1192" s="6" t="s">
        <v>3376</v>
      </c>
      <c r="Y1192" s="6" t="s">
        <v>52</v>
      </c>
    </row>
    <row r="1193" spans="1:25" s="10" customFormat="1" ht="21.3" customHeight="1">
      <c r="A1193" s="27"/>
      <c r="B1193" s="28"/>
      <c r="C1193" s="30" t="s">
        <v>18</v>
      </c>
      <c r="D1193" s="27"/>
      <c r="E1193" s="27"/>
      <c r="F1193" s="68" t="s">
        <v>3356</v>
      </c>
      <c r="G1193" s="121" t="s">
        <v>3379</v>
      </c>
      <c r="H1193" s="91" t="s">
        <v>19</v>
      </c>
      <c r="I1193" s="73" t="s">
        <v>19</v>
      </c>
      <c r="J1193" s="73" t="s">
        <v>19</v>
      </c>
      <c r="K1193" s="73" t="s">
        <v>19</v>
      </c>
      <c r="L1193" s="11"/>
      <c r="M1193" s="28"/>
      <c r="N1193" s="113" t="s">
        <v>14</v>
      </c>
      <c r="O1193" s="122" t="s">
        <v>52</v>
      </c>
      <c r="P1193" s="122" t="s">
        <v>52</v>
      </c>
      <c r="Q1193" s="105"/>
      <c r="R1193" s="28"/>
      <c r="S1193" s="225" t="str">
        <f t="shared" si="18"/>
        <v/>
      </c>
      <c r="T1193" s="7" t="s">
        <v>7624</v>
      </c>
      <c r="U1193" s="7" t="s">
        <v>113</v>
      </c>
      <c r="V1193" s="171" t="str" cm="1">
        <f t="array" ref="V1193">_xlfn.IFS(C1193="","",COUNTIF(C1193,"ตำแหน่งว่าง*"),"ว่าง",COUNTIF(C1193,"&lt;&gt;ตำแหน่งว่าง*"),"คนครอง")</f>
        <v>ว่าง</v>
      </c>
      <c r="W1193" s="6" cm="1">
        <f t="array" ref="W1193">_xlfn.IFS(COUNTIF(F1193,"ผบ.หมู่*"),51,COUNTIF(F1193,"รอง สว.*"),43)</f>
        <v>51</v>
      </c>
      <c r="X1193" s="6" t="s">
        <v>3378</v>
      </c>
      <c r="Y1193" s="6" t="s">
        <v>52</v>
      </c>
    </row>
    <row r="1194" spans="1:25" s="10" customFormat="1" ht="21.3" customHeight="1">
      <c r="A1194" s="27"/>
      <c r="B1194" s="28"/>
      <c r="C1194" s="30" t="s">
        <v>18</v>
      </c>
      <c r="D1194" s="27"/>
      <c r="E1194" s="27"/>
      <c r="F1194" s="68" t="s">
        <v>3356</v>
      </c>
      <c r="G1194" s="121" t="s">
        <v>3381</v>
      </c>
      <c r="H1194" s="91" t="s">
        <v>19</v>
      </c>
      <c r="I1194" s="73" t="s">
        <v>19</v>
      </c>
      <c r="J1194" s="73" t="s">
        <v>19</v>
      </c>
      <c r="K1194" s="73" t="s">
        <v>19</v>
      </c>
      <c r="L1194" s="11"/>
      <c r="M1194" s="28"/>
      <c r="N1194" s="113" t="s">
        <v>14</v>
      </c>
      <c r="O1194" s="122" t="s">
        <v>52</v>
      </c>
      <c r="P1194" s="122" t="s">
        <v>52</v>
      </c>
      <c r="Q1194" s="105"/>
      <c r="R1194" s="28"/>
      <c r="S1194" s="225" t="str">
        <f t="shared" si="18"/>
        <v/>
      </c>
      <c r="T1194" s="7" t="s">
        <v>7624</v>
      </c>
      <c r="U1194" s="7" t="s">
        <v>113</v>
      </c>
      <c r="V1194" s="171" t="str" cm="1">
        <f t="array" ref="V1194">_xlfn.IFS(C1194="","",COUNTIF(C1194,"ตำแหน่งว่าง*"),"ว่าง",COUNTIF(C1194,"&lt;&gt;ตำแหน่งว่าง*"),"คนครอง")</f>
        <v>ว่าง</v>
      </c>
      <c r="W1194" s="6" cm="1">
        <f t="array" ref="W1194">_xlfn.IFS(COUNTIF(F1194,"ผบ.หมู่*"),51,COUNTIF(F1194,"รอง สว.*"),43)</f>
        <v>51</v>
      </c>
      <c r="X1194" s="6" t="s">
        <v>3380</v>
      </c>
      <c r="Y1194" s="6" t="s">
        <v>52</v>
      </c>
    </row>
    <row r="1195" spans="1:25" s="12" customFormat="1" ht="21.3" customHeight="1">
      <c r="A1195" s="27" t="s">
        <v>157</v>
      </c>
      <c r="B1195" s="28" t="s">
        <v>12</v>
      </c>
      <c r="C1195" s="95" t="s">
        <v>3382</v>
      </c>
      <c r="D1195" s="27" t="s">
        <v>8066</v>
      </c>
      <c r="E1195" s="27" t="s">
        <v>9249</v>
      </c>
      <c r="F1195" s="95" t="s">
        <v>3356</v>
      </c>
      <c r="G1195" s="101" t="s">
        <v>3384</v>
      </c>
      <c r="H1195" s="75">
        <v>42604</v>
      </c>
      <c r="I1195" s="73">
        <v>40814</v>
      </c>
      <c r="J1195" s="73">
        <v>40814</v>
      </c>
      <c r="K1195" s="73">
        <v>31429</v>
      </c>
      <c r="L1195" s="11" t="s">
        <v>134</v>
      </c>
      <c r="M1195" s="28" t="s">
        <v>99</v>
      </c>
      <c r="N1195" s="111" t="s">
        <v>14</v>
      </c>
      <c r="O1195" s="104" t="s">
        <v>52</v>
      </c>
      <c r="P1195" s="104" t="s">
        <v>52</v>
      </c>
      <c r="Q1195" s="105"/>
      <c r="R1195" s="28" t="s">
        <v>3385</v>
      </c>
      <c r="S1195" s="225">
        <f t="shared" si="18"/>
        <v>53601</v>
      </c>
      <c r="T1195" s="162" t="s">
        <v>7624</v>
      </c>
      <c r="U1195" s="7" t="s">
        <v>113</v>
      </c>
      <c r="V1195" s="162" t="str" cm="1">
        <f t="array" ref="V1195">_xlfn.IFS(C1195="","",COUNTIF(C1195,"ตำแหน่งว่าง*"),"ว่าง",COUNTIF(C1195,"&lt;&gt;ตำแหน่งว่าง*"),"คนครอง")</f>
        <v>คนครอง</v>
      </c>
      <c r="W1195" s="6" cm="1">
        <f t="array" ref="W1195">_xlfn.IFS(COUNTIF(F1195,"ผบ.หมู่*"),51,COUNTIF(F1195,"รอง สว.*"),43)</f>
        <v>51</v>
      </c>
      <c r="X1195" s="5" t="s">
        <v>3383</v>
      </c>
      <c r="Y1195" s="5" t="s">
        <v>52</v>
      </c>
    </row>
    <row r="1196" spans="1:25" s="10" customFormat="1" ht="21.3" customHeight="1">
      <c r="A1196" s="27"/>
      <c r="B1196" s="28"/>
      <c r="C1196" s="30" t="s">
        <v>18</v>
      </c>
      <c r="D1196" s="27"/>
      <c r="E1196" s="27"/>
      <c r="F1196" s="68" t="s">
        <v>3356</v>
      </c>
      <c r="G1196" s="121" t="s">
        <v>3387</v>
      </c>
      <c r="H1196" s="91" t="s">
        <v>19</v>
      </c>
      <c r="I1196" s="73" t="s">
        <v>19</v>
      </c>
      <c r="J1196" s="73" t="s">
        <v>19</v>
      </c>
      <c r="K1196" s="73" t="s">
        <v>19</v>
      </c>
      <c r="L1196" s="11"/>
      <c r="M1196" s="1"/>
      <c r="N1196" s="113" t="s">
        <v>14</v>
      </c>
      <c r="O1196" s="122" t="s">
        <v>52</v>
      </c>
      <c r="P1196" s="122" t="s">
        <v>52</v>
      </c>
      <c r="Q1196" s="105"/>
      <c r="R1196" s="28"/>
      <c r="S1196" s="225" t="str">
        <f t="shared" si="18"/>
        <v/>
      </c>
      <c r="T1196" s="7" t="s">
        <v>7624</v>
      </c>
      <c r="U1196" s="7" t="s">
        <v>113</v>
      </c>
      <c r="V1196" s="171" t="str" cm="1">
        <f t="array" ref="V1196">_xlfn.IFS(C1196="","",COUNTIF(C1196,"ตำแหน่งว่าง*"),"ว่าง",COUNTIF(C1196,"&lt;&gt;ตำแหน่งว่าง*"),"คนครอง")</f>
        <v>ว่าง</v>
      </c>
      <c r="W1196" s="6" cm="1">
        <f t="array" ref="W1196">_xlfn.IFS(COUNTIF(F1196,"ผบ.หมู่*"),51,COUNTIF(F1196,"รอง สว.*"),43)</f>
        <v>51</v>
      </c>
      <c r="X1196" s="6" t="s">
        <v>3386</v>
      </c>
      <c r="Y1196" s="6" t="s">
        <v>52</v>
      </c>
    </row>
    <row r="1197" spans="1:25" s="10" customFormat="1" ht="21.3" customHeight="1">
      <c r="A1197" s="192" t="s">
        <v>169</v>
      </c>
      <c r="B1197" s="193" t="s">
        <v>21</v>
      </c>
      <c r="C1197" s="192" t="s">
        <v>7927</v>
      </c>
      <c r="D1197" s="27" t="s">
        <v>8122</v>
      </c>
      <c r="E1197" s="27" t="s">
        <v>9250</v>
      </c>
      <c r="F1197" s="192" t="s">
        <v>3226</v>
      </c>
      <c r="G1197" s="101" t="s">
        <v>3228</v>
      </c>
      <c r="H1197" s="73">
        <v>45463</v>
      </c>
      <c r="I1197" s="73">
        <v>45463</v>
      </c>
      <c r="J1197" s="73">
        <v>45463</v>
      </c>
      <c r="K1197" s="73">
        <v>35901</v>
      </c>
      <c r="L1197" s="2" t="s">
        <v>82</v>
      </c>
      <c r="M1197" s="28"/>
      <c r="N1197" s="112" t="s">
        <v>14</v>
      </c>
      <c r="O1197" s="104" t="s">
        <v>52</v>
      </c>
      <c r="P1197" s="104" t="s">
        <v>52</v>
      </c>
      <c r="Q1197" s="105"/>
      <c r="R1197" s="28" t="s">
        <v>7961</v>
      </c>
      <c r="S1197" s="174">
        <f t="shared" si="18"/>
        <v>57984</v>
      </c>
      <c r="T1197" s="2" t="s">
        <v>7621</v>
      </c>
      <c r="U1197" s="2" t="s">
        <v>113</v>
      </c>
      <c r="V1197" s="162" t="str" cm="1">
        <f t="array" ref="V1197">_xlfn.IFS(C1197="","",COUNTIF(C1197,"ตำแหน่งว่าง*"),"ว่าง",COUNTIF(C1197,"&lt;&gt;ตำแหน่งว่าง*"),"คนครอง")</f>
        <v>คนครอง</v>
      </c>
      <c r="W1197" s="1" cm="1">
        <f t="array" ref="W1197">_xlfn.IFS(COUNTIF(F1197,"ผบ.หมู่*"),51,COUNTIF(F1197,"รอง สว.*"),43)</f>
        <v>51</v>
      </c>
      <c r="X1197" s="1" t="s">
        <v>3227</v>
      </c>
      <c r="Y1197" s="1" t="s">
        <v>52</v>
      </c>
    </row>
    <row r="1198" spans="1:25" s="9" customFormat="1" ht="21.3" customHeight="1">
      <c r="A1198" s="27" t="s">
        <v>157</v>
      </c>
      <c r="B1198" s="28" t="s">
        <v>21</v>
      </c>
      <c r="C1198" s="27" t="s">
        <v>3229</v>
      </c>
      <c r="D1198" s="27" t="s">
        <v>9251</v>
      </c>
      <c r="E1198" s="27" t="s">
        <v>9252</v>
      </c>
      <c r="F1198" s="27" t="s">
        <v>3226</v>
      </c>
      <c r="G1198" s="101" t="s">
        <v>3231</v>
      </c>
      <c r="H1198" s="75">
        <v>42501</v>
      </c>
      <c r="I1198" s="73">
        <v>34729</v>
      </c>
      <c r="J1198" s="73">
        <v>34729</v>
      </c>
      <c r="K1198" s="73">
        <v>27148</v>
      </c>
      <c r="L1198" s="11" t="s">
        <v>3232</v>
      </c>
      <c r="M1198" s="28" t="s">
        <v>102</v>
      </c>
      <c r="N1198" s="112" t="s">
        <v>14</v>
      </c>
      <c r="O1198" s="104" t="s">
        <v>52</v>
      </c>
      <c r="P1198" s="104" t="s">
        <v>52</v>
      </c>
      <c r="Q1198" s="105"/>
      <c r="R1198" s="28" t="s">
        <v>110</v>
      </c>
      <c r="S1198" s="225">
        <f t="shared" si="18"/>
        <v>49218</v>
      </c>
      <c r="T1198" s="2" t="s">
        <v>7621</v>
      </c>
      <c r="U1198" s="7" t="s">
        <v>113</v>
      </c>
      <c r="V1198" s="162" t="str" cm="1">
        <f t="array" ref="V1198">_xlfn.IFS(C1198="","",COUNTIF(C1198,"ตำแหน่งว่าง*"),"ว่าง",COUNTIF(C1198,"&lt;&gt;ตำแหน่งว่าง*"),"คนครอง")</f>
        <v>คนครอง</v>
      </c>
      <c r="W1198" s="6" cm="1">
        <f t="array" ref="W1198">_xlfn.IFS(COUNTIF(F1198,"ผบ.หมู่*"),51,COUNTIF(F1198,"รอง สว.*"),43)</f>
        <v>51</v>
      </c>
      <c r="X1198" s="1" t="s">
        <v>3230</v>
      </c>
      <c r="Y1198" s="1" t="s">
        <v>52</v>
      </c>
    </row>
    <row r="1199" spans="1:25" s="9" customFormat="1" ht="21.3" customHeight="1">
      <c r="A1199" s="27" t="s">
        <v>30</v>
      </c>
      <c r="B1199" s="28" t="s">
        <v>12</v>
      </c>
      <c r="C1199" s="27" t="s">
        <v>3233</v>
      </c>
      <c r="D1199" s="27" t="s">
        <v>8424</v>
      </c>
      <c r="E1199" s="27" t="s">
        <v>9253</v>
      </c>
      <c r="F1199" s="27" t="s">
        <v>3234</v>
      </c>
      <c r="G1199" s="101" t="s">
        <v>3236</v>
      </c>
      <c r="H1199" s="91">
        <v>43871</v>
      </c>
      <c r="I1199" s="73">
        <v>43871</v>
      </c>
      <c r="J1199" s="73">
        <v>35825</v>
      </c>
      <c r="K1199" s="73">
        <v>24172</v>
      </c>
      <c r="L1199" s="11" t="s">
        <v>31</v>
      </c>
      <c r="M1199" s="28" t="s">
        <v>102</v>
      </c>
      <c r="N1199" s="112" t="s">
        <v>14</v>
      </c>
      <c r="O1199" s="104" t="s">
        <v>52</v>
      </c>
      <c r="P1199" s="104" t="s">
        <v>52</v>
      </c>
      <c r="Q1199" s="105"/>
      <c r="R1199" s="28" t="s">
        <v>688</v>
      </c>
      <c r="S1199" s="225">
        <f t="shared" si="18"/>
        <v>46296</v>
      </c>
      <c r="T1199" s="2" t="s">
        <v>7621</v>
      </c>
      <c r="U1199" s="7" t="s">
        <v>113</v>
      </c>
      <c r="V1199" s="162" t="str" cm="1">
        <f t="array" ref="V1199">_xlfn.IFS(C1199="","",COUNTIF(C1199,"ตำแหน่งว่าง*"),"ว่าง",COUNTIF(C1199,"&lt;&gt;ตำแหน่งว่าง*"),"คนครอง")</f>
        <v>คนครอง</v>
      </c>
      <c r="W1199" s="5" cm="1">
        <f t="array" ref="W1199">_xlfn.IFS(COUNTIF(F1199,"ผบ.หมู่*"),51,COUNTIF(F1199,"รอง สว.*"),43)</f>
        <v>43</v>
      </c>
      <c r="X1199" s="1" t="s">
        <v>3235</v>
      </c>
      <c r="Y1199" s="1" t="s">
        <v>52</v>
      </c>
    </row>
    <row r="1200" spans="1:25" s="9" customFormat="1" ht="21.3" customHeight="1">
      <c r="A1200" s="27" t="s">
        <v>60</v>
      </c>
      <c r="B1200" s="28" t="s">
        <v>12</v>
      </c>
      <c r="C1200" s="27" t="s">
        <v>3237</v>
      </c>
      <c r="D1200" s="27" t="s">
        <v>8127</v>
      </c>
      <c r="E1200" s="27" t="s">
        <v>9254</v>
      </c>
      <c r="F1200" s="27" t="s">
        <v>3234</v>
      </c>
      <c r="G1200" s="101" t="s">
        <v>3239</v>
      </c>
      <c r="H1200" s="75">
        <v>42604</v>
      </c>
      <c r="I1200" s="73">
        <v>34366</v>
      </c>
      <c r="J1200" s="73">
        <v>34366</v>
      </c>
      <c r="K1200" s="73">
        <v>26330</v>
      </c>
      <c r="L1200" s="11" t="s">
        <v>119</v>
      </c>
      <c r="M1200" s="28" t="s">
        <v>102</v>
      </c>
      <c r="N1200" s="112" t="s">
        <v>14</v>
      </c>
      <c r="O1200" s="104" t="s">
        <v>52</v>
      </c>
      <c r="P1200" s="104" t="s">
        <v>52</v>
      </c>
      <c r="Q1200" s="105"/>
      <c r="R1200" s="28" t="s">
        <v>76</v>
      </c>
      <c r="S1200" s="225">
        <f t="shared" si="18"/>
        <v>48488</v>
      </c>
      <c r="T1200" s="2" t="s">
        <v>7621</v>
      </c>
      <c r="U1200" s="7" t="s">
        <v>113</v>
      </c>
      <c r="V1200" s="162" t="str" cm="1">
        <f t="array" ref="V1200">_xlfn.IFS(C1200="","",COUNTIF(C1200,"ตำแหน่งว่าง*"),"ว่าง",COUNTIF(C1200,"&lt;&gt;ตำแหน่งว่าง*"),"คนครอง")</f>
        <v>คนครอง</v>
      </c>
      <c r="W1200" s="6" cm="1">
        <f t="array" ref="W1200">_xlfn.IFS(COUNTIF(F1200,"ผบ.หมู่*"),51,COUNTIF(F1200,"รอง สว.*"),43)</f>
        <v>43</v>
      </c>
      <c r="X1200" s="1" t="s">
        <v>3238</v>
      </c>
      <c r="Y1200" s="1" t="s">
        <v>52</v>
      </c>
    </row>
    <row r="1201" spans="1:25" s="12" customFormat="1" ht="21.3" customHeight="1">
      <c r="A1201" s="27" t="s">
        <v>10753</v>
      </c>
      <c r="B1201" s="28" t="s">
        <v>12</v>
      </c>
      <c r="C1201" s="95" t="s">
        <v>3240</v>
      </c>
      <c r="D1201" s="27" t="s">
        <v>8309</v>
      </c>
      <c r="E1201" s="27" t="s">
        <v>9255</v>
      </c>
      <c r="F1201" s="95" t="s">
        <v>3234</v>
      </c>
      <c r="G1201" s="101" t="s">
        <v>3242</v>
      </c>
      <c r="H1201" s="75">
        <v>45016</v>
      </c>
      <c r="I1201" s="73">
        <v>45016</v>
      </c>
      <c r="J1201" s="73">
        <v>35825</v>
      </c>
      <c r="K1201" s="73">
        <v>25504</v>
      </c>
      <c r="L1201" s="11" t="s">
        <v>3243</v>
      </c>
      <c r="M1201" s="28" t="s">
        <v>102</v>
      </c>
      <c r="N1201" s="111" t="s">
        <v>14</v>
      </c>
      <c r="O1201" s="104" t="s">
        <v>52</v>
      </c>
      <c r="P1201" s="104" t="s">
        <v>52</v>
      </c>
      <c r="Q1201" s="105"/>
      <c r="R1201" s="28" t="s">
        <v>483</v>
      </c>
      <c r="S1201" s="225">
        <f t="shared" si="18"/>
        <v>47757</v>
      </c>
      <c r="T1201" s="162" t="s">
        <v>7621</v>
      </c>
      <c r="U1201" s="7" t="s">
        <v>113</v>
      </c>
      <c r="V1201" s="162" t="str" cm="1">
        <f t="array" ref="V1201">_xlfn.IFS(C1201="","",COUNTIF(C1201,"ตำแหน่งว่าง*"),"ว่าง",COUNTIF(C1201,"&lt;&gt;ตำแหน่งว่าง*"),"คนครอง")</f>
        <v>คนครอง</v>
      </c>
      <c r="W1201" s="5" cm="1">
        <f t="array" ref="W1201">_xlfn.IFS(COUNTIF(F1201,"ผบ.หมู่*"),51,COUNTIF(F1201,"รอง สว.*"),43)</f>
        <v>43</v>
      </c>
      <c r="X1201" s="5" t="s">
        <v>3241</v>
      </c>
      <c r="Y1201" s="5" t="s">
        <v>52</v>
      </c>
    </row>
    <row r="1202" spans="1:25" s="12" customFormat="1" ht="21.3" customHeight="1">
      <c r="A1202" s="27" t="s">
        <v>612</v>
      </c>
      <c r="B1202" s="28" t="s">
        <v>12</v>
      </c>
      <c r="C1202" s="95" t="s">
        <v>3244</v>
      </c>
      <c r="D1202" s="27" t="s">
        <v>9256</v>
      </c>
      <c r="E1202" s="27" t="s">
        <v>9257</v>
      </c>
      <c r="F1202" s="95" t="s">
        <v>3226</v>
      </c>
      <c r="G1202" s="101" t="s">
        <v>3246</v>
      </c>
      <c r="H1202" s="75">
        <v>42501</v>
      </c>
      <c r="I1202" s="73">
        <v>40590</v>
      </c>
      <c r="J1202" s="73">
        <v>40590</v>
      </c>
      <c r="K1202" s="73">
        <v>35713</v>
      </c>
      <c r="L1202" s="11" t="s">
        <v>82</v>
      </c>
      <c r="M1202" s="28" t="s">
        <v>75</v>
      </c>
      <c r="N1202" s="111" t="s">
        <v>14</v>
      </c>
      <c r="O1202" s="104" t="s">
        <v>52</v>
      </c>
      <c r="P1202" s="104" t="s">
        <v>52</v>
      </c>
      <c r="Q1202" s="105"/>
      <c r="R1202" s="28" t="s">
        <v>110</v>
      </c>
      <c r="S1202" s="225">
        <f t="shared" si="18"/>
        <v>57984</v>
      </c>
      <c r="T1202" s="162" t="s">
        <v>7621</v>
      </c>
      <c r="U1202" s="7" t="s">
        <v>113</v>
      </c>
      <c r="V1202" s="162" t="str" cm="1">
        <f t="array" ref="V1202">_xlfn.IFS(C1202="","",COUNTIF(C1202,"ตำแหน่งว่าง*"),"ว่าง",COUNTIF(C1202,"&lt;&gt;ตำแหน่งว่าง*"),"คนครอง")</f>
        <v>คนครอง</v>
      </c>
      <c r="W1202" s="6" cm="1">
        <f t="array" ref="W1202">_xlfn.IFS(COUNTIF(F1202,"ผบ.หมู่*"),51,COUNTIF(F1202,"รอง สว.*"),43)</f>
        <v>51</v>
      </c>
      <c r="X1202" s="5" t="s">
        <v>3245</v>
      </c>
      <c r="Y1202" s="5" t="s">
        <v>52</v>
      </c>
    </row>
    <row r="1203" spans="1:25" s="10" customFormat="1" ht="21.3" customHeight="1">
      <c r="A1203" s="27" t="s">
        <v>10753</v>
      </c>
      <c r="B1203" s="28" t="s">
        <v>12</v>
      </c>
      <c r="C1203" s="27" t="s">
        <v>10754</v>
      </c>
      <c r="D1203" s="27" t="s">
        <v>10755</v>
      </c>
      <c r="E1203" s="27" t="s">
        <v>10756</v>
      </c>
      <c r="F1203" s="27" t="s">
        <v>3234</v>
      </c>
      <c r="G1203" s="101" t="s">
        <v>3248</v>
      </c>
      <c r="H1203" s="91">
        <v>45768</v>
      </c>
      <c r="I1203" s="73" t="s">
        <v>7609</v>
      </c>
      <c r="J1203" s="73" t="s">
        <v>7609</v>
      </c>
      <c r="K1203" s="73">
        <v>25755</v>
      </c>
      <c r="L1203" s="11" t="s">
        <v>7609</v>
      </c>
      <c r="M1203" s="28" t="s">
        <v>7609</v>
      </c>
      <c r="N1203" s="112" t="s">
        <v>14</v>
      </c>
      <c r="O1203" s="104" t="s">
        <v>52</v>
      </c>
      <c r="P1203" s="104" t="s">
        <v>52</v>
      </c>
      <c r="Q1203" s="105"/>
      <c r="R1203" s="28" t="s">
        <v>10804</v>
      </c>
      <c r="S1203" s="174">
        <f t="shared" si="18"/>
        <v>47757</v>
      </c>
      <c r="T1203" s="2" t="s">
        <v>7621</v>
      </c>
      <c r="U1203" s="2" t="s">
        <v>113</v>
      </c>
      <c r="V1203" s="203" t="str" cm="1">
        <f t="array" ref="V1203">_xlfn.IFS(C1203="","",COUNTIF(C1203,"ตำแหน่งว่าง*"),"ว่าง",COUNTIF(C1203,"&lt;&gt;ตำแหน่งว่าง*"),"คนครอง")</f>
        <v>คนครอง</v>
      </c>
      <c r="W1203" s="1" cm="1">
        <f t="array" ref="W1203">_xlfn.IFS(COUNTIF(F1203,"ผบ.หมู่*"),51,COUNTIF(F1203,"รอง สว.*"),43)</f>
        <v>43</v>
      </c>
      <c r="X1203" s="1" t="s">
        <v>3247</v>
      </c>
      <c r="Y1203" s="1" t="s">
        <v>52</v>
      </c>
    </row>
    <row r="1204" spans="1:25" s="10" customFormat="1" ht="21.3" customHeight="1">
      <c r="A1204" s="27"/>
      <c r="B1204" s="30"/>
      <c r="C1204" s="30" t="s">
        <v>18</v>
      </c>
      <c r="D1204" s="27"/>
      <c r="E1204" s="27"/>
      <c r="F1204" s="68" t="s">
        <v>3226</v>
      </c>
      <c r="G1204" s="121" t="s">
        <v>3250</v>
      </c>
      <c r="H1204" s="91" t="s">
        <v>19</v>
      </c>
      <c r="I1204" s="73" t="s">
        <v>19</v>
      </c>
      <c r="J1204" s="73" t="s">
        <v>19</v>
      </c>
      <c r="K1204" s="73" t="s">
        <v>19</v>
      </c>
      <c r="L1204" s="11"/>
      <c r="M1204" s="30"/>
      <c r="N1204" s="113" t="s">
        <v>14</v>
      </c>
      <c r="O1204" s="122" t="s">
        <v>52</v>
      </c>
      <c r="P1204" s="122" t="s">
        <v>52</v>
      </c>
      <c r="Q1204" s="106"/>
      <c r="R1204" s="30"/>
      <c r="S1204" s="225" t="str">
        <f t="shared" si="18"/>
        <v/>
      </c>
      <c r="T1204" s="7" t="s">
        <v>7621</v>
      </c>
      <c r="U1204" s="7" t="s">
        <v>113</v>
      </c>
      <c r="V1204" s="171" t="str" cm="1">
        <f t="array" ref="V1204">_xlfn.IFS(C1204="","",COUNTIF(C1204,"ตำแหน่งว่าง*"),"ว่าง",COUNTIF(C1204,"&lt;&gt;ตำแหน่งว่าง*"),"คนครอง")</f>
        <v>ว่าง</v>
      </c>
      <c r="W1204" s="6" cm="1">
        <f t="array" ref="W1204">_xlfn.IFS(COUNTIF(F1204,"ผบ.หมู่*"),51,COUNTIF(F1204,"รอง สว.*"),43)</f>
        <v>51</v>
      </c>
      <c r="X1204" s="6" t="s">
        <v>3249</v>
      </c>
      <c r="Y1204" s="6" t="s">
        <v>52</v>
      </c>
    </row>
    <row r="1205" spans="1:25" s="10" customFormat="1" ht="21.3" customHeight="1">
      <c r="A1205" s="27"/>
      <c r="B1205" s="30"/>
      <c r="C1205" s="30" t="s">
        <v>18</v>
      </c>
      <c r="D1205" s="27"/>
      <c r="E1205" s="27"/>
      <c r="F1205" s="68" t="s">
        <v>3226</v>
      </c>
      <c r="G1205" s="121" t="s">
        <v>3252</v>
      </c>
      <c r="H1205" s="91" t="s">
        <v>19</v>
      </c>
      <c r="I1205" s="73" t="s">
        <v>19</v>
      </c>
      <c r="J1205" s="73" t="s">
        <v>19</v>
      </c>
      <c r="K1205" s="73" t="s">
        <v>19</v>
      </c>
      <c r="L1205" s="11"/>
      <c r="M1205" s="30"/>
      <c r="N1205" s="113" t="s">
        <v>14</v>
      </c>
      <c r="O1205" s="122" t="s">
        <v>52</v>
      </c>
      <c r="P1205" s="122" t="s">
        <v>52</v>
      </c>
      <c r="Q1205" s="106"/>
      <c r="R1205" s="30"/>
      <c r="S1205" s="225" t="str">
        <f t="shared" si="18"/>
        <v/>
      </c>
      <c r="T1205" s="7" t="s">
        <v>7621</v>
      </c>
      <c r="U1205" s="7" t="s">
        <v>113</v>
      </c>
      <c r="V1205" s="171" t="str" cm="1">
        <f t="array" ref="V1205">_xlfn.IFS(C1205="","",COUNTIF(C1205,"ตำแหน่งว่าง*"),"ว่าง",COUNTIF(C1205,"&lt;&gt;ตำแหน่งว่าง*"),"คนครอง")</f>
        <v>ว่าง</v>
      </c>
      <c r="W1205" s="6" cm="1">
        <f t="array" ref="W1205">_xlfn.IFS(COUNTIF(F1205,"ผบ.หมู่*"),51,COUNTIF(F1205,"รอง สว.*"),43)</f>
        <v>51</v>
      </c>
      <c r="X1205" s="6" t="s">
        <v>3251</v>
      </c>
      <c r="Y1205" s="6" t="s">
        <v>52</v>
      </c>
    </row>
    <row r="1206" spans="1:25" s="12" customFormat="1" ht="21.3" customHeight="1">
      <c r="A1206" s="27" t="s">
        <v>44</v>
      </c>
      <c r="B1206" s="31" t="s">
        <v>12</v>
      </c>
      <c r="C1206" s="95" t="s">
        <v>3253</v>
      </c>
      <c r="D1206" s="27" t="s">
        <v>9258</v>
      </c>
      <c r="E1206" s="27" t="s">
        <v>9259</v>
      </c>
      <c r="F1206" s="95" t="s">
        <v>3234</v>
      </c>
      <c r="G1206" s="101" t="s">
        <v>3255</v>
      </c>
      <c r="H1206" s="92">
        <v>44651</v>
      </c>
      <c r="I1206" s="76">
        <v>44651</v>
      </c>
      <c r="J1206" s="76">
        <v>33270</v>
      </c>
      <c r="K1206" s="76">
        <v>25242</v>
      </c>
      <c r="L1206" s="17" t="s">
        <v>3256</v>
      </c>
      <c r="M1206" s="31" t="s">
        <v>102</v>
      </c>
      <c r="N1206" s="111" t="s">
        <v>14</v>
      </c>
      <c r="O1206" s="104" t="s">
        <v>52</v>
      </c>
      <c r="P1206" s="104" t="s">
        <v>52</v>
      </c>
      <c r="Q1206" s="108"/>
      <c r="R1206" s="31" t="s">
        <v>2856</v>
      </c>
      <c r="S1206" s="225">
        <f t="shared" si="18"/>
        <v>47392</v>
      </c>
      <c r="T1206" s="162" t="s">
        <v>7621</v>
      </c>
      <c r="U1206" s="7" t="s">
        <v>113</v>
      </c>
      <c r="V1206" s="162" t="str" cm="1">
        <f t="array" ref="V1206">_xlfn.IFS(C1206="","",COUNTIF(C1206,"ตำแหน่งว่าง*"),"ว่าง",COUNTIF(C1206,"&lt;&gt;ตำแหน่งว่าง*"),"คนครอง")</f>
        <v>คนครอง</v>
      </c>
      <c r="W1206" s="5" cm="1">
        <f t="array" ref="W1206">_xlfn.IFS(COUNTIF(F1206,"ผบ.หมู่*"),51,COUNTIF(F1206,"รอง สว.*"),43)</f>
        <v>43</v>
      </c>
      <c r="X1206" s="5" t="s">
        <v>3254</v>
      </c>
      <c r="Y1206" s="5" t="s">
        <v>52</v>
      </c>
    </row>
    <row r="1207" spans="1:25" s="10" customFormat="1" ht="21.3" customHeight="1">
      <c r="A1207" s="27"/>
      <c r="B1207" s="30"/>
      <c r="C1207" s="30" t="s">
        <v>18</v>
      </c>
      <c r="D1207" s="27"/>
      <c r="E1207" s="27"/>
      <c r="F1207" s="68" t="s">
        <v>3226</v>
      </c>
      <c r="G1207" s="121" t="s">
        <v>3258</v>
      </c>
      <c r="H1207" s="91" t="s">
        <v>19</v>
      </c>
      <c r="I1207" s="73" t="s">
        <v>19</v>
      </c>
      <c r="J1207" s="73" t="s">
        <v>19</v>
      </c>
      <c r="K1207" s="73" t="s">
        <v>19</v>
      </c>
      <c r="L1207" s="11"/>
      <c r="M1207" s="28"/>
      <c r="N1207" s="113" t="s">
        <v>14</v>
      </c>
      <c r="O1207" s="122" t="s">
        <v>52</v>
      </c>
      <c r="P1207" s="122" t="s">
        <v>52</v>
      </c>
      <c r="Q1207" s="105"/>
      <c r="R1207" s="28"/>
      <c r="S1207" s="225" t="str">
        <f t="shared" si="18"/>
        <v/>
      </c>
      <c r="T1207" s="7" t="s">
        <v>7621</v>
      </c>
      <c r="U1207" s="7" t="s">
        <v>113</v>
      </c>
      <c r="V1207" s="171" t="str" cm="1">
        <f t="array" ref="V1207">_xlfn.IFS(C1207="","",COUNTIF(C1207,"ตำแหน่งว่าง*"),"ว่าง",COUNTIF(C1207,"&lt;&gt;ตำแหน่งว่าง*"),"คนครอง")</f>
        <v>ว่าง</v>
      </c>
      <c r="W1207" s="6" cm="1">
        <f t="array" ref="W1207">_xlfn.IFS(COUNTIF(F1207,"ผบ.หมู่*"),51,COUNTIF(F1207,"รอง สว.*"),43)</f>
        <v>51</v>
      </c>
      <c r="X1207" s="6" t="s">
        <v>3257</v>
      </c>
      <c r="Y1207" s="6" t="s">
        <v>52</v>
      </c>
    </row>
    <row r="1208" spans="1:25" s="12" customFormat="1" ht="21.3" customHeight="1">
      <c r="A1208" s="27" t="s">
        <v>30</v>
      </c>
      <c r="B1208" s="28" t="s">
        <v>12</v>
      </c>
      <c r="C1208" s="95" t="s">
        <v>3259</v>
      </c>
      <c r="D1208" s="27" t="s">
        <v>8105</v>
      </c>
      <c r="E1208" s="27" t="s">
        <v>9260</v>
      </c>
      <c r="F1208" s="27" t="s">
        <v>3234</v>
      </c>
      <c r="G1208" s="101" t="s">
        <v>3261</v>
      </c>
      <c r="H1208" s="75">
        <v>42501</v>
      </c>
      <c r="I1208" s="73">
        <v>42501</v>
      </c>
      <c r="J1208" s="73">
        <v>31079</v>
      </c>
      <c r="K1208" s="73">
        <v>24195</v>
      </c>
      <c r="L1208" s="11" t="s">
        <v>82</v>
      </c>
      <c r="M1208" s="28" t="s">
        <v>102</v>
      </c>
      <c r="N1208" s="111" t="s">
        <v>14</v>
      </c>
      <c r="O1208" s="104" t="s">
        <v>52</v>
      </c>
      <c r="P1208" s="104" t="s">
        <v>52</v>
      </c>
      <c r="Q1208" s="105"/>
      <c r="R1208" s="28" t="s">
        <v>110</v>
      </c>
      <c r="S1208" s="225">
        <f t="shared" si="18"/>
        <v>46296</v>
      </c>
      <c r="T1208" s="162" t="s">
        <v>7621</v>
      </c>
      <c r="U1208" s="7" t="s">
        <v>113</v>
      </c>
      <c r="V1208" s="162" t="str" cm="1">
        <f t="array" ref="V1208">_xlfn.IFS(C1208="","",COUNTIF(C1208,"ตำแหน่งว่าง*"),"ว่าง",COUNTIF(C1208,"&lt;&gt;ตำแหน่งว่าง*"),"คนครอง")</f>
        <v>คนครอง</v>
      </c>
      <c r="W1208" s="5" cm="1">
        <f t="array" ref="W1208">_xlfn.IFS(COUNTIF(F1208,"ผบ.หมู่*"),51,COUNTIF(F1208,"รอง สว.*"),43)</f>
        <v>43</v>
      </c>
      <c r="X1208" s="5" t="s">
        <v>3260</v>
      </c>
      <c r="Y1208" s="5" t="s">
        <v>52</v>
      </c>
    </row>
    <row r="1209" spans="1:25" s="10" customFormat="1" ht="21.3" customHeight="1">
      <c r="A1209" s="27"/>
      <c r="B1209" s="28"/>
      <c r="C1209" s="30" t="s">
        <v>18</v>
      </c>
      <c r="D1209" s="27"/>
      <c r="E1209" s="27"/>
      <c r="F1209" s="68" t="s">
        <v>3226</v>
      </c>
      <c r="G1209" s="121" t="s">
        <v>3263</v>
      </c>
      <c r="H1209" s="91" t="s">
        <v>19</v>
      </c>
      <c r="I1209" s="73" t="s">
        <v>19</v>
      </c>
      <c r="J1209" s="73" t="s">
        <v>19</v>
      </c>
      <c r="K1209" s="73" t="s">
        <v>19</v>
      </c>
      <c r="L1209" s="11"/>
      <c r="M1209" s="28"/>
      <c r="N1209" s="113" t="s">
        <v>14</v>
      </c>
      <c r="O1209" s="122" t="s">
        <v>52</v>
      </c>
      <c r="P1209" s="122" t="s">
        <v>52</v>
      </c>
      <c r="Q1209" s="105"/>
      <c r="R1209" s="28"/>
      <c r="S1209" s="225" t="str">
        <f t="shared" si="18"/>
        <v/>
      </c>
      <c r="T1209" s="7" t="s">
        <v>7621</v>
      </c>
      <c r="U1209" s="7" t="s">
        <v>113</v>
      </c>
      <c r="V1209" s="171" t="str" cm="1">
        <f t="array" ref="V1209">_xlfn.IFS(C1209="","",COUNTIF(C1209,"ตำแหน่งว่าง*"),"ว่าง",COUNTIF(C1209,"&lt;&gt;ตำแหน่งว่าง*"),"คนครอง")</f>
        <v>ว่าง</v>
      </c>
      <c r="W1209" s="6" cm="1">
        <f t="array" ref="W1209">_xlfn.IFS(COUNTIF(F1209,"ผบ.หมู่*"),51,COUNTIF(F1209,"รอง สว.*"),43)</f>
        <v>51</v>
      </c>
      <c r="X1209" s="6" t="s">
        <v>3262</v>
      </c>
      <c r="Y1209" s="6" t="s">
        <v>52</v>
      </c>
    </row>
    <row r="1210" spans="1:25" s="12" customFormat="1" ht="21.3" customHeight="1">
      <c r="A1210" s="27"/>
      <c r="B1210" s="28"/>
      <c r="C1210" s="30" t="s">
        <v>18</v>
      </c>
      <c r="D1210" s="27"/>
      <c r="E1210" s="27"/>
      <c r="F1210" s="68" t="s">
        <v>3226</v>
      </c>
      <c r="G1210" s="121" t="s">
        <v>3266</v>
      </c>
      <c r="H1210" s="80"/>
      <c r="I1210" s="74"/>
      <c r="J1210" s="74"/>
      <c r="K1210" s="74"/>
      <c r="L1210" s="16"/>
      <c r="M1210" s="30"/>
      <c r="N1210" s="113" t="s">
        <v>14</v>
      </c>
      <c r="O1210" s="122" t="s">
        <v>52</v>
      </c>
      <c r="P1210" s="122" t="s">
        <v>52</v>
      </c>
      <c r="Q1210" s="106"/>
      <c r="R1210" s="30"/>
      <c r="S1210" s="225" t="str">
        <f t="shared" si="18"/>
        <v/>
      </c>
      <c r="T1210" s="162" t="s">
        <v>7621</v>
      </c>
      <c r="U1210" s="7" t="s">
        <v>113</v>
      </c>
      <c r="V1210" s="171" t="str" cm="1">
        <f t="array" ref="V1210">_xlfn.IFS(C1210="","",COUNTIF(C1210,"ตำแหน่งว่าง*"),"ว่าง",COUNTIF(C1210,"&lt;&gt;ตำแหน่งว่าง*"),"คนครอง")</f>
        <v>ว่าง</v>
      </c>
      <c r="W1210" s="6" cm="1">
        <f t="array" ref="W1210">_xlfn.IFS(COUNTIF(F1210,"ผบ.หมู่*"),51,COUNTIF(F1210,"รอง สว.*"),43)</f>
        <v>51</v>
      </c>
      <c r="X1210" s="6" t="s">
        <v>3265</v>
      </c>
      <c r="Y1210" s="6" t="s">
        <v>52</v>
      </c>
    </row>
    <row r="1211" spans="1:25" s="10" customFormat="1" ht="21.3" customHeight="1">
      <c r="A1211" s="152" t="s">
        <v>122</v>
      </c>
      <c r="B1211" s="153"/>
      <c r="C1211" s="125"/>
      <c r="D1211" s="27"/>
      <c r="E1211" s="158"/>
      <c r="F1211" s="158"/>
      <c r="G1211" s="125"/>
      <c r="H1211" s="154" t="s">
        <v>19</v>
      </c>
      <c r="I1211" s="126" t="s">
        <v>19</v>
      </c>
      <c r="J1211" s="126" t="s">
        <v>19</v>
      </c>
      <c r="K1211" s="126" t="s">
        <v>19</v>
      </c>
      <c r="L1211" s="127"/>
      <c r="M1211" s="128"/>
      <c r="N1211" s="125"/>
      <c r="O1211" s="125"/>
      <c r="P1211" s="125"/>
      <c r="Q1211" s="160"/>
      <c r="R1211" s="128"/>
      <c r="S1211" s="226" t="str">
        <f t="shared" si="18"/>
        <v/>
      </c>
      <c r="T1211" s="158"/>
      <c r="U1211" s="158"/>
      <c r="V1211" s="171" t="str" cm="1">
        <f t="array" ref="V1211">_xlfn.IFS(C1211="","",COUNTIF(C1211,"ตำแหน่งว่าง*"),"ว่าง",COUNTIF(C1211,"&lt;&gt;ตำแหน่งว่าง*"),"คนครอง")</f>
        <v/>
      </c>
      <c r="W1211" s="125"/>
      <c r="X1211" s="125"/>
      <c r="Y1211" s="125"/>
    </row>
    <row r="1212" spans="1:25" s="10" customFormat="1" ht="21.3" customHeight="1">
      <c r="A1212" s="27"/>
      <c r="B1212" s="28"/>
      <c r="C1212" s="30" t="s">
        <v>18</v>
      </c>
      <c r="D1212" s="27"/>
      <c r="E1212" s="27"/>
      <c r="F1212" s="68" t="s">
        <v>3388</v>
      </c>
      <c r="G1212" s="121" t="s">
        <v>3390</v>
      </c>
      <c r="H1212" s="91" t="s">
        <v>19</v>
      </c>
      <c r="I1212" s="73" t="s">
        <v>19</v>
      </c>
      <c r="J1212" s="73" t="s">
        <v>19</v>
      </c>
      <c r="K1212" s="73" t="s">
        <v>19</v>
      </c>
      <c r="L1212" s="19"/>
      <c r="M1212" s="3"/>
      <c r="N1212" s="113" t="s">
        <v>14</v>
      </c>
      <c r="O1212" s="122" t="s">
        <v>27</v>
      </c>
      <c r="P1212" s="122"/>
      <c r="Q1212" s="105"/>
      <c r="R1212" s="28"/>
      <c r="S1212" s="225" t="str">
        <f t="shared" si="18"/>
        <v/>
      </c>
      <c r="T1212" s="7" t="s">
        <v>122</v>
      </c>
      <c r="U1212" s="7" t="s">
        <v>122</v>
      </c>
      <c r="V1212" s="171" t="str" cm="1">
        <f t="array" ref="V1212">_xlfn.IFS(C1212="","",COUNTIF(C1212,"ตำแหน่งว่าง*"),"ว่าง",COUNTIF(C1212,"&lt;&gt;ตำแหน่งว่าง*"),"คนครอง")</f>
        <v>ว่าง</v>
      </c>
      <c r="W1212" s="6" cm="1">
        <f t="array" ref="W1212">_xlfn.IFS(COUNTIF(F1212,"ผบ.หมู่*"),51,COUNTIF(F1212,"รอง สว.*"),43)</f>
        <v>51</v>
      </c>
      <c r="X1212" s="6" t="s">
        <v>3389</v>
      </c>
      <c r="Y1212" s="6" t="s">
        <v>27</v>
      </c>
    </row>
    <row r="1213" spans="1:25" s="10" customFormat="1" ht="21.3" customHeight="1">
      <c r="A1213" s="27"/>
      <c r="B1213" s="28"/>
      <c r="C1213" s="30" t="s">
        <v>18</v>
      </c>
      <c r="D1213" s="27"/>
      <c r="E1213" s="27"/>
      <c r="F1213" s="68" t="s">
        <v>3388</v>
      </c>
      <c r="G1213" s="121" t="s">
        <v>3392</v>
      </c>
      <c r="H1213" s="91" t="s">
        <v>19</v>
      </c>
      <c r="I1213" s="73" t="s">
        <v>19</v>
      </c>
      <c r="J1213" s="73" t="s">
        <v>19</v>
      </c>
      <c r="K1213" s="73" t="s">
        <v>19</v>
      </c>
      <c r="L1213" s="19"/>
      <c r="M1213" s="3"/>
      <c r="N1213" s="113" t="s">
        <v>14</v>
      </c>
      <c r="O1213" s="122" t="s">
        <v>27</v>
      </c>
      <c r="P1213" s="122"/>
      <c r="Q1213" s="105"/>
      <c r="R1213" s="28"/>
      <c r="S1213" s="225" t="str">
        <f t="shared" si="18"/>
        <v/>
      </c>
      <c r="T1213" s="7" t="s">
        <v>122</v>
      </c>
      <c r="U1213" s="7" t="s">
        <v>122</v>
      </c>
      <c r="V1213" s="171" t="str" cm="1">
        <f t="array" ref="V1213">_xlfn.IFS(C1213="","",COUNTIF(C1213,"ตำแหน่งว่าง*"),"ว่าง",COUNTIF(C1213,"&lt;&gt;ตำแหน่งว่าง*"),"คนครอง")</f>
        <v>ว่าง</v>
      </c>
      <c r="W1213" s="6" cm="1">
        <f t="array" ref="W1213">_xlfn.IFS(COUNTIF(F1213,"ผบ.หมู่*"),51,COUNTIF(F1213,"รอง สว.*"),43)</f>
        <v>51</v>
      </c>
      <c r="X1213" s="6" t="s">
        <v>3391</v>
      </c>
      <c r="Y1213" s="6" t="s">
        <v>27</v>
      </c>
    </row>
    <row r="1214" spans="1:25" s="10" customFormat="1" ht="21.3" customHeight="1">
      <c r="A1214" s="27"/>
      <c r="B1214" s="28"/>
      <c r="C1214" s="30" t="s">
        <v>18</v>
      </c>
      <c r="D1214" s="27"/>
      <c r="E1214" s="27"/>
      <c r="F1214" s="68" t="s">
        <v>3388</v>
      </c>
      <c r="G1214" s="121" t="s">
        <v>3394</v>
      </c>
      <c r="H1214" s="91" t="s">
        <v>19</v>
      </c>
      <c r="I1214" s="73" t="s">
        <v>19</v>
      </c>
      <c r="J1214" s="73" t="s">
        <v>19</v>
      </c>
      <c r="K1214" s="73" t="s">
        <v>19</v>
      </c>
      <c r="L1214" s="19"/>
      <c r="M1214" s="3"/>
      <c r="N1214" s="113" t="s">
        <v>14</v>
      </c>
      <c r="O1214" s="122" t="s">
        <v>27</v>
      </c>
      <c r="P1214" s="122"/>
      <c r="Q1214" s="105"/>
      <c r="R1214" s="28"/>
      <c r="S1214" s="225" t="str">
        <f t="shared" si="18"/>
        <v/>
      </c>
      <c r="T1214" s="7" t="s">
        <v>122</v>
      </c>
      <c r="U1214" s="7" t="s">
        <v>122</v>
      </c>
      <c r="V1214" s="171" t="str" cm="1">
        <f t="array" ref="V1214">_xlfn.IFS(C1214="","",COUNTIF(C1214,"ตำแหน่งว่าง*"),"ว่าง",COUNTIF(C1214,"&lt;&gt;ตำแหน่งว่าง*"),"คนครอง")</f>
        <v>ว่าง</v>
      </c>
      <c r="W1214" s="6" cm="1">
        <f t="array" ref="W1214">_xlfn.IFS(COUNTIF(F1214,"ผบ.หมู่*"),51,COUNTIF(F1214,"รอง สว.*"),43)</f>
        <v>51</v>
      </c>
      <c r="X1214" s="6" t="s">
        <v>3393</v>
      </c>
      <c r="Y1214" s="6" t="s">
        <v>27</v>
      </c>
    </row>
    <row r="1215" spans="1:25" s="10" customFormat="1" ht="21.3" customHeight="1">
      <c r="A1215" s="27"/>
      <c r="B1215" s="30"/>
      <c r="C1215" s="30" t="s">
        <v>18</v>
      </c>
      <c r="D1215" s="27"/>
      <c r="E1215" s="27"/>
      <c r="F1215" s="68" t="s">
        <v>3395</v>
      </c>
      <c r="G1215" s="121" t="s">
        <v>3397</v>
      </c>
      <c r="H1215" s="91" t="s">
        <v>19</v>
      </c>
      <c r="I1215" s="73" t="s">
        <v>19</v>
      </c>
      <c r="J1215" s="73" t="s">
        <v>19</v>
      </c>
      <c r="K1215" s="73" t="s">
        <v>19</v>
      </c>
      <c r="L1215" s="19"/>
      <c r="M1215" s="3"/>
      <c r="N1215" s="113" t="s">
        <v>14</v>
      </c>
      <c r="O1215" s="122" t="s">
        <v>27</v>
      </c>
      <c r="P1215" s="122"/>
      <c r="Q1215" s="106"/>
      <c r="R1215" s="30"/>
      <c r="S1215" s="225" t="str">
        <f t="shared" si="18"/>
        <v/>
      </c>
      <c r="T1215" s="7" t="s">
        <v>7698</v>
      </c>
      <c r="U1215" s="7" t="s">
        <v>122</v>
      </c>
      <c r="V1215" s="171" t="str" cm="1">
        <f t="array" ref="V1215">_xlfn.IFS(C1215="","",COUNTIF(C1215,"ตำแหน่งว่าง*"),"ว่าง",COUNTIF(C1215,"&lt;&gt;ตำแหน่งว่าง*"),"คนครอง")</f>
        <v>ว่าง</v>
      </c>
      <c r="W1215" s="6" cm="1">
        <f t="array" ref="W1215">_xlfn.IFS(COUNTIF(F1215,"ผบ.หมู่*"),51,COUNTIF(F1215,"รอง สว.*"),43)</f>
        <v>51</v>
      </c>
      <c r="X1215" s="6" t="s">
        <v>3396</v>
      </c>
      <c r="Y1215" s="6" t="s">
        <v>27</v>
      </c>
    </row>
    <row r="1216" spans="1:25" s="10" customFormat="1" ht="21.3" customHeight="1">
      <c r="A1216" s="27"/>
      <c r="B1216" s="28"/>
      <c r="C1216" s="30" t="s">
        <v>18</v>
      </c>
      <c r="D1216" s="27"/>
      <c r="E1216" s="27"/>
      <c r="F1216" s="68" t="s">
        <v>3395</v>
      </c>
      <c r="G1216" s="121" t="s">
        <v>3399</v>
      </c>
      <c r="H1216" s="91" t="s">
        <v>19</v>
      </c>
      <c r="I1216" s="73" t="s">
        <v>19</v>
      </c>
      <c r="J1216" s="73" t="s">
        <v>19</v>
      </c>
      <c r="K1216" s="73" t="s">
        <v>19</v>
      </c>
      <c r="L1216" s="19"/>
      <c r="M1216" s="3"/>
      <c r="N1216" s="113" t="s">
        <v>14</v>
      </c>
      <c r="O1216" s="122" t="s">
        <v>27</v>
      </c>
      <c r="P1216" s="122"/>
      <c r="Q1216" s="105"/>
      <c r="R1216" s="28"/>
      <c r="S1216" s="225" t="str">
        <f t="shared" si="18"/>
        <v/>
      </c>
      <c r="T1216" s="7" t="s">
        <v>7698</v>
      </c>
      <c r="U1216" s="7" t="s">
        <v>122</v>
      </c>
      <c r="V1216" s="171" t="str" cm="1">
        <f t="array" ref="V1216">_xlfn.IFS(C1216="","",COUNTIF(C1216,"ตำแหน่งว่าง*"),"ว่าง",COUNTIF(C1216,"&lt;&gt;ตำแหน่งว่าง*"),"คนครอง")</f>
        <v>ว่าง</v>
      </c>
      <c r="W1216" s="6" cm="1">
        <f t="array" ref="W1216">_xlfn.IFS(COUNTIF(F1216,"ผบ.หมู่*"),51,COUNTIF(F1216,"รอง สว.*"),43)</f>
        <v>51</v>
      </c>
      <c r="X1216" s="6" t="s">
        <v>3398</v>
      </c>
      <c r="Y1216" s="6" t="s">
        <v>27</v>
      </c>
    </row>
    <row r="1217" spans="1:25" s="10" customFormat="1" ht="21.3" customHeight="1">
      <c r="A1217" s="27"/>
      <c r="B1217" s="28"/>
      <c r="C1217" s="30" t="s">
        <v>18</v>
      </c>
      <c r="D1217" s="27"/>
      <c r="E1217" s="27"/>
      <c r="F1217" s="68" t="s">
        <v>3395</v>
      </c>
      <c r="G1217" s="121" t="s">
        <v>3401</v>
      </c>
      <c r="H1217" s="91" t="s">
        <v>19</v>
      </c>
      <c r="I1217" s="73" t="s">
        <v>19</v>
      </c>
      <c r="J1217" s="73" t="s">
        <v>19</v>
      </c>
      <c r="K1217" s="73" t="s">
        <v>19</v>
      </c>
      <c r="L1217" s="19"/>
      <c r="M1217" s="3"/>
      <c r="N1217" s="113" t="s">
        <v>14</v>
      </c>
      <c r="O1217" s="122" t="s">
        <v>27</v>
      </c>
      <c r="P1217" s="122"/>
      <c r="Q1217" s="105"/>
      <c r="R1217" s="28"/>
      <c r="S1217" s="225" t="str">
        <f t="shared" si="18"/>
        <v/>
      </c>
      <c r="T1217" s="7" t="s">
        <v>7698</v>
      </c>
      <c r="U1217" s="7" t="s">
        <v>122</v>
      </c>
      <c r="V1217" s="171" t="str" cm="1">
        <f t="array" ref="V1217">_xlfn.IFS(C1217="","",COUNTIF(C1217,"ตำแหน่งว่าง*"),"ว่าง",COUNTIF(C1217,"&lt;&gt;ตำแหน่งว่าง*"),"คนครอง")</f>
        <v>ว่าง</v>
      </c>
      <c r="W1217" s="6" cm="1">
        <f t="array" ref="W1217">_xlfn.IFS(COUNTIF(F1217,"ผบ.หมู่*"),51,COUNTIF(F1217,"รอง สว.*"),43)</f>
        <v>51</v>
      </c>
      <c r="X1217" s="6" t="s">
        <v>3400</v>
      </c>
      <c r="Y1217" s="6" t="s">
        <v>27</v>
      </c>
    </row>
    <row r="1218" spans="1:25" s="10" customFormat="1" ht="21.3" customHeight="1">
      <c r="A1218" s="27"/>
      <c r="B1218" s="28"/>
      <c r="C1218" s="30" t="s">
        <v>18</v>
      </c>
      <c r="D1218" s="27"/>
      <c r="E1218" s="27"/>
      <c r="F1218" s="68" t="s">
        <v>3395</v>
      </c>
      <c r="G1218" s="121" t="s">
        <v>3403</v>
      </c>
      <c r="H1218" s="91" t="s">
        <v>19</v>
      </c>
      <c r="I1218" s="73" t="s">
        <v>19</v>
      </c>
      <c r="J1218" s="73" t="s">
        <v>19</v>
      </c>
      <c r="K1218" s="73" t="s">
        <v>19</v>
      </c>
      <c r="L1218" s="19"/>
      <c r="M1218" s="3"/>
      <c r="N1218" s="113" t="s">
        <v>14</v>
      </c>
      <c r="O1218" s="122" t="s">
        <v>27</v>
      </c>
      <c r="P1218" s="122"/>
      <c r="Q1218" s="105"/>
      <c r="R1218" s="28"/>
      <c r="S1218" s="225" t="str">
        <f t="shared" ref="S1218:S1281" si="19">IF(K1218&lt;&gt;"",DATE(YEAR(K1218)+60+(K1218&gt;=DATE(YEAR(K1218),10,2)),10,1),"")</f>
        <v/>
      </c>
      <c r="T1218" s="7" t="s">
        <v>7698</v>
      </c>
      <c r="U1218" s="7" t="s">
        <v>122</v>
      </c>
      <c r="V1218" s="171" t="str" cm="1">
        <f t="array" ref="V1218">_xlfn.IFS(C1218="","",COUNTIF(C1218,"ตำแหน่งว่าง*"),"ว่าง",COUNTIF(C1218,"&lt;&gt;ตำแหน่งว่าง*"),"คนครอง")</f>
        <v>ว่าง</v>
      </c>
      <c r="W1218" s="6" cm="1">
        <f t="array" ref="W1218">_xlfn.IFS(COUNTIF(F1218,"ผบ.หมู่*"),51,COUNTIF(F1218,"รอง สว.*"),43)</f>
        <v>51</v>
      </c>
      <c r="X1218" s="6" t="s">
        <v>3402</v>
      </c>
      <c r="Y1218" s="6" t="s">
        <v>27</v>
      </c>
    </row>
    <row r="1219" spans="1:25" s="10" customFormat="1" ht="21.3" customHeight="1">
      <c r="A1219" s="27"/>
      <c r="B1219" s="28"/>
      <c r="C1219" s="30" t="s">
        <v>18</v>
      </c>
      <c r="D1219" s="27"/>
      <c r="E1219" s="27"/>
      <c r="F1219" s="68" t="s">
        <v>3395</v>
      </c>
      <c r="G1219" s="121" t="s">
        <v>3405</v>
      </c>
      <c r="H1219" s="91" t="s">
        <v>19</v>
      </c>
      <c r="I1219" s="73" t="s">
        <v>19</v>
      </c>
      <c r="J1219" s="73" t="s">
        <v>19</v>
      </c>
      <c r="K1219" s="73" t="s">
        <v>19</v>
      </c>
      <c r="L1219" s="19"/>
      <c r="M1219" s="3"/>
      <c r="N1219" s="113" t="s">
        <v>14</v>
      </c>
      <c r="O1219" s="122" t="s">
        <v>27</v>
      </c>
      <c r="P1219" s="122"/>
      <c r="Q1219" s="105"/>
      <c r="R1219" s="28"/>
      <c r="S1219" s="225" t="str">
        <f t="shared" si="19"/>
        <v/>
      </c>
      <c r="T1219" s="7" t="s">
        <v>7698</v>
      </c>
      <c r="U1219" s="7" t="s">
        <v>122</v>
      </c>
      <c r="V1219" s="171" t="str" cm="1">
        <f t="array" ref="V1219">_xlfn.IFS(C1219="","",COUNTIF(C1219,"ตำแหน่งว่าง*"),"ว่าง",COUNTIF(C1219,"&lt;&gt;ตำแหน่งว่าง*"),"คนครอง")</f>
        <v>ว่าง</v>
      </c>
      <c r="W1219" s="6" cm="1">
        <f t="array" ref="W1219">_xlfn.IFS(COUNTIF(F1219,"ผบ.หมู่*"),51,COUNTIF(F1219,"รอง สว.*"),43)</f>
        <v>51</v>
      </c>
      <c r="X1219" s="6" t="s">
        <v>3404</v>
      </c>
      <c r="Y1219" s="6" t="s">
        <v>27</v>
      </c>
    </row>
    <row r="1220" spans="1:25" s="10" customFormat="1" ht="21.3" customHeight="1">
      <c r="A1220" s="27"/>
      <c r="B1220" s="28"/>
      <c r="C1220" s="30" t="s">
        <v>18</v>
      </c>
      <c r="D1220" s="27"/>
      <c r="E1220" s="27"/>
      <c r="F1220" s="68" t="s">
        <v>3395</v>
      </c>
      <c r="G1220" s="121" t="s">
        <v>3407</v>
      </c>
      <c r="H1220" s="91" t="s">
        <v>19</v>
      </c>
      <c r="I1220" s="73" t="s">
        <v>19</v>
      </c>
      <c r="J1220" s="73" t="s">
        <v>19</v>
      </c>
      <c r="K1220" s="73" t="s">
        <v>19</v>
      </c>
      <c r="L1220" s="19"/>
      <c r="M1220" s="3"/>
      <c r="N1220" s="113" t="s">
        <v>14</v>
      </c>
      <c r="O1220" s="122" t="s">
        <v>27</v>
      </c>
      <c r="P1220" s="122"/>
      <c r="Q1220" s="105"/>
      <c r="R1220" s="28"/>
      <c r="S1220" s="225" t="str">
        <f t="shared" si="19"/>
        <v/>
      </c>
      <c r="T1220" s="7" t="s">
        <v>7698</v>
      </c>
      <c r="U1220" s="7" t="s">
        <v>122</v>
      </c>
      <c r="V1220" s="171" t="str" cm="1">
        <f t="array" ref="V1220">_xlfn.IFS(C1220="","",COUNTIF(C1220,"ตำแหน่งว่าง*"),"ว่าง",COUNTIF(C1220,"&lt;&gt;ตำแหน่งว่าง*"),"คนครอง")</f>
        <v>ว่าง</v>
      </c>
      <c r="W1220" s="6" cm="1">
        <f t="array" ref="W1220">_xlfn.IFS(COUNTIF(F1220,"ผบ.หมู่*"),51,COUNTIF(F1220,"รอง สว.*"),43)</f>
        <v>51</v>
      </c>
      <c r="X1220" s="6" t="s">
        <v>3406</v>
      </c>
      <c r="Y1220" s="6" t="s">
        <v>27</v>
      </c>
    </row>
    <row r="1221" spans="1:25" s="10" customFormat="1" ht="21.3" customHeight="1">
      <c r="A1221" s="27"/>
      <c r="B1221" s="28"/>
      <c r="C1221" s="30" t="s">
        <v>18</v>
      </c>
      <c r="D1221" s="27"/>
      <c r="E1221" s="27"/>
      <c r="F1221" s="68" t="s">
        <v>3395</v>
      </c>
      <c r="G1221" s="121" t="s">
        <v>3409</v>
      </c>
      <c r="H1221" s="91" t="s">
        <v>19</v>
      </c>
      <c r="I1221" s="73" t="s">
        <v>19</v>
      </c>
      <c r="J1221" s="73" t="s">
        <v>19</v>
      </c>
      <c r="K1221" s="73" t="s">
        <v>19</v>
      </c>
      <c r="L1221" s="19"/>
      <c r="M1221" s="3"/>
      <c r="N1221" s="113" t="s">
        <v>14</v>
      </c>
      <c r="O1221" s="122" t="s">
        <v>27</v>
      </c>
      <c r="P1221" s="122"/>
      <c r="Q1221" s="105"/>
      <c r="R1221" s="28"/>
      <c r="S1221" s="225" t="str">
        <f t="shared" si="19"/>
        <v/>
      </c>
      <c r="T1221" s="7" t="s">
        <v>7698</v>
      </c>
      <c r="U1221" s="7" t="s">
        <v>122</v>
      </c>
      <c r="V1221" s="171" t="str" cm="1">
        <f t="array" ref="V1221">_xlfn.IFS(C1221="","",COUNTIF(C1221,"ตำแหน่งว่าง*"),"ว่าง",COUNTIF(C1221,"&lt;&gt;ตำแหน่งว่าง*"),"คนครอง")</f>
        <v>ว่าง</v>
      </c>
      <c r="W1221" s="6" cm="1">
        <f t="array" ref="W1221">_xlfn.IFS(COUNTIF(F1221,"ผบ.หมู่*"),51,COUNTIF(F1221,"รอง สว.*"),43)</f>
        <v>51</v>
      </c>
      <c r="X1221" s="6" t="s">
        <v>3408</v>
      </c>
      <c r="Y1221" s="6" t="s">
        <v>27</v>
      </c>
    </row>
    <row r="1222" spans="1:25" s="10" customFormat="1" ht="21.3" customHeight="1">
      <c r="A1222" s="27"/>
      <c r="B1222" s="28"/>
      <c r="C1222" s="30" t="s">
        <v>18</v>
      </c>
      <c r="D1222" s="27"/>
      <c r="E1222" s="27"/>
      <c r="F1222" s="68" t="s">
        <v>3395</v>
      </c>
      <c r="G1222" s="121" t="s">
        <v>3411</v>
      </c>
      <c r="H1222" s="91" t="s">
        <v>19</v>
      </c>
      <c r="I1222" s="73" t="s">
        <v>19</v>
      </c>
      <c r="J1222" s="73" t="s">
        <v>19</v>
      </c>
      <c r="K1222" s="73" t="s">
        <v>19</v>
      </c>
      <c r="L1222" s="19"/>
      <c r="M1222" s="3"/>
      <c r="N1222" s="113" t="s">
        <v>14</v>
      </c>
      <c r="O1222" s="122" t="s">
        <v>27</v>
      </c>
      <c r="P1222" s="122"/>
      <c r="Q1222" s="105"/>
      <c r="R1222" s="28"/>
      <c r="S1222" s="225" t="str">
        <f t="shared" si="19"/>
        <v/>
      </c>
      <c r="T1222" s="7" t="s">
        <v>7698</v>
      </c>
      <c r="U1222" s="7" t="s">
        <v>122</v>
      </c>
      <c r="V1222" s="171" t="str" cm="1">
        <f t="array" ref="V1222">_xlfn.IFS(C1222="","",COUNTIF(C1222,"ตำแหน่งว่าง*"),"ว่าง",COUNTIF(C1222,"&lt;&gt;ตำแหน่งว่าง*"),"คนครอง")</f>
        <v>ว่าง</v>
      </c>
      <c r="W1222" s="6" cm="1">
        <f t="array" ref="W1222">_xlfn.IFS(COUNTIF(F1222,"ผบ.หมู่*"),51,COUNTIF(F1222,"รอง สว.*"),43)</f>
        <v>51</v>
      </c>
      <c r="X1222" s="6" t="s">
        <v>3410</v>
      </c>
      <c r="Y1222" s="6" t="s">
        <v>27</v>
      </c>
    </row>
    <row r="1223" spans="1:25" s="10" customFormat="1" ht="21.3" customHeight="1">
      <c r="A1223" s="27"/>
      <c r="B1223" s="28"/>
      <c r="C1223" s="30" t="s">
        <v>18</v>
      </c>
      <c r="D1223" s="27"/>
      <c r="E1223" s="27"/>
      <c r="F1223" s="68" t="s">
        <v>3395</v>
      </c>
      <c r="G1223" s="121" t="s">
        <v>3413</v>
      </c>
      <c r="H1223" s="91" t="s">
        <v>19</v>
      </c>
      <c r="I1223" s="73" t="s">
        <v>19</v>
      </c>
      <c r="J1223" s="73" t="s">
        <v>19</v>
      </c>
      <c r="K1223" s="73" t="s">
        <v>19</v>
      </c>
      <c r="L1223" s="19"/>
      <c r="M1223" s="3"/>
      <c r="N1223" s="113" t="s">
        <v>14</v>
      </c>
      <c r="O1223" s="122" t="s">
        <v>27</v>
      </c>
      <c r="P1223" s="122"/>
      <c r="Q1223" s="105"/>
      <c r="R1223" s="28"/>
      <c r="S1223" s="225" t="str">
        <f t="shared" si="19"/>
        <v/>
      </c>
      <c r="T1223" s="7" t="s">
        <v>7698</v>
      </c>
      <c r="U1223" s="7" t="s">
        <v>122</v>
      </c>
      <c r="V1223" s="171" t="str" cm="1">
        <f t="array" ref="V1223">_xlfn.IFS(C1223="","",COUNTIF(C1223,"ตำแหน่งว่าง*"),"ว่าง",COUNTIF(C1223,"&lt;&gt;ตำแหน่งว่าง*"),"คนครอง")</f>
        <v>ว่าง</v>
      </c>
      <c r="W1223" s="6" cm="1">
        <f t="array" ref="W1223">_xlfn.IFS(COUNTIF(F1223,"ผบ.หมู่*"),51,COUNTIF(F1223,"รอง สว.*"),43)</f>
        <v>51</v>
      </c>
      <c r="X1223" s="6" t="s">
        <v>3412</v>
      </c>
      <c r="Y1223" s="6" t="s">
        <v>27</v>
      </c>
    </row>
    <row r="1224" spans="1:25" s="9" customFormat="1" ht="21.3" customHeight="1">
      <c r="A1224" s="27"/>
      <c r="B1224" s="30"/>
      <c r="C1224" s="30" t="s">
        <v>18</v>
      </c>
      <c r="D1224" s="27"/>
      <c r="E1224" s="27"/>
      <c r="F1224" s="68" t="s">
        <v>3395</v>
      </c>
      <c r="G1224" s="121" t="s">
        <v>3446</v>
      </c>
      <c r="H1224" s="93"/>
      <c r="I1224" s="74"/>
      <c r="J1224" s="74"/>
      <c r="K1224" s="74"/>
      <c r="L1224" s="44"/>
      <c r="M1224" s="8"/>
      <c r="N1224" s="113" t="s">
        <v>14</v>
      </c>
      <c r="O1224" s="122" t="s">
        <v>43</v>
      </c>
      <c r="P1224" s="122"/>
      <c r="Q1224" s="106"/>
      <c r="R1224" s="30"/>
      <c r="S1224" s="225" t="str">
        <f t="shared" si="19"/>
        <v/>
      </c>
      <c r="T1224" s="2" t="s">
        <v>7698</v>
      </c>
      <c r="U1224" s="7" t="s">
        <v>122</v>
      </c>
      <c r="V1224" s="171" t="str" cm="1">
        <f t="array" ref="V1224">_xlfn.IFS(C1224="","",COUNTIF(C1224,"ตำแหน่งว่าง*"),"ว่าง",COUNTIF(C1224,"&lt;&gt;ตำแหน่งว่าง*"),"คนครอง")</f>
        <v>ว่าง</v>
      </c>
      <c r="W1224" s="6" cm="1">
        <f t="array" ref="W1224">_xlfn.IFS(COUNTIF(F1224,"ผบ.หมู่*"),51,COUNTIF(F1224,"รอง สว.*"),43)</f>
        <v>51</v>
      </c>
      <c r="X1224" s="1" t="s">
        <v>3445</v>
      </c>
      <c r="Y1224" s="1" t="s">
        <v>48</v>
      </c>
    </row>
    <row r="1225" spans="1:25" s="9" customFormat="1" ht="21.3" customHeight="1">
      <c r="A1225" s="27" t="s">
        <v>157</v>
      </c>
      <c r="B1225" s="28" t="s">
        <v>21</v>
      </c>
      <c r="C1225" s="27" t="s">
        <v>3859</v>
      </c>
      <c r="D1225" s="27" t="s">
        <v>7970</v>
      </c>
      <c r="E1225" s="27" t="s">
        <v>9363</v>
      </c>
      <c r="F1225" s="27" t="s">
        <v>3395</v>
      </c>
      <c r="G1225" s="101" t="s">
        <v>3415</v>
      </c>
      <c r="H1225" s="91">
        <v>45768</v>
      </c>
      <c r="I1225" s="73">
        <v>39717</v>
      </c>
      <c r="J1225" s="73">
        <v>39717</v>
      </c>
      <c r="K1225" s="73">
        <v>30690</v>
      </c>
      <c r="L1225" s="19" t="s">
        <v>3862</v>
      </c>
      <c r="M1225" s="3" t="s">
        <v>28</v>
      </c>
      <c r="N1225" s="112" t="s">
        <v>14</v>
      </c>
      <c r="O1225" s="104" t="s">
        <v>52</v>
      </c>
      <c r="P1225" s="104" t="s">
        <v>52</v>
      </c>
      <c r="Q1225" s="105"/>
      <c r="R1225" s="28" t="s">
        <v>10710</v>
      </c>
      <c r="S1225" s="174">
        <f t="shared" si="19"/>
        <v>52871</v>
      </c>
      <c r="T1225" s="2" t="s">
        <v>7698</v>
      </c>
      <c r="U1225" s="2" t="s">
        <v>122</v>
      </c>
      <c r="V1225" s="203" t="str" cm="1">
        <f t="array" ref="V1225">_xlfn.IFS(C1225="","",COUNTIF(C1225,"ตำแหน่งว่าง*"),"ว่าง",COUNTIF(C1225,"&lt;&gt;ตำแหน่งว่าง*"),"คนครอง")</f>
        <v>คนครอง</v>
      </c>
      <c r="W1225" s="1" cm="1">
        <f t="array" ref="W1225">_xlfn.IFS(COUNTIF(F1225,"ผบ.หมู่*"),51,COUNTIF(F1225,"รอง สว.*"),43)</f>
        <v>51</v>
      </c>
      <c r="X1225" s="1" t="s">
        <v>3414</v>
      </c>
      <c r="Y1225" s="1" t="s">
        <v>52</v>
      </c>
    </row>
    <row r="1226" spans="1:25" s="9" customFormat="1" ht="21.3" customHeight="1">
      <c r="A1226" s="27" t="s">
        <v>612</v>
      </c>
      <c r="B1226" s="28" t="s">
        <v>21</v>
      </c>
      <c r="C1226" s="27" t="s">
        <v>3484</v>
      </c>
      <c r="D1226" s="27" t="s">
        <v>8061</v>
      </c>
      <c r="E1226" s="27" t="s">
        <v>9284</v>
      </c>
      <c r="F1226" s="27" t="s">
        <v>3395</v>
      </c>
      <c r="G1226" s="101" t="s">
        <v>3417</v>
      </c>
      <c r="H1226" s="91">
        <v>45768</v>
      </c>
      <c r="I1226" s="73">
        <v>42416</v>
      </c>
      <c r="J1226" s="73">
        <v>42416</v>
      </c>
      <c r="K1226" s="73">
        <v>30724</v>
      </c>
      <c r="L1226" s="19" t="s">
        <v>3488</v>
      </c>
      <c r="M1226" s="3" t="s">
        <v>28</v>
      </c>
      <c r="N1226" s="112" t="s">
        <v>14</v>
      </c>
      <c r="O1226" s="104" t="s">
        <v>52</v>
      </c>
      <c r="P1226" s="104" t="s">
        <v>52</v>
      </c>
      <c r="Q1226" s="105"/>
      <c r="R1226" s="28" t="s">
        <v>10710</v>
      </c>
      <c r="S1226" s="174">
        <f t="shared" si="19"/>
        <v>52871</v>
      </c>
      <c r="T1226" s="2" t="s">
        <v>7698</v>
      </c>
      <c r="U1226" s="2" t="s">
        <v>122</v>
      </c>
      <c r="V1226" s="203" t="str" cm="1">
        <f t="array" ref="V1226">_xlfn.IFS(C1226="","",COUNTIF(C1226,"ตำแหน่งว่าง*"),"ว่าง",COUNTIF(C1226,"&lt;&gt;ตำแหน่งว่าง*"),"คนครอง")</f>
        <v>คนครอง</v>
      </c>
      <c r="W1226" s="1" cm="1">
        <f t="array" ref="W1226">_xlfn.IFS(COUNTIF(F1226,"ผบ.หมู่*"),51,COUNTIF(F1226,"รอง สว.*"),43)</f>
        <v>51</v>
      </c>
      <c r="X1226" s="1" t="s">
        <v>3416</v>
      </c>
      <c r="Y1226" s="1" t="s">
        <v>52</v>
      </c>
    </row>
    <row r="1227" spans="1:25" s="9" customFormat="1" ht="21.3" customHeight="1">
      <c r="A1227" s="27" t="s">
        <v>157</v>
      </c>
      <c r="B1227" s="28" t="s">
        <v>21</v>
      </c>
      <c r="C1227" s="27" t="s">
        <v>3418</v>
      </c>
      <c r="D1227" s="27" t="s">
        <v>9261</v>
      </c>
      <c r="E1227" s="27" t="s">
        <v>8143</v>
      </c>
      <c r="F1227" s="27" t="s">
        <v>3395</v>
      </c>
      <c r="G1227" s="101" t="s">
        <v>3420</v>
      </c>
      <c r="H1227" s="91">
        <v>42501</v>
      </c>
      <c r="I1227" s="73">
        <v>34352</v>
      </c>
      <c r="J1227" s="73">
        <v>34352</v>
      </c>
      <c r="K1227" s="73">
        <v>27196</v>
      </c>
      <c r="L1227" s="19" t="s">
        <v>3421</v>
      </c>
      <c r="M1227" s="3" t="s">
        <v>28</v>
      </c>
      <c r="N1227" s="112" t="s">
        <v>14</v>
      </c>
      <c r="O1227" s="104" t="s">
        <v>52</v>
      </c>
      <c r="P1227" s="104" t="s">
        <v>52</v>
      </c>
      <c r="Q1227" s="105"/>
      <c r="R1227" s="28" t="s">
        <v>110</v>
      </c>
      <c r="S1227" s="225">
        <f t="shared" si="19"/>
        <v>49218</v>
      </c>
      <c r="T1227" s="2" t="s">
        <v>7698</v>
      </c>
      <c r="U1227" s="7" t="s">
        <v>122</v>
      </c>
      <c r="V1227" s="162" t="str" cm="1">
        <f t="array" ref="V1227">_xlfn.IFS(C1227="","",COUNTIF(C1227,"ตำแหน่งว่าง*"),"ว่าง",COUNTIF(C1227,"&lt;&gt;ตำแหน่งว่าง*"),"คนครอง")</f>
        <v>คนครอง</v>
      </c>
      <c r="W1227" s="6" cm="1">
        <f t="array" ref="W1227">_xlfn.IFS(COUNTIF(F1227,"ผบ.หมู่*"),51,COUNTIF(F1227,"รอง สว.*"),43)</f>
        <v>51</v>
      </c>
      <c r="X1227" s="1" t="s">
        <v>3419</v>
      </c>
      <c r="Y1227" s="1" t="s">
        <v>52</v>
      </c>
    </row>
    <row r="1228" spans="1:25" s="9" customFormat="1" ht="21.3" customHeight="1">
      <c r="A1228" s="27" t="s">
        <v>612</v>
      </c>
      <c r="B1228" s="28" t="s">
        <v>12</v>
      </c>
      <c r="C1228" s="27" t="s">
        <v>10719</v>
      </c>
      <c r="D1228" s="27" t="s">
        <v>10720</v>
      </c>
      <c r="E1228" s="27" t="s">
        <v>10721</v>
      </c>
      <c r="F1228" s="27" t="s">
        <v>3395</v>
      </c>
      <c r="G1228" s="101" t="s">
        <v>3423</v>
      </c>
      <c r="H1228" s="91">
        <v>45768</v>
      </c>
      <c r="I1228" s="73" t="s">
        <v>7609</v>
      </c>
      <c r="J1228" s="73" t="s">
        <v>7609</v>
      </c>
      <c r="K1228" s="73">
        <v>32432</v>
      </c>
      <c r="L1228" s="19" t="s">
        <v>7609</v>
      </c>
      <c r="M1228" s="3" t="s">
        <v>7609</v>
      </c>
      <c r="N1228" s="112" t="s">
        <v>14</v>
      </c>
      <c r="O1228" s="104" t="s">
        <v>52</v>
      </c>
      <c r="P1228" s="104" t="s">
        <v>52</v>
      </c>
      <c r="Q1228" s="105"/>
      <c r="R1228" s="28" t="s">
        <v>10804</v>
      </c>
      <c r="S1228" s="174">
        <f t="shared" si="19"/>
        <v>54697</v>
      </c>
      <c r="T1228" s="2" t="s">
        <v>7698</v>
      </c>
      <c r="U1228" s="2" t="s">
        <v>122</v>
      </c>
      <c r="V1228" s="2" t="str" cm="1">
        <f t="array" ref="V1228">_xlfn.IFS(C1228="","",COUNTIF(C1228,"ตำแหน่งว่าง*"),"ว่าง",COUNTIF(C1228,"&lt;&gt;ตำแหน่งว่าง*"),"คนครอง")</f>
        <v>คนครอง</v>
      </c>
      <c r="W1228" s="1" cm="1">
        <f t="array" ref="W1228">_xlfn.IFS(COUNTIF(F1228,"ผบ.หมู่*"),51,COUNTIF(F1228,"รอง สว.*"),43)</f>
        <v>51</v>
      </c>
      <c r="X1228" s="1" t="s">
        <v>3422</v>
      </c>
      <c r="Y1228" s="1" t="s">
        <v>52</v>
      </c>
    </row>
    <row r="1229" spans="1:25" s="9" customFormat="1" ht="21.3" customHeight="1">
      <c r="A1229" s="27" t="s">
        <v>157</v>
      </c>
      <c r="B1229" s="28" t="s">
        <v>21</v>
      </c>
      <c r="C1229" s="27" t="s">
        <v>3424</v>
      </c>
      <c r="D1229" s="27" t="s">
        <v>9262</v>
      </c>
      <c r="E1229" s="27" t="s">
        <v>9263</v>
      </c>
      <c r="F1229" s="27" t="s">
        <v>3395</v>
      </c>
      <c r="G1229" s="101" t="s">
        <v>3426</v>
      </c>
      <c r="H1229" s="91">
        <v>44599</v>
      </c>
      <c r="I1229" s="73">
        <v>39717</v>
      </c>
      <c r="J1229" s="73">
        <v>39717</v>
      </c>
      <c r="K1229" s="73">
        <v>30268</v>
      </c>
      <c r="L1229" s="19" t="s">
        <v>3427</v>
      </c>
      <c r="M1229" s="3" t="s">
        <v>28</v>
      </c>
      <c r="N1229" s="112" t="s">
        <v>14</v>
      </c>
      <c r="O1229" s="104" t="s">
        <v>52</v>
      </c>
      <c r="P1229" s="104" t="s">
        <v>52</v>
      </c>
      <c r="Q1229" s="105"/>
      <c r="R1229" s="28" t="s">
        <v>607</v>
      </c>
      <c r="S1229" s="225">
        <f t="shared" si="19"/>
        <v>52505</v>
      </c>
      <c r="T1229" s="2" t="s">
        <v>7698</v>
      </c>
      <c r="U1229" s="7" t="s">
        <v>122</v>
      </c>
      <c r="V1229" s="162" t="str" cm="1">
        <f t="array" ref="V1229">_xlfn.IFS(C1229="","",COUNTIF(C1229,"ตำแหน่งว่าง*"),"ว่าง",COUNTIF(C1229,"&lt;&gt;ตำแหน่งว่าง*"),"คนครอง")</f>
        <v>คนครอง</v>
      </c>
      <c r="W1229" s="6" cm="1">
        <f t="array" ref="W1229">_xlfn.IFS(COUNTIF(F1229,"ผบ.หมู่*"),51,COUNTIF(F1229,"รอง สว.*"),43)</f>
        <v>51</v>
      </c>
      <c r="X1229" s="1" t="s">
        <v>3425</v>
      </c>
      <c r="Y1229" s="1" t="s">
        <v>52</v>
      </c>
    </row>
    <row r="1230" spans="1:25" s="9" customFormat="1" ht="21.3" customHeight="1">
      <c r="A1230" s="27"/>
      <c r="B1230" s="30"/>
      <c r="C1230" s="30" t="s">
        <v>18</v>
      </c>
      <c r="D1230" s="27"/>
      <c r="E1230" s="27"/>
      <c r="F1230" s="68" t="s">
        <v>3395</v>
      </c>
      <c r="G1230" s="121" t="s">
        <v>3429</v>
      </c>
      <c r="H1230" s="93" t="s">
        <v>19</v>
      </c>
      <c r="I1230" s="74" t="s">
        <v>19</v>
      </c>
      <c r="J1230" s="90" t="s">
        <v>19</v>
      </c>
      <c r="K1230" s="74" t="s">
        <v>19</v>
      </c>
      <c r="L1230" s="44"/>
      <c r="M1230" s="8"/>
      <c r="N1230" s="113" t="s">
        <v>14</v>
      </c>
      <c r="O1230" s="122" t="s">
        <v>52</v>
      </c>
      <c r="P1230" s="122" t="s">
        <v>52</v>
      </c>
      <c r="Q1230" s="106"/>
      <c r="R1230" s="30"/>
      <c r="S1230" s="225" t="str">
        <f t="shared" si="19"/>
        <v/>
      </c>
      <c r="T1230" s="2" t="s">
        <v>7698</v>
      </c>
      <c r="U1230" s="7" t="s">
        <v>122</v>
      </c>
      <c r="V1230" s="171" t="str" cm="1">
        <f t="array" ref="V1230">_xlfn.IFS(C1230="","",COUNTIF(C1230,"ตำแหน่งว่าง*"),"ว่าง",COUNTIF(C1230,"&lt;&gt;ตำแหน่งว่าง*"),"คนครอง")</f>
        <v>ว่าง</v>
      </c>
      <c r="W1230" s="6" cm="1">
        <f t="array" ref="W1230">_xlfn.IFS(COUNTIF(F1230,"ผบ.หมู่*"),51,COUNTIF(F1230,"รอง สว.*"),43)</f>
        <v>51</v>
      </c>
      <c r="X1230" s="6" t="s">
        <v>3428</v>
      </c>
      <c r="Y1230" s="6" t="s">
        <v>52</v>
      </c>
    </row>
    <row r="1231" spans="1:25" s="9" customFormat="1" ht="21.3" customHeight="1">
      <c r="A1231" s="27"/>
      <c r="B1231" s="28"/>
      <c r="C1231" s="30" t="s">
        <v>18</v>
      </c>
      <c r="D1231" s="27"/>
      <c r="E1231" s="27"/>
      <c r="F1231" s="27" t="s">
        <v>3395</v>
      </c>
      <c r="G1231" s="101" t="s">
        <v>3431</v>
      </c>
      <c r="H1231" s="91"/>
      <c r="I1231" s="73"/>
      <c r="J1231" s="73"/>
      <c r="K1231" s="73"/>
      <c r="L1231" s="19"/>
      <c r="M1231" s="3"/>
      <c r="N1231" s="112" t="s">
        <v>14</v>
      </c>
      <c r="O1231" s="104" t="s">
        <v>52</v>
      </c>
      <c r="P1231" s="104" t="s">
        <v>52</v>
      </c>
      <c r="Q1231" s="105"/>
      <c r="R1231" s="28"/>
      <c r="S1231" s="225" t="str">
        <f t="shared" si="19"/>
        <v/>
      </c>
      <c r="T1231" s="2" t="s">
        <v>7698</v>
      </c>
      <c r="U1231" s="7" t="s">
        <v>122</v>
      </c>
      <c r="V1231" s="162" t="str" cm="1">
        <f t="array" ref="V1231">_xlfn.IFS(C1231="","",COUNTIF(C1231,"ตำแหน่งว่าง*"),"ว่าง",COUNTIF(C1231,"&lt;&gt;ตำแหน่งว่าง*"),"คนครอง")</f>
        <v>ว่าง</v>
      </c>
      <c r="W1231" s="5" cm="1">
        <f t="array" ref="W1231">_xlfn.IFS(COUNTIF(F1231,"ผบ.หมู่*"),51,COUNTIF(F1231,"รอง สว.*"),43)</f>
        <v>51</v>
      </c>
      <c r="X1231" s="1" t="s">
        <v>3430</v>
      </c>
      <c r="Y1231" s="1" t="s">
        <v>52</v>
      </c>
    </row>
    <row r="1232" spans="1:25" s="9" customFormat="1" ht="21.3" customHeight="1">
      <c r="A1232" s="27"/>
      <c r="B1232" s="28"/>
      <c r="C1232" s="27" t="s">
        <v>18</v>
      </c>
      <c r="D1232" s="27"/>
      <c r="E1232" s="27"/>
      <c r="F1232" s="27" t="s">
        <v>3395</v>
      </c>
      <c r="G1232" s="101" t="s">
        <v>3435</v>
      </c>
      <c r="H1232" s="91"/>
      <c r="I1232" s="73"/>
      <c r="J1232" s="73"/>
      <c r="K1232" s="73"/>
      <c r="L1232" s="19"/>
      <c r="M1232" s="3"/>
      <c r="N1232" s="112" t="s">
        <v>14</v>
      </c>
      <c r="O1232" s="104" t="s">
        <v>52</v>
      </c>
      <c r="P1232" s="104" t="s">
        <v>52</v>
      </c>
      <c r="Q1232" s="105"/>
      <c r="R1232" s="28"/>
      <c r="S1232" s="174" t="str">
        <f t="shared" si="19"/>
        <v/>
      </c>
      <c r="T1232" s="2" t="s">
        <v>7698</v>
      </c>
      <c r="U1232" s="2" t="s">
        <v>122</v>
      </c>
      <c r="V1232" s="2" t="str" cm="1">
        <f t="array" ref="V1232">_xlfn.IFS(C1232="","",COUNTIF(C1232,"ตำแหน่งว่าง*"),"ว่าง",COUNTIF(C1232,"&lt;&gt;ตำแหน่งว่าง*"),"คนครอง")</f>
        <v>ว่าง</v>
      </c>
      <c r="W1232" s="1" cm="1">
        <f t="array" ref="W1232">_xlfn.IFS(COUNTIF(F1232,"ผบ.หมู่*"),51,COUNTIF(F1232,"รอง สว.*"),43)</f>
        <v>51</v>
      </c>
      <c r="X1232" s="1" t="s">
        <v>3434</v>
      </c>
      <c r="Y1232" s="1" t="s">
        <v>52</v>
      </c>
    </row>
    <row r="1233" spans="1:25" s="9" customFormat="1" ht="21.3" customHeight="1">
      <c r="A1233" s="27" t="s">
        <v>157</v>
      </c>
      <c r="B1233" s="28" t="s">
        <v>21</v>
      </c>
      <c r="C1233" s="27" t="s">
        <v>3437</v>
      </c>
      <c r="D1233" s="27" t="s">
        <v>9265</v>
      </c>
      <c r="E1233" s="27" t="s">
        <v>9266</v>
      </c>
      <c r="F1233" s="27" t="s">
        <v>3395</v>
      </c>
      <c r="G1233" s="101" t="s">
        <v>3439</v>
      </c>
      <c r="H1233" s="91">
        <v>42501</v>
      </c>
      <c r="I1233" s="73">
        <v>35095</v>
      </c>
      <c r="J1233" s="73">
        <v>35095</v>
      </c>
      <c r="K1233" s="73">
        <v>27715</v>
      </c>
      <c r="L1233" s="19" t="s">
        <v>3440</v>
      </c>
      <c r="M1233" s="3" t="s">
        <v>28</v>
      </c>
      <c r="N1233" s="112" t="s">
        <v>14</v>
      </c>
      <c r="O1233" s="104" t="s">
        <v>52</v>
      </c>
      <c r="P1233" s="104" t="s">
        <v>52</v>
      </c>
      <c r="Q1233" s="105"/>
      <c r="R1233" s="28" t="s">
        <v>110</v>
      </c>
      <c r="S1233" s="225">
        <f t="shared" si="19"/>
        <v>49949</v>
      </c>
      <c r="T1233" s="2" t="s">
        <v>7698</v>
      </c>
      <c r="U1233" s="7" t="s">
        <v>122</v>
      </c>
      <c r="V1233" s="162" t="str" cm="1">
        <f t="array" ref="V1233">_xlfn.IFS(C1233="","",COUNTIF(C1233,"ตำแหน่งว่าง*"),"ว่าง",COUNTIF(C1233,"&lt;&gt;ตำแหน่งว่าง*"),"คนครอง")</f>
        <v>คนครอง</v>
      </c>
      <c r="W1233" s="6" cm="1">
        <f t="array" ref="W1233">_xlfn.IFS(COUNTIF(F1233,"ผบ.หมู่*"),51,COUNTIF(F1233,"รอง สว.*"),43)</f>
        <v>51</v>
      </c>
      <c r="X1233" s="1" t="s">
        <v>3438</v>
      </c>
      <c r="Y1233" s="1" t="s">
        <v>52</v>
      </c>
    </row>
    <row r="1234" spans="1:25" s="9" customFormat="1" ht="21.3" customHeight="1">
      <c r="A1234" s="27" t="s">
        <v>157</v>
      </c>
      <c r="B1234" s="28" t="s">
        <v>21</v>
      </c>
      <c r="C1234" s="27" t="s">
        <v>3441</v>
      </c>
      <c r="D1234" s="27" t="s">
        <v>8115</v>
      </c>
      <c r="E1234" s="27" t="s">
        <v>9267</v>
      </c>
      <c r="F1234" s="27" t="s">
        <v>3395</v>
      </c>
      <c r="G1234" s="101" t="s">
        <v>3443</v>
      </c>
      <c r="H1234" s="91">
        <v>42940</v>
      </c>
      <c r="I1234" s="73">
        <v>40814</v>
      </c>
      <c r="J1234" s="73">
        <v>40814</v>
      </c>
      <c r="K1234" s="73">
        <v>30444</v>
      </c>
      <c r="L1234" s="19" t="s">
        <v>3444</v>
      </c>
      <c r="M1234" s="3" t="s">
        <v>28</v>
      </c>
      <c r="N1234" s="112" t="s">
        <v>14</v>
      </c>
      <c r="O1234" s="104" t="s">
        <v>52</v>
      </c>
      <c r="P1234" s="104" t="s">
        <v>52</v>
      </c>
      <c r="Q1234" s="105"/>
      <c r="R1234" s="28" t="s">
        <v>726</v>
      </c>
      <c r="S1234" s="225">
        <f t="shared" si="19"/>
        <v>52505</v>
      </c>
      <c r="T1234" s="2" t="s">
        <v>7698</v>
      </c>
      <c r="U1234" s="7" t="s">
        <v>122</v>
      </c>
      <c r="V1234" s="162" t="str" cm="1">
        <f t="array" ref="V1234">_xlfn.IFS(C1234="","",COUNTIF(C1234,"ตำแหน่งว่าง*"),"ว่าง",COUNTIF(C1234,"&lt;&gt;ตำแหน่งว่าง*"),"คนครอง")</f>
        <v>คนครอง</v>
      </c>
      <c r="W1234" s="6" cm="1">
        <f t="array" ref="W1234">_xlfn.IFS(COUNTIF(F1234,"ผบ.หมู่*"),51,COUNTIF(F1234,"รอง สว.*"),43)</f>
        <v>51</v>
      </c>
      <c r="X1234" s="1" t="s">
        <v>3442</v>
      </c>
      <c r="Y1234" s="1" t="s">
        <v>52</v>
      </c>
    </row>
    <row r="1235" spans="1:25" s="9" customFormat="1" ht="21.3" customHeight="1">
      <c r="A1235" s="27" t="s">
        <v>10753</v>
      </c>
      <c r="B1235" s="28" t="s">
        <v>12</v>
      </c>
      <c r="C1235" s="27" t="s">
        <v>3447</v>
      </c>
      <c r="D1235" s="27" t="s">
        <v>9268</v>
      </c>
      <c r="E1235" s="27" t="s">
        <v>9269</v>
      </c>
      <c r="F1235" s="27" t="s">
        <v>3456</v>
      </c>
      <c r="G1235" s="101" t="s">
        <v>3450</v>
      </c>
      <c r="H1235" s="91">
        <v>45382</v>
      </c>
      <c r="I1235" s="73">
        <v>45382</v>
      </c>
      <c r="J1235" s="73">
        <v>35825</v>
      </c>
      <c r="K1235" s="73">
        <v>26138</v>
      </c>
      <c r="L1235" s="19" t="s">
        <v>3451</v>
      </c>
      <c r="M1235" s="3" t="s">
        <v>28</v>
      </c>
      <c r="N1235" s="112" t="s">
        <v>14</v>
      </c>
      <c r="O1235" s="104" t="s">
        <v>52</v>
      </c>
      <c r="P1235" s="104" t="s">
        <v>52</v>
      </c>
      <c r="Q1235" s="105"/>
      <c r="R1235" s="33" t="s">
        <v>7801</v>
      </c>
      <c r="S1235" s="225">
        <f t="shared" si="19"/>
        <v>48122</v>
      </c>
      <c r="T1235" s="2" t="s">
        <v>7690</v>
      </c>
      <c r="U1235" s="7" t="s">
        <v>122</v>
      </c>
      <c r="V1235" s="162" t="str" cm="1">
        <f t="array" ref="V1235">_xlfn.IFS(C1235="","",COUNTIF(C1235,"ตำแหน่งว่าง*"),"ว่าง",COUNTIF(C1235,"&lt;&gt;ตำแหน่งว่าง*"),"คนครอง")</f>
        <v>คนครอง</v>
      </c>
      <c r="W1235" s="6" cm="1">
        <f t="array" ref="W1235">_xlfn.IFS(COUNTIF(F1235,"ผบ.หมู่*"),51,COUNTIF(F1235,"รอง สว.*"),43)</f>
        <v>43</v>
      </c>
      <c r="X1235" s="1" t="s">
        <v>3449</v>
      </c>
      <c r="Y1235" s="1" t="s">
        <v>52</v>
      </c>
    </row>
    <row r="1236" spans="1:25" s="9" customFormat="1" ht="21.3" customHeight="1">
      <c r="A1236" s="27" t="s">
        <v>157</v>
      </c>
      <c r="B1236" s="28" t="s">
        <v>12</v>
      </c>
      <c r="C1236" s="27" t="s">
        <v>3452</v>
      </c>
      <c r="D1236" s="27" t="s">
        <v>9270</v>
      </c>
      <c r="E1236" s="27" t="s">
        <v>9271</v>
      </c>
      <c r="F1236" s="27" t="s">
        <v>3448</v>
      </c>
      <c r="G1236" s="101" t="s">
        <v>3454</v>
      </c>
      <c r="H1236" s="91">
        <v>42501</v>
      </c>
      <c r="I1236" s="73">
        <v>37484</v>
      </c>
      <c r="J1236" s="73">
        <v>37484</v>
      </c>
      <c r="K1236" s="73">
        <v>27864</v>
      </c>
      <c r="L1236" s="19" t="s">
        <v>3455</v>
      </c>
      <c r="M1236" s="3" t="s">
        <v>28</v>
      </c>
      <c r="N1236" s="112" t="s">
        <v>14</v>
      </c>
      <c r="O1236" s="104" t="s">
        <v>52</v>
      </c>
      <c r="P1236" s="104" t="s">
        <v>52</v>
      </c>
      <c r="Q1236" s="105"/>
      <c r="R1236" s="28" t="s">
        <v>110</v>
      </c>
      <c r="S1236" s="225">
        <f t="shared" si="19"/>
        <v>49949</v>
      </c>
      <c r="T1236" s="2" t="s">
        <v>7690</v>
      </c>
      <c r="U1236" s="7" t="s">
        <v>122</v>
      </c>
      <c r="V1236" s="162" t="str" cm="1">
        <f t="array" ref="V1236">_xlfn.IFS(C1236="","",COUNTIF(C1236,"ตำแหน่งว่าง*"),"ว่าง",COUNTIF(C1236,"&lt;&gt;ตำแหน่งว่าง*"),"คนครอง")</f>
        <v>คนครอง</v>
      </c>
      <c r="W1236" s="6" cm="1">
        <f t="array" ref="W1236">_xlfn.IFS(COUNTIF(F1236,"ผบ.หมู่*"),51,COUNTIF(F1236,"รอง สว.*"),43)</f>
        <v>51</v>
      </c>
      <c r="X1236" s="1" t="s">
        <v>3453</v>
      </c>
      <c r="Y1236" s="1" t="s">
        <v>52</v>
      </c>
    </row>
    <row r="1237" spans="1:25" s="9" customFormat="1" ht="21.3" customHeight="1">
      <c r="A1237" s="27"/>
      <c r="B1237" s="28"/>
      <c r="C1237" s="30" t="s">
        <v>18</v>
      </c>
      <c r="D1237" s="27"/>
      <c r="E1237" s="27"/>
      <c r="F1237" s="27" t="s">
        <v>3448</v>
      </c>
      <c r="G1237" s="101" t="s">
        <v>3458</v>
      </c>
      <c r="H1237" s="91"/>
      <c r="I1237" s="73"/>
      <c r="J1237" s="73"/>
      <c r="K1237" s="73"/>
      <c r="L1237" s="15"/>
      <c r="M1237" s="3"/>
      <c r="N1237" s="112" t="s">
        <v>14</v>
      </c>
      <c r="O1237" s="104" t="s">
        <v>52</v>
      </c>
      <c r="P1237" s="104" t="s">
        <v>52</v>
      </c>
      <c r="Q1237" s="105"/>
      <c r="R1237" s="28"/>
      <c r="S1237" s="225" t="str">
        <f t="shared" si="19"/>
        <v/>
      </c>
      <c r="T1237" s="2" t="s">
        <v>7690</v>
      </c>
      <c r="U1237" s="7" t="s">
        <v>122</v>
      </c>
      <c r="V1237" s="162" t="str" cm="1">
        <f t="array" ref="V1237">_xlfn.IFS(C1237="","",COUNTIF(C1237,"ตำแหน่งว่าง*"),"ว่าง",COUNTIF(C1237,"&lt;&gt;ตำแหน่งว่าง*"),"คนครอง")</f>
        <v>ว่าง</v>
      </c>
      <c r="W1237" s="5" cm="1">
        <f t="array" ref="W1237">_xlfn.IFS(COUNTIF(F1237,"ผบ.หมู่*"),51,COUNTIF(F1237,"รอง สว.*"),43)</f>
        <v>51</v>
      </c>
      <c r="X1237" s="3" t="s">
        <v>3457</v>
      </c>
      <c r="Y1237" s="1" t="s">
        <v>52</v>
      </c>
    </row>
    <row r="1238" spans="1:25" s="9" customFormat="1" ht="21.3" customHeight="1">
      <c r="A1238" s="27" t="s">
        <v>182</v>
      </c>
      <c r="B1238" s="28" t="s">
        <v>12</v>
      </c>
      <c r="C1238" s="27" t="s">
        <v>3459</v>
      </c>
      <c r="D1238" s="27" t="s">
        <v>9272</v>
      </c>
      <c r="E1238" s="27" t="s">
        <v>9273</v>
      </c>
      <c r="F1238" s="27" t="s">
        <v>3448</v>
      </c>
      <c r="G1238" s="101" t="s">
        <v>3461</v>
      </c>
      <c r="H1238" s="75">
        <v>44636</v>
      </c>
      <c r="I1238" s="73">
        <v>44636</v>
      </c>
      <c r="J1238" s="73">
        <v>44636</v>
      </c>
      <c r="K1238" s="73">
        <v>35381</v>
      </c>
      <c r="L1238" s="15" t="s">
        <v>3462</v>
      </c>
      <c r="M1238" s="3" t="s">
        <v>46</v>
      </c>
      <c r="N1238" s="112" t="s">
        <v>14</v>
      </c>
      <c r="O1238" s="104" t="s">
        <v>52</v>
      </c>
      <c r="P1238" s="104" t="s">
        <v>52</v>
      </c>
      <c r="Q1238" s="105"/>
      <c r="R1238" s="28" t="s">
        <v>611</v>
      </c>
      <c r="S1238" s="225">
        <f t="shared" si="19"/>
        <v>57619</v>
      </c>
      <c r="T1238" s="2" t="s">
        <v>7690</v>
      </c>
      <c r="U1238" s="7" t="s">
        <v>122</v>
      </c>
      <c r="V1238" s="162" t="str" cm="1">
        <f t="array" ref="V1238">_xlfn.IFS(C1238="","",COUNTIF(C1238,"ตำแหน่งว่าง*"),"ว่าง",COUNTIF(C1238,"&lt;&gt;ตำแหน่งว่าง*"),"คนครอง")</f>
        <v>คนครอง</v>
      </c>
      <c r="W1238" s="6" cm="1">
        <f t="array" ref="W1238">_xlfn.IFS(COUNTIF(F1238,"ผบ.หมู่*"),51,COUNTIF(F1238,"รอง สว.*"),43)</f>
        <v>51</v>
      </c>
      <c r="X1238" s="3" t="s">
        <v>3460</v>
      </c>
      <c r="Y1238" s="1" t="s">
        <v>52</v>
      </c>
    </row>
    <row r="1239" spans="1:25" s="9" customFormat="1" ht="21.3" customHeight="1">
      <c r="A1239" s="27" t="s">
        <v>612</v>
      </c>
      <c r="B1239" s="28" t="s">
        <v>12</v>
      </c>
      <c r="C1239" s="27" t="s">
        <v>3463</v>
      </c>
      <c r="D1239" s="27" t="s">
        <v>9274</v>
      </c>
      <c r="E1239" s="27" t="s">
        <v>9275</v>
      </c>
      <c r="F1239" s="27" t="s">
        <v>3448</v>
      </c>
      <c r="G1239" s="101" t="s">
        <v>3465</v>
      </c>
      <c r="H1239" s="75">
        <v>42416</v>
      </c>
      <c r="I1239" s="73">
        <v>42416</v>
      </c>
      <c r="J1239" s="73">
        <v>42416</v>
      </c>
      <c r="K1239" s="73">
        <v>35093</v>
      </c>
      <c r="L1239" s="19" t="s">
        <v>3316</v>
      </c>
      <c r="M1239" s="3" t="s">
        <v>28</v>
      </c>
      <c r="N1239" s="112" t="s">
        <v>14</v>
      </c>
      <c r="O1239" s="104" t="s">
        <v>52</v>
      </c>
      <c r="P1239" s="104" t="s">
        <v>52</v>
      </c>
      <c r="Q1239" s="105"/>
      <c r="R1239" s="28" t="s">
        <v>617</v>
      </c>
      <c r="S1239" s="225">
        <f t="shared" si="19"/>
        <v>57254</v>
      </c>
      <c r="T1239" s="2" t="s">
        <v>7690</v>
      </c>
      <c r="U1239" s="7" t="s">
        <v>122</v>
      </c>
      <c r="V1239" s="162" t="str" cm="1">
        <f t="array" ref="V1239">_xlfn.IFS(C1239="","",COUNTIF(C1239,"ตำแหน่งว่าง*"),"ว่าง",COUNTIF(C1239,"&lt;&gt;ตำแหน่งว่าง*"),"คนครอง")</f>
        <v>คนครอง</v>
      </c>
      <c r="W1239" s="6" cm="1">
        <f t="array" ref="W1239">_xlfn.IFS(COUNTIF(F1239,"ผบ.หมู่*"),51,COUNTIF(F1239,"รอง สว.*"),43)</f>
        <v>51</v>
      </c>
      <c r="X1239" s="3" t="s">
        <v>3464</v>
      </c>
      <c r="Y1239" s="1" t="s">
        <v>52</v>
      </c>
    </row>
    <row r="1240" spans="1:25" s="9" customFormat="1" ht="21.3" customHeight="1">
      <c r="A1240" s="27" t="s">
        <v>182</v>
      </c>
      <c r="B1240" s="28" t="s">
        <v>12</v>
      </c>
      <c r="C1240" s="27" t="s">
        <v>3466</v>
      </c>
      <c r="D1240" s="27" t="s">
        <v>9276</v>
      </c>
      <c r="E1240" s="27" t="s">
        <v>9277</v>
      </c>
      <c r="F1240" s="27" t="s">
        <v>3448</v>
      </c>
      <c r="G1240" s="101" t="s">
        <v>3468</v>
      </c>
      <c r="H1240" s="75">
        <v>44636</v>
      </c>
      <c r="I1240" s="73">
        <v>44636</v>
      </c>
      <c r="J1240" s="73">
        <v>44636</v>
      </c>
      <c r="K1240" s="73">
        <v>34998</v>
      </c>
      <c r="L1240" s="15" t="s">
        <v>3462</v>
      </c>
      <c r="M1240" s="3" t="s">
        <v>28</v>
      </c>
      <c r="N1240" s="112" t="s">
        <v>14</v>
      </c>
      <c r="O1240" s="104" t="s">
        <v>52</v>
      </c>
      <c r="P1240" s="104" t="s">
        <v>52</v>
      </c>
      <c r="Q1240" s="105"/>
      <c r="R1240" s="28" t="s">
        <v>611</v>
      </c>
      <c r="S1240" s="225">
        <f t="shared" si="19"/>
        <v>57254</v>
      </c>
      <c r="T1240" s="2" t="s">
        <v>7690</v>
      </c>
      <c r="U1240" s="7" t="s">
        <v>122</v>
      </c>
      <c r="V1240" s="162" t="str" cm="1">
        <f t="array" ref="V1240">_xlfn.IFS(C1240="","",COUNTIF(C1240,"ตำแหน่งว่าง*"),"ว่าง",COUNTIF(C1240,"&lt;&gt;ตำแหน่งว่าง*"),"คนครอง")</f>
        <v>คนครอง</v>
      </c>
      <c r="W1240" s="6" cm="1">
        <f t="array" ref="W1240">_xlfn.IFS(COUNTIF(F1240,"ผบ.หมู่*"),51,COUNTIF(F1240,"รอง สว.*"),43)</f>
        <v>51</v>
      </c>
      <c r="X1240" s="3" t="s">
        <v>3467</v>
      </c>
      <c r="Y1240" s="1" t="s">
        <v>52</v>
      </c>
    </row>
    <row r="1241" spans="1:25" s="9" customFormat="1" ht="21.3" customHeight="1">
      <c r="A1241" s="27" t="s">
        <v>157</v>
      </c>
      <c r="B1241" s="28" t="s">
        <v>12</v>
      </c>
      <c r="C1241" s="27" t="s">
        <v>3469</v>
      </c>
      <c r="D1241" s="27" t="s">
        <v>9278</v>
      </c>
      <c r="E1241" s="27" t="s">
        <v>9279</v>
      </c>
      <c r="F1241" s="27" t="s">
        <v>3448</v>
      </c>
      <c r="G1241" s="101" t="s">
        <v>3471</v>
      </c>
      <c r="H1241" s="75">
        <v>42604</v>
      </c>
      <c r="I1241" s="73">
        <v>40814</v>
      </c>
      <c r="J1241" s="73">
        <v>40814</v>
      </c>
      <c r="K1241" s="73">
        <v>28508</v>
      </c>
      <c r="L1241" s="19" t="s">
        <v>3472</v>
      </c>
      <c r="M1241" s="3" t="s">
        <v>28</v>
      </c>
      <c r="N1241" s="112" t="s">
        <v>14</v>
      </c>
      <c r="O1241" s="104" t="s">
        <v>52</v>
      </c>
      <c r="P1241" s="104" t="s">
        <v>52</v>
      </c>
      <c r="Q1241" s="105"/>
      <c r="R1241" s="28" t="s">
        <v>76</v>
      </c>
      <c r="S1241" s="225">
        <f t="shared" si="19"/>
        <v>50679</v>
      </c>
      <c r="T1241" s="2" t="s">
        <v>7690</v>
      </c>
      <c r="U1241" s="7" t="s">
        <v>122</v>
      </c>
      <c r="V1241" s="162" t="str" cm="1">
        <f t="array" ref="V1241">_xlfn.IFS(C1241="","",COUNTIF(C1241,"ตำแหน่งว่าง*"),"ว่าง",COUNTIF(C1241,"&lt;&gt;ตำแหน่งว่าง*"),"คนครอง")</f>
        <v>คนครอง</v>
      </c>
      <c r="W1241" s="6" cm="1">
        <f t="array" ref="W1241">_xlfn.IFS(COUNTIF(F1241,"ผบ.หมู่*"),51,COUNTIF(F1241,"รอง สว.*"),43)</f>
        <v>51</v>
      </c>
      <c r="X1241" s="1" t="s">
        <v>3470</v>
      </c>
      <c r="Y1241" s="1" t="s">
        <v>52</v>
      </c>
    </row>
    <row r="1242" spans="1:25" s="10" customFormat="1" ht="21.3" customHeight="1">
      <c r="A1242" s="27" t="s">
        <v>612</v>
      </c>
      <c r="B1242" s="28" t="s">
        <v>12</v>
      </c>
      <c r="C1242" s="27" t="s">
        <v>3473</v>
      </c>
      <c r="D1242" s="27" t="s">
        <v>9280</v>
      </c>
      <c r="E1242" s="27" t="s">
        <v>9281</v>
      </c>
      <c r="F1242" s="27" t="s">
        <v>3474</v>
      </c>
      <c r="G1242" s="101" t="s">
        <v>3476</v>
      </c>
      <c r="H1242" s="91">
        <v>44999</v>
      </c>
      <c r="I1242" s="73">
        <v>42416</v>
      </c>
      <c r="J1242" s="73">
        <v>42416</v>
      </c>
      <c r="K1242" s="73">
        <v>35412</v>
      </c>
      <c r="L1242" s="19" t="s">
        <v>3316</v>
      </c>
      <c r="M1242" s="3" t="s">
        <v>90</v>
      </c>
      <c r="N1242" s="112" t="s">
        <v>14</v>
      </c>
      <c r="O1242" s="104" t="s">
        <v>52</v>
      </c>
      <c r="P1242" s="104" t="s">
        <v>52</v>
      </c>
      <c r="Q1242" s="105"/>
      <c r="R1242" s="28" t="s">
        <v>74</v>
      </c>
      <c r="S1242" s="225">
        <f t="shared" si="19"/>
        <v>57619</v>
      </c>
      <c r="T1242" s="7" t="s">
        <v>7690</v>
      </c>
      <c r="U1242" s="7" t="s">
        <v>122</v>
      </c>
      <c r="V1242" s="162" t="str" cm="1">
        <f t="array" ref="V1242">_xlfn.IFS(C1242="","",COUNTIF(C1242,"ตำแหน่งว่าง*"),"ว่าง",COUNTIF(C1242,"&lt;&gt;ตำแหน่งว่าง*"),"คนครอง")</f>
        <v>คนครอง</v>
      </c>
      <c r="W1242" s="6" cm="1">
        <f t="array" ref="W1242">_xlfn.IFS(COUNTIF(F1242,"ผบ.หมู่*"),51,COUNTIF(F1242,"รอง สว.*"),43)</f>
        <v>51</v>
      </c>
      <c r="X1242" s="3" t="s">
        <v>3475</v>
      </c>
      <c r="Y1242" s="1" t="s">
        <v>52</v>
      </c>
    </row>
    <row r="1243" spans="1:25" s="9" customFormat="1" ht="21.3" customHeight="1">
      <c r="A1243" s="68"/>
      <c r="B1243" s="30"/>
      <c r="C1243" s="68" t="s">
        <v>18</v>
      </c>
      <c r="D1243" s="27"/>
      <c r="E1243" s="27"/>
      <c r="F1243" s="68" t="s">
        <v>3448</v>
      </c>
      <c r="G1243" s="121" t="s">
        <v>3478</v>
      </c>
      <c r="H1243" s="80"/>
      <c r="I1243" s="74"/>
      <c r="J1243" s="74"/>
      <c r="K1243" s="74"/>
      <c r="L1243" s="166"/>
      <c r="M1243" s="8"/>
      <c r="N1243" s="113" t="s">
        <v>14</v>
      </c>
      <c r="O1243" s="122" t="s">
        <v>52</v>
      </c>
      <c r="P1243" s="122" t="s">
        <v>52</v>
      </c>
      <c r="Q1243" s="106"/>
      <c r="R1243" s="30"/>
      <c r="S1243" s="225" t="str">
        <f t="shared" si="19"/>
        <v/>
      </c>
      <c r="T1243" s="2" t="s">
        <v>7690</v>
      </c>
      <c r="U1243" s="7" t="s">
        <v>122</v>
      </c>
      <c r="V1243" s="171" t="str" cm="1">
        <f t="array" ref="V1243">_xlfn.IFS(C1243="","",COUNTIF(C1243,"ตำแหน่งว่าง*"),"ว่าง",COUNTIF(C1243,"&lt;&gt;ตำแหน่งว่าง*"),"คนครอง")</f>
        <v>ว่าง</v>
      </c>
      <c r="W1243" s="6" cm="1">
        <f t="array" ref="W1243">_xlfn.IFS(COUNTIF(F1243,"ผบ.หมู่*"),51,COUNTIF(F1243,"รอง สว.*"),43)</f>
        <v>51</v>
      </c>
      <c r="X1243" s="3" t="s">
        <v>3477</v>
      </c>
      <c r="Y1243" s="1" t="s">
        <v>52</v>
      </c>
    </row>
    <row r="1244" spans="1:25" s="9" customFormat="1" ht="21.3" customHeight="1">
      <c r="A1244" s="27" t="s">
        <v>182</v>
      </c>
      <c r="B1244" s="28" t="s">
        <v>12</v>
      </c>
      <c r="C1244" s="27" t="s">
        <v>3479</v>
      </c>
      <c r="D1244" s="27" t="s">
        <v>9282</v>
      </c>
      <c r="E1244" s="27" t="s">
        <v>9283</v>
      </c>
      <c r="F1244" s="27" t="s">
        <v>3448</v>
      </c>
      <c r="G1244" s="101" t="s">
        <v>3481</v>
      </c>
      <c r="H1244" s="75">
        <v>44636</v>
      </c>
      <c r="I1244" s="73">
        <v>44636</v>
      </c>
      <c r="J1244" s="73">
        <v>44636</v>
      </c>
      <c r="K1244" s="73">
        <v>37663</v>
      </c>
      <c r="L1244" s="15" t="s">
        <v>3462</v>
      </c>
      <c r="M1244" s="3" t="s">
        <v>50</v>
      </c>
      <c r="N1244" s="112" t="s">
        <v>14</v>
      </c>
      <c r="O1244" s="104" t="s">
        <v>52</v>
      </c>
      <c r="P1244" s="104" t="s">
        <v>52</v>
      </c>
      <c r="Q1244" s="105"/>
      <c r="R1244" s="28" t="s">
        <v>611</v>
      </c>
      <c r="S1244" s="225">
        <f t="shared" si="19"/>
        <v>59810</v>
      </c>
      <c r="T1244" s="2" t="s">
        <v>7690</v>
      </c>
      <c r="U1244" s="7" t="s">
        <v>122</v>
      </c>
      <c r="V1244" s="162" t="str" cm="1">
        <f t="array" ref="V1244">_xlfn.IFS(C1244="","",COUNTIF(C1244,"ตำแหน่งว่าง*"),"ว่าง",COUNTIF(C1244,"&lt;&gt;ตำแหน่งว่าง*"),"คนครอง")</f>
        <v>คนครอง</v>
      </c>
      <c r="W1244" s="6" cm="1">
        <f t="array" ref="W1244">_xlfn.IFS(COUNTIF(F1244,"ผบ.หมู่*"),51,COUNTIF(F1244,"รอง สว.*"),43)</f>
        <v>51</v>
      </c>
      <c r="X1244" s="3" t="s">
        <v>3480</v>
      </c>
      <c r="Y1244" s="1" t="s">
        <v>52</v>
      </c>
    </row>
    <row r="1245" spans="1:25" s="9" customFormat="1" ht="21.3" customHeight="1">
      <c r="A1245" s="27"/>
      <c r="B1245" s="28"/>
      <c r="C1245" s="95" t="s">
        <v>18</v>
      </c>
      <c r="D1245" s="27"/>
      <c r="E1245" s="27"/>
      <c r="F1245" s="27" t="s">
        <v>3448</v>
      </c>
      <c r="G1245" s="101" t="s">
        <v>3483</v>
      </c>
      <c r="H1245" s="91"/>
      <c r="I1245" s="73"/>
      <c r="J1245" s="73"/>
      <c r="K1245" s="73"/>
      <c r="L1245" s="19"/>
      <c r="M1245" s="3"/>
      <c r="N1245" s="112" t="s">
        <v>14</v>
      </c>
      <c r="O1245" s="104" t="s">
        <v>52</v>
      </c>
      <c r="P1245" s="104" t="s">
        <v>52</v>
      </c>
      <c r="Q1245" s="105"/>
      <c r="R1245" s="28"/>
      <c r="S1245" s="225" t="str">
        <f t="shared" si="19"/>
        <v/>
      </c>
      <c r="T1245" s="2" t="s">
        <v>7690</v>
      </c>
      <c r="U1245" s="7" t="s">
        <v>122</v>
      </c>
      <c r="V1245" s="162" t="str" cm="1">
        <f t="array" ref="V1245">_xlfn.IFS(C1245="","",COUNTIF(C1245,"ตำแหน่งว่าง*"),"ว่าง",COUNTIF(C1245,"&lt;&gt;ตำแหน่งว่าง*"),"คนครอง")</f>
        <v>ว่าง</v>
      </c>
      <c r="W1245" s="5" cm="1">
        <f t="array" ref="W1245">_xlfn.IFS(COUNTIF(F1245,"ผบ.หมู่*"),51,COUNTIF(F1245,"รอง สว.*"),43)</f>
        <v>51</v>
      </c>
      <c r="X1245" s="1" t="s">
        <v>3482</v>
      </c>
      <c r="Y1245" s="1" t="s">
        <v>52</v>
      </c>
    </row>
    <row r="1246" spans="1:25" s="12" customFormat="1" ht="21.3" customHeight="1">
      <c r="A1246" s="27"/>
      <c r="B1246" s="28"/>
      <c r="C1246" s="27" t="s">
        <v>18</v>
      </c>
      <c r="D1246" s="27"/>
      <c r="E1246" s="27"/>
      <c r="F1246" s="27" t="s">
        <v>3485</v>
      </c>
      <c r="G1246" s="101" t="s">
        <v>3487</v>
      </c>
      <c r="H1246" s="91"/>
      <c r="I1246" s="73"/>
      <c r="J1246" s="73"/>
      <c r="K1246" s="73"/>
      <c r="L1246" s="15"/>
      <c r="M1246" s="3"/>
      <c r="N1246" s="112" t="s">
        <v>14</v>
      </c>
      <c r="O1246" s="104" t="s">
        <v>52</v>
      </c>
      <c r="P1246" s="104" t="s">
        <v>52</v>
      </c>
      <c r="Q1246" s="105"/>
      <c r="R1246" s="28"/>
      <c r="S1246" s="174" t="str">
        <f t="shared" si="19"/>
        <v/>
      </c>
      <c r="T1246" s="2" t="s">
        <v>115</v>
      </c>
      <c r="U1246" s="2" t="s">
        <v>122</v>
      </c>
      <c r="V1246" s="2" t="str" cm="1">
        <f t="array" ref="V1246">_xlfn.IFS(C1246="","",COUNTIF(C1246,"ตำแหน่งว่าง*"),"ว่าง",COUNTIF(C1246,"&lt;&gt;ตำแหน่งว่าง*"),"คนครอง")</f>
        <v>ว่าง</v>
      </c>
      <c r="W1246" s="1" cm="1">
        <f t="array" ref="W1246">_xlfn.IFS(COUNTIF(F1246,"ผบ.หมู่*"),51,COUNTIF(F1246,"รอง สว.*"),43)</f>
        <v>51</v>
      </c>
      <c r="X1246" s="1" t="s">
        <v>3486</v>
      </c>
      <c r="Y1246" s="1" t="s">
        <v>52</v>
      </c>
    </row>
    <row r="1247" spans="1:25" s="9" customFormat="1" ht="21.3" customHeight="1">
      <c r="A1247" s="27" t="s">
        <v>157</v>
      </c>
      <c r="B1247" s="28" t="s">
        <v>21</v>
      </c>
      <c r="C1247" s="27" t="s">
        <v>3489</v>
      </c>
      <c r="D1247" s="27" t="s">
        <v>8029</v>
      </c>
      <c r="E1247" s="27" t="s">
        <v>9285</v>
      </c>
      <c r="F1247" s="27" t="s">
        <v>3485</v>
      </c>
      <c r="G1247" s="101" t="s">
        <v>3491</v>
      </c>
      <c r="H1247" s="91">
        <v>43235</v>
      </c>
      <c r="I1247" s="73">
        <v>41214</v>
      </c>
      <c r="J1247" s="73">
        <v>41214</v>
      </c>
      <c r="K1247" s="73">
        <v>31622</v>
      </c>
      <c r="L1247" s="19" t="s">
        <v>133</v>
      </c>
      <c r="M1247" s="3" t="s">
        <v>28</v>
      </c>
      <c r="N1247" s="112" t="s">
        <v>14</v>
      </c>
      <c r="O1247" s="104" t="s">
        <v>52</v>
      </c>
      <c r="P1247" s="104" t="s">
        <v>52</v>
      </c>
      <c r="Q1247" s="105"/>
      <c r="R1247" s="28" t="s">
        <v>3492</v>
      </c>
      <c r="S1247" s="225">
        <f t="shared" si="19"/>
        <v>53601</v>
      </c>
      <c r="T1247" s="2" t="s">
        <v>115</v>
      </c>
      <c r="U1247" s="7" t="s">
        <v>122</v>
      </c>
      <c r="V1247" s="162" t="str" cm="1">
        <f t="array" ref="V1247">_xlfn.IFS(C1247="","",COUNTIF(C1247,"ตำแหน่งว่าง*"),"ว่าง",COUNTIF(C1247,"&lt;&gt;ตำแหน่งว่าง*"),"คนครอง")</f>
        <v>คนครอง</v>
      </c>
      <c r="W1247" s="6" cm="1">
        <f t="array" ref="W1247">_xlfn.IFS(COUNTIF(F1247,"ผบ.หมู่*"),51,COUNTIF(F1247,"รอง สว.*"),43)</f>
        <v>51</v>
      </c>
      <c r="X1247" s="1" t="s">
        <v>3490</v>
      </c>
      <c r="Y1247" s="1" t="s">
        <v>52</v>
      </c>
    </row>
    <row r="1248" spans="1:25" s="10" customFormat="1" ht="21.3" customHeight="1">
      <c r="A1248" s="27"/>
      <c r="B1248" s="30"/>
      <c r="C1248" s="30" t="s">
        <v>18</v>
      </c>
      <c r="D1248" s="27"/>
      <c r="E1248" s="27"/>
      <c r="F1248" s="68" t="s">
        <v>3485</v>
      </c>
      <c r="G1248" s="121" t="s">
        <v>3494</v>
      </c>
      <c r="H1248" s="93" t="s">
        <v>19</v>
      </c>
      <c r="I1248" s="74" t="s">
        <v>19</v>
      </c>
      <c r="J1248" s="74" t="s">
        <v>19</v>
      </c>
      <c r="K1248" s="74" t="s">
        <v>19</v>
      </c>
      <c r="L1248" s="44"/>
      <c r="M1248" s="8"/>
      <c r="N1248" s="113" t="s">
        <v>14</v>
      </c>
      <c r="O1248" s="122" t="s">
        <v>52</v>
      </c>
      <c r="P1248" s="122" t="s">
        <v>52</v>
      </c>
      <c r="Q1248" s="208"/>
      <c r="R1248" s="30"/>
      <c r="S1248" s="225" t="str">
        <f t="shared" si="19"/>
        <v/>
      </c>
      <c r="T1248" s="7" t="s">
        <v>115</v>
      </c>
      <c r="U1248" s="7" t="s">
        <v>122</v>
      </c>
      <c r="V1248" s="171" t="str" cm="1">
        <f t="array" ref="V1248">_xlfn.IFS(C1248="","",COUNTIF(C1248,"ตำแหน่งว่าง*"),"ว่าง",COUNTIF(C1248,"&lt;&gt;ตำแหน่งว่าง*"),"คนครอง")</f>
        <v>ว่าง</v>
      </c>
      <c r="W1248" s="6" cm="1">
        <f t="array" ref="W1248">_xlfn.IFS(COUNTIF(F1248,"ผบ.หมู่*"),51,COUNTIF(F1248,"รอง สว.*"),43)</f>
        <v>51</v>
      </c>
      <c r="X1248" s="6" t="s">
        <v>3493</v>
      </c>
      <c r="Y1248" s="6" t="s">
        <v>52</v>
      </c>
    </row>
    <row r="1249" spans="1:25" s="9" customFormat="1" ht="21.3" customHeight="1">
      <c r="A1249" s="27" t="s">
        <v>157</v>
      </c>
      <c r="B1249" s="28" t="s">
        <v>21</v>
      </c>
      <c r="C1249" s="27" t="s">
        <v>3495</v>
      </c>
      <c r="D1249" s="27" t="s">
        <v>9286</v>
      </c>
      <c r="E1249" s="27" t="s">
        <v>9287</v>
      </c>
      <c r="F1249" s="27" t="s">
        <v>3485</v>
      </c>
      <c r="G1249" s="101" t="s">
        <v>3497</v>
      </c>
      <c r="H1249" s="91">
        <v>42501</v>
      </c>
      <c r="I1249" s="73">
        <v>39717</v>
      </c>
      <c r="J1249" s="73">
        <v>39717</v>
      </c>
      <c r="K1249" s="73">
        <v>28515</v>
      </c>
      <c r="L1249" s="19" t="s">
        <v>3498</v>
      </c>
      <c r="M1249" s="3" t="s">
        <v>28</v>
      </c>
      <c r="N1249" s="112" t="s">
        <v>14</v>
      </c>
      <c r="O1249" s="104" t="s">
        <v>52</v>
      </c>
      <c r="P1249" s="104" t="s">
        <v>52</v>
      </c>
      <c r="Q1249" s="105"/>
      <c r="R1249" s="28" t="s">
        <v>110</v>
      </c>
      <c r="S1249" s="225">
        <f t="shared" si="19"/>
        <v>50679</v>
      </c>
      <c r="T1249" s="2" t="s">
        <v>115</v>
      </c>
      <c r="U1249" s="7" t="s">
        <v>122</v>
      </c>
      <c r="V1249" s="162" t="str" cm="1">
        <f t="array" ref="V1249">_xlfn.IFS(C1249="","",COUNTIF(C1249,"ตำแหน่งว่าง*"),"ว่าง",COUNTIF(C1249,"&lt;&gt;ตำแหน่งว่าง*"),"คนครอง")</f>
        <v>คนครอง</v>
      </c>
      <c r="W1249" s="6" cm="1">
        <f t="array" ref="W1249">_xlfn.IFS(COUNTIF(F1249,"ผบ.หมู่*"),51,COUNTIF(F1249,"รอง สว.*"),43)</f>
        <v>51</v>
      </c>
      <c r="X1249" s="1" t="s">
        <v>3496</v>
      </c>
      <c r="Y1249" s="1" t="s">
        <v>52</v>
      </c>
    </row>
    <row r="1250" spans="1:25" s="12" customFormat="1" ht="21.3" customHeight="1">
      <c r="A1250" s="27" t="s">
        <v>44</v>
      </c>
      <c r="B1250" s="31" t="s">
        <v>12</v>
      </c>
      <c r="C1250" s="95" t="s">
        <v>3499</v>
      </c>
      <c r="D1250" s="27" t="s">
        <v>9288</v>
      </c>
      <c r="E1250" s="27" t="s">
        <v>9289</v>
      </c>
      <c r="F1250" s="95" t="s">
        <v>3500</v>
      </c>
      <c r="G1250" s="101" t="s">
        <v>3502</v>
      </c>
      <c r="H1250" s="92">
        <v>44651</v>
      </c>
      <c r="I1250" s="76">
        <v>44651</v>
      </c>
      <c r="J1250" s="76">
        <v>44651</v>
      </c>
      <c r="K1250" s="76">
        <v>25207</v>
      </c>
      <c r="L1250" s="46" t="s">
        <v>3503</v>
      </c>
      <c r="M1250" s="4" t="s">
        <v>28</v>
      </c>
      <c r="N1250" s="111" t="s">
        <v>14</v>
      </c>
      <c r="O1250" s="104" t="s">
        <v>52</v>
      </c>
      <c r="P1250" s="104" t="s">
        <v>52</v>
      </c>
      <c r="Q1250" s="108"/>
      <c r="R1250" s="31" t="s">
        <v>2794</v>
      </c>
      <c r="S1250" s="225">
        <f t="shared" si="19"/>
        <v>47392</v>
      </c>
      <c r="T1250" s="162" t="s">
        <v>7691</v>
      </c>
      <c r="U1250" s="7" t="s">
        <v>122</v>
      </c>
      <c r="V1250" s="162" t="str" cm="1">
        <f t="array" ref="V1250">_xlfn.IFS(C1250="","",COUNTIF(C1250,"ตำแหน่งว่าง*"),"ว่าง",COUNTIF(C1250,"&lt;&gt;ตำแหน่งว่าง*"),"คนครอง")</f>
        <v>คนครอง</v>
      </c>
      <c r="W1250" s="5" cm="1">
        <f t="array" ref="W1250">_xlfn.IFS(COUNTIF(F1250,"ผบ.หมู่*"),51,COUNTIF(F1250,"รอง สว.*"),43)</f>
        <v>43</v>
      </c>
      <c r="X1250" s="5" t="s">
        <v>3501</v>
      </c>
      <c r="Y1250" s="5" t="s">
        <v>52</v>
      </c>
    </row>
    <row r="1251" spans="1:25" s="12" customFormat="1" ht="21.3" customHeight="1">
      <c r="A1251" s="27" t="s">
        <v>612</v>
      </c>
      <c r="B1251" s="31" t="s">
        <v>12</v>
      </c>
      <c r="C1251" s="95" t="s">
        <v>3504</v>
      </c>
      <c r="D1251" s="27" t="s">
        <v>8037</v>
      </c>
      <c r="E1251" s="27" t="s">
        <v>9290</v>
      </c>
      <c r="F1251" s="95" t="s">
        <v>3505</v>
      </c>
      <c r="G1251" s="101" t="s">
        <v>3507</v>
      </c>
      <c r="H1251" s="92">
        <v>44599</v>
      </c>
      <c r="I1251" s="76">
        <v>42416</v>
      </c>
      <c r="J1251" s="76">
        <v>42416</v>
      </c>
      <c r="K1251" s="76">
        <v>35194</v>
      </c>
      <c r="L1251" s="46" t="s">
        <v>3508</v>
      </c>
      <c r="M1251" s="4" t="s">
        <v>28</v>
      </c>
      <c r="N1251" s="111" t="s">
        <v>14</v>
      </c>
      <c r="O1251" s="104" t="s">
        <v>52</v>
      </c>
      <c r="P1251" s="104" t="s">
        <v>52</v>
      </c>
      <c r="Q1251" s="108"/>
      <c r="R1251" s="31" t="s">
        <v>607</v>
      </c>
      <c r="S1251" s="225">
        <f t="shared" si="19"/>
        <v>57254</v>
      </c>
      <c r="T1251" s="162" t="s">
        <v>7691</v>
      </c>
      <c r="U1251" s="7" t="s">
        <v>122</v>
      </c>
      <c r="V1251" s="162" t="str" cm="1">
        <f t="array" ref="V1251">_xlfn.IFS(C1251="","",COUNTIF(C1251,"ตำแหน่งว่าง*"),"ว่าง",COUNTIF(C1251,"&lt;&gt;ตำแหน่งว่าง*"),"คนครอง")</f>
        <v>คนครอง</v>
      </c>
      <c r="W1251" s="6" cm="1">
        <f t="array" ref="W1251">_xlfn.IFS(COUNTIF(F1251,"ผบ.หมู่*"),51,COUNTIF(F1251,"รอง สว.*"),43)</f>
        <v>51</v>
      </c>
      <c r="X1251" s="5" t="s">
        <v>3506</v>
      </c>
      <c r="Y1251" s="5" t="s">
        <v>52</v>
      </c>
    </row>
    <row r="1252" spans="1:25" s="9" customFormat="1" ht="21.3" customHeight="1">
      <c r="A1252" s="192" t="s">
        <v>169</v>
      </c>
      <c r="B1252" s="193" t="s">
        <v>21</v>
      </c>
      <c r="C1252" s="192" t="s">
        <v>7928</v>
      </c>
      <c r="D1252" s="27" t="s">
        <v>9291</v>
      </c>
      <c r="E1252" s="27" t="s">
        <v>9292</v>
      </c>
      <c r="F1252" s="192" t="s">
        <v>3505</v>
      </c>
      <c r="G1252" s="101" t="s">
        <v>3510</v>
      </c>
      <c r="H1252" s="73">
        <v>45463</v>
      </c>
      <c r="I1252" s="73">
        <v>45463</v>
      </c>
      <c r="J1252" s="73">
        <v>45463</v>
      </c>
      <c r="K1252" s="73">
        <v>37358</v>
      </c>
      <c r="L1252" s="2" t="s">
        <v>82</v>
      </c>
      <c r="M1252" s="3"/>
      <c r="N1252" s="112" t="s">
        <v>14</v>
      </c>
      <c r="O1252" s="104" t="s">
        <v>52</v>
      </c>
      <c r="P1252" s="104" t="s">
        <v>52</v>
      </c>
      <c r="Q1252" s="105"/>
      <c r="R1252" s="28" t="s">
        <v>7961</v>
      </c>
      <c r="S1252" s="174">
        <f t="shared" si="19"/>
        <v>59445</v>
      </c>
      <c r="T1252" s="2" t="s">
        <v>7691</v>
      </c>
      <c r="U1252" s="2" t="s">
        <v>122</v>
      </c>
      <c r="V1252" s="162" t="str" cm="1">
        <f t="array" ref="V1252">_xlfn.IFS(C1252="","",COUNTIF(C1252,"ตำแหน่งว่าง*"),"ว่าง",COUNTIF(C1252,"&lt;&gt;ตำแหน่งว่าง*"),"คนครอง")</f>
        <v>คนครอง</v>
      </c>
      <c r="W1252" s="1" cm="1">
        <f t="array" ref="W1252">_xlfn.IFS(COUNTIF(F1252,"ผบ.หมู่*"),51,COUNTIF(F1252,"รอง สว.*"),43)</f>
        <v>51</v>
      </c>
      <c r="X1252" s="1" t="s">
        <v>3509</v>
      </c>
      <c r="Y1252" s="1" t="s">
        <v>52</v>
      </c>
    </row>
    <row r="1253" spans="1:25" s="10" customFormat="1" ht="21.3" customHeight="1">
      <c r="A1253" s="27"/>
      <c r="B1253" s="30"/>
      <c r="C1253" s="30" t="s">
        <v>18</v>
      </c>
      <c r="D1253" s="27"/>
      <c r="E1253" s="27"/>
      <c r="F1253" s="68" t="s">
        <v>3505</v>
      </c>
      <c r="G1253" s="121" t="s">
        <v>3512</v>
      </c>
      <c r="H1253" s="91" t="s">
        <v>19</v>
      </c>
      <c r="I1253" s="73" t="s">
        <v>19</v>
      </c>
      <c r="J1253" s="73" t="s">
        <v>19</v>
      </c>
      <c r="K1253" s="73" t="s">
        <v>19</v>
      </c>
      <c r="L1253" s="19"/>
      <c r="M1253" s="3"/>
      <c r="N1253" s="113" t="s">
        <v>14</v>
      </c>
      <c r="O1253" s="122" t="s">
        <v>52</v>
      </c>
      <c r="P1253" s="122" t="s">
        <v>52</v>
      </c>
      <c r="Q1253" s="106"/>
      <c r="R1253" s="30"/>
      <c r="S1253" s="225" t="str">
        <f t="shared" si="19"/>
        <v/>
      </c>
      <c r="T1253" s="7" t="s">
        <v>7691</v>
      </c>
      <c r="U1253" s="7" t="s">
        <v>122</v>
      </c>
      <c r="V1253" s="171" t="str" cm="1">
        <f t="array" ref="V1253">_xlfn.IFS(C1253="","",COUNTIF(C1253,"ตำแหน่งว่าง*"),"ว่าง",COUNTIF(C1253,"&lt;&gt;ตำแหน่งว่าง*"),"คนครอง")</f>
        <v>ว่าง</v>
      </c>
      <c r="W1253" s="6" cm="1">
        <f t="array" ref="W1253">_xlfn.IFS(COUNTIF(F1253,"ผบ.หมู่*"),51,COUNTIF(F1253,"รอง สว.*"),43)</f>
        <v>51</v>
      </c>
      <c r="X1253" s="6" t="s">
        <v>3511</v>
      </c>
      <c r="Y1253" s="6" t="s">
        <v>52</v>
      </c>
    </row>
    <row r="1254" spans="1:25" s="9" customFormat="1" ht="21.3" customHeight="1">
      <c r="A1254" s="27" t="s">
        <v>208</v>
      </c>
      <c r="B1254" s="28" t="s">
        <v>12</v>
      </c>
      <c r="C1254" s="27" t="s">
        <v>3513</v>
      </c>
      <c r="D1254" s="27" t="s">
        <v>8166</v>
      </c>
      <c r="E1254" s="27" t="s">
        <v>8201</v>
      </c>
      <c r="F1254" s="27" t="s">
        <v>3505</v>
      </c>
      <c r="G1254" s="101" t="s">
        <v>3515</v>
      </c>
      <c r="H1254" s="91">
        <v>43693</v>
      </c>
      <c r="I1254" s="73">
        <v>43693</v>
      </c>
      <c r="J1254" s="73">
        <v>43693</v>
      </c>
      <c r="K1254" s="73">
        <v>36702</v>
      </c>
      <c r="L1254" s="19" t="s">
        <v>7856</v>
      </c>
      <c r="M1254" s="3" t="s">
        <v>73</v>
      </c>
      <c r="N1254" s="112" t="s">
        <v>14</v>
      </c>
      <c r="O1254" s="104" t="s">
        <v>52</v>
      </c>
      <c r="P1254" s="104" t="s">
        <v>52</v>
      </c>
      <c r="Q1254" s="105"/>
      <c r="R1254" s="28" t="s">
        <v>645</v>
      </c>
      <c r="S1254" s="225">
        <f t="shared" si="19"/>
        <v>58715</v>
      </c>
      <c r="T1254" s="2" t="s">
        <v>7691</v>
      </c>
      <c r="U1254" s="7" t="s">
        <v>122</v>
      </c>
      <c r="V1254" s="162" t="str" cm="1">
        <f t="array" ref="V1254">_xlfn.IFS(C1254="","",COUNTIF(C1254,"ตำแหน่งว่าง*"),"ว่าง",COUNTIF(C1254,"&lt;&gt;ตำแหน่งว่าง*"),"คนครอง")</f>
        <v>คนครอง</v>
      </c>
      <c r="W1254" s="6" cm="1">
        <f t="array" ref="W1254">_xlfn.IFS(COUNTIF(F1254,"ผบ.หมู่*"),51,COUNTIF(F1254,"รอง สว.*"),43)</f>
        <v>51</v>
      </c>
      <c r="X1254" s="1" t="s">
        <v>3514</v>
      </c>
      <c r="Y1254" s="1" t="s">
        <v>52</v>
      </c>
    </row>
    <row r="1255" spans="1:25" s="9" customFormat="1" ht="21.3" customHeight="1">
      <c r="A1255" s="27"/>
      <c r="B1255" s="28"/>
      <c r="C1255" s="27" t="s">
        <v>18</v>
      </c>
      <c r="D1255" s="27"/>
      <c r="E1255" s="27"/>
      <c r="F1255" s="27" t="s">
        <v>3505</v>
      </c>
      <c r="G1255" s="101" t="s">
        <v>3517</v>
      </c>
      <c r="H1255" s="91"/>
      <c r="I1255" s="73"/>
      <c r="J1255" s="73"/>
      <c r="K1255" s="73"/>
      <c r="L1255" s="15"/>
      <c r="M1255" s="3"/>
      <c r="N1255" s="112" t="s">
        <v>14</v>
      </c>
      <c r="O1255" s="104" t="s">
        <v>52</v>
      </c>
      <c r="P1255" s="104" t="s">
        <v>52</v>
      </c>
      <c r="Q1255" s="105"/>
      <c r="R1255" s="28"/>
      <c r="S1255" s="225" t="str">
        <f t="shared" si="19"/>
        <v/>
      </c>
      <c r="T1255" s="2" t="s">
        <v>7691</v>
      </c>
      <c r="U1255" s="7" t="s">
        <v>122</v>
      </c>
      <c r="V1255" s="162" t="str" cm="1">
        <f t="array" ref="V1255">_xlfn.IFS(C1255="","",COUNTIF(C1255,"ตำแหน่งว่าง*"),"ว่าง",COUNTIF(C1255,"&lt;&gt;ตำแหน่งว่าง*"),"คนครอง")</f>
        <v>ว่าง</v>
      </c>
      <c r="W1255" s="6" cm="1">
        <f t="array" ref="W1255">_xlfn.IFS(COUNTIF(F1255,"ผบ.หมู่*"),51,COUNTIF(F1255,"รอง สว.*"),43)</f>
        <v>51</v>
      </c>
      <c r="X1255" s="1" t="s">
        <v>3516</v>
      </c>
      <c r="Y1255" s="1" t="s">
        <v>52</v>
      </c>
    </row>
    <row r="1256" spans="1:25" s="10" customFormat="1" ht="21.3" customHeight="1">
      <c r="A1256" s="27"/>
      <c r="B1256" s="30"/>
      <c r="C1256" s="30" t="s">
        <v>18</v>
      </c>
      <c r="D1256" s="27"/>
      <c r="E1256" s="27"/>
      <c r="F1256" s="68" t="s">
        <v>3505</v>
      </c>
      <c r="G1256" s="121" t="s">
        <v>3519</v>
      </c>
      <c r="H1256" s="93" t="s">
        <v>19</v>
      </c>
      <c r="I1256" s="74" t="s">
        <v>19</v>
      </c>
      <c r="J1256" s="74" t="s">
        <v>19</v>
      </c>
      <c r="K1256" s="74" t="s">
        <v>19</v>
      </c>
      <c r="L1256" s="166"/>
      <c r="M1256" s="8"/>
      <c r="N1256" s="113" t="s">
        <v>14</v>
      </c>
      <c r="O1256" s="122" t="s">
        <v>52</v>
      </c>
      <c r="P1256" s="122" t="s">
        <v>52</v>
      </c>
      <c r="Q1256" s="106"/>
      <c r="R1256" s="30"/>
      <c r="S1256" s="225" t="str">
        <f t="shared" si="19"/>
        <v/>
      </c>
      <c r="T1256" s="7" t="s">
        <v>7691</v>
      </c>
      <c r="U1256" s="7" t="s">
        <v>122</v>
      </c>
      <c r="V1256" s="171" t="str" cm="1">
        <f t="array" ref="V1256">_xlfn.IFS(C1256="","",COUNTIF(C1256,"ตำแหน่งว่าง*"),"ว่าง",COUNTIF(C1256,"&lt;&gt;ตำแหน่งว่าง*"),"คนครอง")</f>
        <v>ว่าง</v>
      </c>
      <c r="W1256" s="6" cm="1">
        <f t="array" ref="W1256">_xlfn.IFS(COUNTIF(F1256,"ผบ.หมู่*"),51,COUNTIF(F1256,"รอง สว.*"),43)</f>
        <v>51</v>
      </c>
      <c r="X1256" s="6" t="s">
        <v>3518</v>
      </c>
      <c r="Y1256" s="6" t="s">
        <v>52</v>
      </c>
    </row>
    <row r="1257" spans="1:25" s="9" customFormat="1" ht="21.3" customHeight="1">
      <c r="A1257" s="27"/>
      <c r="B1257" s="28"/>
      <c r="C1257" s="68" t="s">
        <v>18</v>
      </c>
      <c r="D1257" s="27"/>
      <c r="E1257" s="27"/>
      <c r="F1257" s="27" t="s">
        <v>3520</v>
      </c>
      <c r="G1257" s="101" t="s">
        <v>3522</v>
      </c>
      <c r="H1257" s="91"/>
      <c r="I1257" s="73"/>
      <c r="J1257" s="73"/>
      <c r="K1257" s="73"/>
      <c r="L1257" s="19"/>
      <c r="M1257" s="3"/>
      <c r="N1257" s="112" t="s">
        <v>14</v>
      </c>
      <c r="O1257" s="104" t="s">
        <v>52</v>
      </c>
      <c r="P1257" s="104" t="s">
        <v>52</v>
      </c>
      <c r="Q1257" s="105"/>
      <c r="R1257" s="28"/>
      <c r="S1257" s="225" t="str">
        <f t="shared" si="19"/>
        <v/>
      </c>
      <c r="T1257" s="2" t="s">
        <v>7692</v>
      </c>
      <c r="U1257" s="7" t="s">
        <v>122</v>
      </c>
      <c r="V1257" s="162" t="str" cm="1">
        <f t="array" ref="V1257">_xlfn.IFS(C1257="","",COUNTIF(C1257,"ตำแหน่งว่าง*"),"ว่าง",COUNTIF(C1257,"&lt;&gt;ตำแหน่งว่าง*"),"คนครอง")</f>
        <v>ว่าง</v>
      </c>
      <c r="W1257" s="6" cm="1">
        <f t="array" ref="W1257">_xlfn.IFS(COUNTIF(F1257,"ผบ.หมู่*"),51,COUNTIF(F1257,"รอง สว.*"),43)</f>
        <v>51</v>
      </c>
      <c r="X1257" s="1" t="s">
        <v>3521</v>
      </c>
      <c r="Y1257" s="1" t="s">
        <v>52</v>
      </c>
    </row>
    <row r="1258" spans="1:25" s="9" customFormat="1" ht="21.3" customHeight="1">
      <c r="A1258" s="27" t="s">
        <v>26</v>
      </c>
      <c r="B1258" s="28" t="s">
        <v>12</v>
      </c>
      <c r="C1258" s="27" t="s">
        <v>3523</v>
      </c>
      <c r="D1258" s="27" t="s">
        <v>9293</v>
      </c>
      <c r="E1258" s="27" t="s">
        <v>9294</v>
      </c>
      <c r="F1258" s="27" t="s">
        <v>3524</v>
      </c>
      <c r="G1258" s="101" t="s">
        <v>3526</v>
      </c>
      <c r="H1258" s="91">
        <v>44286</v>
      </c>
      <c r="I1258" s="73">
        <v>44286</v>
      </c>
      <c r="J1258" s="73">
        <v>44286</v>
      </c>
      <c r="K1258" s="73">
        <v>24988</v>
      </c>
      <c r="L1258" s="19" t="s">
        <v>3527</v>
      </c>
      <c r="M1258" s="3" t="s">
        <v>28</v>
      </c>
      <c r="N1258" s="112" t="s">
        <v>14</v>
      </c>
      <c r="O1258" s="104" t="s">
        <v>52</v>
      </c>
      <c r="P1258" s="104" t="s">
        <v>52</v>
      </c>
      <c r="Q1258" s="105"/>
      <c r="R1258" s="28" t="s">
        <v>1313</v>
      </c>
      <c r="S1258" s="225">
        <f t="shared" si="19"/>
        <v>47027</v>
      </c>
      <c r="T1258" s="2" t="s">
        <v>7692</v>
      </c>
      <c r="U1258" s="7" t="s">
        <v>122</v>
      </c>
      <c r="V1258" s="162" t="str" cm="1">
        <f t="array" ref="V1258">_xlfn.IFS(C1258="","",COUNTIF(C1258,"ตำแหน่งว่าง*"),"ว่าง",COUNTIF(C1258,"&lt;&gt;ตำแหน่งว่าง*"),"คนครอง")</f>
        <v>คนครอง</v>
      </c>
      <c r="W1258" s="5" cm="1">
        <f t="array" ref="W1258">_xlfn.IFS(COUNTIF(F1258,"ผบ.หมู่*"),51,COUNTIF(F1258,"รอง สว.*"),43)</f>
        <v>43</v>
      </c>
      <c r="X1258" s="1" t="s">
        <v>3525</v>
      </c>
      <c r="Y1258" s="1" t="s">
        <v>52</v>
      </c>
    </row>
    <row r="1259" spans="1:25" s="12" customFormat="1" ht="21.3" customHeight="1">
      <c r="A1259" s="27" t="s">
        <v>44</v>
      </c>
      <c r="B1259" s="31" t="s">
        <v>21</v>
      </c>
      <c r="C1259" s="95" t="s">
        <v>3528</v>
      </c>
      <c r="D1259" s="27" t="s">
        <v>9295</v>
      </c>
      <c r="E1259" s="27" t="s">
        <v>9296</v>
      </c>
      <c r="F1259" s="95" t="s">
        <v>3524</v>
      </c>
      <c r="G1259" s="101" t="s">
        <v>3530</v>
      </c>
      <c r="H1259" s="92">
        <v>43656</v>
      </c>
      <c r="I1259" s="76">
        <v>34352</v>
      </c>
      <c r="J1259" s="76">
        <v>34352</v>
      </c>
      <c r="K1259" s="76">
        <v>25165</v>
      </c>
      <c r="L1259" s="46" t="s">
        <v>3531</v>
      </c>
      <c r="M1259" s="4" t="s">
        <v>28</v>
      </c>
      <c r="N1259" s="111" t="s">
        <v>14</v>
      </c>
      <c r="O1259" s="104" t="s">
        <v>52</v>
      </c>
      <c r="P1259" s="104" t="s">
        <v>52</v>
      </c>
      <c r="Q1259" s="108"/>
      <c r="R1259" s="31" t="s">
        <v>713</v>
      </c>
      <c r="S1259" s="225">
        <f t="shared" si="19"/>
        <v>47392</v>
      </c>
      <c r="T1259" s="162" t="s">
        <v>7692</v>
      </c>
      <c r="U1259" s="7" t="s">
        <v>122</v>
      </c>
      <c r="V1259" s="162" t="str" cm="1">
        <f t="array" ref="V1259">_xlfn.IFS(C1259="","",COUNTIF(C1259,"ตำแหน่งว่าง*"),"ว่าง",COUNTIF(C1259,"&lt;&gt;ตำแหน่งว่าง*"),"คนครอง")</f>
        <v>คนครอง</v>
      </c>
      <c r="W1259" s="5" cm="1">
        <f t="array" ref="W1259">_xlfn.IFS(COUNTIF(F1259,"ผบ.หมู่*"),51,COUNTIF(F1259,"รอง สว.*"),43)</f>
        <v>43</v>
      </c>
      <c r="X1259" s="5" t="s">
        <v>3529</v>
      </c>
      <c r="Y1259" s="5" t="s">
        <v>52</v>
      </c>
    </row>
    <row r="1260" spans="1:25" s="9" customFormat="1" ht="21.3" customHeight="1">
      <c r="A1260" s="27" t="s">
        <v>157</v>
      </c>
      <c r="B1260" s="28" t="s">
        <v>12</v>
      </c>
      <c r="C1260" s="27" t="s">
        <v>3532</v>
      </c>
      <c r="D1260" s="27" t="s">
        <v>8027</v>
      </c>
      <c r="E1260" s="27" t="s">
        <v>9297</v>
      </c>
      <c r="F1260" s="27" t="s">
        <v>3520</v>
      </c>
      <c r="G1260" s="101" t="s">
        <v>3534</v>
      </c>
      <c r="H1260" s="91">
        <v>43656</v>
      </c>
      <c r="I1260" s="73">
        <v>41214</v>
      </c>
      <c r="J1260" s="73">
        <v>41214</v>
      </c>
      <c r="K1260" s="73">
        <v>29477</v>
      </c>
      <c r="L1260" s="15" t="s">
        <v>3535</v>
      </c>
      <c r="M1260" s="3" t="s">
        <v>28</v>
      </c>
      <c r="N1260" s="112" t="s">
        <v>14</v>
      </c>
      <c r="O1260" s="104" t="s">
        <v>52</v>
      </c>
      <c r="P1260" s="104" t="s">
        <v>52</v>
      </c>
      <c r="Q1260" s="105"/>
      <c r="R1260" s="28" t="s">
        <v>713</v>
      </c>
      <c r="S1260" s="225">
        <f t="shared" si="19"/>
        <v>51410</v>
      </c>
      <c r="T1260" s="2" t="s">
        <v>7692</v>
      </c>
      <c r="U1260" s="7" t="s">
        <v>122</v>
      </c>
      <c r="V1260" s="162" t="str" cm="1">
        <f t="array" ref="V1260">_xlfn.IFS(C1260="","",COUNTIF(C1260,"ตำแหน่งว่าง*"),"ว่าง",COUNTIF(C1260,"&lt;&gt;ตำแหน่งว่าง*"),"คนครอง")</f>
        <v>คนครอง</v>
      </c>
      <c r="W1260" s="6" cm="1">
        <f t="array" ref="W1260">_xlfn.IFS(COUNTIF(F1260,"ผบ.หมู่*"),51,COUNTIF(F1260,"รอง สว.*"),43)</f>
        <v>51</v>
      </c>
      <c r="X1260" s="1" t="s">
        <v>3533</v>
      </c>
      <c r="Y1260" s="1" t="s">
        <v>52</v>
      </c>
    </row>
    <row r="1261" spans="1:25" s="9" customFormat="1" ht="21.3" customHeight="1">
      <c r="A1261" s="192" t="s">
        <v>169</v>
      </c>
      <c r="B1261" s="193" t="s">
        <v>21</v>
      </c>
      <c r="C1261" s="192" t="s">
        <v>7929</v>
      </c>
      <c r="D1261" s="27" t="s">
        <v>9298</v>
      </c>
      <c r="E1261" s="27" t="s">
        <v>9299</v>
      </c>
      <c r="F1261" s="192" t="s">
        <v>3536</v>
      </c>
      <c r="G1261" s="101" t="s">
        <v>3538</v>
      </c>
      <c r="H1261" s="73">
        <v>45463</v>
      </c>
      <c r="I1261" s="73">
        <v>45463</v>
      </c>
      <c r="J1261" s="73">
        <v>45463</v>
      </c>
      <c r="K1261" s="73">
        <v>38544</v>
      </c>
      <c r="L1261" s="2" t="s">
        <v>82</v>
      </c>
      <c r="M1261" s="3"/>
      <c r="N1261" s="112" t="s">
        <v>14</v>
      </c>
      <c r="O1261" s="104" t="s">
        <v>52</v>
      </c>
      <c r="P1261" s="104" t="s">
        <v>52</v>
      </c>
      <c r="Q1261" s="105"/>
      <c r="R1261" s="28" t="s">
        <v>7961</v>
      </c>
      <c r="S1261" s="174">
        <f t="shared" si="19"/>
        <v>60541</v>
      </c>
      <c r="T1261" s="2" t="s">
        <v>7693</v>
      </c>
      <c r="U1261" s="2" t="s">
        <v>122</v>
      </c>
      <c r="V1261" s="162" t="str" cm="1">
        <f t="array" ref="V1261">_xlfn.IFS(C1261="","",COUNTIF(C1261,"ตำแหน่งว่าง*"),"ว่าง",COUNTIF(C1261,"&lt;&gt;ตำแหน่งว่าง*"),"คนครอง")</f>
        <v>คนครอง</v>
      </c>
      <c r="W1261" s="1" cm="1">
        <f t="array" ref="W1261">_xlfn.IFS(COUNTIF(F1261,"ผบ.หมู่*"),51,COUNTIF(F1261,"รอง สว.*"),43)</f>
        <v>51</v>
      </c>
      <c r="X1261" s="1" t="s">
        <v>3537</v>
      </c>
      <c r="Y1261" s="1" t="s">
        <v>52</v>
      </c>
    </row>
    <row r="1262" spans="1:25" s="10" customFormat="1" ht="21.3" customHeight="1">
      <c r="A1262" s="27"/>
      <c r="B1262" s="30"/>
      <c r="C1262" s="30" t="s">
        <v>18</v>
      </c>
      <c r="D1262" s="27"/>
      <c r="E1262" s="27"/>
      <c r="F1262" s="68" t="s">
        <v>3536</v>
      </c>
      <c r="G1262" s="121" t="s">
        <v>3540</v>
      </c>
      <c r="H1262" s="93" t="s">
        <v>19</v>
      </c>
      <c r="I1262" s="74" t="s">
        <v>19</v>
      </c>
      <c r="J1262" s="74" t="s">
        <v>19</v>
      </c>
      <c r="K1262" s="74" t="s">
        <v>19</v>
      </c>
      <c r="L1262" s="166"/>
      <c r="M1262" s="8"/>
      <c r="N1262" s="113" t="s">
        <v>14</v>
      </c>
      <c r="O1262" s="122" t="s">
        <v>52</v>
      </c>
      <c r="P1262" s="122" t="s">
        <v>52</v>
      </c>
      <c r="Q1262" s="106"/>
      <c r="R1262" s="30"/>
      <c r="S1262" s="225" t="str">
        <f t="shared" si="19"/>
        <v/>
      </c>
      <c r="T1262" s="7" t="s">
        <v>7693</v>
      </c>
      <c r="U1262" s="7" t="s">
        <v>122</v>
      </c>
      <c r="V1262" s="171" t="str" cm="1">
        <f t="array" ref="V1262">_xlfn.IFS(C1262="","",COUNTIF(C1262,"ตำแหน่งว่าง*"),"ว่าง",COUNTIF(C1262,"&lt;&gt;ตำแหน่งว่าง*"),"คนครอง")</f>
        <v>ว่าง</v>
      </c>
      <c r="W1262" s="6" cm="1">
        <f t="array" ref="W1262">_xlfn.IFS(COUNTIF(F1262,"ผบ.หมู่*"),51,COUNTIF(F1262,"รอง สว.*"),43)</f>
        <v>51</v>
      </c>
      <c r="X1262" s="6" t="s">
        <v>3539</v>
      </c>
      <c r="Y1262" s="6" t="s">
        <v>52</v>
      </c>
    </row>
    <row r="1263" spans="1:25" s="9" customFormat="1" ht="21.3" customHeight="1">
      <c r="A1263" s="27" t="s">
        <v>157</v>
      </c>
      <c r="B1263" s="28" t="s">
        <v>21</v>
      </c>
      <c r="C1263" s="27" t="s">
        <v>3541</v>
      </c>
      <c r="D1263" s="27" t="s">
        <v>8025</v>
      </c>
      <c r="E1263" s="27" t="s">
        <v>9300</v>
      </c>
      <c r="F1263" s="27" t="s">
        <v>3536</v>
      </c>
      <c r="G1263" s="101" t="s">
        <v>3543</v>
      </c>
      <c r="H1263" s="91">
        <v>42501</v>
      </c>
      <c r="I1263" s="73">
        <v>34352</v>
      </c>
      <c r="J1263" s="73">
        <v>34352</v>
      </c>
      <c r="K1263" s="73">
        <v>27306</v>
      </c>
      <c r="L1263" s="19" t="s">
        <v>3544</v>
      </c>
      <c r="M1263" s="3" t="s">
        <v>28</v>
      </c>
      <c r="N1263" s="112" t="s">
        <v>14</v>
      </c>
      <c r="O1263" s="104" t="s">
        <v>52</v>
      </c>
      <c r="P1263" s="104" t="s">
        <v>52</v>
      </c>
      <c r="Q1263" s="105"/>
      <c r="R1263" s="28" t="s">
        <v>110</v>
      </c>
      <c r="S1263" s="225">
        <f t="shared" si="19"/>
        <v>49583</v>
      </c>
      <c r="T1263" s="2" t="s">
        <v>7693</v>
      </c>
      <c r="U1263" s="7" t="s">
        <v>122</v>
      </c>
      <c r="V1263" s="162" t="str" cm="1">
        <f t="array" ref="V1263">_xlfn.IFS(C1263="","",COUNTIF(C1263,"ตำแหน่งว่าง*"),"ว่าง",COUNTIF(C1263,"&lt;&gt;ตำแหน่งว่าง*"),"คนครอง")</f>
        <v>คนครอง</v>
      </c>
      <c r="W1263" s="6" cm="1">
        <f t="array" ref="W1263">_xlfn.IFS(COUNTIF(F1263,"ผบ.หมู่*"),51,COUNTIF(F1263,"รอง สว.*"),43)</f>
        <v>51</v>
      </c>
      <c r="X1263" s="1" t="s">
        <v>3542</v>
      </c>
      <c r="Y1263" s="1" t="s">
        <v>52</v>
      </c>
    </row>
    <row r="1264" spans="1:25" s="12" customFormat="1" ht="21.3" customHeight="1">
      <c r="A1264" s="27"/>
      <c r="B1264" s="30"/>
      <c r="C1264" s="30" t="s">
        <v>18</v>
      </c>
      <c r="D1264" s="27"/>
      <c r="E1264" s="27"/>
      <c r="F1264" s="68" t="s">
        <v>3536</v>
      </c>
      <c r="G1264" s="121" t="s">
        <v>3546</v>
      </c>
      <c r="H1264" s="93" t="s">
        <v>19</v>
      </c>
      <c r="I1264" s="74" t="s">
        <v>19</v>
      </c>
      <c r="J1264" s="74" t="s">
        <v>19</v>
      </c>
      <c r="K1264" s="74" t="s">
        <v>19</v>
      </c>
      <c r="L1264" s="44"/>
      <c r="M1264" s="8"/>
      <c r="N1264" s="113" t="s">
        <v>14</v>
      </c>
      <c r="O1264" s="122" t="s">
        <v>52</v>
      </c>
      <c r="P1264" s="122" t="s">
        <v>52</v>
      </c>
      <c r="Q1264" s="106"/>
      <c r="R1264" s="30"/>
      <c r="S1264" s="225" t="str">
        <f t="shared" si="19"/>
        <v/>
      </c>
      <c r="T1264" s="162" t="s">
        <v>7693</v>
      </c>
      <c r="U1264" s="7" t="s">
        <v>122</v>
      </c>
      <c r="V1264" s="171" t="str" cm="1">
        <f t="array" ref="V1264">_xlfn.IFS(C1264="","",COUNTIF(C1264,"ตำแหน่งว่าง*"),"ว่าง",COUNTIF(C1264,"&lt;&gt;ตำแหน่งว่าง*"),"คนครอง")</f>
        <v>ว่าง</v>
      </c>
      <c r="W1264" s="6" cm="1">
        <f t="array" ref="W1264">_xlfn.IFS(COUNTIF(F1264,"ผบ.หมู่*"),51,COUNTIF(F1264,"รอง สว.*"),43)</f>
        <v>51</v>
      </c>
      <c r="X1264" s="6" t="s">
        <v>3545</v>
      </c>
      <c r="Y1264" s="6" t="s">
        <v>52</v>
      </c>
    </row>
    <row r="1265" spans="1:25" s="9" customFormat="1" ht="21.3" customHeight="1">
      <c r="A1265" s="27" t="s">
        <v>157</v>
      </c>
      <c r="B1265" s="28" t="s">
        <v>21</v>
      </c>
      <c r="C1265" s="27" t="s">
        <v>3547</v>
      </c>
      <c r="D1265" s="27" t="s">
        <v>9301</v>
      </c>
      <c r="E1265" s="27" t="s">
        <v>9302</v>
      </c>
      <c r="F1265" s="27" t="s">
        <v>3548</v>
      </c>
      <c r="G1265" s="101" t="s">
        <v>3550</v>
      </c>
      <c r="H1265" s="91">
        <v>42501</v>
      </c>
      <c r="I1265" s="73">
        <v>34352</v>
      </c>
      <c r="J1265" s="73">
        <v>34352</v>
      </c>
      <c r="K1265" s="73">
        <v>27249</v>
      </c>
      <c r="L1265" s="19" t="s">
        <v>3551</v>
      </c>
      <c r="M1265" s="3" t="s">
        <v>28</v>
      </c>
      <c r="N1265" s="112" t="s">
        <v>14</v>
      </c>
      <c r="O1265" s="104" t="s">
        <v>52</v>
      </c>
      <c r="P1265" s="104" t="s">
        <v>52</v>
      </c>
      <c r="Q1265" s="105"/>
      <c r="R1265" s="28" t="s">
        <v>110</v>
      </c>
      <c r="S1265" s="225">
        <f t="shared" si="19"/>
        <v>49218</v>
      </c>
      <c r="T1265" s="2" t="s">
        <v>7694</v>
      </c>
      <c r="U1265" s="7" t="s">
        <v>122</v>
      </c>
      <c r="V1265" s="162" t="str" cm="1">
        <f t="array" ref="V1265">_xlfn.IFS(C1265="","",COUNTIF(C1265,"ตำแหน่งว่าง*"),"ว่าง",COUNTIF(C1265,"&lt;&gt;ตำแหน่งว่าง*"),"คนครอง")</f>
        <v>คนครอง</v>
      </c>
      <c r="W1265" s="6" cm="1">
        <f t="array" ref="W1265">_xlfn.IFS(COUNTIF(F1265,"ผบ.หมู่*"),51,COUNTIF(F1265,"รอง สว.*"),43)</f>
        <v>51</v>
      </c>
      <c r="X1265" s="1" t="s">
        <v>3549</v>
      </c>
      <c r="Y1265" s="1" t="s">
        <v>52</v>
      </c>
    </row>
    <row r="1266" spans="1:25" s="9" customFormat="1" ht="21.3" customHeight="1">
      <c r="A1266" s="27" t="s">
        <v>157</v>
      </c>
      <c r="B1266" s="28" t="s">
        <v>21</v>
      </c>
      <c r="C1266" s="27" t="s">
        <v>3552</v>
      </c>
      <c r="D1266" s="27" t="s">
        <v>9303</v>
      </c>
      <c r="E1266" s="27" t="s">
        <v>9304</v>
      </c>
      <c r="F1266" s="27" t="s">
        <v>3548</v>
      </c>
      <c r="G1266" s="101" t="s">
        <v>3554</v>
      </c>
      <c r="H1266" s="91">
        <v>42501</v>
      </c>
      <c r="I1266" s="73">
        <v>34729</v>
      </c>
      <c r="J1266" s="73">
        <v>34729</v>
      </c>
      <c r="K1266" s="73">
        <v>27293</v>
      </c>
      <c r="L1266" s="19" t="s">
        <v>3555</v>
      </c>
      <c r="M1266" s="3" t="s">
        <v>28</v>
      </c>
      <c r="N1266" s="112" t="s">
        <v>14</v>
      </c>
      <c r="O1266" s="104" t="s">
        <v>52</v>
      </c>
      <c r="P1266" s="104" t="s">
        <v>52</v>
      </c>
      <c r="Q1266" s="105"/>
      <c r="R1266" s="28" t="s">
        <v>110</v>
      </c>
      <c r="S1266" s="225">
        <f t="shared" si="19"/>
        <v>49218</v>
      </c>
      <c r="T1266" s="2" t="s">
        <v>7694</v>
      </c>
      <c r="U1266" s="7" t="s">
        <v>122</v>
      </c>
      <c r="V1266" s="162" t="str" cm="1">
        <f t="array" ref="V1266">_xlfn.IFS(C1266="","",COUNTIF(C1266,"ตำแหน่งว่าง*"),"ว่าง",COUNTIF(C1266,"&lt;&gt;ตำแหน่งว่าง*"),"คนครอง")</f>
        <v>คนครอง</v>
      </c>
      <c r="W1266" s="6" cm="1">
        <f t="array" ref="W1266">_xlfn.IFS(COUNTIF(F1266,"ผบ.หมู่*"),51,COUNTIF(F1266,"รอง สว.*"),43)</f>
        <v>51</v>
      </c>
      <c r="X1266" s="1" t="s">
        <v>3553</v>
      </c>
      <c r="Y1266" s="1" t="s">
        <v>52</v>
      </c>
    </row>
    <row r="1267" spans="1:25" s="9" customFormat="1" ht="21.3" customHeight="1">
      <c r="A1267" s="27" t="s">
        <v>157</v>
      </c>
      <c r="B1267" s="28" t="s">
        <v>21</v>
      </c>
      <c r="C1267" s="27" t="s">
        <v>3556</v>
      </c>
      <c r="D1267" s="27" t="s">
        <v>9191</v>
      </c>
      <c r="E1267" s="27" t="s">
        <v>9305</v>
      </c>
      <c r="F1267" s="27" t="s">
        <v>3548</v>
      </c>
      <c r="G1267" s="101" t="s">
        <v>3558</v>
      </c>
      <c r="H1267" s="91">
        <v>44599</v>
      </c>
      <c r="I1267" s="73">
        <v>41214</v>
      </c>
      <c r="J1267" s="73">
        <v>41214</v>
      </c>
      <c r="K1267" s="73">
        <v>32618</v>
      </c>
      <c r="L1267" s="19" t="s">
        <v>3559</v>
      </c>
      <c r="M1267" s="3" t="s">
        <v>88</v>
      </c>
      <c r="N1267" s="112" t="s">
        <v>14</v>
      </c>
      <c r="O1267" s="104" t="s">
        <v>52</v>
      </c>
      <c r="P1267" s="104" t="s">
        <v>52</v>
      </c>
      <c r="Q1267" s="105"/>
      <c r="R1267" s="28" t="s">
        <v>607</v>
      </c>
      <c r="S1267" s="225">
        <f t="shared" si="19"/>
        <v>54697</v>
      </c>
      <c r="T1267" s="2" t="s">
        <v>7694</v>
      </c>
      <c r="U1267" s="7" t="s">
        <v>122</v>
      </c>
      <c r="V1267" s="162" t="str" cm="1">
        <f t="array" ref="V1267">_xlfn.IFS(C1267="","",COUNTIF(C1267,"ตำแหน่งว่าง*"),"ว่าง",COUNTIF(C1267,"&lt;&gt;ตำแหน่งว่าง*"),"คนครอง")</f>
        <v>คนครอง</v>
      </c>
      <c r="W1267" s="6" cm="1">
        <f t="array" ref="W1267">_xlfn.IFS(COUNTIF(F1267,"ผบ.หมู่*"),51,COUNTIF(F1267,"รอง สว.*"),43)</f>
        <v>51</v>
      </c>
      <c r="X1267" s="1" t="s">
        <v>3557</v>
      </c>
      <c r="Y1267" s="1" t="s">
        <v>52</v>
      </c>
    </row>
    <row r="1268" spans="1:25" s="9" customFormat="1" ht="21.3" customHeight="1">
      <c r="A1268" s="27" t="s">
        <v>26</v>
      </c>
      <c r="B1268" s="28" t="s">
        <v>12</v>
      </c>
      <c r="C1268" s="27" t="s">
        <v>3560</v>
      </c>
      <c r="D1268" s="27" t="s">
        <v>9306</v>
      </c>
      <c r="E1268" s="27" t="s">
        <v>9307</v>
      </c>
      <c r="F1268" s="27" t="s">
        <v>3561</v>
      </c>
      <c r="G1268" s="101" t="s">
        <v>3563</v>
      </c>
      <c r="H1268" s="91">
        <v>44286</v>
      </c>
      <c r="I1268" s="73">
        <v>44286</v>
      </c>
      <c r="J1268" s="73">
        <v>44286</v>
      </c>
      <c r="K1268" s="73">
        <v>24966</v>
      </c>
      <c r="L1268" s="19" t="s">
        <v>3564</v>
      </c>
      <c r="M1268" s="3" t="s">
        <v>28</v>
      </c>
      <c r="N1268" s="112" t="s">
        <v>14</v>
      </c>
      <c r="O1268" s="104" t="s">
        <v>52</v>
      </c>
      <c r="P1268" s="104" t="s">
        <v>52</v>
      </c>
      <c r="Q1268" s="105"/>
      <c r="R1268" s="28" t="s">
        <v>1313</v>
      </c>
      <c r="S1268" s="225">
        <f t="shared" si="19"/>
        <v>47027</v>
      </c>
      <c r="T1268" s="2" t="s">
        <v>7694</v>
      </c>
      <c r="U1268" s="7" t="s">
        <v>122</v>
      </c>
      <c r="V1268" s="162" t="str" cm="1">
        <f t="array" ref="V1268">_xlfn.IFS(C1268="","",COUNTIF(C1268,"ตำแหน่งว่าง*"),"ว่าง",COUNTIF(C1268,"&lt;&gt;ตำแหน่งว่าง*"),"คนครอง")</f>
        <v>คนครอง</v>
      </c>
      <c r="W1268" s="5" cm="1">
        <f t="array" ref="W1268">_xlfn.IFS(COUNTIF(F1268,"ผบ.หมู่*"),51,COUNTIF(F1268,"รอง สว.*"),43)</f>
        <v>43</v>
      </c>
      <c r="X1268" s="1" t="s">
        <v>3562</v>
      </c>
      <c r="Y1268" s="1" t="s">
        <v>52</v>
      </c>
    </row>
    <row r="1269" spans="1:25" s="9" customFormat="1" ht="21.3" customHeight="1">
      <c r="A1269" s="27"/>
      <c r="B1269" s="28"/>
      <c r="C1269" s="30" t="s">
        <v>18</v>
      </c>
      <c r="D1269" s="27"/>
      <c r="E1269" s="27"/>
      <c r="F1269" s="68" t="s">
        <v>3548</v>
      </c>
      <c r="G1269" s="121" t="s">
        <v>3566</v>
      </c>
      <c r="H1269" s="75" t="s">
        <v>19</v>
      </c>
      <c r="I1269" s="73" t="s">
        <v>19</v>
      </c>
      <c r="J1269" s="73" t="s">
        <v>19</v>
      </c>
      <c r="K1269" s="73" t="s">
        <v>19</v>
      </c>
      <c r="L1269" s="19"/>
      <c r="M1269" s="3"/>
      <c r="N1269" s="113" t="s">
        <v>14</v>
      </c>
      <c r="O1269" s="122" t="s">
        <v>52</v>
      </c>
      <c r="P1269" s="122" t="s">
        <v>52</v>
      </c>
      <c r="Q1269" s="105"/>
      <c r="R1269" s="28"/>
      <c r="S1269" s="225" t="str">
        <f t="shared" si="19"/>
        <v/>
      </c>
      <c r="T1269" s="2" t="s">
        <v>7694</v>
      </c>
      <c r="U1269" s="7" t="s">
        <v>122</v>
      </c>
      <c r="V1269" s="171" t="str" cm="1">
        <f t="array" ref="V1269">_xlfn.IFS(C1269="","",COUNTIF(C1269,"ตำแหน่งว่าง*"),"ว่าง",COUNTIF(C1269,"&lt;&gt;ตำแหน่งว่าง*"),"คนครอง")</f>
        <v>ว่าง</v>
      </c>
      <c r="W1269" s="6" cm="1">
        <f t="array" ref="W1269">_xlfn.IFS(COUNTIF(F1269,"ผบ.หมู่*"),51,COUNTIF(F1269,"รอง สว.*"),43)</f>
        <v>51</v>
      </c>
      <c r="X1269" s="6" t="s">
        <v>3565</v>
      </c>
      <c r="Y1269" s="6" t="s">
        <v>52</v>
      </c>
    </row>
    <row r="1270" spans="1:25" s="10" customFormat="1" ht="21.3" customHeight="1">
      <c r="A1270" s="192" t="s">
        <v>169</v>
      </c>
      <c r="B1270" s="193" t="s">
        <v>21</v>
      </c>
      <c r="C1270" s="192" t="s">
        <v>7930</v>
      </c>
      <c r="D1270" s="27" t="s">
        <v>9308</v>
      </c>
      <c r="E1270" s="27" t="s">
        <v>9309</v>
      </c>
      <c r="F1270" s="192" t="s">
        <v>3567</v>
      </c>
      <c r="G1270" s="101" t="s">
        <v>3569</v>
      </c>
      <c r="H1270" s="73">
        <v>45463</v>
      </c>
      <c r="I1270" s="73">
        <v>45463</v>
      </c>
      <c r="J1270" s="73">
        <v>45463</v>
      </c>
      <c r="K1270" s="73">
        <v>38281</v>
      </c>
      <c r="L1270" s="2" t="s">
        <v>82</v>
      </c>
      <c r="M1270" s="3"/>
      <c r="N1270" s="112" t="s">
        <v>14</v>
      </c>
      <c r="O1270" s="104" t="s">
        <v>52</v>
      </c>
      <c r="P1270" s="104" t="s">
        <v>52</v>
      </c>
      <c r="Q1270" s="105"/>
      <c r="R1270" s="28" t="s">
        <v>7961</v>
      </c>
      <c r="S1270" s="174">
        <f t="shared" si="19"/>
        <v>60541</v>
      </c>
      <c r="T1270" s="2" t="s">
        <v>7695</v>
      </c>
      <c r="U1270" s="2" t="s">
        <v>122</v>
      </c>
      <c r="V1270" s="162" t="str" cm="1">
        <f t="array" ref="V1270">_xlfn.IFS(C1270="","",COUNTIF(C1270,"ตำแหน่งว่าง*"),"ว่าง",COUNTIF(C1270,"&lt;&gt;ตำแหน่งว่าง*"),"คนครอง")</f>
        <v>คนครอง</v>
      </c>
      <c r="W1270" s="1" cm="1">
        <f t="array" ref="W1270">_xlfn.IFS(COUNTIF(F1270,"ผบ.หมู่*"),51,COUNTIF(F1270,"รอง สว.*"),43)</f>
        <v>51</v>
      </c>
      <c r="X1270" s="1" t="s">
        <v>3568</v>
      </c>
      <c r="Y1270" s="1" t="s">
        <v>52</v>
      </c>
    </row>
    <row r="1271" spans="1:25" s="10" customFormat="1" ht="21.3" customHeight="1">
      <c r="A1271" s="27"/>
      <c r="B1271" s="30"/>
      <c r="C1271" s="30" t="s">
        <v>18</v>
      </c>
      <c r="D1271" s="27"/>
      <c r="E1271" s="27"/>
      <c r="F1271" s="68" t="s">
        <v>3567</v>
      </c>
      <c r="G1271" s="121" t="s">
        <v>3571</v>
      </c>
      <c r="H1271" s="93" t="s">
        <v>19</v>
      </c>
      <c r="I1271" s="74" t="s">
        <v>19</v>
      </c>
      <c r="J1271" s="74" t="s">
        <v>19</v>
      </c>
      <c r="K1271" s="74" t="s">
        <v>19</v>
      </c>
      <c r="L1271" s="44"/>
      <c r="M1271" s="8"/>
      <c r="N1271" s="113" t="s">
        <v>14</v>
      </c>
      <c r="O1271" s="122" t="s">
        <v>52</v>
      </c>
      <c r="P1271" s="122" t="s">
        <v>52</v>
      </c>
      <c r="Q1271" s="106"/>
      <c r="R1271" s="30"/>
      <c r="S1271" s="225" t="str">
        <f t="shared" si="19"/>
        <v/>
      </c>
      <c r="T1271" s="7" t="s">
        <v>7695</v>
      </c>
      <c r="U1271" s="7" t="s">
        <v>122</v>
      </c>
      <c r="V1271" s="171" t="str" cm="1">
        <f t="array" ref="V1271">_xlfn.IFS(C1271="","",COUNTIF(C1271,"ตำแหน่งว่าง*"),"ว่าง",COUNTIF(C1271,"&lt;&gt;ตำแหน่งว่าง*"),"คนครอง")</f>
        <v>ว่าง</v>
      </c>
      <c r="W1271" s="6" cm="1">
        <f t="array" ref="W1271">_xlfn.IFS(COUNTIF(F1271,"ผบ.หมู่*"),51,COUNTIF(F1271,"รอง สว.*"),43)</f>
        <v>51</v>
      </c>
      <c r="X1271" s="6" t="s">
        <v>3570</v>
      </c>
      <c r="Y1271" s="6" t="s">
        <v>52</v>
      </c>
    </row>
    <row r="1272" spans="1:25" s="10" customFormat="1" ht="21.3" customHeight="1">
      <c r="A1272" s="27"/>
      <c r="B1272" s="30"/>
      <c r="C1272" s="30" t="s">
        <v>18</v>
      </c>
      <c r="D1272" s="27"/>
      <c r="E1272" s="27"/>
      <c r="F1272" s="68" t="s">
        <v>3572</v>
      </c>
      <c r="G1272" s="121" t="s">
        <v>3574</v>
      </c>
      <c r="H1272" s="93" t="s">
        <v>19</v>
      </c>
      <c r="I1272" s="74" t="s">
        <v>19</v>
      </c>
      <c r="J1272" s="74" t="s">
        <v>19</v>
      </c>
      <c r="K1272" s="74" t="s">
        <v>19</v>
      </c>
      <c r="L1272" s="166"/>
      <c r="M1272" s="8"/>
      <c r="N1272" s="113" t="s">
        <v>14</v>
      </c>
      <c r="O1272" s="122" t="s">
        <v>52</v>
      </c>
      <c r="P1272" s="122" t="s">
        <v>52</v>
      </c>
      <c r="Q1272" s="106"/>
      <c r="R1272" s="30"/>
      <c r="S1272" s="225" t="str">
        <f t="shared" si="19"/>
        <v/>
      </c>
      <c r="T1272" s="7" t="s">
        <v>7695</v>
      </c>
      <c r="U1272" s="7" t="s">
        <v>122</v>
      </c>
      <c r="V1272" s="171" t="str" cm="1">
        <f t="array" ref="V1272">_xlfn.IFS(C1272="","",COUNTIF(C1272,"ตำแหน่งว่าง*"),"ว่าง",COUNTIF(C1272,"&lt;&gt;ตำแหน่งว่าง*"),"คนครอง")</f>
        <v>ว่าง</v>
      </c>
      <c r="W1272" s="6" cm="1">
        <f t="array" ref="W1272">_xlfn.IFS(COUNTIF(F1272,"ผบ.หมู่*"),51,COUNTIF(F1272,"รอง สว.*"),43)</f>
        <v>51</v>
      </c>
      <c r="X1272" s="6" t="s">
        <v>3573</v>
      </c>
      <c r="Y1272" s="6" t="s">
        <v>52</v>
      </c>
    </row>
    <row r="1273" spans="1:25" s="9" customFormat="1" ht="21.3" customHeight="1">
      <c r="A1273" s="27" t="s">
        <v>157</v>
      </c>
      <c r="B1273" s="28" t="s">
        <v>21</v>
      </c>
      <c r="C1273" s="27" t="s">
        <v>3575</v>
      </c>
      <c r="D1273" s="27" t="s">
        <v>9310</v>
      </c>
      <c r="E1273" s="27" t="s">
        <v>9311</v>
      </c>
      <c r="F1273" s="27" t="s">
        <v>3567</v>
      </c>
      <c r="G1273" s="101" t="s">
        <v>3577</v>
      </c>
      <c r="H1273" s="75">
        <v>42501</v>
      </c>
      <c r="I1273" s="73">
        <v>34352</v>
      </c>
      <c r="J1273" s="73">
        <v>34352</v>
      </c>
      <c r="K1273" s="73">
        <v>27482</v>
      </c>
      <c r="L1273" s="19" t="s">
        <v>3578</v>
      </c>
      <c r="M1273" s="3" t="s">
        <v>125</v>
      </c>
      <c r="N1273" s="112" t="s">
        <v>14</v>
      </c>
      <c r="O1273" s="104" t="s">
        <v>52</v>
      </c>
      <c r="P1273" s="104" t="s">
        <v>52</v>
      </c>
      <c r="Q1273" s="105"/>
      <c r="R1273" s="28" t="s">
        <v>110</v>
      </c>
      <c r="S1273" s="225">
        <f t="shared" si="19"/>
        <v>49583</v>
      </c>
      <c r="T1273" s="2" t="s">
        <v>7695</v>
      </c>
      <c r="U1273" s="7" t="s">
        <v>122</v>
      </c>
      <c r="V1273" s="162" t="str" cm="1">
        <f t="array" ref="V1273">_xlfn.IFS(C1273="","",COUNTIF(C1273,"ตำแหน่งว่าง*"),"ว่าง",COUNTIF(C1273,"&lt;&gt;ตำแหน่งว่าง*"),"คนครอง")</f>
        <v>คนครอง</v>
      </c>
      <c r="W1273" s="6" cm="1">
        <f t="array" ref="W1273">_xlfn.IFS(COUNTIF(F1273,"ผบ.หมู่*"),51,COUNTIF(F1273,"รอง สว.*"),43)</f>
        <v>51</v>
      </c>
      <c r="X1273" s="1" t="s">
        <v>3576</v>
      </c>
      <c r="Y1273" s="1" t="s">
        <v>52</v>
      </c>
    </row>
    <row r="1274" spans="1:25" s="12" customFormat="1" ht="21.3" customHeight="1">
      <c r="A1274" s="27" t="s">
        <v>26</v>
      </c>
      <c r="B1274" s="28" t="s">
        <v>12</v>
      </c>
      <c r="C1274" s="27" t="s">
        <v>10757</v>
      </c>
      <c r="D1274" s="27" t="s">
        <v>8290</v>
      </c>
      <c r="E1274" s="27" t="s">
        <v>10758</v>
      </c>
      <c r="F1274" s="27" t="s">
        <v>3579</v>
      </c>
      <c r="G1274" s="101" t="s">
        <v>3581</v>
      </c>
      <c r="H1274" s="91">
        <v>45768</v>
      </c>
      <c r="I1274" s="73" t="s">
        <v>7609</v>
      </c>
      <c r="J1274" s="73" t="s">
        <v>7609</v>
      </c>
      <c r="K1274" s="73">
        <v>32127</v>
      </c>
      <c r="L1274" s="19" t="s">
        <v>7609</v>
      </c>
      <c r="M1274" s="3" t="s">
        <v>7609</v>
      </c>
      <c r="N1274" s="112" t="s">
        <v>14</v>
      </c>
      <c r="O1274" s="104" t="s">
        <v>52</v>
      </c>
      <c r="P1274" s="104" t="s">
        <v>52</v>
      </c>
      <c r="Q1274" s="105"/>
      <c r="R1274" s="28" t="s">
        <v>10804</v>
      </c>
      <c r="S1274" s="174">
        <f t="shared" si="19"/>
        <v>54332</v>
      </c>
      <c r="T1274" s="2" t="s">
        <v>7696</v>
      </c>
      <c r="U1274" s="2" t="s">
        <v>122</v>
      </c>
      <c r="V1274" s="203" t="str" cm="1">
        <f t="array" ref="V1274">_xlfn.IFS(C1274="","",COUNTIF(C1274,"ตำแหน่งว่าง*"),"ว่าง",COUNTIF(C1274,"&lt;&gt;ตำแหน่งว่าง*"),"คนครอง")</f>
        <v>คนครอง</v>
      </c>
      <c r="W1274" s="1" cm="1">
        <f t="array" ref="W1274">_xlfn.IFS(COUNTIF(F1274,"ผบ.หมู่*"),51,COUNTIF(F1274,"รอง สว.*"),43)</f>
        <v>43</v>
      </c>
      <c r="X1274" s="1" t="s">
        <v>3580</v>
      </c>
      <c r="Y1274" s="1" t="s">
        <v>52</v>
      </c>
    </row>
    <row r="1275" spans="1:25" s="9" customFormat="1" ht="21.3" customHeight="1">
      <c r="A1275" s="27" t="s">
        <v>10753</v>
      </c>
      <c r="B1275" s="28" t="s">
        <v>12</v>
      </c>
      <c r="C1275" s="27" t="s">
        <v>3582</v>
      </c>
      <c r="D1275" s="27" t="s">
        <v>9312</v>
      </c>
      <c r="E1275" s="27" t="s">
        <v>9313</v>
      </c>
      <c r="F1275" s="27" t="s">
        <v>3579</v>
      </c>
      <c r="G1275" s="101" t="s">
        <v>3584</v>
      </c>
      <c r="H1275" s="75">
        <v>45016</v>
      </c>
      <c r="I1275" s="73">
        <v>45016</v>
      </c>
      <c r="J1275" s="73">
        <v>32540</v>
      </c>
      <c r="K1275" s="73">
        <v>25643</v>
      </c>
      <c r="L1275" s="19" t="s">
        <v>3585</v>
      </c>
      <c r="M1275" s="3" t="s">
        <v>125</v>
      </c>
      <c r="N1275" s="112" t="s">
        <v>14</v>
      </c>
      <c r="O1275" s="104" t="s">
        <v>52</v>
      </c>
      <c r="P1275" s="104" t="s">
        <v>52</v>
      </c>
      <c r="Q1275" s="105"/>
      <c r="R1275" s="28" t="s">
        <v>483</v>
      </c>
      <c r="S1275" s="225">
        <f t="shared" si="19"/>
        <v>47757</v>
      </c>
      <c r="T1275" s="2" t="s">
        <v>7696</v>
      </c>
      <c r="U1275" s="7" t="s">
        <v>122</v>
      </c>
      <c r="V1275" s="162" t="str" cm="1">
        <f t="array" ref="V1275">_xlfn.IFS(C1275="","",COUNTIF(C1275,"ตำแหน่งว่าง*"),"ว่าง",COUNTIF(C1275,"&lt;&gt;ตำแหน่งว่าง*"),"คนครอง")</f>
        <v>คนครอง</v>
      </c>
      <c r="W1275" s="5" cm="1">
        <f t="array" ref="W1275">_xlfn.IFS(COUNTIF(F1275,"ผบ.หมู่*"),51,COUNTIF(F1275,"รอง สว.*"),43)</f>
        <v>43</v>
      </c>
      <c r="X1275" s="1" t="s">
        <v>3583</v>
      </c>
      <c r="Y1275" s="1" t="s">
        <v>52</v>
      </c>
    </row>
    <row r="1276" spans="1:25" s="9" customFormat="1" ht="21.3" customHeight="1">
      <c r="A1276" s="27" t="s">
        <v>157</v>
      </c>
      <c r="B1276" s="28" t="s">
        <v>21</v>
      </c>
      <c r="C1276" s="27" t="s">
        <v>3586</v>
      </c>
      <c r="D1276" s="27" t="s">
        <v>8497</v>
      </c>
      <c r="E1276" s="27" t="s">
        <v>9314</v>
      </c>
      <c r="F1276" s="27" t="s">
        <v>3587</v>
      </c>
      <c r="G1276" s="101" t="s">
        <v>3589</v>
      </c>
      <c r="H1276" s="91">
        <v>42940</v>
      </c>
      <c r="I1276" s="73">
        <v>34729</v>
      </c>
      <c r="J1276" s="73">
        <v>34729</v>
      </c>
      <c r="K1276" s="73">
        <v>26939</v>
      </c>
      <c r="L1276" s="19" t="s">
        <v>3590</v>
      </c>
      <c r="M1276" s="3" t="s">
        <v>125</v>
      </c>
      <c r="N1276" s="112" t="s">
        <v>14</v>
      </c>
      <c r="O1276" s="104" t="s">
        <v>52</v>
      </c>
      <c r="P1276" s="104" t="s">
        <v>52</v>
      </c>
      <c r="Q1276" s="105"/>
      <c r="R1276" s="28" t="s">
        <v>718</v>
      </c>
      <c r="S1276" s="225">
        <f t="shared" si="19"/>
        <v>49218</v>
      </c>
      <c r="T1276" s="2" t="s">
        <v>7696</v>
      </c>
      <c r="U1276" s="7" t="s">
        <v>122</v>
      </c>
      <c r="V1276" s="162" t="str" cm="1">
        <f t="array" ref="V1276">_xlfn.IFS(C1276="","",COUNTIF(C1276,"ตำแหน่งว่าง*"),"ว่าง",COUNTIF(C1276,"&lt;&gt;ตำแหน่งว่าง*"),"คนครอง")</f>
        <v>คนครอง</v>
      </c>
      <c r="W1276" s="6" cm="1">
        <f t="array" ref="W1276">_xlfn.IFS(COUNTIF(F1276,"ผบ.หมู่*"),51,COUNTIF(F1276,"รอง สว.*"),43)</f>
        <v>51</v>
      </c>
      <c r="X1276" s="1" t="s">
        <v>3588</v>
      </c>
      <c r="Y1276" s="1" t="s">
        <v>52</v>
      </c>
    </row>
    <row r="1277" spans="1:25" s="9" customFormat="1" ht="21.3" customHeight="1">
      <c r="A1277" s="27"/>
      <c r="B1277" s="30"/>
      <c r="C1277" s="30" t="s">
        <v>18</v>
      </c>
      <c r="D1277" s="27"/>
      <c r="E1277" s="27"/>
      <c r="F1277" s="68" t="s">
        <v>3587</v>
      </c>
      <c r="G1277" s="121" t="s">
        <v>3592</v>
      </c>
      <c r="H1277" s="80" t="s">
        <v>19</v>
      </c>
      <c r="I1277" s="74" t="s">
        <v>19</v>
      </c>
      <c r="J1277" s="74" t="s">
        <v>19</v>
      </c>
      <c r="K1277" s="74" t="s">
        <v>19</v>
      </c>
      <c r="L1277" s="44"/>
      <c r="M1277" s="8"/>
      <c r="N1277" s="113" t="s">
        <v>14</v>
      </c>
      <c r="O1277" s="122" t="s">
        <v>52</v>
      </c>
      <c r="P1277" s="122" t="s">
        <v>52</v>
      </c>
      <c r="Q1277" s="106"/>
      <c r="R1277" s="30"/>
      <c r="S1277" s="225" t="str">
        <f t="shared" si="19"/>
        <v/>
      </c>
      <c r="T1277" s="2" t="s">
        <v>7696</v>
      </c>
      <c r="U1277" s="7" t="s">
        <v>122</v>
      </c>
      <c r="V1277" s="171" t="str" cm="1">
        <f t="array" ref="V1277">_xlfn.IFS(C1277="","",COUNTIF(C1277,"ตำแหน่งว่าง*"),"ว่าง",COUNTIF(C1277,"&lt;&gt;ตำแหน่งว่าง*"),"คนครอง")</f>
        <v>ว่าง</v>
      </c>
      <c r="W1277" s="6" cm="1">
        <f t="array" ref="W1277">_xlfn.IFS(COUNTIF(F1277,"ผบ.หมู่*"),51,COUNTIF(F1277,"รอง สว.*"),43)</f>
        <v>51</v>
      </c>
      <c r="X1277" s="6" t="s">
        <v>3591</v>
      </c>
      <c r="Y1277" s="6" t="s">
        <v>52</v>
      </c>
    </row>
    <row r="1278" spans="1:25" s="10" customFormat="1" ht="21.3" customHeight="1">
      <c r="A1278" s="27" t="s">
        <v>60</v>
      </c>
      <c r="B1278" s="28" t="s">
        <v>21</v>
      </c>
      <c r="C1278" s="27" t="s">
        <v>3433</v>
      </c>
      <c r="D1278" s="27" t="s">
        <v>8014</v>
      </c>
      <c r="E1278" s="27" t="s">
        <v>9264</v>
      </c>
      <c r="F1278" s="27" t="s">
        <v>10810</v>
      </c>
      <c r="G1278" s="101" t="s">
        <v>3594</v>
      </c>
      <c r="H1278" s="91">
        <v>45768</v>
      </c>
      <c r="I1278" s="73">
        <v>34729</v>
      </c>
      <c r="J1278" s="73">
        <v>34729</v>
      </c>
      <c r="K1278" s="73">
        <v>26356</v>
      </c>
      <c r="L1278" s="15" t="s">
        <v>3436</v>
      </c>
      <c r="M1278" s="3" t="s">
        <v>28</v>
      </c>
      <c r="N1278" s="112" t="s">
        <v>14</v>
      </c>
      <c r="O1278" s="104" t="s">
        <v>52</v>
      </c>
      <c r="P1278" s="104" t="s">
        <v>52</v>
      </c>
      <c r="Q1278" s="105"/>
      <c r="R1278" s="28" t="s">
        <v>10710</v>
      </c>
      <c r="S1278" s="174">
        <f t="shared" si="19"/>
        <v>48488</v>
      </c>
      <c r="T1278" s="2" t="s">
        <v>7697</v>
      </c>
      <c r="U1278" s="2" t="s">
        <v>122</v>
      </c>
      <c r="V1278" s="203" t="str" cm="1">
        <f t="array" ref="V1278">_xlfn.IFS(C1278="","",COUNTIF(C1278,"ตำแหน่งว่าง*"),"ว่าง",COUNTIF(C1278,"&lt;&gt;ตำแหน่งว่าง*"),"คนครอง")</f>
        <v>คนครอง</v>
      </c>
      <c r="W1278" s="1" cm="1">
        <f t="array" ref="W1278">_xlfn.IFS(COUNTIF(F1278,"ผบ.หมู่*"),51,COUNTIF(F1278,"รอง สว.*"),43)</f>
        <v>43</v>
      </c>
      <c r="X1278" s="1" t="s">
        <v>3593</v>
      </c>
      <c r="Y1278" s="1" t="s">
        <v>52</v>
      </c>
    </row>
    <row r="1279" spans="1:25" s="9" customFormat="1" ht="21.3" customHeight="1">
      <c r="A1279" s="27" t="s">
        <v>26</v>
      </c>
      <c r="B1279" s="28" t="s">
        <v>12</v>
      </c>
      <c r="C1279" s="27" t="s">
        <v>3595</v>
      </c>
      <c r="D1279" s="27" t="s">
        <v>9315</v>
      </c>
      <c r="E1279" s="27" t="s">
        <v>9316</v>
      </c>
      <c r="F1279" s="27" t="s">
        <v>3596</v>
      </c>
      <c r="G1279" s="101" t="s">
        <v>3598</v>
      </c>
      <c r="H1279" s="91">
        <v>43921</v>
      </c>
      <c r="I1279" s="73">
        <v>43921</v>
      </c>
      <c r="J1279" s="73">
        <v>43921</v>
      </c>
      <c r="K1279" s="73">
        <v>24501</v>
      </c>
      <c r="L1279" s="19" t="s">
        <v>3599</v>
      </c>
      <c r="M1279" s="3" t="s">
        <v>117</v>
      </c>
      <c r="N1279" s="112" t="s">
        <v>14</v>
      </c>
      <c r="O1279" s="104" t="s">
        <v>52</v>
      </c>
      <c r="P1279" s="104" t="s">
        <v>52</v>
      </c>
      <c r="Q1279" s="105"/>
      <c r="R1279" s="28" t="s">
        <v>110</v>
      </c>
      <c r="S1279" s="225">
        <f t="shared" si="19"/>
        <v>46661</v>
      </c>
      <c r="T1279" s="2" t="s">
        <v>7625</v>
      </c>
      <c r="U1279" s="7" t="s">
        <v>122</v>
      </c>
      <c r="V1279" s="162" t="str" cm="1">
        <f t="array" ref="V1279">_xlfn.IFS(C1279="","",COUNTIF(C1279,"ตำแหน่งว่าง*"),"ว่าง",COUNTIF(C1279,"&lt;&gt;ตำแหน่งว่าง*"),"คนครอง")</f>
        <v>คนครอง</v>
      </c>
      <c r="W1279" s="5" cm="1">
        <f t="array" ref="W1279">_xlfn.IFS(COUNTIF(F1279,"ผบ.หมู่*"),51,COUNTIF(F1279,"รอง สว.*"),43)</f>
        <v>43</v>
      </c>
      <c r="X1279" s="1" t="s">
        <v>3597</v>
      </c>
      <c r="Y1279" s="1" t="s">
        <v>52</v>
      </c>
    </row>
    <row r="1280" spans="1:25" s="9" customFormat="1" ht="21.3" customHeight="1">
      <c r="A1280" s="27" t="s">
        <v>60</v>
      </c>
      <c r="B1280" s="28" t="s">
        <v>21</v>
      </c>
      <c r="C1280" s="27" t="s">
        <v>3600</v>
      </c>
      <c r="D1280" s="27" t="s">
        <v>9317</v>
      </c>
      <c r="E1280" s="27" t="s">
        <v>9318</v>
      </c>
      <c r="F1280" s="27" t="s">
        <v>3596</v>
      </c>
      <c r="G1280" s="101" t="s">
        <v>3602</v>
      </c>
      <c r="H1280" s="91">
        <v>45016</v>
      </c>
      <c r="I1280" s="73">
        <v>45016</v>
      </c>
      <c r="J1280" s="73">
        <v>34352</v>
      </c>
      <c r="K1280" s="73">
        <v>25743</v>
      </c>
      <c r="L1280" s="19" t="s">
        <v>3603</v>
      </c>
      <c r="M1280" s="3" t="s">
        <v>117</v>
      </c>
      <c r="N1280" s="112" t="s">
        <v>14</v>
      </c>
      <c r="O1280" s="104" t="s">
        <v>52</v>
      </c>
      <c r="P1280" s="104" t="s">
        <v>52</v>
      </c>
      <c r="Q1280" s="105"/>
      <c r="R1280" s="28" t="s">
        <v>483</v>
      </c>
      <c r="S1280" s="225">
        <f t="shared" si="19"/>
        <v>47757</v>
      </c>
      <c r="T1280" s="2" t="s">
        <v>7625</v>
      </c>
      <c r="U1280" s="7" t="s">
        <v>122</v>
      </c>
      <c r="V1280" s="162" t="str" cm="1">
        <f t="array" ref="V1280">_xlfn.IFS(C1280="","",COUNTIF(C1280,"ตำแหน่งว่าง*"),"ว่าง",COUNTIF(C1280,"&lt;&gt;ตำแหน่งว่าง*"),"คนครอง")</f>
        <v>คนครอง</v>
      </c>
      <c r="W1280" s="5" cm="1">
        <f t="array" ref="W1280">_xlfn.IFS(COUNTIF(F1280,"ผบ.หมู่*"),51,COUNTIF(F1280,"รอง สว.*"),43)</f>
        <v>43</v>
      </c>
      <c r="X1280" s="1" t="s">
        <v>3601</v>
      </c>
      <c r="Y1280" s="1" t="s">
        <v>52</v>
      </c>
    </row>
    <row r="1281" spans="1:25" s="9" customFormat="1" ht="21.3" customHeight="1">
      <c r="A1281" s="27" t="s">
        <v>30</v>
      </c>
      <c r="B1281" s="28" t="s">
        <v>12</v>
      </c>
      <c r="C1281" s="27" t="s">
        <v>3604</v>
      </c>
      <c r="D1281" s="27" t="s">
        <v>9319</v>
      </c>
      <c r="E1281" s="27" t="s">
        <v>9320</v>
      </c>
      <c r="F1281" s="27" t="s">
        <v>3596</v>
      </c>
      <c r="G1281" s="101" t="s">
        <v>3606</v>
      </c>
      <c r="H1281" s="75">
        <v>43555</v>
      </c>
      <c r="I1281" s="73">
        <v>43555</v>
      </c>
      <c r="J1281" s="73">
        <v>43555</v>
      </c>
      <c r="K1281" s="73">
        <v>24162</v>
      </c>
      <c r="L1281" s="19" t="s">
        <v>3607</v>
      </c>
      <c r="M1281" s="3" t="s">
        <v>117</v>
      </c>
      <c r="N1281" s="112" t="s">
        <v>14</v>
      </c>
      <c r="O1281" s="104" t="s">
        <v>52</v>
      </c>
      <c r="P1281" s="104" t="s">
        <v>52</v>
      </c>
      <c r="Q1281" s="105"/>
      <c r="R1281" s="28" t="s">
        <v>3432</v>
      </c>
      <c r="S1281" s="225">
        <f t="shared" si="19"/>
        <v>46296</v>
      </c>
      <c r="T1281" s="2" t="s">
        <v>7625</v>
      </c>
      <c r="U1281" s="7" t="s">
        <v>122</v>
      </c>
      <c r="V1281" s="162" t="str" cm="1">
        <f t="array" ref="V1281">_xlfn.IFS(C1281="","",COUNTIF(C1281,"ตำแหน่งว่าง*"),"ว่าง",COUNTIF(C1281,"&lt;&gt;ตำแหน่งว่าง*"),"คนครอง")</f>
        <v>คนครอง</v>
      </c>
      <c r="W1281" s="5" cm="1">
        <f t="array" ref="W1281">_xlfn.IFS(COUNTIF(F1281,"ผบ.หมู่*"),51,COUNTIF(F1281,"รอง สว.*"),43)</f>
        <v>43</v>
      </c>
      <c r="X1281" s="1" t="s">
        <v>3605</v>
      </c>
      <c r="Y1281" s="1" t="s">
        <v>52</v>
      </c>
    </row>
    <row r="1282" spans="1:25" s="9" customFormat="1" ht="21.3" customHeight="1">
      <c r="A1282" s="27" t="s">
        <v>10753</v>
      </c>
      <c r="B1282" s="28" t="s">
        <v>12</v>
      </c>
      <c r="C1282" s="27" t="s">
        <v>3608</v>
      </c>
      <c r="D1282" s="27" t="s">
        <v>9321</v>
      </c>
      <c r="E1282" s="27" t="s">
        <v>9322</v>
      </c>
      <c r="F1282" s="27" t="s">
        <v>3596</v>
      </c>
      <c r="G1282" s="101" t="s">
        <v>3610</v>
      </c>
      <c r="H1282" s="91">
        <v>45016</v>
      </c>
      <c r="I1282" s="73">
        <v>45016</v>
      </c>
      <c r="J1282" s="73">
        <v>34366</v>
      </c>
      <c r="K1282" s="73">
        <v>25788</v>
      </c>
      <c r="L1282" s="19" t="s">
        <v>3611</v>
      </c>
      <c r="M1282" s="3" t="s">
        <v>117</v>
      </c>
      <c r="N1282" s="112" t="s">
        <v>14</v>
      </c>
      <c r="O1282" s="104" t="s">
        <v>52</v>
      </c>
      <c r="P1282" s="104" t="s">
        <v>52</v>
      </c>
      <c r="Q1282" s="105"/>
      <c r="R1282" s="28" t="s">
        <v>483</v>
      </c>
      <c r="S1282" s="225">
        <f t="shared" ref="S1282:S1345" si="20">IF(K1282&lt;&gt;"",DATE(YEAR(K1282)+60+(K1282&gt;=DATE(YEAR(K1282),10,2)),10,1),"")</f>
        <v>47757</v>
      </c>
      <c r="T1282" s="2" t="s">
        <v>7625</v>
      </c>
      <c r="U1282" s="7" t="s">
        <v>122</v>
      </c>
      <c r="V1282" s="162" t="str" cm="1">
        <f t="array" ref="V1282">_xlfn.IFS(C1282="","",COUNTIF(C1282,"ตำแหน่งว่าง*"),"ว่าง",COUNTIF(C1282,"&lt;&gt;ตำแหน่งว่าง*"),"คนครอง")</f>
        <v>คนครอง</v>
      </c>
      <c r="W1282" s="5" cm="1">
        <f t="array" ref="W1282">_xlfn.IFS(COUNTIF(F1282,"ผบ.หมู่*"),51,COUNTIF(F1282,"รอง สว.*"),43)</f>
        <v>43</v>
      </c>
      <c r="X1282" s="1" t="s">
        <v>3609</v>
      </c>
      <c r="Y1282" s="1" t="s">
        <v>52</v>
      </c>
    </row>
    <row r="1283" spans="1:25" s="10" customFormat="1" ht="21.3" customHeight="1">
      <c r="A1283" s="27"/>
      <c r="B1283" s="30"/>
      <c r="C1283" s="30" t="s">
        <v>18</v>
      </c>
      <c r="D1283" s="27"/>
      <c r="E1283" s="27"/>
      <c r="F1283" s="68" t="s">
        <v>3612</v>
      </c>
      <c r="G1283" s="121" t="s">
        <v>3614</v>
      </c>
      <c r="H1283" s="80" t="s">
        <v>19</v>
      </c>
      <c r="I1283" s="74" t="s">
        <v>19</v>
      </c>
      <c r="J1283" s="74" t="s">
        <v>19</v>
      </c>
      <c r="K1283" s="74" t="s">
        <v>19</v>
      </c>
      <c r="L1283" s="44"/>
      <c r="M1283" s="8"/>
      <c r="N1283" s="113" t="s">
        <v>14</v>
      </c>
      <c r="O1283" s="122" t="s">
        <v>52</v>
      </c>
      <c r="P1283" s="122" t="s">
        <v>52</v>
      </c>
      <c r="Q1283" s="106"/>
      <c r="R1283" s="30"/>
      <c r="S1283" s="225" t="str">
        <f t="shared" si="20"/>
        <v/>
      </c>
      <c r="T1283" s="7" t="s">
        <v>7625</v>
      </c>
      <c r="U1283" s="7" t="s">
        <v>122</v>
      </c>
      <c r="V1283" s="171" t="str" cm="1">
        <f t="array" ref="V1283">_xlfn.IFS(C1283="","",COUNTIF(C1283,"ตำแหน่งว่าง*"),"ว่าง",COUNTIF(C1283,"&lt;&gt;ตำแหน่งว่าง*"),"คนครอง")</f>
        <v>ว่าง</v>
      </c>
      <c r="W1283" s="6" cm="1">
        <f t="array" ref="W1283">_xlfn.IFS(COUNTIF(F1283,"ผบ.หมู่*"),51,COUNTIF(F1283,"รอง สว.*"),43)</f>
        <v>51</v>
      </c>
      <c r="X1283" s="6" t="s">
        <v>3613</v>
      </c>
      <c r="Y1283" s="6" t="s">
        <v>52</v>
      </c>
    </row>
    <row r="1284" spans="1:25" s="9" customFormat="1" ht="21.3" customHeight="1">
      <c r="A1284" s="27"/>
      <c r="B1284" s="30"/>
      <c r="C1284" s="30" t="s">
        <v>18</v>
      </c>
      <c r="D1284" s="27"/>
      <c r="E1284" s="27"/>
      <c r="F1284" s="68" t="s">
        <v>3612</v>
      </c>
      <c r="G1284" s="121" t="s">
        <v>3616</v>
      </c>
      <c r="H1284" s="80" t="s">
        <v>19</v>
      </c>
      <c r="I1284" s="74" t="s">
        <v>19</v>
      </c>
      <c r="J1284" s="74" t="s">
        <v>19</v>
      </c>
      <c r="K1284" s="74" t="s">
        <v>19</v>
      </c>
      <c r="L1284" s="44"/>
      <c r="M1284" s="8"/>
      <c r="N1284" s="113" t="s">
        <v>14</v>
      </c>
      <c r="O1284" s="122" t="s">
        <v>52</v>
      </c>
      <c r="P1284" s="122" t="s">
        <v>52</v>
      </c>
      <c r="Q1284" s="106"/>
      <c r="R1284" s="30"/>
      <c r="S1284" s="225" t="str">
        <f t="shared" si="20"/>
        <v/>
      </c>
      <c r="T1284" s="2" t="s">
        <v>7625</v>
      </c>
      <c r="U1284" s="7" t="s">
        <v>122</v>
      </c>
      <c r="V1284" s="171" t="str" cm="1">
        <f t="array" ref="V1284">_xlfn.IFS(C1284="","",COUNTIF(C1284,"ตำแหน่งว่าง*"),"ว่าง",COUNTIF(C1284,"&lt;&gt;ตำแหน่งว่าง*"),"คนครอง")</f>
        <v>ว่าง</v>
      </c>
      <c r="W1284" s="6" cm="1">
        <f t="array" ref="W1284">_xlfn.IFS(COUNTIF(F1284,"ผบ.หมู่*"),51,COUNTIF(F1284,"รอง สว.*"),43)</f>
        <v>51</v>
      </c>
      <c r="X1284" s="6" t="s">
        <v>3615</v>
      </c>
      <c r="Y1284" s="6" t="s">
        <v>52</v>
      </c>
    </row>
    <row r="1285" spans="1:25" s="9" customFormat="1" ht="21.3" customHeight="1">
      <c r="A1285" s="27" t="s">
        <v>157</v>
      </c>
      <c r="B1285" s="28" t="s">
        <v>21</v>
      </c>
      <c r="C1285" s="27" t="s">
        <v>3617</v>
      </c>
      <c r="D1285" s="27" t="s">
        <v>9323</v>
      </c>
      <c r="E1285" s="27" t="s">
        <v>9324</v>
      </c>
      <c r="F1285" s="27" t="s">
        <v>3612</v>
      </c>
      <c r="G1285" s="101" t="s">
        <v>3619</v>
      </c>
      <c r="H1285" s="75">
        <v>42501</v>
      </c>
      <c r="I1285" s="73">
        <v>34352</v>
      </c>
      <c r="J1285" s="73">
        <v>34352</v>
      </c>
      <c r="K1285" s="73">
        <v>27283</v>
      </c>
      <c r="L1285" s="19" t="s">
        <v>3620</v>
      </c>
      <c r="M1285" s="3" t="s">
        <v>117</v>
      </c>
      <c r="N1285" s="112" t="s">
        <v>14</v>
      </c>
      <c r="O1285" s="104" t="s">
        <v>52</v>
      </c>
      <c r="P1285" s="104" t="s">
        <v>52</v>
      </c>
      <c r="Q1285" s="105"/>
      <c r="R1285" s="28" t="s">
        <v>110</v>
      </c>
      <c r="S1285" s="225">
        <f t="shared" si="20"/>
        <v>49218</v>
      </c>
      <c r="T1285" s="2" t="s">
        <v>7625</v>
      </c>
      <c r="U1285" s="7" t="s">
        <v>122</v>
      </c>
      <c r="V1285" s="162" t="str" cm="1">
        <f t="array" ref="V1285">_xlfn.IFS(C1285="","",COUNTIF(C1285,"ตำแหน่งว่าง*"),"ว่าง",COUNTIF(C1285,"&lt;&gt;ตำแหน่งว่าง*"),"คนครอง")</f>
        <v>คนครอง</v>
      </c>
      <c r="W1285" s="6" cm="1">
        <f t="array" ref="W1285">_xlfn.IFS(COUNTIF(F1285,"ผบ.หมู่*"),51,COUNTIF(F1285,"รอง สว.*"),43)</f>
        <v>51</v>
      </c>
      <c r="X1285" s="1" t="s">
        <v>3618</v>
      </c>
      <c r="Y1285" s="1" t="s">
        <v>52</v>
      </c>
    </row>
    <row r="1286" spans="1:25" s="10" customFormat="1" ht="21.3" customHeight="1">
      <c r="A1286" s="27"/>
      <c r="B1286" s="30"/>
      <c r="C1286" s="30" t="s">
        <v>18</v>
      </c>
      <c r="D1286" s="27"/>
      <c r="E1286" s="27"/>
      <c r="F1286" s="68" t="s">
        <v>3612</v>
      </c>
      <c r="G1286" s="121" t="s">
        <v>3622</v>
      </c>
      <c r="H1286" s="80" t="s">
        <v>19</v>
      </c>
      <c r="I1286" s="74" t="s">
        <v>19</v>
      </c>
      <c r="J1286" s="74" t="s">
        <v>19</v>
      </c>
      <c r="K1286" s="74" t="s">
        <v>19</v>
      </c>
      <c r="L1286" s="44"/>
      <c r="M1286" s="8"/>
      <c r="N1286" s="113" t="s">
        <v>14</v>
      </c>
      <c r="O1286" s="122" t="s">
        <v>52</v>
      </c>
      <c r="P1286" s="122" t="s">
        <v>52</v>
      </c>
      <c r="Q1286" s="106"/>
      <c r="R1286" s="30"/>
      <c r="S1286" s="225" t="str">
        <f t="shared" si="20"/>
        <v/>
      </c>
      <c r="T1286" s="7" t="s">
        <v>7625</v>
      </c>
      <c r="U1286" s="7" t="s">
        <v>122</v>
      </c>
      <c r="V1286" s="171" t="str" cm="1">
        <f t="array" ref="V1286">_xlfn.IFS(C1286="","",COUNTIF(C1286,"ตำแหน่งว่าง*"),"ว่าง",COUNTIF(C1286,"&lt;&gt;ตำแหน่งว่าง*"),"คนครอง")</f>
        <v>ว่าง</v>
      </c>
      <c r="W1286" s="6" cm="1">
        <f t="array" ref="W1286">_xlfn.IFS(COUNTIF(F1286,"ผบ.หมู่*"),51,COUNTIF(F1286,"รอง สว.*"),43)</f>
        <v>51</v>
      </c>
      <c r="X1286" s="6" t="s">
        <v>3621</v>
      </c>
      <c r="Y1286" s="6" t="s">
        <v>52</v>
      </c>
    </row>
    <row r="1287" spans="1:25" s="9" customFormat="1" ht="21.3" customHeight="1">
      <c r="A1287" s="27" t="s">
        <v>157</v>
      </c>
      <c r="B1287" s="28" t="s">
        <v>12</v>
      </c>
      <c r="C1287" s="27" t="s">
        <v>3623</v>
      </c>
      <c r="D1287" s="27" t="s">
        <v>9325</v>
      </c>
      <c r="E1287" s="27" t="s">
        <v>9326</v>
      </c>
      <c r="F1287" s="27" t="s">
        <v>3612</v>
      </c>
      <c r="G1287" s="101" t="s">
        <v>3625</v>
      </c>
      <c r="H1287" s="91">
        <v>43871</v>
      </c>
      <c r="I1287" s="73">
        <v>37653</v>
      </c>
      <c r="J1287" s="73">
        <v>37653</v>
      </c>
      <c r="K1287" s="73">
        <v>29960</v>
      </c>
      <c r="L1287" s="19" t="s">
        <v>3626</v>
      </c>
      <c r="M1287" s="3" t="s">
        <v>117</v>
      </c>
      <c r="N1287" s="112" t="s">
        <v>14</v>
      </c>
      <c r="O1287" s="104" t="s">
        <v>52</v>
      </c>
      <c r="P1287" s="104" t="s">
        <v>52</v>
      </c>
      <c r="Q1287" s="105"/>
      <c r="R1287" s="28" t="s">
        <v>688</v>
      </c>
      <c r="S1287" s="225">
        <f t="shared" si="20"/>
        <v>52140</v>
      </c>
      <c r="T1287" s="2" t="s">
        <v>7625</v>
      </c>
      <c r="U1287" s="7" t="s">
        <v>122</v>
      </c>
      <c r="V1287" s="162" t="str" cm="1">
        <f t="array" ref="V1287">_xlfn.IFS(C1287="","",COUNTIF(C1287,"ตำแหน่งว่าง*"),"ว่าง",COUNTIF(C1287,"&lt;&gt;ตำแหน่งว่าง*"),"คนครอง")</f>
        <v>คนครอง</v>
      </c>
      <c r="W1287" s="6" cm="1">
        <f t="array" ref="W1287">_xlfn.IFS(COUNTIF(F1287,"ผบ.หมู่*"),51,COUNTIF(F1287,"รอง สว.*"),43)</f>
        <v>51</v>
      </c>
      <c r="X1287" s="1" t="s">
        <v>3624</v>
      </c>
      <c r="Y1287" s="1" t="s">
        <v>52</v>
      </c>
    </row>
    <row r="1288" spans="1:25" s="9" customFormat="1" ht="21.3" customHeight="1">
      <c r="A1288" s="68"/>
      <c r="B1288" s="30"/>
      <c r="C1288" s="68" t="s">
        <v>18</v>
      </c>
      <c r="D1288" s="27"/>
      <c r="E1288" s="27"/>
      <c r="F1288" s="27" t="s">
        <v>3612</v>
      </c>
      <c r="G1288" s="121" t="s">
        <v>3628</v>
      </c>
      <c r="H1288" s="93"/>
      <c r="I1288" s="74"/>
      <c r="J1288" s="74"/>
      <c r="K1288" s="74"/>
      <c r="L1288" s="44"/>
      <c r="M1288" s="8"/>
      <c r="N1288" s="113" t="s">
        <v>14</v>
      </c>
      <c r="O1288" s="122" t="s">
        <v>52</v>
      </c>
      <c r="P1288" s="122" t="s">
        <v>52</v>
      </c>
      <c r="Q1288" s="106"/>
      <c r="R1288" s="149"/>
      <c r="S1288" s="225" t="str">
        <f t="shared" si="20"/>
        <v/>
      </c>
      <c r="T1288" s="2" t="s">
        <v>7625</v>
      </c>
      <c r="U1288" s="7" t="s">
        <v>122</v>
      </c>
      <c r="V1288" s="162" t="str" cm="1">
        <f t="array" ref="V1288">_xlfn.IFS(C1288="","",COUNTIF(C1288,"ตำแหน่งว่าง*"),"ว่าง",COUNTIF(C1288,"&lt;&gt;ตำแหน่งว่าง*"),"คนครอง")</f>
        <v>ว่าง</v>
      </c>
      <c r="W1288" s="6" cm="1">
        <f t="array" ref="W1288">_xlfn.IFS(COUNTIF(F1288,"ผบ.หมู่*"),51,COUNTIF(F1288,"รอง สว.*"),43)</f>
        <v>51</v>
      </c>
      <c r="X1288" s="1" t="s">
        <v>3627</v>
      </c>
      <c r="Y1288" s="1" t="s">
        <v>52</v>
      </c>
    </row>
    <row r="1289" spans="1:25" s="9" customFormat="1" ht="21.3" customHeight="1">
      <c r="A1289" s="27" t="s">
        <v>30</v>
      </c>
      <c r="B1289" s="28" t="s">
        <v>12</v>
      </c>
      <c r="C1289" s="27" t="s">
        <v>3629</v>
      </c>
      <c r="D1289" s="27" t="s">
        <v>8091</v>
      </c>
      <c r="E1289" s="27" t="s">
        <v>9327</v>
      </c>
      <c r="F1289" s="27" t="s">
        <v>3596</v>
      </c>
      <c r="G1289" s="101" t="s">
        <v>3631</v>
      </c>
      <c r="H1289" s="75">
        <v>43555</v>
      </c>
      <c r="I1289" s="73">
        <v>43555</v>
      </c>
      <c r="J1289" s="73">
        <v>43555</v>
      </c>
      <c r="K1289" s="73">
        <v>24354</v>
      </c>
      <c r="L1289" s="19" t="s">
        <v>3632</v>
      </c>
      <c r="M1289" s="3" t="s">
        <v>117</v>
      </c>
      <c r="N1289" s="112" t="s">
        <v>14</v>
      </c>
      <c r="O1289" s="104" t="s">
        <v>52</v>
      </c>
      <c r="P1289" s="104" t="s">
        <v>52</v>
      </c>
      <c r="Q1289" s="105"/>
      <c r="R1289" s="28" t="s">
        <v>3432</v>
      </c>
      <c r="S1289" s="225">
        <f t="shared" si="20"/>
        <v>46296</v>
      </c>
      <c r="T1289" s="2" t="s">
        <v>7625</v>
      </c>
      <c r="U1289" s="7" t="s">
        <v>122</v>
      </c>
      <c r="V1289" s="162" t="str" cm="1">
        <f t="array" ref="V1289">_xlfn.IFS(C1289="","",COUNTIF(C1289,"ตำแหน่งว่าง*"),"ว่าง",COUNTIF(C1289,"&lt;&gt;ตำแหน่งว่าง*"),"คนครอง")</f>
        <v>คนครอง</v>
      </c>
      <c r="W1289" s="5" cm="1">
        <f t="array" ref="W1289">_xlfn.IFS(COUNTIF(F1289,"ผบ.หมู่*"),51,COUNTIF(F1289,"รอง สว.*"),43)</f>
        <v>43</v>
      </c>
      <c r="X1289" s="1" t="s">
        <v>3630</v>
      </c>
      <c r="Y1289" s="1" t="s">
        <v>52</v>
      </c>
    </row>
    <row r="1290" spans="1:25" s="9" customFormat="1" ht="21.3" customHeight="1">
      <c r="A1290" s="27" t="s">
        <v>157</v>
      </c>
      <c r="B1290" s="28" t="s">
        <v>21</v>
      </c>
      <c r="C1290" s="27" t="s">
        <v>3633</v>
      </c>
      <c r="D1290" s="27" t="s">
        <v>9328</v>
      </c>
      <c r="E1290" s="27" t="s">
        <v>8096</v>
      </c>
      <c r="F1290" s="27" t="s">
        <v>3612</v>
      </c>
      <c r="G1290" s="101" t="s">
        <v>3635</v>
      </c>
      <c r="H1290" s="75">
        <v>42501</v>
      </c>
      <c r="I1290" s="73">
        <v>34729</v>
      </c>
      <c r="J1290" s="73">
        <v>34729</v>
      </c>
      <c r="K1290" s="73">
        <v>27711</v>
      </c>
      <c r="L1290" s="19" t="s">
        <v>3636</v>
      </c>
      <c r="M1290" s="3" t="s">
        <v>117</v>
      </c>
      <c r="N1290" s="112" t="s">
        <v>14</v>
      </c>
      <c r="O1290" s="104" t="s">
        <v>52</v>
      </c>
      <c r="P1290" s="104" t="s">
        <v>52</v>
      </c>
      <c r="Q1290" s="105"/>
      <c r="R1290" s="28" t="s">
        <v>110</v>
      </c>
      <c r="S1290" s="225">
        <f t="shared" si="20"/>
        <v>49949</v>
      </c>
      <c r="T1290" s="2" t="s">
        <v>7625</v>
      </c>
      <c r="U1290" s="7" t="s">
        <v>122</v>
      </c>
      <c r="V1290" s="162" t="str" cm="1">
        <f t="array" ref="V1290">_xlfn.IFS(C1290="","",COUNTIF(C1290,"ตำแหน่งว่าง*"),"ว่าง",COUNTIF(C1290,"&lt;&gt;ตำแหน่งว่าง*"),"คนครอง")</f>
        <v>คนครอง</v>
      </c>
      <c r="W1290" s="6" cm="1">
        <f t="array" ref="W1290">_xlfn.IFS(COUNTIF(F1290,"ผบ.หมู่*"),51,COUNTIF(F1290,"รอง สว.*"),43)</f>
        <v>51</v>
      </c>
      <c r="X1290" s="1" t="s">
        <v>3634</v>
      </c>
      <c r="Y1290" s="1" t="s">
        <v>52</v>
      </c>
    </row>
    <row r="1291" spans="1:25" s="9" customFormat="1" ht="21.3" customHeight="1">
      <c r="A1291" s="27"/>
      <c r="B1291" s="30"/>
      <c r="C1291" s="30" t="s">
        <v>18</v>
      </c>
      <c r="D1291" s="27"/>
      <c r="E1291" s="27"/>
      <c r="F1291" s="68" t="s">
        <v>3612</v>
      </c>
      <c r="G1291" s="121" t="s">
        <v>3638</v>
      </c>
      <c r="H1291" s="93" t="s">
        <v>19</v>
      </c>
      <c r="I1291" s="74" t="s">
        <v>19</v>
      </c>
      <c r="J1291" s="74" t="s">
        <v>19</v>
      </c>
      <c r="K1291" s="74" t="s">
        <v>19</v>
      </c>
      <c r="L1291" s="44"/>
      <c r="M1291" s="8"/>
      <c r="N1291" s="113" t="s">
        <v>14</v>
      </c>
      <c r="O1291" s="122" t="s">
        <v>52</v>
      </c>
      <c r="P1291" s="122" t="s">
        <v>52</v>
      </c>
      <c r="Q1291" s="106"/>
      <c r="R1291" s="30"/>
      <c r="S1291" s="225" t="str">
        <f t="shared" si="20"/>
        <v/>
      </c>
      <c r="T1291" s="2" t="s">
        <v>7625</v>
      </c>
      <c r="U1291" s="7" t="s">
        <v>122</v>
      </c>
      <c r="V1291" s="171" t="str" cm="1">
        <f t="array" ref="V1291">_xlfn.IFS(C1291="","",COUNTIF(C1291,"ตำแหน่งว่าง*"),"ว่าง",COUNTIF(C1291,"&lt;&gt;ตำแหน่งว่าง*"),"คนครอง")</f>
        <v>ว่าง</v>
      </c>
      <c r="W1291" s="6" cm="1">
        <f t="array" ref="W1291">_xlfn.IFS(COUNTIF(F1291,"ผบ.หมู่*"),51,COUNTIF(F1291,"รอง สว.*"),43)</f>
        <v>51</v>
      </c>
      <c r="X1291" s="6" t="s">
        <v>3637</v>
      </c>
      <c r="Y1291" s="6" t="s">
        <v>52</v>
      </c>
    </row>
    <row r="1292" spans="1:25" s="9" customFormat="1" ht="21.3" customHeight="1">
      <c r="A1292" s="27" t="s">
        <v>157</v>
      </c>
      <c r="B1292" s="28" t="s">
        <v>21</v>
      </c>
      <c r="C1292" s="27" t="s">
        <v>3639</v>
      </c>
      <c r="D1292" s="27" t="s">
        <v>9329</v>
      </c>
      <c r="E1292" s="27" t="s">
        <v>9330</v>
      </c>
      <c r="F1292" s="27" t="s">
        <v>3612</v>
      </c>
      <c r="G1292" s="101" t="s">
        <v>3641</v>
      </c>
      <c r="H1292" s="75">
        <v>42501</v>
      </c>
      <c r="I1292" s="73">
        <v>34729</v>
      </c>
      <c r="J1292" s="73">
        <v>34729</v>
      </c>
      <c r="K1292" s="73">
        <v>26277</v>
      </c>
      <c r="L1292" s="19" t="s">
        <v>3642</v>
      </c>
      <c r="M1292" s="3" t="s">
        <v>117</v>
      </c>
      <c r="N1292" s="112" t="s">
        <v>14</v>
      </c>
      <c r="O1292" s="104" t="s">
        <v>52</v>
      </c>
      <c r="P1292" s="104" t="s">
        <v>52</v>
      </c>
      <c r="Q1292" s="105"/>
      <c r="R1292" s="28" t="s">
        <v>110</v>
      </c>
      <c r="S1292" s="225">
        <f t="shared" si="20"/>
        <v>48488</v>
      </c>
      <c r="T1292" s="2" t="s">
        <v>7625</v>
      </c>
      <c r="U1292" s="7" t="s">
        <v>122</v>
      </c>
      <c r="V1292" s="162" t="str" cm="1">
        <f t="array" ref="V1292">_xlfn.IFS(C1292="","",COUNTIF(C1292,"ตำแหน่งว่าง*"),"ว่าง",COUNTIF(C1292,"&lt;&gt;ตำแหน่งว่าง*"),"คนครอง")</f>
        <v>คนครอง</v>
      </c>
      <c r="W1292" s="6" cm="1">
        <f t="array" ref="W1292">_xlfn.IFS(COUNTIF(F1292,"ผบ.หมู่*"),51,COUNTIF(F1292,"รอง สว.*"),43)</f>
        <v>51</v>
      </c>
      <c r="X1292" s="1" t="s">
        <v>3640</v>
      </c>
      <c r="Y1292" s="1" t="s">
        <v>52</v>
      </c>
    </row>
    <row r="1293" spans="1:25" s="9" customFormat="1" ht="21.3" customHeight="1">
      <c r="A1293" s="27" t="s">
        <v>157</v>
      </c>
      <c r="B1293" s="26" t="s">
        <v>21</v>
      </c>
      <c r="C1293" s="134" t="s">
        <v>3643</v>
      </c>
      <c r="D1293" s="27" t="s">
        <v>9191</v>
      </c>
      <c r="E1293" s="27" t="s">
        <v>9331</v>
      </c>
      <c r="F1293" s="27" t="s">
        <v>3612</v>
      </c>
      <c r="G1293" s="101" t="s">
        <v>3645</v>
      </c>
      <c r="H1293" s="91">
        <v>43656</v>
      </c>
      <c r="I1293" s="73">
        <v>41214</v>
      </c>
      <c r="J1293" s="73">
        <v>41214</v>
      </c>
      <c r="K1293" s="73">
        <v>32996</v>
      </c>
      <c r="L1293" s="19" t="s">
        <v>3646</v>
      </c>
      <c r="M1293" s="3" t="s">
        <v>117</v>
      </c>
      <c r="N1293" s="112" t="s">
        <v>14</v>
      </c>
      <c r="O1293" s="104" t="s">
        <v>52</v>
      </c>
      <c r="P1293" s="104" t="s">
        <v>52</v>
      </c>
      <c r="Q1293" s="105"/>
      <c r="R1293" s="26" t="s">
        <v>713</v>
      </c>
      <c r="S1293" s="225">
        <f t="shared" si="20"/>
        <v>55062</v>
      </c>
      <c r="T1293" s="2" t="s">
        <v>7625</v>
      </c>
      <c r="U1293" s="7" t="s">
        <v>122</v>
      </c>
      <c r="V1293" s="162" t="str" cm="1">
        <f t="array" ref="V1293">_xlfn.IFS(C1293="","",COUNTIF(C1293,"ตำแหน่งว่าง*"),"ว่าง",COUNTIF(C1293,"&lt;&gt;ตำแหน่งว่าง*"),"คนครอง")</f>
        <v>คนครอง</v>
      </c>
      <c r="W1293" s="6" cm="1">
        <f t="array" ref="W1293">_xlfn.IFS(COUNTIF(F1293,"ผบ.หมู่*"),51,COUNTIF(F1293,"รอง สว.*"),43)</f>
        <v>51</v>
      </c>
      <c r="X1293" s="1" t="s">
        <v>3644</v>
      </c>
      <c r="Y1293" s="1" t="s">
        <v>52</v>
      </c>
    </row>
    <row r="1294" spans="1:25" s="9" customFormat="1" ht="21.3" customHeight="1">
      <c r="A1294" s="27" t="s">
        <v>30</v>
      </c>
      <c r="B1294" s="28" t="s">
        <v>12</v>
      </c>
      <c r="C1294" s="27" t="s">
        <v>3647</v>
      </c>
      <c r="D1294" s="27" t="s">
        <v>9332</v>
      </c>
      <c r="E1294" s="27" t="s">
        <v>9333</v>
      </c>
      <c r="F1294" s="27" t="s">
        <v>3596</v>
      </c>
      <c r="G1294" s="101" t="s">
        <v>3649</v>
      </c>
      <c r="H1294" s="75">
        <v>43555</v>
      </c>
      <c r="I1294" s="73">
        <v>43555</v>
      </c>
      <c r="J1294" s="73">
        <v>43555</v>
      </c>
      <c r="K1294" s="73">
        <v>24305</v>
      </c>
      <c r="L1294" s="19" t="s">
        <v>3650</v>
      </c>
      <c r="M1294" s="3" t="s">
        <v>117</v>
      </c>
      <c r="N1294" s="112" t="s">
        <v>14</v>
      </c>
      <c r="O1294" s="104" t="s">
        <v>52</v>
      </c>
      <c r="P1294" s="104" t="s">
        <v>52</v>
      </c>
      <c r="Q1294" s="105"/>
      <c r="R1294" s="28" t="s">
        <v>2892</v>
      </c>
      <c r="S1294" s="225">
        <f t="shared" si="20"/>
        <v>46296</v>
      </c>
      <c r="T1294" s="2" t="s">
        <v>7625</v>
      </c>
      <c r="U1294" s="7" t="s">
        <v>122</v>
      </c>
      <c r="V1294" s="162" t="str" cm="1">
        <f t="array" ref="V1294">_xlfn.IFS(C1294="","",COUNTIF(C1294,"ตำแหน่งว่าง*"),"ว่าง",COUNTIF(C1294,"&lt;&gt;ตำแหน่งว่าง*"),"คนครอง")</f>
        <v>คนครอง</v>
      </c>
      <c r="W1294" s="5" cm="1">
        <f t="array" ref="W1294">_xlfn.IFS(COUNTIF(F1294,"ผบ.หมู่*"),51,COUNTIF(F1294,"รอง สว.*"),43)</f>
        <v>43</v>
      </c>
      <c r="X1294" s="1" t="s">
        <v>3648</v>
      </c>
      <c r="Y1294" s="1" t="s">
        <v>52</v>
      </c>
    </row>
    <row r="1295" spans="1:25" s="9" customFormat="1" ht="21.3" customHeight="1">
      <c r="A1295" s="27" t="s">
        <v>157</v>
      </c>
      <c r="B1295" s="28" t="s">
        <v>21</v>
      </c>
      <c r="C1295" s="27" t="s">
        <v>3651</v>
      </c>
      <c r="D1295" s="27" t="s">
        <v>9334</v>
      </c>
      <c r="E1295" s="27" t="s">
        <v>9335</v>
      </c>
      <c r="F1295" s="27" t="s">
        <v>3612</v>
      </c>
      <c r="G1295" s="101" t="s">
        <v>3653</v>
      </c>
      <c r="H1295" s="75">
        <v>43656</v>
      </c>
      <c r="I1295" s="73">
        <v>39717</v>
      </c>
      <c r="J1295" s="73">
        <v>39717</v>
      </c>
      <c r="K1295" s="73">
        <v>30147</v>
      </c>
      <c r="L1295" s="19" t="s">
        <v>3654</v>
      </c>
      <c r="M1295" s="3" t="s">
        <v>117</v>
      </c>
      <c r="N1295" s="112" t="s">
        <v>14</v>
      </c>
      <c r="O1295" s="104" t="s">
        <v>52</v>
      </c>
      <c r="P1295" s="104" t="s">
        <v>52</v>
      </c>
      <c r="Q1295" s="105"/>
      <c r="R1295" s="28" t="s">
        <v>2794</v>
      </c>
      <c r="S1295" s="225">
        <f t="shared" si="20"/>
        <v>52140</v>
      </c>
      <c r="T1295" s="2" t="s">
        <v>7625</v>
      </c>
      <c r="U1295" s="7" t="s">
        <v>122</v>
      </c>
      <c r="V1295" s="162" t="str" cm="1">
        <f t="array" ref="V1295">_xlfn.IFS(C1295="","",COUNTIF(C1295,"ตำแหน่งว่าง*"),"ว่าง",COUNTIF(C1295,"&lt;&gt;ตำแหน่งว่าง*"),"คนครอง")</f>
        <v>คนครอง</v>
      </c>
      <c r="W1295" s="6" cm="1">
        <f t="array" ref="W1295">_xlfn.IFS(COUNTIF(F1295,"ผบ.หมู่*"),51,COUNTIF(F1295,"รอง สว.*"),43)</f>
        <v>51</v>
      </c>
      <c r="X1295" s="1" t="s">
        <v>3652</v>
      </c>
      <c r="Y1295" s="1" t="s">
        <v>52</v>
      </c>
    </row>
    <row r="1296" spans="1:25" s="9" customFormat="1" ht="21.3" customHeight="1">
      <c r="A1296" s="27" t="s">
        <v>612</v>
      </c>
      <c r="B1296" s="28" t="s">
        <v>21</v>
      </c>
      <c r="C1296" s="27" t="s">
        <v>3885</v>
      </c>
      <c r="D1296" s="27" t="s">
        <v>9336</v>
      </c>
      <c r="E1296" s="27" t="s">
        <v>8986</v>
      </c>
      <c r="F1296" s="27" t="s">
        <v>3886</v>
      </c>
      <c r="G1296" s="101" t="s">
        <v>3888</v>
      </c>
      <c r="H1296" s="75">
        <v>42501</v>
      </c>
      <c r="I1296" s="73">
        <v>41944</v>
      </c>
      <c r="J1296" s="73">
        <v>41944</v>
      </c>
      <c r="K1296" s="73">
        <v>31269</v>
      </c>
      <c r="L1296" s="19" t="s">
        <v>3889</v>
      </c>
      <c r="M1296" s="3" t="s">
        <v>73</v>
      </c>
      <c r="N1296" s="112" t="s">
        <v>14</v>
      </c>
      <c r="O1296" s="104" t="s">
        <v>52</v>
      </c>
      <c r="P1296" s="104" t="s">
        <v>52</v>
      </c>
      <c r="Q1296" s="105"/>
      <c r="R1296" s="28" t="s">
        <v>110</v>
      </c>
      <c r="S1296" s="225">
        <f t="shared" si="20"/>
        <v>53236</v>
      </c>
      <c r="T1296" s="2" t="s">
        <v>7630</v>
      </c>
      <c r="U1296" s="7" t="s">
        <v>122</v>
      </c>
      <c r="V1296" s="162" t="str" cm="1">
        <f t="array" ref="V1296">_xlfn.IFS(C1296="","",COUNTIF(C1296,"ตำแหน่งว่าง*"),"ว่าง",COUNTIF(C1296,"&lt;&gt;ตำแหน่งว่าง*"),"คนครอง")</f>
        <v>คนครอง</v>
      </c>
      <c r="W1296" s="6" cm="1">
        <f t="array" ref="W1296">_xlfn.IFS(COUNTIF(F1296,"ผบ.หมู่*"),51,COUNTIF(F1296,"รอง สว.*"),43)</f>
        <v>51</v>
      </c>
      <c r="X1296" s="1" t="s">
        <v>3887</v>
      </c>
      <c r="Y1296" s="1" t="s">
        <v>52</v>
      </c>
    </row>
    <row r="1297" spans="1:25" s="9" customFormat="1" ht="21.3" customHeight="1">
      <c r="A1297" s="27" t="s">
        <v>157</v>
      </c>
      <c r="B1297" s="28" t="s">
        <v>21</v>
      </c>
      <c r="C1297" s="27" t="s">
        <v>3890</v>
      </c>
      <c r="D1297" s="27" t="s">
        <v>9337</v>
      </c>
      <c r="E1297" s="27" t="s">
        <v>8313</v>
      </c>
      <c r="F1297" s="27" t="s">
        <v>3886</v>
      </c>
      <c r="G1297" s="101" t="s">
        <v>3892</v>
      </c>
      <c r="H1297" s="75">
        <v>42501</v>
      </c>
      <c r="I1297" s="73">
        <v>34352</v>
      </c>
      <c r="J1297" s="73">
        <v>34352</v>
      </c>
      <c r="K1297" s="73">
        <v>27271</v>
      </c>
      <c r="L1297" s="19" t="s">
        <v>3893</v>
      </c>
      <c r="M1297" s="3" t="s">
        <v>73</v>
      </c>
      <c r="N1297" s="112" t="s">
        <v>14</v>
      </c>
      <c r="O1297" s="104" t="s">
        <v>52</v>
      </c>
      <c r="P1297" s="104" t="s">
        <v>52</v>
      </c>
      <c r="Q1297" s="105"/>
      <c r="R1297" s="28" t="s">
        <v>110</v>
      </c>
      <c r="S1297" s="225">
        <f t="shared" si="20"/>
        <v>49218</v>
      </c>
      <c r="T1297" s="2" t="s">
        <v>7630</v>
      </c>
      <c r="U1297" s="7" t="s">
        <v>122</v>
      </c>
      <c r="V1297" s="162" t="str" cm="1">
        <f t="array" ref="V1297">_xlfn.IFS(C1297="","",COUNTIF(C1297,"ตำแหน่งว่าง*"),"ว่าง",COUNTIF(C1297,"&lt;&gt;ตำแหน่งว่าง*"),"คนครอง")</f>
        <v>คนครอง</v>
      </c>
      <c r="W1297" s="6" cm="1">
        <f t="array" ref="W1297">_xlfn.IFS(COUNTIF(F1297,"ผบ.หมู่*"),51,COUNTIF(F1297,"รอง สว.*"),43)</f>
        <v>51</v>
      </c>
      <c r="X1297" s="1" t="s">
        <v>3891</v>
      </c>
      <c r="Y1297" s="1" t="s">
        <v>52</v>
      </c>
    </row>
    <row r="1298" spans="1:25" s="9" customFormat="1" ht="21.3" customHeight="1">
      <c r="A1298" s="27"/>
      <c r="B1298" s="30"/>
      <c r="C1298" s="30" t="s">
        <v>18</v>
      </c>
      <c r="D1298" s="27"/>
      <c r="E1298" s="27"/>
      <c r="F1298" s="68" t="s">
        <v>3886</v>
      </c>
      <c r="G1298" s="121" t="s">
        <v>3895</v>
      </c>
      <c r="H1298" s="80" t="s">
        <v>19</v>
      </c>
      <c r="I1298" s="74" t="s">
        <v>19</v>
      </c>
      <c r="J1298" s="74" t="s">
        <v>19</v>
      </c>
      <c r="K1298" s="74" t="s">
        <v>19</v>
      </c>
      <c r="L1298" s="44"/>
      <c r="M1298" s="8"/>
      <c r="N1298" s="113" t="s">
        <v>14</v>
      </c>
      <c r="O1298" s="122" t="s">
        <v>52</v>
      </c>
      <c r="P1298" s="122" t="s">
        <v>52</v>
      </c>
      <c r="Q1298" s="106"/>
      <c r="R1298" s="30"/>
      <c r="S1298" s="225" t="str">
        <f t="shared" si="20"/>
        <v/>
      </c>
      <c r="T1298" s="2" t="s">
        <v>7630</v>
      </c>
      <c r="U1298" s="7" t="s">
        <v>122</v>
      </c>
      <c r="V1298" s="171" t="str" cm="1">
        <f t="array" ref="V1298">_xlfn.IFS(C1298="","",COUNTIF(C1298,"ตำแหน่งว่าง*"),"ว่าง",COUNTIF(C1298,"&lt;&gt;ตำแหน่งว่าง*"),"คนครอง")</f>
        <v>ว่าง</v>
      </c>
      <c r="W1298" s="6" cm="1">
        <f t="array" ref="W1298">_xlfn.IFS(COUNTIF(F1298,"ผบ.หมู่*"),51,COUNTIF(F1298,"รอง สว.*"),43)</f>
        <v>51</v>
      </c>
      <c r="X1298" s="6" t="s">
        <v>3894</v>
      </c>
      <c r="Y1298" s="6" t="s">
        <v>52</v>
      </c>
    </row>
    <row r="1299" spans="1:25" s="12" customFormat="1" ht="21.3" customHeight="1">
      <c r="A1299" s="27" t="s">
        <v>612</v>
      </c>
      <c r="B1299" s="31" t="s">
        <v>12</v>
      </c>
      <c r="C1299" s="95" t="s">
        <v>3896</v>
      </c>
      <c r="D1299" s="27" t="s">
        <v>9338</v>
      </c>
      <c r="E1299" s="27" t="s">
        <v>9339</v>
      </c>
      <c r="F1299" s="95" t="s">
        <v>3886</v>
      </c>
      <c r="G1299" s="101" t="s">
        <v>3898</v>
      </c>
      <c r="H1299" s="88">
        <v>44599</v>
      </c>
      <c r="I1299" s="76">
        <v>42522</v>
      </c>
      <c r="J1299" s="76">
        <v>42156</v>
      </c>
      <c r="K1299" s="76">
        <v>33698</v>
      </c>
      <c r="L1299" s="46" t="s">
        <v>3899</v>
      </c>
      <c r="M1299" s="4" t="s">
        <v>73</v>
      </c>
      <c r="N1299" s="111" t="s">
        <v>14</v>
      </c>
      <c r="O1299" s="104" t="s">
        <v>52</v>
      </c>
      <c r="P1299" s="104" t="s">
        <v>52</v>
      </c>
      <c r="Q1299" s="108"/>
      <c r="R1299" s="31" t="s">
        <v>607</v>
      </c>
      <c r="S1299" s="225">
        <f t="shared" si="20"/>
        <v>55793</v>
      </c>
      <c r="T1299" s="162" t="s">
        <v>7630</v>
      </c>
      <c r="U1299" s="7" t="s">
        <v>122</v>
      </c>
      <c r="V1299" s="162" t="str" cm="1">
        <f t="array" ref="V1299">_xlfn.IFS(C1299="","",COUNTIF(C1299,"ตำแหน่งว่าง*"),"ว่าง",COUNTIF(C1299,"&lt;&gt;ตำแหน่งว่าง*"),"คนครอง")</f>
        <v>คนครอง</v>
      </c>
      <c r="W1299" s="6" cm="1">
        <f t="array" ref="W1299">_xlfn.IFS(COUNTIF(F1299,"ผบ.หมู่*"),51,COUNTIF(F1299,"รอง สว.*"),43)</f>
        <v>51</v>
      </c>
      <c r="X1299" s="5" t="s">
        <v>3897</v>
      </c>
      <c r="Y1299" s="5" t="s">
        <v>52</v>
      </c>
    </row>
    <row r="1300" spans="1:25" s="9" customFormat="1" ht="21.3" customHeight="1">
      <c r="A1300" s="27" t="s">
        <v>157</v>
      </c>
      <c r="B1300" s="28" t="s">
        <v>12</v>
      </c>
      <c r="C1300" s="27" t="s">
        <v>3900</v>
      </c>
      <c r="D1300" s="27" t="s">
        <v>8056</v>
      </c>
      <c r="E1300" s="27" t="s">
        <v>9340</v>
      </c>
      <c r="F1300" s="27" t="s">
        <v>3886</v>
      </c>
      <c r="G1300" s="101" t="s">
        <v>3902</v>
      </c>
      <c r="H1300" s="75">
        <v>42604</v>
      </c>
      <c r="I1300" s="73">
        <v>37484</v>
      </c>
      <c r="J1300" s="73">
        <v>37484</v>
      </c>
      <c r="K1300" s="73">
        <v>26924</v>
      </c>
      <c r="L1300" s="19" t="s">
        <v>3903</v>
      </c>
      <c r="M1300" s="3" t="s">
        <v>73</v>
      </c>
      <c r="N1300" s="112" t="s">
        <v>14</v>
      </c>
      <c r="O1300" s="104" t="s">
        <v>52</v>
      </c>
      <c r="P1300" s="104" t="s">
        <v>52</v>
      </c>
      <c r="Q1300" s="105"/>
      <c r="R1300" s="28" t="s">
        <v>76</v>
      </c>
      <c r="S1300" s="225">
        <f t="shared" si="20"/>
        <v>48853</v>
      </c>
      <c r="T1300" s="2" t="s">
        <v>7630</v>
      </c>
      <c r="U1300" s="7" t="s">
        <v>122</v>
      </c>
      <c r="V1300" s="162" t="str" cm="1">
        <f t="array" ref="V1300">_xlfn.IFS(C1300="","",COUNTIF(C1300,"ตำแหน่งว่าง*"),"ว่าง",COUNTIF(C1300,"&lt;&gt;ตำแหน่งว่าง*"),"คนครอง")</f>
        <v>คนครอง</v>
      </c>
      <c r="W1300" s="6" cm="1">
        <f t="array" ref="W1300">_xlfn.IFS(COUNTIF(F1300,"ผบ.หมู่*"),51,COUNTIF(F1300,"รอง สว.*"),43)</f>
        <v>51</v>
      </c>
      <c r="X1300" s="1" t="s">
        <v>3901</v>
      </c>
      <c r="Y1300" s="1" t="s">
        <v>52</v>
      </c>
    </row>
    <row r="1301" spans="1:25" s="9" customFormat="1" ht="21.3" customHeight="1">
      <c r="A1301" s="27" t="s">
        <v>157</v>
      </c>
      <c r="B1301" s="28" t="s">
        <v>21</v>
      </c>
      <c r="C1301" s="27" t="s">
        <v>7855</v>
      </c>
      <c r="D1301" s="27" t="s">
        <v>9341</v>
      </c>
      <c r="E1301" s="27" t="s">
        <v>9342</v>
      </c>
      <c r="F1301" s="27" t="s">
        <v>3886</v>
      </c>
      <c r="G1301" s="101" t="s">
        <v>3905</v>
      </c>
      <c r="H1301" s="75">
        <v>42604</v>
      </c>
      <c r="I1301" s="73">
        <v>37316</v>
      </c>
      <c r="J1301" s="73">
        <v>37316</v>
      </c>
      <c r="K1301" s="73">
        <v>27704</v>
      </c>
      <c r="L1301" s="19" t="s">
        <v>3906</v>
      </c>
      <c r="M1301" s="3" t="s">
        <v>73</v>
      </c>
      <c r="N1301" s="112" t="s">
        <v>14</v>
      </c>
      <c r="O1301" s="104" t="s">
        <v>52</v>
      </c>
      <c r="P1301" s="104" t="s">
        <v>52</v>
      </c>
      <c r="Q1301" s="105"/>
      <c r="R1301" s="28" t="s">
        <v>76</v>
      </c>
      <c r="S1301" s="225">
        <f t="shared" si="20"/>
        <v>49949</v>
      </c>
      <c r="T1301" s="2" t="s">
        <v>7630</v>
      </c>
      <c r="U1301" s="7" t="s">
        <v>122</v>
      </c>
      <c r="V1301" s="162" t="str" cm="1">
        <f t="array" ref="V1301">_xlfn.IFS(C1301="","",COUNTIF(C1301,"ตำแหน่งว่าง*"),"ว่าง",COUNTIF(C1301,"&lt;&gt;ตำแหน่งว่าง*"),"คนครอง")</f>
        <v>คนครอง</v>
      </c>
      <c r="W1301" s="6" cm="1">
        <f t="array" ref="W1301">_xlfn.IFS(COUNTIF(F1301,"ผบ.หมู่*"),51,COUNTIF(F1301,"รอง สว.*"),43)</f>
        <v>51</v>
      </c>
      <c r="X1301" s="1" t="s">
        <v>3904</v>
      </c>
      <c r="Y1301" s="1" t="s">
        <v>52</v>
      </c>
    </row>
    <row r="1302" spans="1:25" s="9" customFormat="1" ht="21.3" customHeight="1">
      <c r="A1302" s="27" t="s">
        <v>26</v>
      </c>
      <c r="B1302" s="28" t="s">
        <v>21</v>
      </c>
      <c r="C1302" s="27" t="s">
        <v>3907</v>
      </c>
      <c r="D1302" s="27" t="s">
        <v>9343</v>
      </c>
      <c r="E1302" s="27" t="s">
        <v>9344</v>
      </c>
      <c r="F1302" s="27" t="s">
        <v>3908</v>
      </c>
      <c r="G1302" s="101" t="s">
        <v>3910</v>
      </c>
      <c r="H1302" s="91">
        <v>44286</v>
      </c>
      <c r="I1302" s="73">
        <v>44286</v>
      </c>
      <c r="J1302" s="73">
        <v>44286</v>
      </c>
      <c r="K1302" s="73">
        <v>24872</v>
      </c>
      <c r="L1302" s="19" t="s">
        <v>7857</v>
      </c>
      <c r="M1302" s="3" t="s">
        <v>73</v>
      </c>
      <c r="N1302" s="112" t="s">
        <v>14</v>
      </c>
      <c r="O1302" s="104" t="s">
        <v>52</v>
      </c>
      <c r="P1302" s="104" t="s">
        <v>52</v>
      </c>
      <c r="Q1302" s="105"/>
      <c r="R1302" s="28" t="s">
        <v>1313</v>
      </c>
      <c r="S1302" s="225">
        <f t="shared" si="20"/>
        <v>47027</v>
      </c>
      <c r="T1302" s="2" t="s">
        <v>7630</v>
      </c>
      <c r="U1302" s="7" t="s">
        <v>122</v>
      </c>
      <c r="V1302" s="162" t="str" cm="1">
        <f t="array" ref="V1302">_xlfn.IFS(C1302="","",COUNTIF(C1302,"ตำแหน่งว่าง*"),"ว่าง",COUNTIF(C1302,"&lt;&gt;ตำแหน่งว่าง*"),"คนครอง")</f>
        <v>คนครอง</v>
      </c>
      <c r="W1302" s="5" cm="1">
        <f t="array" ref="W1302">_xlfn.IFS(COUNTIF(F1302,"ผบ.หมู่*"),51,COUNTIF(F1302,"รอง สว.*"),43)</f>
        <v>43</v>
      </c>
      <c r="X1302" s="1" t="s">
        <v>3909</v>
      </c>
      <c r="Y1302" s="1" t="s">
        <v>52</v>
      </c>
    </row>
    <row r="1303" spans="1:25" s="9" customFormat="1" ht="21.3" customHeight="1">
      <c r="A1303" s="27" t="s">
        <v>157</v>
      </c>
      <c r="B1303" s="28" t="s">
        <v>21</v>
      </c>
      <c r="C1303" s="27" t="s">
        <v>3911</v>
      </c>
      <c r="D1303" s="27" t="s">
        <v>9345</v>
      </c>
      <c r="E1303" s="27" t="s">
        <v>9346</v>
      </c>
      <c r="F1303" s="27" t="s">
        <v>3886</v>
      </c>
      <c r="G1303" s="101" t="s">
        <v>3913</v>
      </c>
      <c r="H1303" s="75">
        <v>42501</v>
      </c>
      <c r="I1303" s="73">
        <v>34352</v>
      </c>
      <c r="J1303" s="73">
        <v>34352</v>
      </c>
      <c r="K1303" s="73">
        <v>26174</v>
      </c>
      <c r="L1303" s="19" t="s">
        <v>3914</v>
      </c>
      <c r="M1303" s="3" t="s">
        <v>46</v>
      </c>
      <c r="N1303" s="112" t="s">
        <v>14</v>
      </c>
      <c r="O1303" s="104" t="s">
        <v>52</v>
      </c>
      <c r="P1303" s="104" t="s">
        <v>52</v>
      </c>
      <c r="Q1303" s="105"/>
      <c r="R1303" s="28" t="s">
        <v>110</v>
      </c>
      <c r="S1303" s="225">
        <f t="shared" si="20"/>
        <v>48122</v>
      </c>
      <c r="T1303" s="2" t="s">
        <v>7630</v>
      </c>
      <c r="U1303" s="7" t="s">
        <v>122</v>
      </c>
      <c r="V1303" s="162" t="str" cm="1">
        <f t="array" ref="V1303">_xlfn.IFS(C1303="","",COUNTIF(C1303,"ตำแหน่งว่าง*"),"ว่าง",COUNTIF(C1303,"&lt;&gt;ตำแหน่งว่าง*"),"คนครอง")</f>
        <v>คนครอง</v>
      </c>
      <c r="W1303" s="6" cm="1">
        <f t="array" ref="W1303">_xlfn.IFS(COUNTIF(F1303,"ผบ.หมู่*"),51,COUNTIF(F1303,"รอง สว.*"),43)</f>
        <v>51</v>
      </c>
      <c r="X1303" s="1" t="s">
        <v>3912</v>
      </c>
      <c r="Y1303" s="1" t="s">
        <v>52</v>
      </c>
    </row>
    <row r="1304" spans="1:25" s="9" customFormat="1" ht="21.3" customHeight="1">
      <c r="A1304" s="27" t="s">
        <v>157</v>
      </c>
      <c r="B1304" s="28" t="s">
        <v>21</v>
      </c>
      <c r="C1304" s="27" t="s">
        <v>3915</v>
      </c>
      <c r="D1304" s="27" t="s">
        <v>9347</v>
      </c>
      <c r="E1304" s="27" t="s">
        <v>9348</v>
      </c>
      <c r="F1304" s="27" t="s">
        <v>3886</v>
      </c>
      <c r="G1304" s="101" t="s">
        <v>3917</v>
      </c>
      <c r="H1304" s="75">
        <v>42501</v>
      </c>
      <c r="I1304" s="73">
        <v>34729</v>
      </c>
      <c r="J1304" s="73">
        <v>34729</v>
      </c>
      <c r="K1304" s="73">
        <v>26995</v>
      </c>
      <c r="L1304" s="19" t="s">
        <v>3918</v>
      </c>
      <c r="M1304" s="3" t="s">
        <v>73</v>
      </c>
      <c r="N1304" s="112" t="s">
        <v>14</v>
      </c>
      <c r="O1304" s="104" t="s">
        <v>52</v>
      </c>
      <c r="P1304" s="104" t="s">
        <v>52</v>
      </c>
      <c r="Q1304" s="105"/>
      <c r="R1304" s="28" t="s">
        <v>110</v>
      </c>
      <c r="S1304" s="225">
        <f t="shared" si="20"/>
        <v>49218</v>
      </c>
      <c r="T1304" s="2" t="s">
        <v>7630</v>
      </c>
      <c r="U1304" s="7" t="s">
        <v>122</v>
      </c>
      <c r="V1304" s="162" t="str" cm="1">
        <f t="array" ref="V1304">_xlfn.IFS(C1304="","",COUNTIF(C1304,"ตำแหน่งว่าง*"),"ว่าง",COUNTIF(C1304,"&lt;&gt;ตำแหน่งว่าง*"),"คนครอง")</f>
        <v>คนครอง</v>
      </c>
      <c r="W1304" s="6" cm="1">
        <f t="array" ref="W1304">_xlfn.IFS(COUNTIF(F1304,"ผบ.หมู่*"),51,COUNTIF(F1304,"รอง สว.*"),43)</f>
        <v>51</v>
      </c>
      <c r="X1304" s="1" t="s">
        <v>3916</v>
      </c>
      <c r="Y1304" s="1" t="s">
        <v>52</v>
      </c>
    </row>
    <row r="1305" spans="1:25" s="9" customFormat="1" ht="21.3" customHeight="1">
      <c r="A1305" s="27" t="s">
        <v>26</v>
      </c>
      <c r="B1305" s="28" t="s">
        <v>21</v>
      </c>
      <c r="C1305" s="27" t="s">
        <v>3919</v>
      </c>
      <c r="D1305" s="27" t="s">
        <v>8923</v>
      </c>
      <c r="E1305" s="27" t="s">
        <v>9349</v>
      </c>
      <c r="F1305" s="27" t="s">
        <v>3908</v>
      </c>
      <c r="G1305" s="101" t="s">
        <v>3921</v>
      </c>
      <c r="H1305" s="91">
        <v>43921</v>
      </c>
      <c r="I1305" s="73">
        <v>43921</v>
      </c>
      <c r="J1305" s="73">
        <v>43921</v>
      </c>
      <c r="K1305" s="73">
        <v>24456</v>
      </c>
      <c r="L1305" s="19" t="s">
        <v>7858</v>
      </c>
      <c r="M1305" s="3" t="s">
        <v>73</v>
      </c>
      <c r="N1305" s="112" t="s">
        <v>14</v>
      </c>
      <c r="O1305" s="104" t="s">
        <v>52</v>
      </c>
      <c r="P1305" s="104" t="s">
        <v>52</v>
      </c>
      <c r="Q1305" s="105"/>
      <c r="R1305" s="28" t="s">
        <v>110</v>
      </c>
      <c r="S1305" s="225">
        <f t="shared" si="20"/>
        <v>46661</v>
      </c>
      <c r="T1305" s="2" t="s">
        <v>7630</v>
      </c>
      <c r="U1305" s="7" t="s">
        <v>122</v>
      </c>
      <c r="V1305" s="162" t="str" cm="1">
        <f t="array" ref="V1305">_xlfn.IFS(C1305="","",COUNTIF(C1305,"ตำแหน่งว่าง*"),"ว่าง",COUNTIF(C1305,"&lt;&gt;ตำแหน่งว่าง*"),"คนครอง")</f>
        <v>คนครอง</v>
      </c>
      <c r="W1305" s="5" cm="1">
        <f t="array" ref="W1305">_xlfn.IFS(COUNTIF(F1305,"ผบ.หมู่*"),51,COUNTIF(F1305,"รอง สว.*"),43)</f>
        <v>43</v>
      </c>
      <c r="X1305" s="1" t="s">
        <v>3920</v>
      </c>
      <c r="Y1305" s="1" t="s">
        <v>52</v>
      </c>
    </row>
    <row r="1306" spans="1:25" s="9" customFormat="1" ht="21.3" customHeight="1">
      <c r="A1306" s="27" t="s">
        <v>157</v>
      </c>
      <c r="B1306" s="28" t="s">
        <v>12</v>
      </c>
      <c r="C1306" s="27" t="s">
        <v>3922</v>
      </c>
      <c r="D1306" s="27" t="s">
        <v>9350</v>
      </c>
      <c r="E1306" s="27" t="s">
        <v>9351</v>
      </c>
      <c r="F1306" s="27" t="s">
        <v>3886</v>
      </c>
      <c r="G1306" s="101" t="s">
        <v>3924</v>
      </c>
      <c r="H1306" s="91">
        <v>44243</v>
      </c>
      <c r="I1306" s="73">
        <v>38473</v>
      </c>
      <c r="J1306" s="73">
        <v>38473</v>
      </c>
      <c r="K1306" s="73">
        <v>30780</v>
      </c>
      <c r="L1306" s="19" t="s">
        <v>3925</v>
      </c>
      <c r="M1306" s="3" t="s">
        <v>73</v>
      </c>
      <c r="N1306" s="112" t="s">
        <v>14</v>
      </c>
      <c r="O1306" s="104" t="s">
        <v>52</v>
      </c>
      <c r="P1306" s="104" t="s">
        <v>52</v>
      </c>
      <c r="Q1306" s="105"/>
      <c r="R1306" s="28" t="s">
        <v>617</v>
      </c>
      <c r="S1306" s="225">
        <f t="shared" si="20"/>
        <v>52871</v>
      </c>
      <c r="T1306" s="2" t="s">
        <v>7630</v>
      </c>
      <c r="U1306" s="7" t="s">
        <v>122</v>
      </c>
      <c r="V1306" s="162" t="str" cm="1">
        <f t="array" ref="V1306">_xlfn.IFS(C1306="","",COUNTIF(C1306,"ตำแหน่งว่าง*"),"ว่าง",COUNTIF(C1306,"&lt;&gt;ตำแหน่งว่าง*"),"คนครอง")</f>
        <v>คนครอง</v>
      </c>
      <c r="W1306" s="6" cm="1">
        <f t="array" ref="W1306">_xlfn.IFS(COUNTIF(F1306,"ผบ.หมู่*"),51,COUNTIF(F1306,"รอง สว.*"),43)</f>
        <v>51</v>
      </c>
      <c r="X1306" s="1" t="s">
        <v>3923</v>
      </c>
      <c r="Y1306" s="1" t="s">
        <v>52</v>
      </c>
    </row>
    <row r="1307" spans="1:25" s="10" customFormat="1" ht="21.3" customHeight="1">
      <c r="A1307" s="27" t="s">
        <v>157</v>
      </c>
      <c r="B1307" s="28" t="s">
        <v>21</v>
      </c>
      <c r="C1307" s="27" t="s">
        <v>3926</v>
      </c>
      <c r="D1307" s="27" t="s">
        <v>8128</v>
      </c>
      <c r="E1307" s="27" t="s">
        <v>7979</v>
      </c>
      <c r="F1307" s="27" t="s">
        <v>3886</v>
      </c>
      <c r="G1307" s="101" t="s">
        <v>3928</v>
      </c>
      <c r="H1307" s="91">
        <v>44599</v>
      </c>
      <c r="I1307" s="73">
        <v>40814</v>
      </c>
      <c r="J1307" s="73">
        <v>40814</v>
      </c>
      <c r="K1307" s="73">
        <v>30958</v>
      </c>
      <c r="L1307" s="19" t="s">
        <v>3929</v>
      </c>
      <c r="M1307" s="3" t="s">
        <v>73</v>
      </c>
      <c r="N1307" s="112" t="s">
        <v>14</v>
      </c>
      <c r="O1307" s="104" t="s">
        <v>52</v>
      </c>
      <c r="P1307" s="104" t="s">
        <v>52</v>
      </c>
      <c r="Q1307" s="105"/>
      <c r="R1307" s="28" t="s">
        <v>607</v>
      </c>
      <c r="S1307" s="225">
        <f t="shared" si="20"/>
        <v>53236</v>
      </c>
      <c r="T1307" s="7" t="s">
        <v>7630</v>
      </c>
      <c r="U1307" s="7" t="s">
        <v>122</v>
      </c>
      <c r="V1307" s="162" t="str" cm="1">
        <f t="array" ref="V1307">_xlfn.IFS(C1307="","",COUNTIF(C1307,"ตำแหน่งว่าง*"),"ว่าง",COUNTIF(C1307,"&lt;&gt;ตำแหน่งว่าง*"),"คนครอง")</f>
        <v>คนครอง</v>
      </c>
      <c r="W1307" s="6" cm="1">
        <f t="array" ref="W1307">_xlfn.IFS(COUNTIF(F1307,"ผบ.หมู่*"),51,COUNTIF(F1307,"รอง สว.*"),43)</f>
        <v>51</v>
      </c>
      <c r="X1307" s="1" t="s">
        <v>3927</v>
      </c>
      <c r="Y1307" s="1" t="s">
        <v>52</v>
      </c>
    </row>
    <row r="1308" spans="1:25" s="9" customFormat="1" ht="21.3" customHeight="1">
      <c r="A1308" s="27" t="s">
        <v>208</v>
      </c>
      <c r="B1308" s="28" t="s">
        <v>21</v>
      </c>
      <c r="C1308" s="27" t="s">
        <v>3930</v>
      </c>
      <c r="D1308" s="27" t="s">
        <v>9352</v>
      </c>
      <c r="E1308" s="27" t="s">
        <v>8092</v>
      </c>
      <c r="F1308" s="27" t="s">
        <v>3886</v>
      </c>
      <c r="G1308" s="101" t="s">
        <v>3932</v>
      </c>
      <c r="H1308" s="91">
        <v>44599</v>
      </c>
      <c r="I1308" s="73">
        <v>43132</v>
      </c>
      <c r="J1308" s="73">
        <v>43132</v>
      </c>
      <c r="K1308" s="73">
        <v>33529</v>
      </c>
      <c r="L1308" s="19" t="s">
        <v>3933</v>
      </c>
      <c r="M1308" s="3" t="s">
        <v>73</v>
      </c>
      <c r="N1308" s="112" t="s">
        <v>14</v>
      </c>
      <c r="O1308" s="104" t="s">
        <v>52</v>
      </c>
      <c r="P1308" s="104" t="s">
        <v>52</v>
      </c>
      <c r="Q1308" s="105"/>
      <c r="R1308" s="28" t="s">
        <v>607</v>
      </c>
      <c r="S1308" s="225">
        <f t="shared" si="20"/>
        <v>55793</v>
      </c>
      <c r="T1308" s="2" t="s">
        <v>7630</v>
      </c>
      <c r="U1308" s="7" t="s">
        <v>122</v>
      </c>
      <c r="V1308" s="162" t="str" cm="1">
        <f t="array" ref="V1308">_xlfn.IFS(C1308="","",COUNTIF(C1308,"ตำแหน่งว่าง*"),"ว่าง",COUNTIF(C1308,"&lt;&gt;ตำแหน่งว่าง*"),"คนครอง")</f>
        <v>คนครอง</v>
      </c>
      <c r="W1308" s="6" cm="1">
        <f t="array" ref="W1308">_xlfn.IFS(COUNTIF(F1308,"ผบ.หมู่*"),51,COUNTIF(F1308,"รอง สว.*"),43)</f>
        <v>51</v>
      </c>
      <c r="X1308" s="1" t="s">
        <v>3931</v>
      </c>
      <c r="Y1308" s="1" t="s">
        <v>52</v>
      </c>
    </row>
    <row r="1309" spans="1:25" s="9" customFormat="1" ht="21.3" customHeight="1">
      <c r="A1309" s="27" t="s">
        <v>157</v>
      </c>
      <c r="B1309" s="28" t="s">
        <v>12</v>
      </c>
      <c r="C1309" s="27" t="s">
        <v>3934</v>
      </c>
      <c r="D1309" s="27" t="s">
        <v>9353</v>
      </c>
      <c r="E1309" s="27" t="s">
        <v>9354</v>
      </c>
      <c r="F1309" s="27" t="s">
        <v>3886</v>
      </c>
      <c r="G1309" s="101" t="s">
        <v>3936</v>
      </c>
      <c r="H1309" s="91">
        <v>44599</v>
      </c>
      <c r="I1309" s="73">
        <v>38018</v>
      </c>
      <c r="J1309" s="73">
        <v>38018</v>
      </c>
      <c r="K1309" s="73">
        <v>29132</v>
      </c>
      <c r="L1309" s="19" t="s">
        <v>3937</v>
      </c>
      <c r="M1309" s="3" t="s">
        <v>46</v>
      </c>
      <c r="N1309" s="112" t="s">
        <v>14</v>
      </c>
      <c r="O1309" s="104" t="s">
        <v>52</v>
      </c>
      <c r="P1309" s="104" t="s">
        <v>52</v>
      </c>
      <c r="Q1309" s="105"/>
      <c r="R1309" s="28" t="s">
        <v>607</v>
      </c>
      <c r="S1309" s="225">
        <f t="shared" si="20"/>
        <v>51410</v>
      </c>
      <c r="T1309" s="2" t="s">
        <v>7630</v>
      </c>
      <c r="U1309" s="7" t="s">
        <v>122</v>
      </c>
      <c r="V1309" s="162" t="str" cm="1">
        <f t="array" ref="V1309">_xlfn.IFS(C1309="","",COUNTIF(C1309,"ตำแหน่งว่าง*"),"ว่าง",COUNTIF(C1309,"&lt;&gt;ตำแหน่งว่าง*"),"คนครอง")</f>
        <v>คนครอง</v>
      </c>
      <c r="W1309" s="6" cm="1">
        <f t="array" ref="W1309">_xlfn.IFS(COUNTIF(F1309,"ผบ.หมู่*"),51,COUNTIF(F1309,"รอง สว.*"),43)</f>
        <v>51</v>
      </c>
      <c r="X1309" s="1" t="s">
        <v>3935</v>
      </c>
      <c r="Y1309" s="1" t="s">
        <v>52</v>
      </c>
    </row>
    <row r="1310" spans="1:25" s="9" customFormat="1" ht="21.3" customHeight="1">
      <c r="A1310" s="27" t="s">
        <v>157</v>
      </c>
      <c r="B1310" s="28" t="s">
        <v>12</v>
      </c>
      <c r="C1310" s="95" t="s">
        <v>3841</v>
      </c>
      <c r="D1310" s="27" t="s">
        <v>9355</v>
      </c>
      <c r="E1310" s="27" t="s">
        <v>9356</v>
      </c>
      <c r="F1310" s="27" t="s">
        <v>3842</v>
      </c>
      <c r="G1310" s="101" t="s">
        <v>3844</v>
      </c>
      <c r="H1310" s="75">
        <v>43235</v>
      </c>
      <c r="I1310" s="73">
        <v>37316</v>
      </c>
      <c r="J1310" s="73">
        <v>37316</v>
      </c>
      <c r="K1310" s="73">
        <v>29141</v>
      </c>
      <c r="L1310" s="19" t="s">
        <v>3845</v>
      </c>
      <c r="M1310" s="3" t="s">
        <v>65</v>
      </c>
      <c r="N1310" s="112" t="s">
        <v>14</v>
      </c>
      <c r="O1310" s="104" t="s">
        <v>52</v>
      </c>
      <c r="P1310" s="104" t="s">
        <v>52</v>
      </c>
      <c r="Q1310" s="105"/>
      <c r="R1310" s="28" t="s">
        <v>3846</v>
      </c>
      <c r="S1310" s="225">
        <f t="shared" si="20"/>
        <v>51410</v>
      </c>
      <c r="T1310" s="2" t="s">
        <v>7629</v>
      </c>
      <c r="U1310" s="7" t="s">
        <v>122</v>
      </c>
      <c r="V1310" s="162" t="str" cm="1">
        <f t="array" ref="V1310">_xlfn.IFS(C1310="","",COUNTIF(C1310,"ตำแหน่งว่าง*"),"ว่าง",COUNTIF(C1310,"&lt;&gt;ตำแหน่งว่าง*"),"คนครอง")</f>
        <v>คนครอง</v>
      </c>
      <c r="W1310" s="6" cm="1">
        <f t="array" ref="W1310">_xlfn.IFS(COUNTIF(F1310,"ผบ.หมู่*"),51,COUNTIF(F1310,"รอง สว.*"),43)</f>
        <v>51</v>
      </c>
      <c r="X1310" s="1" t="s">
        <v>3843</v>
      </c>
      <c r="Y1310" s="1" t="s">
        <v>52</v>
      </c>
    </row>
    <row r="1311" spans="1:25" s="9" customFormat="1" ht="21.3" customHeight="1">
      <c r="A1311" s="27" t="s">
        <v>157</v>
      </c>
      <c r="B1311" s="28" t="s">
        <v>21</v>
      </c>
      <c r="C1311" s="27" t="s">
        <v>3847</v>
      </c>
      <c r="D1311" s="27" t="s">
        <v>9357</v>
      </c>
      <c r="E1311" s="27" t="s">
        <v>9358</v>
      </c>
      <c r="F1311" s="27" t="s">
        <v>3842</v>
      </c>
      <c r="G1311" s="101" t="s">
        <v>3849</v>
      </c>
      <c r="H1311" s="75">
        <v>42501</v>
      </c>
      <c r="I1311" s="73">
        <v>39717</v>
      </c>
      <c r="J1311" s="73">
        <v>39717</v>
      </c>
      <c r="K1311" s="73">
        <v>30369</v>
      </c>
      <c r="L1311" s="19" t="s">
        <v>3850</v>
      </c>
      <c r="M1311" s="3" t="s">
        <v>46</v>
      </c>
      <c r="N1311" s="112" t="s">
        <v>14</v>
      </c>
      <c r="O1311" s="104" t="s">
        <v>52</v>
      </c>
      <c r="P1311" s="104" t="s">
        <v>52</v>
      </c>
      <c r="Q1311" s="105"/>
      <c r="R1311" s="28" t="s">
        <v>110</v>
      </c>
      <c r="S1311" s="225">
        <f t="shared" si="20"/>
        <v>52505</v>
      </c>
      <c r="T1311" s="2" t="s">
        <v>7629</v>
      </c>
      <c r="U1311" s="7" t="s">
        <v>122</v>
      </c>
      <c r="V1311" s="162" t="str" cm="1">
        <f t="array" ref="V1311">_xlfn.IFS(C1311="","",COUNTIF(C1311,"ตำแหน่งว่าง*"),"ว่าง",COUNTIF(C1311,"&lt;&gt;ตำแหน่งว่าง*"),"คนครอง")</f>
        <v>คนครอง</v>
      </c>
      <c r="W1311" s="6" cm="1">
        <f t="array" ref="W1311">_xlfn.IFS(COUNTIF(F1311,"ผบ.หมู่*"),51,COUNTIF(F1311,"รอง สว.*"),43)</f>
        <v>51</v>
      </c>
      <c r="X1311" s="1" t="s">
        <v>3848</v>
      </c>
      <c r="Y1311" s="1" t="s">
        <v>52</v>
      </c>
    </row>
    <row r="1312" spans="1:25" s="9" customFormat="1" ht="21.3" customHeight="1">
      <c r="A1312" s="27" t="s">
        <v>157</v>
      </c>
      <c r="B1312" s="28" t="s">
        <v>12</v>
      </c>
      <c r="C1312" s="27" t="s">
        <v>3851</v>
      </c>
      <c r="D1312" s="27" t="s">
        <v>9359</v>
      </c>
      <c r="E1312" s="27" t="s">
        <v>9360</v>
      </c>
      <c r="F1312" s="27" t="s">
        <v>3842</v>
      </c>
      <c r="G1312" s="101" t="s">
        <v>3853</v>
      </c>
      <c r="H1312" s="91">
        <v>43656</v>
      </c>
      <c r="I1312" s="73">
        <v>40814</v>
      </c>
      <c r="J1312" s="73">
        <v>40814</v>
      </c>
      <c r="K1312" s="73">
        <v>31733</v>
      </c>
      <c r="L1312" s="19" t="s">
        <v>3854</v>
      </c>
      <c r="M1312" s="3" t="s">
        <v>65</v>
      </c>
      <c r="N1312" s="112" t="s">
        <v>14</v>
      </c>
      <c r="O1312" s="104" t="s">
        <v>52</v>
      </c>
      <c r="P1312" s="104" t="s">
        <v>52</v>
      </c>
      <c r="Q1312" s="105"/>
      <c r="R1312" s="28" t="s">
        <v>2794</v>
      </c>
      <c r="S1312" s="225">
        <f t="shared" si="20"/>
        <v>53966</v>
      </c>
      <c r="T1312" s="2" t="s">
        <v>7629</v>
      </c>
      <c r="U1312" s="7" t="s">
        <v>122</v>
      </c>
      <c r="V1312" s="162" t="str" cm="1">
        <f t="array" ref="V1312">_xlfn.IFS(C1312="","",COUNTIF(C1312,"ตำแหน่งว่าง*"),"ว่าง",COUNTIF(C1312,"&lt;&gt;ตำแหน่งว่าง*"),"คนครอง")</f>
        <v>คนครอง</v>
      </c>
      <c r="W1312" s="6" cm="1">
        <f t="array" ref="W1312">_xlfn.IFS(COUNTIF(F1312,"ผบ.หมู่*"),51,COUNTIF(F1312,"รอง สว.*"),43)</f>
        <v>51</v>
      </c>
      <c r="X1312" s="1" t="s">
        <v>3852</v>
      </c>
      <c r="Y1312" s="1" t="s">
        <v>52</v>
      </c>
    </row>
    <row r="1313" spans="1:25" s="10" customFormat="1" ht="21.3" customHeight="1">
      <c r="A1313" s="27" t="s">
        <v>157</v>
      </c>
      <c r="B1313" s="28" t="s">
        <v>21</v>
      </c>
      <c r="C1313" s="27" t="s">
        <v>3855</v>
      </c>
      <c r="D1313" s="27" t="s">
        <v>9361</v>
      </c>
      <c r="E1313" s="27" t="s">
        <v>9362</v>
      </c>
      <c r="F1313" s="27" t="s">
        <v>3842</v>
      </c>
      <c r="G1313" s="101" t="s">
        <v>3857</v>
      </c>
      <c r="H1313" s="91">
        <v>44999</v>
      </c>
      <c r="I1313" s="82">
        <v>40339</v>
      </c>
      <c r="J1313" s="82">
        <v>40339</v>
      </c>
      <c r="K1313" s="82">
        <v>30407</v>
      </c>
      <c r="L1313" s="59" t="s">
        <v>3858</v>
      </c>
      <c r="M1313" s="57" t="s">
        <v>65</v>
      </c>
      <c r="N1313" s="112" t="s">
        <v>14</v>
      </c>
      <c r="O1313" s="104" t="s">
        <v>52</v>
      </c>
      <c r="P1313" s="104" t="s">
        <v>52</v>
      </c>
      <c r="Q1313" s="105"/>
      <c r="R1313" s="28" t="s">
        <v>74</v>
      </c>
      <c r="S1313" s="225">
        <f t="shared" si="20"/>
        <v>52505</v>
      </c>
      <c r="T1313" s="7" t="s">
        <v>7629</v>
      </c>
      <c r="U1313" s="7" t="s">
        <v>122</v>
      </c>
      <c r="V1313" s="162" t="str" cm="1">
        <f t="array" ref="V1313">_xlfn.IFS(C1313="","",COUNTIF(C1313,"ตำแหน่งว่าง*"),"ว่าง",COUNTIF(C1313,"&lt;&gt;ตำแหน่งว่าง*"),"คนครอง")</f>
        <v>คนครอง</v>
      </c>
      <c r="W1313" s="6" cm="1">
        <f t="array" ref="W1313">_xlfn.IFS(COUNTIF(F1313,"ผบ.หมู่*"),51,COUNTIF(F1313,"รอง สว.*"),43)</f>
        <v>51</v>
      </c>
      <c r="X1313" s="28" t="s">
        <v>3856</v>
      </c>
      <c r="Y1313" s="28" t="s">
        <v>52</v>
      </c>
    </row>
    <row r="1314" spans="1:25" s="10" customFormat="1" ht="21.3" customHeight="1">
      <c r="A1314" s="27"/>
      <c r="B1314" s="28"/>
      <c r="C1314" s="27" t="s">
        <v>18</v>
      </c>
      <c r="D1314" s="27"/>
      <c r="E1314" s="27"/>
      <c r="F1314" s="27" t="s">
        <v>3842</v>
      </c>
      <c r="G1314" s="101" t="s">
        <v>3861</v>
      </c>
      <c r="H1314" s="91"/>
      <c r="I1314" s="82"/>
      <c r="J1314" s="82"/>
      <c r="K1314" s="82"/>
      <c r="L1314" s="59"/>
      <c r="M1314" s="57"/>
      <c r="N1314" s="112" t="s">
        <v>14</v>
      </c>
      <c r="O1314" s="104" t="s">
        <v>52</v>
      </c>
      <c r="P1314" s="104" t="s">
        <v>52</v>
      </c>
      <c r="Q1314" s="105"/>
      <c r="R1314" s="28"/>
      <c r="S1314" s="174" t="str">
        <f t="shared" si="20"/>
        <v/>
      </c>
      <c r="T1314" s="2" t="s">
        <v>7629</v>
      </c>
      <c r="U1314" s="2" t="s">
        <v>122</v>
      </c>
      <c r="V1314" s="2" t="str" cm="1">
        <f t="array" ref="V1314">_xlfn.IFS(C1314="","",COUNTIF(C1314,"ตำแหน่งว่าง*"),"ว่าง",COUNTIF(C1314,"&lt;&gt;ตำแหน่งว่าง*"),"คนครอง")</f>
        <v>ว่าง</v>
      </c>
      <c r="W1314" s="1" cm="1">
        <f t="array" ref="W1314">_xlfn.IFS(COUNTIF(F1314,"ผบ.หมู่*"),51,COUNTIF(F1314,"รอง สว.*"),43)</f>
        <v>51</v>
      </c>
      <c r="X1314" s="28" t="s">
        <v>3860</v>
      </c>
      <c r="Y1314" s="28" t="s">
        <v>52</v>
      </c>
    </row>
    <row r="1315" spans="1:25" s="10" customFormat="1" ht="21.3" customHeight="1">
      <c r="A1315" s="27" t="s">
        <v>612</v>
      </c>
      <c r="B1315" s="28" t="s">
        <v>12</v>
      </c>
      <c r="C1315" s="27" t="s">
        <v>7744</v>
      </c>
      <c r="D1315" s="27" t="s">
        <v>9364</v>
      </c>
      <c r="E1315" s="27" t="s">
        <v>9365</v>
      </c>
      <c r="F1315" s="27" t="s">
        <v>3842</v>
      </c>
      <c r="G1315" s="101" t="s">
        <v>3864</v>
      </c>
      <c r="H1315" s="91">
        <v>45322</v>
      </c>
      <c r="I1315" s="73">
        <v>42156</v>
      </c>
      <c r="J1315" s="73">
        <v>42156</v>
      </c>
      <c r="K1315" s="73">
        <v>32603</v>
      </c>
      <c r="L1315" s="19"/>
      <c r="M1315" s="3"/>
      <c r="N1315" s="112" t="s">
        <v>14</v>
      </c>
      <c r="O1315" s="104" t="s">
        <v>52</v>
      </c>
      <c r="P1315" s="104" t="s">
        <v>52</v>
      </c>
      <c r="Q1315" s="105"/>
      <c r="R1315" s="28" t="s">
        <v>7708</v>
      </c>
      <c r="S1315" s="225">
        <f t="shared" si="20"/>
        <v>54697</v>
      </c>
      <c r="T1315" s="7" t="s">
        <v>7629</v>
      </c>
      <c r="U1315" s="7" t="s">
        <v>122</v>
      </c>
      <c r="V1315" s="162" t="str" cm="1">
        <f t="array" ref="V1315">_xlfn.IFS(C1315="","",COUNTIF(C1315,"ตำแหน่งว่าง*"),"ว่าง",COUNTIF(C1315,"&lt;&gt;ตำแหน่งว่าง*"),"คนครอง")</f>
        <v>คนครอง</v>
      </c>
      <c r="W1315" s="6" cm="1">
        <f t="array" ref="W1315">_xlfn.IFS(COUNTIF(F1315,"ผบ.หมู่*"),51,COUNTIF(F1315,"รอง สว.*"),43)</f>
        <v>51</v>
      </c>
      <c r="X1315" s="1" t="s">
        <v>3863</v>
      </c>
      <c r="Y1315" s="1" t="s">
        <v>52</v>
      </c>
    </row>
    <row r="1316" spans="1:25" s="10" customFormat="1" ht="21.3" customHeight="1">
      <c r="A1316" s="192" t="s">
        <v>169</v>
      </c>
      <c r="B1316" s="193" t="s">
        <v>21</v>
      </c>
      <c r="C1316" s="192" t="s">
        <v>7931</v>
      </c>
      <c r="D1316" s="27" t="s">
        <v>9366</v>
      </c>
      <c r="E1316" s="27" t="s">
        <v>9367</v>
      </c>
      <c r="F1316" s="192" t="s">
        <v>3842</v>
      </c>
      <c r="G1316" s="101" t="s">
        <v>3866</v>
      </c>
      <c r="H1316" s="73">
        <v>45463</v>
      </c>
      <c r="I1316" s="73">
        <v>45463</v>
      </c>
      <c r="J1316" s="73">
        <v>45463</v>
      </c>
      <c r="K1316" s="73">
        <v>35352</v>
      </c>
      <c r="L1316" s="2" t="s">
        <v>82</v>
      </c>
      <c r="M1316" s="3"/>
      <c r="N1316" s="112" t="s">
        <v>14</v>
      </c>
      <c r="O1316" s="104" t="s">
        <v>52</v>
      </c>
      <c r="P1316" s="104" t="s">
        <v>52</v>
      </c>
      <c r="Q1316" s="105"/>
      <c r="R1316" s="28" t="s">
        <v>7961</v>
      </c>
      <c r="S1316" s="174">
        <f t="shared" si="20"/>
        <v>57619</v>
      </c>
      <c r="T1316" s="2" t="s">
        <v>7629</v>
      </c>
      <c r="U1316" s="2" t="s">
        <v>122</v>
      </c>
      <c r="V1316" s="162" t="str" cm="1">
        <f t="array" ref="V1316">_xlfn.IFS(C1316="","",COUNTIF(C1316,"ตำแหน่งว่าง*"),"ว่าง",COUNTIF(C1316,"&lt;&gt;ตำแหน่งว่าง*"),"คนครอง")</f>
        <v>คนครอง</v>
      </c>
      <c r="W1316" s="1" cm="1">
        <f t="array" ref="W1316">_xlfn.IFS(COUNTIF(F1316,"ผบ.หมู่*"),51,COUNTIF(F1316,"รอง สว.*"),43)</f>
        <v>51</v>
      </c>
      <c r="X1316" s="1" t="s">
        <v>3865</v>
      </c>
      <c r="Y1316" s="1" t="s">
        <v>52</v>
      </c>
    </row>
    <row r="1317" spans="1:25" s="9" customFormat="1" ht="21.3" customHeight="1">
      <c r="A1317" s="27" t="s">
        <v>26</v>
      </c>
      <c r="B1317" s="28" t="s">
        <v>12</v>
      </c>
      <c r="C1317" s="27" t="s">
        <v>3867</v>
      </c>
      <c r="D1317" s="27" t="s">
        <v>9368</v>
      </c>
      <c r="E1317" s="27" t="s">
        <v>9369</v>
      </c>
      <c r="F1317" s="27" t="s">
        <v>3868</v>
      </c>
      <c r="G1317" s="101" t="s">
        <v>3870</v>
      </c>
      <c r="H1317" s="91">
        <v>43921</v>
      </c>
      <c r="I1317" s="73">
        <v>43921</v>
      </c>
      <c r="J1317" s="73">
        <v>43921</v>
      </c>
      <c r="K1317" s="73">
        <v>24553</v>
      </c>
      <c r="L1317" s="19" t="s">
        <v>3871</v>
      </c>
      <c r="M1317" s="3" t="s">
        <v>65</v>
      </c>
      <c r="N1317" s="112" t="s">
        <v>14</v>
      </c>
      <c r="O1317" s="104" t="s">
        <v>52</v>
      </c>
      <c r="P1317" s="104" t="s">
        <v>52</v>
      </c>
      <c r="Q1317" s="105"/>
      <c r="R1317" s="28" t="s">
        <v>2700</v>
      </c>
      <c r="S1317" s="225">
        <f t="shared" si="20"/>
        <v>46661</v>
      </c>
      <c r="T1317" s="2" t="s">
        <v>7629</v>
      </c>
      <c r="U1317" s="7" t="s">
        <v>122</v>
      </c>
      <c r="V1317" s="162" t="str" cm="1">
        <f t="array" ref="V1317">_xlfn.IFS(C1317="","",COUNTIF(C1317,"ตำแหน่งว่าง*"),"ว่าง",COUNTIF(C1317,"&lt;&gt;ตำแหน่งว่าง*"),"คนครอง")</f>
        <v>คนครอง</v>
      </c>
      <c r="W1317" s="5" cm="1">
        <f t="array" ref="W1317">_xlfn.IFS(COUNTIF(F1317,"ผบ.หมู่*"),51,COUNTIF(F1317,"รอง สว.*"),43)</f>
        <v>43</v>
      </c>
      <c r="X1317" s="1" t="s">
        <v>3869</v>
      </c>
      <c r="Y1317" s="1" t="s">
        <v>52</v>
      </c>
    </row>
    <row r="1318" spans="1:25" s="9" customFormat="1" ht="21.3" customHeight="1">
      <c r="A1318" s="27" t="s">
        <v>612</v>
      </c>
      <c r="B1318" s="28" t="s">
        <v>12</v>
      </c>
      <c r="C1318" s="27" t="s">
        <v>3872</v>
      </c>
      <c r="D1318" s="27" t="s">
        <v>9370</v>
      </c>
      <c r="E1318" s="27" t="s">
        <v>9371</v>
      </c>
      <c r="F1318" s="27" t="s">
        <v>3842</v>
      </c>
      <c r="G1318" s="101" t="s">
        <v>3874</v>
      </c>
      <c r="H1318" s="75">
        <v>42501</v>
      </c>
      <c r="I1318" s="73">
        <v>42416</v>
      </c>
      <c r="J1318" s="73">
        <v>42416</v>
      </c>
      <c r="K1318" s="73">
        <v>34842</v>
      </c>
      <c r="L1318" s="19" t="s">
        <v>1667</v>
      </c>
      <c r="M1318" s="3" t="s">
        <v>81</v>
      </c>
      <c r="N1318" s="112" t="s">
        <v>14</v>
      </c>
      <c r="O1318" s="104" t="s">
        <v>52</v>
      </c>
      <c r="P1318" s="104" t="s">
        <v>52</v>
      </c>
      <c r="Q1318" s="105"/>
      <c r="R1318" s="28" t="s">
        <v>110</v>
      </c>
      <c r="S1318" s="225">
        <f t="shared" si="20"/>
        <v>56888</v>
      </c>
      <c r="T1318" s="2" t="s">
        <v>7629</v>
      </c>
      <c r="U1318" s="7" t="s">
        <v>122</v>
      </c>
      <c r="V1318" s="162" t="str" cm="1">
        <f t="array" ref="V1318">_xlfn.IFS(C1318="","",COUNTIF(C1318,"ตำแหน่งว่าง*"),"ว่าง",COUNTIF(C1318,"&lt;&gt;ตำแหน่งว่าง*"),"คนครอง")</f>
        <v>คนครอง</v>
      </c>
      <c r="W1318" s="6" cm="1">
        <f t="array" ref="W1318">_xlfn.IFS(COUNTIF(F1318,"ผบ.หมู่*"),51,COUNTIF(F1318,"รอง สว.*"),43)</f>
        <v>51</v>
      </c>
      <c r="X1318" s="1" t="s">
        <v>3873</v>
      </c>
      <c r="Y1318" s="1" t="s">
        <v>52</v>
      </c>
    </row>
    <row r="1319" spans="1:25" s="9" customFormat="1" ht="21.3" customHeight="1">
      <c r="A1319" s="27"/>
      <c r="B1319" s="30"/>
      <c r="C1319" s="30" t="s">
        <v>18</v>
      </c>
      <c r="D1319" s="27"/>
      <c r="E1319" s="27"/>
      <c r="F1319" s="68" t="s">
        <v>3842</v>
      </c>
      <c r="G1319" s="121" t="s">
        <v>3876</v>
      </c>
      <c r="H1319" s="80"/>
      <c r="I1319" s="74"/>
      <c r="J1319" s="74"/>
      <c r="K1319" s="74"/>
      <c r="L1319" s="44"/>
      <c r="M1319" s="8"/>
      <c r="N1319" s="113" t="s">
        <v>14</v>
      </c>
      <c r="O1319" s="122" t="s">
        <v>52</v>
      </c>
      <c r="P1319" s="122" t="s">
        <v>52</v>
      </c>
      <c r="Q1319" s="106"/>
      <c r="R1319" s="30"/>
      <c r="S1319" s="225" t="str">
        <f t="shared" si="20"/>
        <v/>
      </c>
      <c r="T1319" s="2" t="s">
        <v>7629</v>
      </c>
      <c r="U1319" s="7" t="s">
        <v>122</v>
      </c>
      <c r="V1319" s="171" t="str" cm="1">
        <f t="array" ref="V1319">_xlfn.IFS(C1319="","",COUNTIF(C1319,"ตำแหน่งว่าง*"),"ว่าง",COUNTIF(C1319,"&lt;&gt;ตำแหน่งว่าง*"),"คนครอง")</f>
        <v>ว่าง</v>
      </c>
      <c r="W1319" s="6" cm="1">
        <f t="array" ref="W1319">_xlfn.IFS(COUNTIF(F1319,"ผบ.หมู่*"),51,COUNTIF(F1319,"รอง สว.*"),43)</f>
        <v>51</v>
      </c>
      <c r="X1319" s="6" t="s">
        <v>3875</v>
      </c>
      <c r="Y1319" s="6" t="s">
        <v>52</v>
      </c>
    </row>
    <row r="1320" spans="1:25" s="10" customFormat="1" ht="21.3" customHeight="1">
      <c r="A1320" s="27"/>
      <c r="B1320" s="30"/>
      <c r="C1320" s="30" t="s">
        <v>18</v>
      </c>
      <c r="D1320" s="27"/>
      <c r="E1320" s="27"/>
      <c r="F1320" s="68" t="s">
        <v>3842</v>
      </c>
      <c r="G1320" s="121" t="s">
        <v>3878</v>
      </c>
      <c r="H1320" s="91" t="s">
        <v>19</v>
      </c>
      <c r="I1320" s="73" t="s">
        <v>19</v>
      </c>
      <c r="J1320" s="73" t="s">
        <v>19</v>
      </c>
      <c r="K1320" s="73" t="s">
        <v>19</v>
      </c>
      <c r="L1320" s="19"/>
      <c r="M1320" s="3"/>
      <c r="N1320" s="113" t="s">
        <v>14</v>
      </c>
      <c r="O1320" s="122" t="s">
        <v>52</v>
      </c>
      <c r="P1320" s="122" t="s">
        <v>52</v>
      </c>
      <c r="Q1320" s="106"/>
      <c r="R1320" s="30"/>
      <c r="S1320" s="225" t="str">
        <f t="shared" si="20"/>
        <v/>
      </c>
      <c r="T1320" s="7" t="s">
        <v>7629</v>
      </c>
      <c r="U1320" s="7" t="s">
        <v>122</v>
      </c>
      <c r="V1320" s="171" t="str" cm="1">
        <f t="array" ref="V1320">_xlfn.IFS(C1320="","",COUNTIF(C1320,"ตำแหน่งว่าง*"),"ว่าง",COUNTIF(C1320,"&lt;&gt;ตำแหน่งว่าง*"),"คนครอง")</f>
        <v>ว่าง</v>
      </c>
      <c r="W1320" s="6" cm="1">
        <f t="array" ref="W1320">_xlfn.IFS(COUNTIF(F1320,"ผบ.หมู่*"),51,COUNTIF(F1320,"รอง สว.*"),43)</f>
        <v>51</v>
      </c>
      <c r="X1320" s="6" t="s">
        <v>3877</v>
      </c>
      <c r="Y1320" s="6" t="s">
        <v>52</v>
      </c>
    </row>
    <row r="1321" spans="1:25" s="10" customFormat="1" ht="21.3" customHeight="1">
      <c r="A1321" s="27"/>
      <c r="B1321" s="30"/>
      <c r="C1321" s="30" t="s">
        <v>18</v>
      </c>
      <c r="D1321" s="27"/>
      <c r="E1321" s="27"/>
      <c r="F1321" s="68" t="s">
        <v>3842</v>
      </c>
      <c r="G1321" s="121" t="s">
        <v>3880</v>
      </c>
      <c r="H1321" s="91" t="s">
        <v>19</v>
      </c>
      <c r="I1321" s="73" t="s">
        <v>19</v>
      </c>
      <c r="J1321" s="73" t="s">
        <v>19</v>
      </c>
      <c r="K1321" s="73" t="s">
        <v>19</v>
      </c>
      <c r="L1321" s="19"/>
      <c r="M1321" s="3"/>
      <c r="N1321" s="113" t="s">
        <v>14</v>
      </c>
      <c r="O1321" s="122" t="s">
        <v>52</v>
      </c>
      <c r="P1321" s="122" t="s">
        <v>52</v>
      </c>
      <c r="Q1321" s="106"/>
      <c r="R1321" s="30"/>
      <c r="S1321" s="225" t="str">
        <f t="shared" si="20"/>
        <v/>
      </c>
      <c r="T1321" s="7" t="s">
        <v>7629</v>
      </c>
      <c r="U1321" s="7" t="s">
        <v>122</v>
      </c>
      <c r="V1321" s="171" t="str" cm="1">
        <f t="array" ref="V1321">_xlfn.IFS(C1321="","",COUNTIF(C1321,"ตำแหน่งว่าง*"),"ว่าง",COUNTIF(C1321,"&lt;&gt;ตำแหน่งว่าง*"),"คนครอง")</f>
        <v>ว่าง</v>
      </c>
      <c r="W1321" s="6" cm="1">
        <f t="array" ref="W1321">_xlfn.IFS(COUNTIF(F1321,"ผบ.หมู่*"),51,COUNTIF(F1321,"รอง สว.*"),43)</f>
        <v>51</v>
      </c>
      <c r="X1321" s="6" t="s">
        <v>3879</v>
      </c>
      <c r="Y1321" s="6" t="s">
        <v>52</v>
      </c>
    </row>
    <row r="1322" spans="1:25" s="9" customFormat="1" ht="21.3" customHeight="1">
      <c r="A1322" s="27"/>
      <c r="B1322" s="30"/>
      <c r="C1322" s="30" t="s">
        <v>18</v>
      </c>
      <c r="D1322" s="27"/>
      <c r="E1322" s="27"/>
      <c r="F1322" s="68" t="s">
        <v>3842</v>
      </c>
      <c r="G1322" s="121" t="s">
        <v>3882</v>
      </c>
      <c r="H1322" s="80"/>
      <c r="I1322" s="74"/>
      <c r="J1322" s="74"/>
      <c r="K1322" s="74"/>
      <c r="L1322" s="44"/>
      <c r="M1322" s="8"/>
      <c r="N1322" s="113" t="s">
        <v>14</v>
      </c>
      <c r="O1322" s="122" t="s">
        <v>52</v>
      </c>
      <c r="P1322" s="122" t="s">
        <v>52</v>
      </c>
      <c r="Q1322" s="106"/>
      <c r="R1322" s="30"/>
      <c r="S1322" s="225" t="str">
        <f t="shared" si="20"/>
        <v/>
      </c>
      <c r="T1322" s="2" t="s">
        <v>7629</v>
      </c>
      <c r="U1322" s="7" t="s">
        <v>122</v>
      </c>
      <c r="V1322" s="171" t="str" cm="1">
        <f t="array" ref="V1322">_xlfn.IFS(C1322="","",COUNTIF(C1322,"ตำแหน่งว่าง*"),"ว่าง",COUNTIF(C1322,"&lt;&gt;ตำแหน่งว่าง*"),"คนครอง")</f>
        <v>ว่าง</v>
      </c>
      <c r="W1322" s="6" cm="1">
        <f t="array" ref="W1322">_xlfn.IFS(COUNTIF(F1322,"ผบ.หมู่*"),51,COUNTIF(F1322,"รอง สว.*"),43)</f>
        <v>51</v>
      </c>
      <c r="X1322" s="6" t="s">
        <v>3881</v>
      </c>
      <c r="Y1322" s="6" t="s">
        <v>52</v>
      </c>
    </row>
    <row r="1323" spans="1:25" s="10" customFormat="1" ht="21.3" customHeight="1">
      <c r="A1323" s="27"/>
      <c r="B1323" s="28"/>
      <c r="C1323" s="30" t="s">
        <v>18</v>
      </c>
      <c r="D1323" s="27"/>
      <c r="E1323" s="27"/>
      <c r="F1323" s="68" t="s">
        <v>3842</v>
      </c>
      <c r="G1323" s="121" t="s">
        <v>3884</v>
      </c>
      <c r="H1323" s="75" t="s">
        <v>19</v>
      </c>
      <c r="I1323" s="73" t="s">
        <v>19</v>
      </c>
      <c r="J1323" s="73" t="s">
        <v>19</v>
      </c>
      <c r="K1323" s="73" t="s">
        <v>19</v>
      </c>
      <c r="L1323" s="19"/>
      <c r="M1323" s="3"/>
      <c r="N1323" s="113" t="s">
        <v>14</v>
      </c>
      <c r="O1323" s="122" t="s">
        <v>52</v>
      </c>
      <c r="P1323" s="122" t="s">
        <v>52</v>
      </c>
      <c r="Q1323" s="105"/>
      <c r="R1323" s="28"/>
      <c r="S1323" s="225" t="str">
        <f t="shared" si="20"/>
        <v/>
      </c>
      <c r="T1323" s="7" t="s">
        <v>7629</v>
      </c>
      <c r="U1323" s="7" t="s">
        <v>122</v>
      </c>
      <c r="V1323" s="171" t="str" cm="1">
        <f t="array" ref="V1323">_xlfn.IFS(C1323="","",COUNTIF(C1323,"ตำแหน่งว่าง*"),"ว่าง",COUNTIF(C1323,"&lt;&gt;ตำแหน่งว่าง*"),"คนครอง")</f>
        <v>ว่าง</v>
      </c>
      <c r="W1323" s="6" cm="1">
        <f t="array" ref="W1323">_xlfn.IFS(COUNTIF(F1323,"ผบ.หมู่*"),51,COUNTIF(F1323,"รอง สว.*"),43)</f>
        <v>51</v>
      </c>
      <c r="X1323" s="6" t="s">
        <v>3883</v>
      </c>
      <c r="Y1323" s="6" t="s">
        <v>52</v>
      </c>
    </row>
    <row r="1324" spans="1:25" s="9" customFormat="1" ht="21.3" customHeight="1">
      <c r="A1324" s="27" t="s">
        <v>10753</v>
      </c>
      <c r="B1324" s="28" t="s">
        <v>12</v>
      </c>
      <c r="C1324" s="27" t="s">
        <v>3655</v>
      </c>
      <c r="D1324" s="27" t="s">
        <v>9372</v>
      </c>
      <c r="E1324" s="27" t="s">
        <v>9373</v>
      </c>
      <c r="F1324" s="27" t="s">
        <v>3665</v>
      </c>
      <c r="G1324" s="101" t="s">
        <v>3658</v>
      </c>
      <c r="H1324" s="91">
        <v>45382</v>
      </c>
      <c r="I1324" s="73">
        <v>45382</v>
      </c>
      <c r="J1324" s="73">
        <v>34352</v>
      </c>
      <c r="K1324" s="73">
        <v>26162</v>
      </c>
      <c r="L1324" s="19" t="s">
        <v>3659</v>
      </c>
      <c r="M1324" s="3" t="s">
        <v>90</v>
      </c>
      <c r="N1324" s="112" t="s">
        <v>14</v>
      </c>
      <c r="O1324" s="104" t="s">
        <v>52</v>
      </c>
      <c r="P1324" s="104" t="s">
        <v>52</v>
      </c>
      <c r="Q1324" s="105"/>
      <c r="R1324" s="33" t="s">
        <v>7801</v>
      </c>
      <c r="S1324" s="225">
        <f t="shared" si="20"/>
        <v>48122</v>
      </c>
      <c r="T1324" s="2" t="s">
        <v>7626</v>
      </c>
      <c r="U1324" s="7" t="s">
        <v>122</v>
      </c>
      <c r="V1324" s="162" t="str" cm="1">
        <f t="array" ref="V1324">_xlfn.IFS(C1324="","",COUNTIF(C1324,"ตำแหน่งว่าง*"),"ว่าง",COUNTIF(C1324,"&lt;&gt;ตำแหน่งว่าง*"),"คนครอง")</f>
        <v>คนครอง</v>
      </c>
      <c r="W1324" s="6" cm="1">
        <f t="array" ref="W1324">_xlfn.IFS(COUNTIF(F1324,"ผบ.หมู่*"),51,COUNTIF(F1324,"รอง สว.*"),43)</f>
        <v>43</v>
      </c>
      <c r="X1324" s="1" t="s">
        <v>3657</v>
      </c>
      <c r="Y1324" s="1" t="s">
        <v>52</v>
      </c>
    </row>
    <row r="1325" spans="1:25" s="9" customFormat="1" ht="21.3" customHeight="1">
      <c r="A1325" s="27" t="s">
        <v>10753</v>
      </c>
      <c r="B1325" s="28" t="s">
        <v>12</v>
      </c>
      <c r="C1325" s="27" t="s">
        <v>3660</v>
      </c>
      <c r="D1325" s="27" t="s">
        <v>9374</v>
      </c>
      <c r="E1325" s="27" t="s">
        <v>9375</v>
      </c>
      <c r="F1325" s="27" t="s">
        <v>3665</v>
      </c>
      <c r="G1325" s="101" t="s">
        <v>3662</v>
      </c>
      <c r="H1325" s="91">
        <v>45382</v>
      </c>
      <c r="I1325" s="73">
        <v>45382</v>
      </c>
      <c r="J1325" s="73">
        <v>35825</v>
      </c>
      <c r="K1325" s="73">
        <v>25949</v>
      </c>
      <c r="L1325" s="19" t="s">
        <v>3663</v>
      </c>
      <c r="M1325" s="3" t="s">
        <v>90</v>
      </c>
      <c r="N1325" s="112" t="s">
        <v>14</v>
      </c>
      <c r="O1325" s="104" t="s">
        <v>52</v>
      </c>
      <c r="P1325" s="104" t="s">
        <v>52</v>
      </c>
      <c r="Q1325" s="105"/>
      <c r="R1325" s="33" t="s">
        <v>7801</v>
      </c>
      <c r="S1325" s="225">
        <f t="shared" si="20"/>
        <v>48122</v>
      </c>
      <c r="T1325" s="2" t="s">
        <v>7626</v>
      </c>
      <c r="U1325" s="7" t="s">
        <v>122</v>
      </c>
      <c r="V1325" s="162" t="str" cm="1">
        <f t="array" ref="V1325">_xlfn.IFS(C1325="","",COUNTIF(C1325,"ตำแหน่งว่าง*"),"ว่าง",COUNTIF(C1325,"&lt;&gt;ตำแหน่งว่าง*"),"คนครอง")</f>
        <v>คนครอง</v>
      </c>
      <c r="W1325" s="6" cm="1">
        <f t="array" ref="W1325">_xlfn.IFS(COUNTIF(F1325,"ผบ.หมู่*"),51,COUNTIF(F1325,"รอง สว.*"),43)</f>
        <v>43</v>
      </c>
      <c r="X1325" s="1" t="s">
        <v>3661</v>
      </c>
      <c r="Y1325" s="1" t="s">
        <v>52</v>
      </c>
    </row>
    <row r="1326" spans="1:25" s="12" customFormat="1" ht="21.3" customHeight="1">
      <c r="A1326" s="27" t="s">
        <v>44</v>
      </c>
      <c r="B1326" s="31" t="s">
        <v>21</v>
      </c>
      <c r="C1326" s="95" t="s">
        <v>3664</v>
      </c>
      <c r="D1326" s="27" t="s">
        <v>9376</v>
      </c>
      <c r="E1326" s="27" t="s">
        <v>9377</v>
      </c>
      <c r="F1326" s="95" t="s">
        <v>3665</v>
      </c>
      <c r="G1326" s="101" t="s">
        <v>3667</v>
      </c>
      <c r="H1326" s="88">
        <v>42501</v>
      </c>
      <c r="I1326" s="76">
        <v>34352</v>
      </c>
      <c r="J1326" s="76">
        <v>34352</v>
      </c>
      <c r="K1326" s="76">
        <v>25216</v>
      </c>
      <c r="L1326" s="46" t="s">
        <v>3668</v>
      </c>
      <c r="M1326" s="4" t="s">
        <v>90</v>
      </c>
      <c r="N1326" s="111" t="s">
        <v>14</v>
      </c>
      <c r="O1326" s="104" t="s">
        <v>52</v>
      </c>
      <c r="P1326" s="104" t="s">
        <v>52</v>
      </c>
      <c r="Q1326" s="108"/>
      <c r="R1326" s="31" t="s">
        <v>110</v>
      </c>
      <c r="S1326" s="225">
        <f t="shared" si="20"/>
        <v>47392</v>
      </c>
      <c r="T1326" s="162" t="s">
        <v>7626</v>
      </c>
      <c r="U1326" s="7" t="s">
        <v>122</v>
      </c>
      <c r="V1326" s="162" t="str" cm="1">
        <f t="array" ref="V1326">_xlfn.IFS(C1326="","",COUNTIF(C1326,"ตำแหน่งว่าง*"),"ว่าง",COUNTIF(C1326,"&lt;&gt;ตำแหน่งว่าง*"),"คนครอง")</f>
        <v>คนครอง</v>
      </c>
      <c r="W1326" s="5" cm="1">
        <f t="array" ref="W1326">_xlfn.IFS(COUNTIF(F1326,"ผบ.หมู่*"),51,COUNTIF(F1326,"รอง สว.*"),43)</f>
        <v>43</v>
      </c>
      <c r="X1326" s="5" t="s">
        <v>3666</v>
      </c>
      <c r="Y1326" s="5" t="s">
        <v>52</v>
      </c>
    </row>
    <row r="1327" spans="1:25" s="9" customFormat="1" ht="21.3" customHeight="1">
      <c r="A1327" s="27" t="s">
        <v>30</v>
      </c>
      <c r="B1327" s="28" t="s">
        <v>12</v>
      </c>
      <c r="C1327" s="27" t="s">
        <v>3669</v>
      </c>
      <c r="D1327" s="27" t="s">
        <v>9102</v>
      </c>
      <c r="E1327" s="27" t="s">
        <v>9378</v>
      </c>
      <c r="F1327" s="27" t="s">
        <v>3665</v>
      </c>
      <c r="G1327" s="101" t="s">
        <v>3671</v>
      </c>
      <c r="H1327" s="75">
        <v>43555</v>
      </c>
      <c r="I1327" s="73">
        <v>43555</v>
      </c>
      <c r="J1327" s="73">
        <v>43555</v>
      </c>
      <c r="K1327" s="73">
        <v>24273</v>
      </c>
      <c r="L1327" s="19" t="s">
        <v>3672</v>
      </c>
      <c r="M1327" s="3" t="s">
        <v>90</v>
      </c>
      <c r="N1327" s="112" t="s">
        <v>14</v>
      </c>
      <c r="O1327" s="104" t="s">
        <v>52</v>
      </c>
      <c r="P1327" s="104" t="s">
        <v>52</v>
      </c>
      <c r="Q1327" s="105"/>
      <c r="R1327" s="28" t="s">
        <v>3432</v>
      </c>
      <c r="S1327" s="225">
        <f t="shared" si="20"/>
        <v>46296</v>
      </c>
      <c r="T1327" s="2" t="s">
        <v>7626</v>
      </c>
      <c r="U1327" s="7" t="s">
        <v>122</v>
      </c>
      <c r="V1327" s="162" t="str" cm="1">
        <f t="array" ref="V1327">_xlfn.IFS(C1327="","",COUNTIF(C1327,"ตำแหน่งว่าง*"),"ว่าง",COUNTIF(C1327,"&lt;&gt;ตำแหน่งว่าง*"),"คนครอง")</f>
        <v>คนครอง</v>
      </c>
      <c r="W1327" s="5" cm="1">
        <f t="array" ref="W1327">_xlfn.IFS(COUNTIF(F1327,"ผบ.หมู่*"),51,COUNTIF(F1327,"รอง สว.*"),43)</f>
        <v>43</v>
      </c>
      <c r="X1327" s="1" t="s">
        <v>3670</v>
      </c>
      <c r="Y1327" s="1" t="s">
        <v>52</v>
      </c>
    </row>
    <row r="1328" spans="1:25" s="9" customFormat="1" ht="21.3" customHeight="1">
      <c r="A1328" s="27" t="s">
        <v>157</v>
      </c>
      <c r="B1328" s="28" t="s">
        <v>21</v>
      </c>
      <c r="C1328" s="27" t="s">
        <v>3673</v>
      </c>
      <c r="D1328" s="27" t="s">
        <v>8294</v>
      </c>
      <c r="E1328" s="27" t="s">
        <v>9379</v>
      </c>
      <c r="F1328" s="27" t="s">
        <v>3656</v>
      </c>
      <c r="G1328" s="101" t="s">
        <v>3675</v>
      </c>
      <c r="H1328" s="75">
        <v>42501</v>
      </c>
      <c r="I1328" s="73">
        <v>42501</v>
      </c>
      <c r="J1328" s="73">
        <v>34352</v>
      </c>
      <c r="K1328" s="73">
        <v>27488</v>
      </c>
      <c r="L1328" s="19" t="s">
        <v>3676</v>
      </c>
      <c r="M1328" s="3" t="s">
        <v>90</v>
      </c>
      <c r="N1328" s="112" t="s">
        <v>14</v>
      </c>
      <c r="O1328" s="104" t="s">
        <v>52</v>
      </c>
      <c r="P1328" s="104" t="s">
        <v>52</v>
      </c>
      <c r="Q1328" s="105"/>
      <c r="R1328" s="28" t="s">
        <v>110</v>
      </c>
      <c r="S1328" s="225">
        <f t="shared" si="20"/>
        <v>49583</v>
      </c>
      <c r="T1328" s="2" t="s">
        <v>7626</v>
      </c>
      <c r="U1328" s="7" t="s">
        <v>122</v>
      </c>
      <c r="V1328" s="162" t="str" cm="1">
        <f t="array" ref="V1328">_xlfn.IFS(C1328="","",COUNTIF(C1328,"ตำแหน่งว่าง*"),"ว่าง",COUNTIF(C1328,"&lt;&gt;ตำแหน่งว่าง*"),"คนครอง")</f>
        <v>คนครอง</v>
      </c>
      <c r="W1328" s="6" cm="1">
        <f t="array" ref="W1328">_xlfn.IFS(COUNTIF(F1328,"ผบ.หมู่*"),51,COUNTIF(F1328,"รอง สว.*"),43)</f>
        <v>51</v>
      </c>
      <c r="X1328" s="1" t="s">
        <v>3674</v>
      </c>
      <c r="Y1328" s="1" t="s">
        <v>52</v>
      </c>
    </row>
    <row r="1329" spans="1:25" s="9" customFormat="1" ht="21.3" customHeight="1">
      <c r="A1329" s="27" t="s">
        <v>612</v>
      </c>
      <c r="B1329" s="28" t="s">
        <v>12</v>
      </c>
      <c r="C1329" s="27" t="s">
        <v>3677</v>
      </c>
      <c r="D1329" s="27" t="s">
        <v>9380</v>
      </c>
      <c r="E1329" s="27" t="s">
        <v>9381</v>
      </c>
      <c r="F1329" s="27" t="s">
        <v>3656</v>
      </c>
      <c r="G1329" s="101" t="s">
        <v>3679</v>
      </c>
      <c r="H1329" s="91">
        <v>44243</v>
      </c>
      <c r="I1329" s="73">
        <v>42416</v>
      </c>
      <c r="J1329" s="73">
        <v>42416</v>
      </c>
      <c r="K1329" s="73">
        <v>34175</v>
      </c>
      <c r="L1329" s="19" t="s">
        <v>3680</v>
      </c>
      <c r="M1329" s="3" t="s">
        <v>90</v>
      </c>
      <c r="N1329" s="112" t="s">
        <v>14</v>
      </c>
      <c r="O1329" s="104" t="s">
        <v>52</v>
      </c>
      <c r="P1329" s="104" t="s">
        <v>52</v>
      </c>
      <c r="Q1329" s="105"/>
      <c r="R1329" s="28" t="s">
        <v>617</v>
      </c>
      <c r="S1329" s="225">
        <f t="shared" si="20"/>
        <v>56158</v>
      </c>
      <c r="T1329" s="2" t="s">
        <v>7626</v>
      </c>
      <c r="U1329" s="7" t="s">
        <v>122</v>
      </c>
      <c r="V1329" s="162" t="str" cm="1">
        <f t="array" ref="V1329">_xlfn.IFS(C1329="","",COUNTIF(C1329,"ตำแหน่งว่าง*"),"ว่าง",COUNTIF(C1329,"&lt;&gt;ตำแหน่งว่าง*"),"คนครอง")</f>
        <v>คนครอง</v>
      </c>
      <c r="W1329" s="6" cm="1">
        <f t="array" ref="W1329">_xlfn.IFS(COUNTIF(F1329,"ผบ.หมู่*"),51,COUNTIF(F1329,"รอง สว.*"),43)</f>
        <v>51</v>
      </c>
      <c r="X1329" s="1" t="s">
        <v>3678</v>
      </c>
      <c r="Y1329" s="1" t="s">
        <v>52</v>
      </c>
    </row>
    <row r="1330" spans="1:25" s="9" customFormat="1" ht="21.3" customHeight="1">
      <c r="A1330" s="27" t="s">
        <v>10753</v>
      </c>
      <c r="B1330" s="28" t="s">
        <v>21</v>
      </c>
      <c r="C1330" s="27" t="s">
        <v>3681</v>
      </c>
      <c r="D1330" s="27" t="s">
        <v>9382</v>
      </c>
      <c r="E1330" s="27" t="s">
        <v>9383</v>
      </c>
      <c r="F1330" s="27" t="s">
        <v>3665</v>
      </c>
      <c r="G1330" s="101" t="s">
        <v>3683</v>
      </c>
      <c r="H1330" s="91">
        <v>45382</v>
      </c>
      <c r="I1330" s="73">
        <v>45382</v>
      </c>
      <c r="J1330" s="73">
        <v>34729</v>
      </c>
      <c r="K1330" s="73">
        <v>25978</v>
      </c>
      <c r="L1330" s="19" t="s">
        <v>3684</v>
      </c>
      <c r="M1330" s="3" t="s">
        <v>90</v>
      </c>
      <c r="N1330" s="112" t="s">
        <v>14</v>
      </c>
      <c r="O1330" s="104" t="s">
        <v>52</v>
      </c>
      <c r="P1330" s="104" t="s">
        <v>52</v>
      </c>
      <c r="Q1330" s="105"/>
      <c r="R1330" s="33" t="s">
        <v>7801</v>
      </c>
      <c r="S1330" s="225">
        <f t="shared" si="20"/>
        <v>48122</v>
      </c>
      <c r="T1330" s="2" t="s">
        <v>7626</v>
      </c>
      <c r="U1330" s="7" t="s">
        <v>122</v>
      </c>
      <c r="V1330" s="162" t="str" cm="1">
        <f t="array" ref="V1330">_xlfn.IFS(C1330="","",COUNTIF(C1330,"ตำแหน่งว่าง*"),"ว่าง",COUNTIF(C1330,"&lt;&gt;ตำแหน่งว่าง*"),"คนครอง")</f>
        <v>คนครอง</v>
      </c>
      <c r="W1330" s="6" cm="1">
        <f t="array" ref="W1330">_xlfn.IFS(COUNTIF(F1330,"ผบ.หมู่*"),51,COUNTIF(F1330,"รอง สว.*"),43)</f>
        <v>43</v>
      </c>
      <c r="X1330" s="1" t="s">
        <v>3682</v>
      </c>
      <c r="Y1330" s="1" t="s">
        <v>52</v>
      </c>
    </row>
    <row r="1331" spans="1:25" s="9" customFormat="1" ht="21.3" customHeight="1">
      <c r="A1331" s="27"/>
      <c r="B1331" s="28"/>
      <c r="C1331" s="95" t="s">
        <v>18</v>
      </c>
      <c r="D1331" s="27"/>
      <c r="E1331" s="27"/>
      <c r="F1331" s="27" t="s">
        <v>3656</v>
      </c>
      <c r="G1331" s="101" t="s">
        <v>3686</v>
      </c>
      <c r="H1331" s="75"/>
      <c r="I1331" s="73"/>
      <c r="J1331" s="73"/>
      <c r="K1331" s="73"/>
      <c r="L1331" s="19"/>
      <c r="M1331" s="3"/>
      <c r="N1331" s="112" t="s">
        <v>14</v>
      </c>
      <c r="O1331" s="104" t="s">
        <v>52</v>
      </c>
      <c r="P1331" s="104" t="s">
        <v>52</v>
      </c>
      <c r="Q1331" s="105"/>
      <c r="R1331" s="28"/>
      <c r="S1331" s="225" t="str">
        <f t="shared" si="20"/>
        <v/>
      </c>
      <c r="T1331" s="2" t="s">
        <v>7626</v>
      </c>
      <c r="U1331" s="7" t="s">
        <v>122</v>
      </c>
      <c r="V1331" s="162" t="str" cm="1">
        <f t="array" ref="V1331">_xlfn.IFS(C1331="","",COUNTIF(C1331,"ตำแหน่งว่าง*"),"ว่าง",COUNTIF(C1331,"&lt;&gt;ตำแหน่งว่าง*"),"คนครอง")</f>
        <v>ว่าง</v>
      </c>
      <c r="W1331" s="5" cm="1">
        <f t="array" ref="W1331">_xlfn.IFS(COUNTIF(F1331,"ผบ.หมู่*"),51,COUNTIF(F1331,"รอง สว.*"),43)</f>
        <v>51</v>
      </c>
      <c r="X1331" s="1" t="s">
        <v>3685</v>
      </c>
      <c r="Y1331" s="1" t="s">
        <v>52</v>
      </c>
    </row>
    <row r="1332" spans="1:25" s="9" customFormat="1" ht="21.3" customHeight="1">
      <c r="A1332" s="27" t="s">
        <v>26</v>
      </c>
      <c r="B1332" s="28" t="s">
        <v>12</v>
      </c>
      <c r="C1332" s="27" t="s">
        <v>3687</v>
      </c>
      <c r="D1332" s="27" t="s">
        <v>8073</v>
      </c>
      <c r="E1332" s="27" t="s">
        <v>9384</v>
      </c>
      <c r="F1332" s="27" t="s">
        <v>3665</v>
      </c>
      <c r="G1332" s="101" t="s">
        <v>3689</v>
      </c>
      <c r="H1332" s="91">
        <v>44286</v>
      </c>
      <c r="I1332" s="73">
        <v>44286</v>
      </c>
      <c r="J1332" s="73">
        <v>44286</v>
      </c>
      <c r="K1332" s="73">
        <v>24884</v>
      </c>
      <c r="L1332" s="19" t="s">
        <v>3564</v>
      </c>
      <c r="M1332" s="3" t="s">
        <v>28</v>
      </c>
      <c r="N1332" s="112" t="s">
        <v>14</v>
      </c>
      <c r="O1332" s="104" t="s">
        <v>52</v>
      </c>
      <c r="P1332" s="104" t="s">
        <v>52</v>
      </c>
      <c r="Q1332" s="105"/>
      <c r="R1332" s="28" t="s">
        <v>1313</v>
      </c>
      <c r="S1332" s="225">
        <f t="shared" si="20"/>
        <v>47027</v>
      </c>
      <c r="T1332" s="2" t="s">
        <v>7626</v>
      </c>
      <c r="U1332" s="7" t="s">
        <v>122</v>
      </c>
      <c r="V1332" s="162" t="str" cm="1">
        <f t="array" ref="V1332">_xlfn.IFS(C1332="","",COUNTIF(C1332,"ตำแหน่งว่าง*"),"ว่าง",COUNTIF(C1332,"&lt;&gt;ตำแหน่งว่าง*"),"คนครอง")</f>
        <v>คนครอง</v>
      </c>
      <c r="W1332" s="5" cm="1">
        <f t="array" ref="W1332">_xlfn.IFS(COUNTIF(F1332,"ผบ.หมู่*"),51,COUNTIF(F1332,"รอง สว.*"),43)</f>
        <v>43</v>
      </c>
      <c r="X1332" s="1" t="s">
        <v>3688</v>
      </c>
      <c r="Y1332" s="1" t="s">
        <v>52</v>
      </c>
    </row>
    <row r="1333" spans="1:25" s="9" customFormat="1" ht="21.3" customHeight="1">
      <c r="A1333" s="27"/>
      <c r="B1333" s="28"/>
      <c r="C1333" s="95" t="s">
        <v>18</v>
      </c>
      <c r="D1333" s="27"/>
      <c r="E1333" s="27"/>
      <c r="F1333" s="27" t="s">
        <v>3656</v>
      </c>
      <c r="G1333" s="101" t="s">
        <v>3691</v>
      </c>
      <c r="H1333" s="91"/>
      <c r="I1333" s="73"/>
      <c r="J1333" s="73"/>
      <c r="K1333" s="73"/>
      <c r="L1333" s="19"/>
      <c r="M1333" s="3"/>
      <c r="N1333" s="112" t="s">
        <v>14</v>
      </c>
      <c r="O1333" s="104" t="s">
        <v>52</v>
      </c>
      <c r="P1333" s="104" t="s">
        <v>52</v>
      </c>
      <c r="Q1333" s="105"/>
      <c r="R1333" s="28"/>
      <c r="S1333" s="225" t="str">
        <f t="shared" si="20"/>
        <v/>
      </c>
      <c r="T1333" s="2" t="s">
        <v>7626</v>
      </c>
      <c r="U1333" s="7" t="s">
        <v>122</v>
      </c>
      <c r="V1333" s="162" t="str" cm="1">
        <f t="array" ref="V1333">_xlfn.IFS(C1333="","",COUNTIF(C1333,"ตำแหน่งว่าง*"),"ว่าง",COUNTIF(C1333,"&lt;&gt;ตำแหน่งว่าง*"),"คนครอง")</f>
        <v>ว่าง</v>
      </c>
      <c r="W1333" s="5" cm="1">
        <f t="array" ref="W1333">_xlfn.IFS(COUNTIF(F1333,"ผบ.หมู่*"),51,COUNTIF(F1333,"รอง สว.*"),43)</f>
        <v>51</v>
      </c>
      <c r="X1333" s="1" t="s">
        <v>3690</v>
      </c>
      <c r="Y1333" s="1" t="s">
        <v>52</v>
      </c>
    </row>
    <row r="1334" spans="1:25" s="9" customFormat="1" ht="21.3" customHeight="1">
      <c r="A1334" s="27"/>
      <c r="B1334" s="30"/>
      <c r="C1334" s="30" t="s">
        <v>18</v>
      </c>
      <c r="D1334" s="27"/>
      <c r="E1334" s="27"/>
      <c r="F1334" s="68" t="s">
        <v>3656</v>
      </c>
      <c r="G1334" s="121" t="s">
        <v>3693</v>
      </c>
      <c r="H1334" s="93" t="s">
        <v>19</v>
      </c>
      <c r="I1334" s="74" t="s">
        <v>19</v>
      </c>
      <c r="J1334" s="74" t="s">
        <v>19</v>
      </c>
      <c r="K1334" s="74" t="s">
        <v>19</v>
      </c>
      <c r="L1334" s="44"/>
      <c r="M1334" s="8"/>
      <c r="N1334" s="113" t="s">
        <v>14</v>
      </c>
      <c r="O1334" s="122" t="s">
        <v>52</v>
      </c>
      <c r="P1334" s="122" t="s">
        <v>52</v>
      </c>
      <c r="Q1334" s="106"/>
      <c r="R1334" s="30"/>
      <c r="S1334" s="225" t="str">
        <f t="shared" si="20"/>
        <v/>
      </c>
      <c r="T1334" s="2" t="s">
        <v>7626</v>
      </c>
      <c r="U1334" s="7" t="s">
        <v>122</v>
      </c>
      <c r="V1334" s="171" t="str" cm="1">
        <f t="array" ref="V1334">_xlfn.IFS(C1334="","",COUNTIF(C1334,"ตำแหน่งว่าง*"),"ว่าง",COUNTIF(C1334,"&lt;&gt;ตำแหน่งว่าง*"),"คนครอง")</f>
        <v>ว่าง</v>
      </c>
      <c r="W1334" s="6" cm="1">
        <f t="array" ref="W1334">_xlfn.IFS(COUNTIF(F1334,"ผบ.หมู่*"),51,COUNTIF(F1334,"รอง สว.*"),43)</f>
        <v>51</v>
      </c>
      <c r="X1334" s="6" t="s">
        <v>3692</v>
      </c>
      <c r="Y1334" s="6" t="s">
        <v>52</v>
      </c>
    </row>
    <row r="1335" spans="1:25" s="9" customFormat="1" ht="21.3" customHeight="1">
      <c r="A1335" s="27" t="s">
        <v>26</v>
      </c>
      <c r="B1335" s="28" t="s">
        <v>12</v>
      </c>
      <c r="C1335" s="27" t="s">
        <v>3694</v>
      </c>
      <c r="D1335" s="27" t="s">
        <v>8469</v>
      </c>
      <c r="E1335" s="27" t="s">
        <v>9385</v>
      </c>
      <c r="F1335" s="27" t="s">
        <v>3665</v>
      </c>
      <c r="G1335" s="101" t="s">
        <v>3696</v>
      </c>
      <c r="H1335" s="91">
        <v>43921</v>
      </c>
      <c r="I1335" s="73">
        <v>43921</v>
      </c>
      <c r="J1335" s="73">
        <v>43921</v>
      </c>
      <c r="K1335" s="73">
        <v>24704</v>
      </c>
      <c r="L1335" s="19" t="s">
        <v>3697</v>
      </c>
      <c r="M1335" s="3" t="s">
        <v>90</v>
      </c>
      <c r="N1335" s="112" t="s">
        <v>14</v>
      </c>
      <c r="O1335" s="104" t="s">
        <v>52</v>
      </c>
      <c r="P1335" s="104" t="s">
        <v>52</v>
      </c>
      <c r="Q1335" s="105"/>
      <c r="R1335" s="28" t="s">
        <v>110</v>
      </c>
      <c r="S1335" s="225">
        <f t="shared" si="20"/>
        <v>46661</v>
      </c>
      <c r="T1335" s="2" t="s">
        <v>7626</v>
      </c>
      <c r="U1335" s="7" t="s">
        <v>122</v>
      </c>
      <c r="V1335" s="162" t="str" cm="1">
        <f t="array" ref="V1335">_xlfn.IFS(C1335="","",COUNTIF(C1335,"ตำแหน่งว่าง*"),"ว่าง",COUNTIF(C1335,"&lt;&gt;ตำแหน่งว่าง*"),"คนครอง")</f>
        <v>คนครอง</v>
      </c>
      <c r="W1335" s="5" cm="1">
        <f t="array" ref="W1335">_xlfn.IFS(COUNTIF(F1335,"ผบ.หมู่*"),51,COUNTIF(F1335,"รอง สว.*"),43)</f>
        <v>43</v>
      </c>
      <c r="X1335" s="1" t="s">
        <v>3695</v>
      </c>
      <c r="Y1335" s="1" t="s">
        <v>52</v>
      </c>
    </row>
    <row r="1336" spans="1:25" s="9" customFormat="1" ht="21.3" customHeight="1">
      <c r="A1336" s="27" t="s">
        <v>157</v>
      </c>
      <c r="B1336" s="28" t="s">
        <v>21</v>
      </c>
      <c r="C1336" s="27" t="s">
        <v>3698</v>
      </c>
      <c r="D1336" s="27" t="s">
        <v>8888</v>
      </c>
      <c r="E1336" s="27" t="s">
        <v>9386</v>
      </c>
      <c r="F1336" s="27" t="s">
        <v>3656</v>
      </c>
      <c r="G1336" s="101" t="s">
        <v>3700</v>
      </c>
      <c r="H1336" s="75">
        <v>42501</v>
      </c>
      <c r="I1336" s="73">
        <v>34729</v>
      </c>
      <c r="J1336" s="73">
        <v>34729</v>
      </c>
      <c r="K1336" s="73">
        <v>27210</v>
      </c>
      <c r="L1336" s="19" t="s">
        <v>3701</v>
      </c>
      <c r="M1336" s="3" t="s">
        <v>90</v>
      </c>
      <c r="N1336" s="112" t="s">
        <v>14</v>
      </c>
      <c r="O1336" s="104" t="s">
        <v>52</v>
      </c>
      <c r="P1336" s="104" t="s">
        <v>52</v>
      </c>
      <c r="Q1336" s="105"/>
      <c r="R1336" s="28" t="s">
        <v>110</v>
      </c>
      <c r="S1336" s="225">
        <f t="shared" si="20"/>
        <v>49218</v>
      </c>
      <c r="T1336" s="2" t="s">
        <v>7626</v>
      </c>
      <c r="U1336" s="7" t="s">
        <v>122</v>
      </c>
      <c r="V1336" s="162" t="str" cm="1">
        <f t="array" ref="V1336">_xlfn.IFS(C1336="","",COUNTIF(C1336,"ตำแหน่งว่าง*"),"ว่าง",COUNTIF(C1336,"&lt;&gt;ตำแหน่งว่าง*"),"คนครอง")</f>
        <v>คนครอง</v>
      </c>
      <c r="W1336" s="6" cm="1">
        <f t="array" ref="W1336">_xlfn.IFS(COUNTIF(F1336,"ผบ.หมู่*"),51,COUNTIF(F1336,"รอง สว.*"),43)</f>
        <v>51</v>
      </c>
      <c r="X1336" s="1" t="s">
        <v>3699</v>
      </c>
      <c r="Y1336" s="1" t="s">
        <v>52</v>
      </c>
    </row>
    <row r="1337" spans="1:25" s="9" customFormat="1" ht="21.3" customHeight="1">
      <c r="A1337" s="27" t="s">
        <v>612</v>
      </c>
      <c r="B1337" s="28" t="s">
        <v>12</v>
      </c>
      <c r="C1337" s="27" t="s">
        <v>3702</v>
      </c>
      <c r="D1337" s="27" t="s">
        <v>8280</v>
      </c>
      <c r="E1337" s="27" t="s">
        <v>9387</v>
      </c>
      <c r="F1337" s="27" t="s">
        <v>3656</v>
      </c>
      <c r="G1337" s="101" t="s">
        <v>3704</v>
      </c>
      <c r="H1337" s="91">
        <v>44243</v>
      </c>
      <c r="I1337" s="73">
        <v>42416</v>
      </c>
      <c r="J1337" s="73">
        <v>42416</v>
      </c>
      <c r="K1337" s="73">
        <v>34030</v>
      </c>
      <c r="L1337" s="19" t="s">
        <v>1667</v>
      </c>
      <c r="M1337" s="3" t="s">
        <v>90</v>
      </c>
      <c r="N1337" s="112" t="s">
        <v>14</v>
      </c>
      <c r="O1337" s="104" t="s">
        <v>52</v>
      </c>
      <c r="P1337" s="104" t="s">
        <v>52</v>
      </c>
      <c r="Q1337" s="105"/>
      <c r="R1337" s="28" t="s">
        <v>617</v>
      </c>
      <c r="S1337" s="225">
        <f t="shared" si="20"/>
        <v>56158</v>
      </c>
      <c r="T1337" s="2" t="s">
        <v>7626</v>
      </c>
      <c r="U1337" s="7" t="s">
        <v>122</v>
      </c>
      <c r="V1337" s="162" t="str" cm="1">
        <f t="array" ref="V1337">_xlfn.IFS(C1337="","",COUNTIF(C1337,"ตำแหน่งว่าง*"),"ว่าง",COUNTIF(C1337,"&lt;&gt;ตำแหน่งว่าง*"),"คนครอง")</f>
        <v>คนครอง</v>
      </c>
      <c r="W1337" s="6" cm="1">
        <f t="array" ref="W1337">_xlfn.IFS(COUNTIF(F1337,"ผบ.หมู่*"),51,COUNTIF(F1337,"รอง สว.*"),43)</f>
        <v>51</v>
      </c>
      <c r="X1337" s="1" t="s">
        <v>3703</v>
      </c>
      <c r="Y1337" s="1" t="s">
        <v>52</v>
      </c>
    </row>
    <row r="1338" spans="1:25" s="12" customFormat="1" ht="21.3" customHeight="1">
      <c r="A1338" s="27" t="s">
        <v>612</v>
      </c>
      <c r="B1338" s="31" t="s">
        <v>12</v>
      </c>
      <c r="C1338" s="95" t="s">
        <v>3705</v>
      </c>
      <c r="D1338" s="27" t="s">
        <v>9388</v>
      </c>
      <c r="E1338" s="27" t="s">
        <v>9389</v>
      </c>
      <c r="F1338" s="95" t="s">
        <v>3656</v>
      </c>
      <c r="G1338" s="101" t="s">
        <v>3707</v>
      </c>
      <c r="H1338" s="92">
        <v>44599</v>
      </c>
      <c r="I1338" s="76">
        <v>42416</v>
      </c>
      <c r="J1338" s="76">
        <v>42416</v>
      </c>
      <c r="K1338" s="76">
        <v>35103</v>
      </c>
      <c r="L1338" s="46" t="s">
        <v>3508</v>
      </c>
      <c r="M1338" s="4" t="s">
        <v>90</v>
      </c>
      <c r="N1338" s="111" t="s">
        <v>14</v>
      </c>
      <c r="O1338" s="104" t="s">
        <v>52</v>
      </c>
      <c r="P1338" s="104" t="s">
        <v>52</v>
      </c>
      <c r="Q1338" s="108"/>
      <c r="R1338" s="31" t="s">
        <v>607</v>
      </c>
      <c r="S1338" s="225">
        <f t="shared" si="20"/>
        <v>57254</v>
      </c>
      <c r="T1338" s="162" t="s">
        <v>7626</v>
      </c>
      <c r="U1338" s="7" t="s">
        <v>122</v>
      </c>
      <c r="V1338" s="162" t="str" cm="1">
        <f t="array" ref="V1338">_xlfn.IFS(C1338="","",COUNTIF(C1338,"ตำแหน่งว่าง*"),"ว่าง",COUNTIF(C1338,"&lt;&gt;ตำแหน่งว่าง*"),"คนครอง")</f>
        <v>คนครอง</v>
      </c>
      <c r="W1338" s="6" cm="1">
        <f t="array" ref="W1338">_xlfn.IFS(COUNTIF(F1338,"ผบ.หมู่*"),51,COUNTIF(F1338,"รอง สว.*"),43)</f>
        <v>51</v>
      </c>
      <c r="X1338" s="5" t="s">
        <v>3706</v>
      </c>
      <c r="Y1338" s="5" t="s">
        <v>52</v>
      </c>
    </row>
    <row r="1339" spans="1:25" s="9" customFormat="1" ht="21.3" customHeight="1">
      <c r="A1339" s="27" t="s">
        <v>612</v>
      </c>
      <c r="B1339" s="28" t="s">
        <v>12</v>
      </c>
      <c r="C1339" s="27" t="s">
        <v>3708</v>
      </c>
      <c r="D1339" s="27" t="s">
        <v>8121</v>
      </c>
      <c r="E1339" s="27" t="s">
        <v>8304</v>
      </c>
      <c r="F1339" s="27" t="s">
        <v>3656</v>
      </c>
      <c r="G1339" s="101" t="s">
        <v>3710</v>
      </c>
      <c r="H1339" s="91">
        <v>44243</v>
      </c>
      <c r="I1339" s="73">
        <v>42416</v>
      </c>
      <c r="J1339" s="73">
        <v>42416</v>
      </c>
      <c r="K1339" s="73">
        <v>34785</v>
      </c>
      <c r="L1339" s="19" t="s">
        <v>1667</v>
      </c>
      <c r="M1339" s="3" t="s">
        <v>90</v>
      </c>
      <c r="N1339" s="112" t="s">
        <v>14</v>
      </c>
      <c r="O1339" s="104" t="s">
        <v>52</v>
      </c>
      <c r="P1339" s="104" t="s">
        <v>52</v>
      </c>
      <c r="Q1339" s="105"/>
      <c r="R1339" s="28" t="s">
        <v>617</v>
      </c>
      <c r="S1339" s="225">
        <f t="shared" si="20"/>
        <v>56888</v>
      </c>
      <c r="T1339" s="2" t="s">
        <v>7626</v>
      </c>
      <c r="U1339" s="7" t="s">
        <v>122</v>
      </c>
      <c r="V1339" s="162" t="str" cm="1">
        <f t="array" ref="V1339">_xlfn.IFS(C1339="","",COUNTIF(C1339,"ตำแหน่งว่าง*"),"ว่าง",COUNTIF(C1339,"&lt;&gt;ตำแหน่งว่าง*"),"คนครอง")</f>
        <v>คนครอง</v>
      </c>
      <c r="W1339" s="6" cm="1">
        <f t="array" ref="W1339">_xlfn.IFS(COUNTIF(F1339,"ผบ.หมู่*"),51,COUNTIF(F1339,"รอง สว.*"),43)</f>
        <v>51</v>
      </c>
      <c r="X1339" s="1" t="s">
        <v>3709</v>
      </c>
      <c r="Y1339" s="1" t="s">
        <v>52</v>
      </c>
    </row>
    <row r="1340" spans="1:25" s="12" customFormat="1" ht="21.3" customHeight="1">
      <c r="A1340" s="27" t="s">
        <v>612</v>
      </c>
      <c r="B1340" s="31" t="s">
        <v>12</v>
      </c>
      <c r="C1340" s="95" t="s">
        <v>3711</v>
      </c>
      <c r="D1340" s="27" t="s">
        <v>8106</v>
      </c>
      <c r="E1340" s="27" t="s">
        <v>9390</v>
      </c>
      <c r="F1340" s="95" t="s">
        <v>3656</v>
      </c>
      <c r="G1340" s="101" t="s">
        <v>3713</v>
      </c>
      <c r="H1340" s="92">
        <v>44599</v>
      </c>
      <c r="I1340" s="76">
        <v>42416</v>
      </c>
      <c r="J1340" s="76">
        <v>42416</v>
      </c>
      <c r="K1340" s="76">
        <v>34198</v>
      </c>
      <c r="L1340" s="17" t="s">
        <v>3714</v>
      </c>
      <c r="M1340" s="5" t="s">
        <v>90</v>
      </c>
      <c r="N1340" s="111" t="s">
        <v>14</v>
      </c>
      <c r="O1340" s="104" t="s">
        <v>52</v>
      </c>
      <c r="P1340" s="104" t="s">
        <v>52</v>
      </c>
      <c r="Q1340" s="108"/>
      <c r="R1340" s="31" t="s">
        <v>607</v>
      </c>
      <c r="S1340" s="225">
        <f t="shared" si="20"/>
        <v>56158</v>
      </c>
      <c r="T1340" s="162" t="s">
        <v>7626</v>
      </c>
      <c r="U1340" s="7" t="s">
        <v>122</v>
      </c>
      <c r="V1340" s="162" t="str" cm="1">
        <f t="array" ref="V1340">_xlfn.IFS(C1340="","",COUNTIF(C1340,"ตำแหน่งว่าง*"),"ว่าง",COUNTIF(C1340,"&lt;&gt;ตำแหน่งว่าง*"),"คนครอง")</f>
        <v>คนครอง</v>
      </c>
      <c r="W1340" s="6" cm="1">
        <f t="array" ref="W1340">_xlfn.IFS(COUNTIF(F1340,"ผบ.หมู่*"),51,COUNTIF(F1340,"รอง สว.*"),43)</f>
        <v>51</v>
      </c>
      <c r="X1340" s="5" t="s">
        <v>3712</v>
      </c>
      <c r="Y1340" s="5" t="s">
        <v>52</v>
      </c>
    </row>
    <row r="1341" spans="1:25" s="9" customFormat="1" ht="21.3" customHeight="1">
      <c r="A1341" s="27" t="s">
        <v>157</v>
      </c>
      <c r="B1341" s="28" t="s">
        <v>21</v>
      </c>
      <c r="C1341" s="27" t="s">
        <v>3715</v>
      </c>
      <c r="D1341" s="27" t="s">
        <v>8803</v>
      </c>
      <c r="E1341" s="27" t="s">
        <v>8314</v>
      </c>
      <c r="F1341" s="27" t="s">
        <v>3716</v>
      </c>
      <c r="G1341" s="101" t="s">
        <v>3718</v>
      </c>
      <c r="H1341" s="91">
        <v>44243</v>
      </c>
      <c r="I1341" s="73">
        <v>40339</v>
      </c>
      <c r="J1341" s="73">
        <v>40339</v>
      </c>
      <c r="K1341" s="73">
        <v>29596</v>
      </c>
      <c r="L1341" s="19" t="s">
        <v>3719</v>
      </c>
      <c r="M1341" s="3" t="s">
        <v>88</v>
      </c>
      <c r="N1341" s="112" t="s">
        <v>14</v>
      </c>
      <c r="O1341" s="104" t="s">
        <v>52</v>
      </c>
      <c r="P1341" s="104" t="s">
        <v>52</v>
      </c>
      <c r="Q1341" s="105"/>
      <c r="R1341" s="28" t="s">
        <v>617</v>
      </c>
      <c r="S1341" s="225">
        <f t="shared" si="20"/>
        <v>51775</v>
      </c>
      <c r="T1341" s="2" t="s">
        <v>7627</v>
      </c>
      <c r="U1341" s="7" t="s">
        <v>122</v>
      </c>
      <c r="V1341" s="162" t="str" cm="1">
        <f t="array" ref="V1341">_xlfn.IFS(C1341="","",COUNTIF(C1341,"ตำแหน่งว่าง*"),"ว่าง",COUNTIF(C1341,"&lt;&gt;ตำแหน่งว่าง*"),"คนครอง")</f>
        <v>คนครอง</v>
      </c>
      <c r="W1341" s="6" cm="1">
        <f t="array" ref="W1341">_xlfn.IFS(COUNTIF(F1341,"ผบ.หมู่*"),51,COUNTIF(F1341,"รอง สว.*"),43)</f>
        <v>51</v>
      </c>
      <c r="X1341" s="1" t="s">
        <v>3717</v>
      </c>
      <c r="Y1341" s="1" t="s">
        <v>52</v>
      </c>
    </row>
    <row r="1342" spans="1:25" s="12" customFormat="1" ht="21.3" customHeight="1">
      <c r="A1342" s="27" t="s">
        <v>44</v>
      </c>
      <c r="B1342" s="31" t="s">
        <v>12</v>
      </c>
      <c r="C1342" s="95" t="s">
        <v>3720</v>
      </c>
      <c r="D1342" s="27" t="s">
        <v>9391</v>
      </c>
      <c r="E1342" s="27" t="s">
        <v>9392</v>
      </c>
      <c r="F1342" s="95" t="s">
        <v>3721</v>
      </c>
      <c r="G1342" s="101" t="s">
        <v>3723</v>
      </c>
      <c r="H1342" s="88">
        <v>44599</v>
      </c>
      <c r="I1342" s="76">
        <v>35095</v>
      </c>
      <c r="J1342" s="76">
        <v>35095</v>
      </c>
      <c r="K1342" s="76">
        <v>25445</v>
      </c>
      <c r="L1342" s="46" t="s">
        <v>3724</v>
      </c>
      <c r="M1342" s="4" t="s">
        <v>88</v>
      </c>
      <c r="N1342" s="111" t="s">
        <v>14</v>
      </c>
      <c r="O1342" s="104" t="s">
        <v>52</v>
      </c>
      <c r="P1342" s="104" t="s">
        <v>52</v>
      </c>
      <c r="Q1342" s="108"/>
      <c r="R1342" s="31" t="s">
        <v>607</v>
      </c>
      <c r="S1342" s="225">
        <f t="shared" si="20"/>
        <v>47392</v>
      </c>
      <c r="T1342" s="162" t="s">
        <v>7627</v>
      </c>
      <c r="U1342" s="7" t="s">
        <v>122</v>
      </c>
      <c r="V1342" s="162" t="str" cm="1">
        <f t="array" ref="V1342">_xlfn.IFS(C1342="","",COUNTIF(C1342,"ตำแหน่งว่าง*"),"ว่าง",COUNTIF(C1342,"&lt;&gt;ตำแหน่งว่าง*"),"คนครอง")</f>
        <v>คนครอง</v>
      </c>
      <c r="W1342" s="5" cm="1">
        <f t="array" ref="W1342">_xlfn.IFS(COUNTIF(F1342,"ผบ.หมู่*"),51,COUNTIF(F1342,"รอง สว.*"),43)</f>
        <v>43</v>
      </c>
      <c r="X1342" s="5" t="s">
        <v>3722</v>
      </c>
      <c r="Y1342" s="5" t="s">
        <v>52</v>
      </c>
    </row>
    <row r="1343" spans="1:25" s="9" customFormat="1" ht="21.3" customHeight="1">
      <c r="A1343" s="27" t="s">
        <v>157</v>
      </c>
      <c r="B1343" s="28" t="s">
        <v>21</v>
      </c>
      <c r="C1343" s="27" t="s">
        <v>3725</v>
      </c>
      <c r="D1343" s="27" t="s">
        <v>9393</v>
      </c>
      <c r="E1343" s="27" t="s">
        <v>9394</v>
      </c>
      <c r="F1343" s="27" t="s">
        <v>3716</v>
      </c>
      <c r="G1343" s="101" t="s">
        <v>3727</v>
      </c>
      <c r="H1343" s="75">
        <v>42501</v>
      </c>
      <c r="I1343" s="73">
        <v>35095</v>
      </c>
      <c r="J1343" s="73">
        <v>35095</v>
      </c>
      <c r="K1343" s="73">
        <v>26618</v>
      </c>
      <c r="L1343" s="19" t="s">
        <v>722</v>
      </c>
      <c r="M1343" s="3" t="s">
        <v>50</v>
      </c>
      <c r="N1343" s="112" t="s">
        <v>14</v>
      </c>
      <c r="O1343" s="104" t="s">
        <v>52</v>
      </c>
      <c r="P1343" s="104" t="s">
        <v>52</v>
      </c>
      <c r="Q1343" s="105"/>
      <c r="R1343" s="28" t="s">
        <v>110</v>
      </c>
      <c r="S1343" s="225">
        <f t="shared" si="20"/>
        <v>48853</v>
      </c>
      <c r="T1343" s="2" t="s">
        <v>7627</v>
      </c>
      <c r="U1343" s="7" t="s">
        <v>122</v>
      </c>
      <c r="V1343" s="162" t="str" cm="1">
        <f t="array" ref="V1343">_xlfn.IFS(C1343="","",COUNTIF(C1343,"ตำแหน่งว่าง*"),"ว่าง",COUNTIF(C1343,"&lt;&gt;ตำแหน่งว่าง*"),"คนครอง")</f>
        <v>คนครอง</v>
      </c>
      <c r="W1343" s="6" cm="1">
        <f t="array" ref="W1343">_xlfn.IFS(COUNTIF(F1343,"ผบ.หมู่*"),51,COUNTIF(F1343,"รอง สว.*"),43)</f>
        <v>51</v>
      </c>
      <c r="X1343" s="1" t="s">
        <v>3726</v>
      </c>
      <c r="Y1343" s="1" t="s">
        <v>52</v>
      </c>
    </row>
    <row r="1344" spans="1:25" s="10" customFormat="1" ht="21.3" customHeight="1">
      <c r="A1344" s="27" t="s">
        <v>612</v>
      </c>
      <c r="B1344" s="28" t="s">
        <v>21</v>
      </c>
      <c r="C1344" s="27" t="s">
        <v>3728</v>
      </c>
      <c r="D1344" s="27" t="s">
        <v>8013</v>
      </c>
      <c r="E1344" s="27" t="s">
        <v>9395</v>
      </c>
      <c r="F1344" s="27" t="s">
        <v>3716</v>
      </c>
      <c r="G1344" s="101" t="s">
        <v>3730</v>
      </c>
      <c r="H1344" s="75">
        <v>44999</v>
      </c>
      <c r="I1344" s="73">
        <v>44999</v>
      </c>
      <c r="J1344" s="73">
        <v>42416</v>
      </c>
      <c r="K1344" s="73">
        <v>34943</v>
      </c>
      <c r="L1344" s="19" t="s">
        <v>69</v>
      </c>
      <c r="M1344" s="3" t="s">
        <v>88</v>
      </c>
      <c r="N1344" s="112" t="s">
        <v>14</v>
      </c>
      <c r="O1344" s="104" t="s">
        <v>52</v>
      </c>
      <c r="P1344" s="104" t="s">
        <v>52</v>
      </c>
      <c r="Q1344" s="105"/>
      <c r="R1344" s="28" t="s">
        <v>74</v>
      </c>
      <c r="S1344" s="225">
        <f t="shared" si="20"/>
        <v>56888</v>
      </c>
      <c r="T1344" s="7" t="s">
        <v>7627</v>
      </c>
      <c r="U1344" s="7" t="s">
        <v>122</v>
      </c>
      <c r="V1344" s="162" t="str" cm="1">
        <f t="array" ref="V1344">_xlfn.IFS(C1344="","",COUNTIF(C1344,"ตำแหน่งว่าง*"),"ว่าง",COUNTIF(C1344,"&lt;&gt;ตำแหน่งว่าง*"),"คนครอง")</f>
        <v>คนครอง</v>
      </c>
      <c r="W1344" s="6" cm="1">
        <f t="array" ref="W1344">_xlfn.IFS(COUNTIF(F1344,"ผบ.หมู่*"),51,COUNTIF(F1344,"รอง สว.*"),43)</f>
        <v>51</v>
      </c>
      <c r="X1344" s="1" t="s">
        <v>3729</v>
      </c>
      <c r="Y1344" s="1" t="s">
        <v>52</v>
      </c>
    </row>
    <row r="1345" spans="1:25" s="9" customFormat="1" ht="21.3" customHeight="1">
      <c r="A1345" s="27"/>
      <c r="B1345" s="28"/>
      <c r="C1345" s="30" t="s">
        <v>18</v>
      </c>
      <c r="D1345" s="27"/>
      <c r="E1345" s="27"/>
      <c r="F1345" s="27" t="s">
        <v>3716</v>
      </c>
      <c r="G1345" s="101" t="s">
        <v>3732</v>
      </c>
      <c r="H1345" s="91"/>
      <c r="I1345" s="73"/>
      <c r="J1345" s="85"/>
      <c r="K1345" s="73"/>
      <c r="L1345" s="19"/>
      <c r="M1345" s="3"/>
      <c r="N1345" s="112" t="s">
        <v>14</v>
      </c>
      <c r="O1345" s="104" t="s">
        <v>52</v>
      </c>
      <c r="P1345" s="104" t="s">
        <v>52</v>
      </c>
      <c r="Q1345" s="105"/>
      <c r="R1345" s="28"/>
      <c r="S1345" s="225" t="str">
        <f t="shared" si="20"/>
        <v/>
      </c>
      <c r="T1345" s="2" t="s">
        <v>7627</v>
      </c>
      <c r="U1345" s="7" t="s">
        <v>122</v>
      </c>
      <c r="V1345" s="162" t="str" cm="1">
        <f t="array" ref="V1345">_xlfn.IFS(C1345="","",COUNTIF(C1345,"ตำแหน่งว่าง*"),"ว่าง",COUNTIF(C1345,"&lt;&gt;ตำแหน่งว่าง*"),"คนครอง")</f>
        <v>ว่าง</v>
      </c>
      <c r="W1345" s="5" cm="1">
        <f t="array" ref="W1345">_xlfn.IFS(COUNTIF(F1345,"ผบ.หมู่*"),51,COUNTIF(F1345,"รอง สว.*"),43)</f>
        <v>51</v>
      </c>
      <c r="X1345" s="1" t="s">
        <v>3731</v>
      </c>
      <c r="Y1345" s="1" t="s">
        <v>52</v>
      </c>
    </row>
    <row r="1346" spans="1:25" s="9" customFormat="1" ht="21.3" customHeight="1">
      <c r="A1346" s="27"/>
      <c r="B1346" s="28"/>
      <c r="C1346" s="30" t="s">
        <v>18</v>
      </c>
      <c r="D1346" s="27"/>
      <c r="E1346" s="27"/>
      <c r="F1346" s="27" t="s">
        <v>3716</v>
      </c>
      <c r="G1346" s="101" t="s">
        <v>3734</v>
      </c>
      <c r="H1346" s="91"/>
      <c r="I1346" s="73"/>
      <c r="J1346" s="85"/>
      <c r="K1346" s="73"/>
      <c r="L1346" s="19"/>
      <c r="M1346" s="3"/>
      <c r="N1346" s="112" t="s">
        <v>14</v>
      </c>
      <c r="O1346" s="104" t="s">
        <v>52</v>
      </c>
      <c r="P1346" s="104" t="s">
        <v>52</v>
      </c>
      <c r="Q1346" s="105"/>
      <c r="R1346" s="28"/>
      <c r="S1346" s="225" t="str">
        <f t="shared" ref="S1346:S1409" si="21">IF(K1346&lt;&gt;"",DATE(YEAR(K1346)+60+(K1346&gt;=DATE(YEAR(K1346),10,2)),10,1),"")</f>
        <v/>
      </c>
      <c r="T1346" s="2" t="s">
        <v>7627</v>
      </c>
      <c r="U1346" s="7" t="s">
        <v>122</v>
      </c>
      <c r="V1346" s="162" t="str" cm="1">
        <f t="array" ref="V1346">_xlfn.IFS(C1346="","",COUNTIF(C1346,"ตำแหน่งว่าง*"),"ว่าง",COUNTIF(C1346,"&lt;&gt;ตำแหน่งว่าง*"),"คนครอง")</f>
        <v>ว่าง</v>
      </c>
      <c r="W1346" s="5" cm="1">
        <f t="array" ref="W1346">_xlfn.IFS(COUNTIF(F1346,"ผบ.หมู่*"),51,COUNTIF(F1346,"รอง สว.*"),43)</f>
        <v>51</v>
      </c>
      <c r="X1346" s="1" t="s">
        <v>3733</v>
      </c>
      <c r="Y1346" s="1" t="s">
        <v>52</v>
      </c>
    </row>
    <row r="1347" spans="1:25" s="12" customFormat="1" ht="21.3" customHeight="1">
      <c r="A1347" s="27" t="s">
        <v>612</v>
      </c>
      <c r="B1347" s="28" t="s">
        <v>21</v>
      </c>
      <c r="C1347" s="27" t="s">
        <v>4638</v>
      </c>
      <c r="D1347" s="27" t="s">
        <v>9396</v>
      </c>
      <c r="E1347" s="27" t="s">
        <v>9397</v>
      </c>
      <c r="F1347" s="27" t="s">
        <v>3716</v>
      </c>
      <c r="G1347" s="101" t="s">
        <v>3736</v>
      </c>
      <c r="H1347" s="91">
        <v>45322</v>
      </c>
      <c r="I1347" s="73">
        <v>41944</v>
      </c>
      <c r="J1347" s="73">
        <v>41944</v>
      </c>
      <c r="K1347" s="73">
        <v>34820</v>
      </c>
      <c r="L1347" s="19" t="s">
        <v>4641</v>
      </c>
      <c r="M1347" s="3" t="s">
        <v>88</v>
      </c>
      <c r="N1347" s="112" t="s">
        <v>14</v>
      </c>
      <c r="O1347" s="104" t="s">
        <v>52</v>
      </c>
      <c r="P1347" s="104" t="s">
        <v>52</v>
      </c>
      <c r="Q1347" s="105"/>
      <c r="R1347" s="30" t="s">
        <v>7708</v>
      </c>
      <c r="S1347" s="225">
        <f t="shared" si="21"/>
        <v>56888</v>
      </c>
      <c r="T1347" s="162" t="s">
        <v>7627</v>
      </c>
      <c r="U1347" s="7" t="s">
        <v>122</v>
      </c>
      <c r="V1347" s="162" t="str" cm="1">
        <f t="array" ref="V1347">_xlfn.IFS(C1347="","",COUNTIF(C1347,"ตำแหน่งว่าง*"),"ว่าง",COUNTIF(C1347,"&lt;&gt;ตำแหน่งว่าง*"),"คนครอง")</f>
        <v>คนครอง</v>
      </c>
      <c r="W1347" s="6" cm="1">
        <f t="array" ref="W1347">_xlfn.IFS(COUNTIF(F1347,"ผบ.หมู่*"),51,COUNTIF(F1347,"รอง สว.*"),43)</f>
        <v>51</v>
      </c>
      <c r="X1347" s="1" t="s">
        <v>3735</v>
      </c>
      <c r="Y1347" s="1" t="s">
        <v>52</v>
      </c>
    </row>
    <row r="1348" spans="1:25" s="9" customFormat="1" ht="21.3" customHeight="1">
      <c r="A1348" s="27" t="s">
        <v>157</v>
      </c>
      <c r="B1348" s="28" t="s">
        <v>21</v>
      </c>
      <c r="C1348" s="27" t="s">
        <v>3737</v>
      </c>
      <c r="D1348" s="27" t="s">
        <v>9398</v>
      </c>
      <c r="E1348" s="27" t="s">
        <v>9399</v>
      </c>
      <c r="F1348" s="27" t="s">
        <v>3716</v>
      </c>
      <c r="G1348" s="101" t="s">
        <v>3739</v>
      </c>
      <c r="H1348" s="75">
        <v>42604</v>
      </c>
      <c r="I1348" s="73">
        <v>40814</v>
      </c>
      <c r="J1348" s="73">
        <v>40814</v>
      </c>
      <c r="K1348" s="73">
        <v>30966</v>
      </c>
      <c r="L1348" s="19" t="s">
        <v>3740</v>
      </c>
      <c r="M1348" s="3" t="s">
        <v>88</v>
      </c>
      <c r="N1348" s="112" t="s">
        <v>14</v>
      </c>
      <c r="O1348" s="104" t="s">
        <v>52</v>
      </c>
      <c r="P1348" s="104" t="s">
        <v>52</v>
      </c>
      <c r="Q1348" s="105"/>
      <c r="R1348" s="28" t="s">
        <v>76</v>
      </c>
      <c r="S1348" s="225">
        <f t="shared" si="21"/>
        <v>53236</v>
      </c>
      <c r="T1348" s="2" t="s">
        <v>7627</v>
      </c>
      <c r="U1348" s="7" t="s">
        <v>122</v>
      </c>
      <c r="V1348" s="162" t="str" cm="1">
        <f t="array" ref="V1348">_xlfn.IFS(C1348="","",COUNTIF(C1348,"ตำแหน่งว่าง*"),"ว่าง",COUNTIF(C1348,"&lt;&gt;ตำแหน่งว่าง*"),"คนครอง")</f>
        <v>คนครอง</v>
      </c>
      <c r="W1348" s="6" cm="1">
        <f t="array" ref="W1348">_xlfn.IFS(COUNTIF(F1348,"ผบ.หมู่*"),51,COUNTIF(F1348,"รอง สว.*"),43)</f>
        <v>51</v>
      </c>
      <c r="X1348" s="1" t="s">
        <v>3738</v>
      </c>
      <c r="Y1348" s="1" t="s">
        <v>52</v>
      </c>
    </row>
    <row r="1349" spans="1:25" s="9" customFormat="1" ht="21.3" customHeight="1">
      <c r="A1349" s="27" t="s">
        <v>30</v>
      </c>
      <c r="B1349" s="28" t="s">
        <v>12</v>
      </c>
      <c r="C1349" s="27" t="s">
        <v>3741</v>
      </c>
      <c r="D1349" s="27" t="s">
        <v>9400</v>
      </c>
      <c r="E1349" s="27" t="s">
        <v>9401</v>
      </c>
      <c r="F1349" s="27" t="s">
        <v>3721</v>
      </c>
      <c r="G1349" s="101" t="s">
        <v>3743</v>
      </c>
      <c r="H1349" s="75">
        <v>43555</v>
      </c>
      <c r="I1349" s="73">
        <v>43555</v>
      </c>
      <c r="J1349" s="73">
        <v>43555</v>
      </c>
      <c r="K1349" s="73">
        <v>24104</v>
      </c>
      <c r="L1349" s="19" t="s">
        <v>3744</v>
      </c>
      <c r="M1349" s="3" t="s">
        <v>88</v>
      </c>
      <c r="N1349" s="112" t="s">
        <v>14</v>
      </c>
      <c r="O1349" s="104" t="s">
        <v>52</v>
      </c>
      <c r="P1349" s="104" t="s">
        <v>52</v>
      </c>
      <c r="Q1349" s="105"/>
      <c r="R1349" s="28" t="s">
        <v>2892</v>
      </c>
      <c r="S1349" s="225">
        <f t="shared" si="21"/>
        <v>46296</v>
      </c>
      <c r="T1349" s="2" t="s">
        <v>7627</v>
      </c>
      <c r="U1349" s="7" t="s">
        <v>122</v>
      </c>
      <c r="V1349" s="162" t="str" cm="1">
        <f t="array" ref="V1349">_xlfn.IFS(C1349="","",COUNTIF(C1349,"ตำแหน่งว่าง*"),"ว่าง",COUNTIF(C1349,"&lt;&gt;ตำแหน่งว่าง*"),"คนครอง")</f>
        <v>คนครอง</v>
      </c>
      <c r="W1349" s="5" cm="1">
        <f t="array" ref="W1349">_xlfn.IFS(COUNTIF(F1349,"ผบ.หมู่*"),51,COUNTIF(F1349,"รอง สว.*"),43)</f>
        <v>43</v>
      </c>
      <c r="X1349" s="1" t="s">
        <v>3742</v>
      </c>
      <c r="Y1349" s="1" t="s">
        <v>52</v>
      </c>
    </row>
    <row r="1350" spans="1:25" s="9" customFormat="1" ht="21.3" customHeight="1">
      <c r="A1350" s="27" t="s">
        <v>10753</v>
      </c>
      <c r="B1350" s="28" t="s">
        <v>21</v>
      </c>
      <c r="C1350" s="27" t="s">
        <v>3745</v>
      </c>
      <c r="D1350" s="27" t="s">
        <v>8196</v>
      </c>
      <c r="E1350" s="27" t="s">
        <v>9402</v>
      </c>
      <c r="F1350" s="27" t="s">
        <v>3721</v>
      </c>
      <c r="G1350" s="101" t="s">
        <v>3747</v>
      </c>
      <c r="H1350" s="75">
        <v>45016</v>
      </c>
      <c r="I1350" s="73">
        <v>45016</v>
      </c>
      <c r="J1350" s="73">
        <v>34729</v>
      </c>
      <c r="K1350" s="73">
        <v>25654</v>
      </c>
      <c r="L1350" s="19" t="s">
        <v>3748</v>
      </c>
      <c r="M1350" s="3" t="s">
        <v>88</v>
      </c>
      <c r="N1350" s="112" t="s">
        <v>14</v>
      </c>
      <c r="O1350" s="104" t="s">
        <v>52</v>
      </c>
      <c r="P1350" s="104" t="s">
        <v>52</v>
      </c>
      <c r="Q1350" s="105"/>
      <c r="R1350" s="28" t="s">
        <v>483</v>
      </c>
      <c r="S1350" s="225">
        <f t="shared" si="21"/>
        <v>47757</v>
      </c>
      <c r="T1350" s="2" t="s">
        <v>7627</v>
      </c>
      <c r="U1350" s="7" t="s">
        <v>122</v>
      </c>
      <c r="V1350" s="162" t="str" cm="1">
        <f t="array" ref="V1350">_xlfn.IFS(C1350="","",COUNTIF(C1350,"ตำแหน่งว่าง*"),"ว่าง",COUNTIF(C1350,"&lt;&gt;ตำแหน่งว่าง*"),"คนครอง")</f>
        <v>คนครอง</v>
      </c>
      <c r="W1350" s="5" cm="1">
        <f t="array" ref="W1350">_xlfn.IFS(COUNTIF(F1350,"ผบ.หมู่*"),51,COUNTIF(F1350,"รอง สว.*"),43)</f>
        <v>43</v>
      </c>
      <c r="X1350" s="1" t="s">
        <v>3746</v>
      </c>
      <c r="Y1350" s="1" t="s">
        <v>52</v>
      </c>
    </row>
    <row r="1351" spans="1:25" s="9" customFormat="1" ht="21.3" customHeight="1">
      <c r="A1351" s="27" t="s">
        <v>26</v>
      </c>
      <c r="B1351" s="28" t="s">
        <v>12</v>
      </c>
      <c r="C1351" s="27" t="s">
        <v>3749</v>
      </c>
      <c r="D1351" s="27" t="s">
        <v>8138</v>
      </c>
      <c r="E1351" s="27" t="s">
        <v>8094</v>
      </c>
      <c r="F1351" s="27" t="s">
        <v>3721</v>
      </c>
      <c r="G1351" s="101" t="s">
        <v>3751</v>
      </c>
      <c r="H1351" s="91">
        <v>44286</v>
      </c>
      <c r="I1351" s="73">
        <v>44286</v>
      </c>
      <c r="J1351" s="73">
        <v>44286</v>
      </c>
      <c r="K1351" s="73">
        <v>24810</v>
      </c>
      <c r="L1351" s="19" t="s">
        <v>3752</v>
      </c>
      <c r="M1351" s="3" t="s">
        <v>88</v>
      </c>
      <c r="N1351" s="112" t="s">
        <v>14</v>
      </c>
      <c r="O1351" s="104" t="s">
        <v>52</v>
      </c>
      <c r="P1351" s="104" t="s">
        <v>52</v>
      </c>
      <c r="Q1351" s="105"/>
      <c r="R1351" s="28" t="s">
        <v>1313</v>
      </c>
      <c r="S1351" s="225">
        <f t="shared" si="21"/>
        <v>47027</v>
      </c>
      <c r="T1351" s="2" t="s">
        <v>7627</v>
      </c>
      <c r="U1351" s="7" t="s">
        <v>122</v>
      </c>
      <c r="V1351" s="162" t="str" cm="1">
        <f t="array" ref="V1351">_xlfn.IFS(C1351="","",COUNTIF(C1351,"ตำแหน่งว่าง*"),"ว่าง",COUNTIF(C1351,"&lt;&gt;ตำแหน่งว่าง*"),"คนครอง")</f>
        <v>คนครอง</v>
      </c>
      <c r="W1351" s="5" cm="1">
        <f t="array" ref="W1351">_xlfn.IFS(COUNTIF(F1351,"ผบ.หมู่*"),51,COUNTIF(F1351,"รอง สว.*"),43)</f>
        <v>43</v>
      </c>
      <c r="X1351" s="1" t="s">
        <v>3750</v>
      </c>
      <c r="Y1351" s="1" t="s">
        <v>52</v>
      </c>
    </row>
    <row r="1352" spans="1:25" s="9" customFormat="1" ht="21.3" customHeight="1">
      <c r="A1352" s="27" t="s">
        <v>60</v>
      </c>
      <c r="B1352" s="28" t="s">
        <v>21</v>
      </c>
      <c r="C1352" s="27" t="s">
        <v>3753</v>
      </c>
      <c r="D1352" s="27" t="s">
        <v>9403</v>
      </c>
      <c r="E1352" s="27" t="s">
        <v>9404</v>
      </c>
      <c r="F1352" s="27" t="s">
        <v>3721</v>
      </c>
      <c r="G1352" s="101" t="s">
        <v>3755</v>
      </c>
      <c r="H1352" s="75">
        <v>42501</v>
      </c>
      <c r="I1352" s="73">
        <v>35095</v>
      </c>
      <c r="J1352" s="73">
        <v>35095</v>
      </c>
      <c r="K1352" s="73">
        <v>26399</v>
      </c>
      <c r="L1352" s="19" t="s">
        <v>3756</v>
      </c>
      <c r="M1352" s="3" t="s">
        <v>28</v>
      </c>
      <c r="N1352" s="112" t="s">
        <v>14</v>
      </c>
      <c r="O1352" s="104" t="s">
        <v>52</v>
      </c>
      <c r="P1352" s="104" t="s">
        <v>52</v>
      </c>
      <c r="Q1352" s="105"/>
      <c r="R1352" s="28" t="s">
        <v>110</v>
      </c>
      <c r="S1352" s="225">
        <f t="shared" si="21"/>
        <v>48488</v>
      </c>
      <c r="T1352" s="2" t="s">
        <v>7627</v>
      </c>
      <c r="U1352" s="7" t="s">
        <v>122</v>
      </c>
      <c r="V1352" s="162" t="str" cm="1">
        <f t="array" ref="V1352">_xlfn.IFS(C1352="","",COUNTIF(C1352,"ตำแหน่งว่าง*"),"ว่าง",COUNTIF(C1352,"&lt;&gt;ตำแหน่งว่าง*"),"คนครอง")</f>
        <v>คนครอง</v>
      </c>
      <c r="W1352" s="6" cm="1">
        <f t="array" ref="W1352">_xlfn.IFS(COUNTIF(F1352,"ผบ.หมู่*"),51,COUNTIF(F1352,"รอง สว.*"),43)</f>
        <v>43</v>
      </c>
      <c r="X1352" s="1" t="s">
        <v>3754</v>
      </c>
      <c r="Y1352" s="1" t="s">
        <v>52</v>
      </c>
    </row>
    <row r="1353" spans="1:25" s="9" customFormat="1" ht="21.3" customHeight="1">
      <c r="A1353" s="27" t="s">
        <v>157</v>
      </c>
      <c r="B1353" s="28" t="s">
        <v>12</v>
      </c>
      <c r="C1353" s="27" t="s">
        <v>3757</v>
      </c>
      <c r="D1353" s="27" t="s">
        <v>9405</v>
      </c>
      <c r="E1353" s="27" t="s">
        <v>9406</v>
      </c>
      <c r="F1353" s="27" t="s">
        <v>3716</v>
      </c>
      <c r="G1353" s="101" t="s">
        <v>3759</v>
      </c>
      <c r="H1353" s="75">
        <v>42501</v>
      </c>
      <c r="I1353" s="73">
        <v>37316</v>
      </c>
      <c r="J1353" s="73">
        <v>37316</v>
      </c>
      <c r="K1353" s="73">
        <v>28024</v>
      </c>
      <c r="L1353" s="19" t="s">
        <v>3760</v>
      </c>
      <c r="M1353" s="3" t="s">
        <v>88</v>
      </c>
      <c r="N1353" s="112" t="s">
        <v>14</v>
      </c>
      <c r="O1353" s="104" t="s">
        <v>52</v>
      </c>
      <c r="P1353" s="104" t="s">
        <v>52</v>
      </c>
      <c r="Q1353" s="105"/>
      <c r="R1353" s="28" t="s">
        <v>110</v>
      </c>
      <c r="S1353" s="225">
        <f t="shared" si="21"/>
        <v>49949</v>
      </c>
      <c r="T1353" s="2" t="s">
        <v>7627</v>
      </c>
      <c r="U1353" s="7" t="s">
        <v>122</v>
      </c>
      <c r="V1353" s="162" t="str" cm="1">
        <f t="array" ref="V1353">_xlfn.IFS(C1353="","",COUNTIF(C1353,"ตำแหน่งว่าง*"),"ว่าง",COUNTIF(C1353,"&lt;&gt;ตำแหน่งว่าง*"),"คนครอง")</f>
        <v>คนครอง</v>
      </c>
      <c r="W1353" s="6" cm="1">
        <f t="array" ref="W1353">_xlfn.IFS(COUNTIF(F1353,"ผบ.หมู่*"),51,COUNTIF(F1353,"รอง สว.*"),43)</f>
        <v>51</v>
      </c>
      <c r="X1353" s="1" t="s">
        <v>3758</v>
      </c>
      <c r="Y1353" s="1" t="s">
        <v>52</v>
      </c>
    </row>
    <row r="1354" spans="1:25" s="9" customFormat="1" ht="21.3" customHeight="1">
      <c r="A1354" s="27" t="s">
        <v>157</v>
      </c>
      <c r="B1354" s="28" t="s">
        <v>12</v>
      </c>
      <c r="C1354" s="27" t="s">
        <v>3761</v>
      </c>
      <c r="D1354" s="27" t="s">
        <v>8229</v>
      </c>
      <c r="E1354" s="27" t="s">
        <v>9407</v>
      </c>
      <c r="F1354" s="27" t="s">
        <v>3716</v>
      </c>
      <c r="G1354" s="101" t="s">
        <v>3763</v>
      </c>
      <c r="H1354" s="75">
        <v>43235</v>
      </c>
      <c r="I1354" s="73">
        <v>35462</v>
      </c>
      <c r="J1354" s="73">
        <v>35462</v>
      </c>
      <c r="K1354" s="73">
        <v>27984</v>
      </c>
      <c r="L1354" s="19" t="s">
        <v>3764</v>
      </c>
      <c r="M1354" s="3" t="s">
        <v>28</v>
      </c>
      <c r="N1354" s="112" t="s">
        <v>14</v>
      </c>
      <c r="O1354" s="104" t="s">
        <v>52</v>
      </c>
      <c r="P1354" s="104" t="s">
        <v>52</v>
      </c>
      <c r="Q1354" s="105"/>
      <c r="R1354" s="28" t="s">
        <v>3765</v>
      </c>
      <c r="S1354" s="225">
        <f t="shared" si="21"/>
        <v>49949</v>
      </c>
      <c r="T1354" s="2" t="s">
        <v>7627</v>
      </c>
      <c r="U1354" s="7" t="s">
        <v>122</v>
      </c>
      <c r="V1354" s="162" t="str" cm="1">
        <f t="array" ref="V1354">_xlfn.IFS(C1354="","",COUNTIF(C1354,"ตำแหน่งว่าง*"),"ว่าง",COUNTIF(C1354,"&lt;&gt;ตำแหน่งว่าง*"),"คนครอง")</f>
        <v>คนครอง</v>
      </c>
      <c r="W1354" s="6" cm="1">
        <f t="array" ref="W1354">_xlfn.IFS(COUNTIF(F1354,"ผบ.หมู่*"),51,COUNTIF(F1354,"รอง สว.*"),43)</f>
        <v>51</v>
      </c>
      <c r="X1354" s="1" t="s">
        <v>3762</v>
      </c>
      <c r="Y1354" s="1" t="s">
        <v>52</v>
      </c>
    </row>
    <row r="1355" spans="1:25" s="12" customFormat="1" ht="21.3" customHeight="1">
      <c r="A1355" s="27" t="s">
        <v>44</v>
      </c>
      <c r="B1355" s="31" t="s">
        <v>21</v>
      </c>
      <c r="C1355" s="95" t="s">
        <v>3766</v>
      </c>
      <c r="D1355" s="27" t="s">
        <v>9408</v>
      </c>
      <c r="E1355" s="27" t="s">
        <v>9409</v>
      </c>
      <c r="F1355" s="95" t="s">
        <v>3721</v>
      </c>
      <c r="G1355" s="101" t="s">
        <v>3768</v>
      </c>
      <c r="H1355" s="88">
        <v>42501</v>
      </c>
      <c r="I1355" s="76">
        <v>34729</v>
      </c>
      <c r="J1355" s="76">
        <v>34729</v>
      </c>
      <c r="K1355" s="76">
        <v>25240</v>
      </c>
      <c r="L1355" s="46" t="s">
        <v>3769</v>
      </c>
      <c r="M1355" s="4" t="s">
        <v>88</v>
      </c>
      <c r="N1355" s="111" t="s">
        <v>14</v>
      </c>
      <c r="O1355" s="104" t="s">
        <v>52</v>
      </c>
      <c r="P1355" s="104" t="s">
        <v>52</v>
      </c>
      <c r="Q1355" s="108"/>
      <c r="R1355" s="31" t="s">
        <v>110</v>
      </c>
      <c r="S1355" s="225">
        <f t="shared" si="21"/>
        <v>47392</v>
      </c>
      <c r="T1355" s="162" t="s">
        <v>7627</v>
      </c>
      <c r="U1355" s="7" t="s">
        <v>122</v>
      </c>
      <c r="V1355" s="162" t="str" cm="1">
        <f t="array" ref="V1355">_xlfn.IFS(C1355="","",COUNTIF(C1355,"ตำแหน่งว่าง*"),"ว่าง",COUNTIF(C1355,"&lt;&gt;ตำแหน่งว่าง*"),"คนครอง")</f>
        <v>คนครอง</v>
      </c>
      <c r="W1355" s="5" cm="1">
        <f t="array" ref="W1355">_xlfn.IFS(COUNTIF(F1355,"ผบ.หมู่*"),51,COUNTIF(F1355,"รอง สว.*"),43)</f>
        <v>43</v>
      </c>
      <c r="X1355" s="5" t="s">
        <v>3767</v>
      </c>
      <c r="Y1355" s="5" t="s">
        <v>52</v>
      </c>
    </row>
    <row r="1356" spans="1:25" s="10" customFormat="1" ht="21.3" customHeight="1">
      <c r="A1356" s="27"/>
      <c r="B1356" s="30"/>
      <c r="C1356" s="30" t="s">
        <v>18</v>
      </c>
      <c r="D1356" s="27"/>
      <c r="E1356" s="27"/>
      <c r="F1356" s="68" t="s">
        <v>3770</v>
      </c>
      <c r="G1356" s="121" t="s">
        <v>3772</v>
      </c>
      <c r="H1356" s="80" t="s">
        <v>19</v>
      </c>
      <c r="I1356" s="74" t="s">
        <v>19</v>
      </c>
      <c r="J1356" s="74" t="s">
        <v>19</v>
      </c>
      <c r="K1356" s="74" t="s">
        <v>19</v>
      </c>
      <c r="L1356" s="44"/>
      <c r="M1356" s="8"/>
      <c r="N1356" s="113" t="s">
        <v>14</v>
      </c>
      <c r="O1356" s="122" t="s">
        <v>52</v>
      </c>
      <c r="P1356" s="122" t="s">
        <v>52</v>
      </c>
      <c r="Q1356" s="106"/>
      <c r="R1356" s="30"/>
      <c r="S1356" s="225" t="str">
        <f t="shared" si="21"/>
        <v/>
      </c>
      <c r="T1356" s="7" t="s">
        <v>7627</v>
      </c>
      <c r="U1356" s="7" t="s">
        <v>122</v>
      </c>
      <c r="V1356" s="171" t="str" cm="1">
        <f t="array" ref="V1356">_xlfn.IFS(C1356="","",COUNTIF(C1356,"ตำแหน่งว่าง*"),"ว่าง",COUNTIF(C1356,"&lt;&gt;ตำแหน่งว่าง*"),"คนครอง")</f>
        <v>ว่าง</v>
      </c>
      <c r="W1356" s="6" cm="1">
        <f t="array" ref="W1356">_xlfn.IFS(COUNTIF(F1356,"ผบ.หมู่*"),51,COUNTIF(F1356,"รอง สว.*"),43)</f>
        <v>51</v>
      </c>
      <c r="X1356" s="6" t="s">
        <v>3771</v>
      </c>
      <c r="Y1356" s="6" t="s">
        <v>52</v>
      </c>
    </row>
    <row r="1357" spans="1:25" s="9" customFormat="1" ht="21.3" customHeight="1">
      <c r="A1357" s="27" t="s">
        <v>44</v>
      </c>
      <c r="B1357" s="28" t="s">
        <v>12</v>
      </c>
      <c r="C1357" s="27" t="s">
        <v>3773</v>
      </c>
      <c r="D1357" s="27" t="s">
        <v>9410</v>
      </c>
      <c r="E1357" s="27" t="s">
        <v>8860</v>
      </c>
      <c r="F1357" s="27" t="s">
        <v>3721</v>
      </c>
      <c r="G1357" s="101" t="s">
        <v>3775</v>
      </c>
      <c r="H1357" s="91">
        <v>43921</v>
      </c>
      <c r="I1357" s="73">
        <v>43921</v>
      </c>
      <c r="J1357" s="73">
        <v>43921</v>
      </c>
      <c r="K1357" s="73">
        <v>24675</v>
      </c>
      <c r="L1357" s="19" t="s">
        <v>3776</v>
      </c>
      <c r="M1357" s="3" t="s">
        <v>88</v>
      </c>
      <c r="N1357" s="112" t="s">
        <v>14</v>
      </c>
      <c r="O1357" s="104" t="s">
        <v>52</v>
      </c>
      <c r="P1357" s="104" t="s">
        <v>52</v>
      </c>
      <c r="Q1357" s="105"/>
      <c r="R1357" s="28" t="s">
        <v>110</v>
      </c>
      <c r="S1357" s="225">
        <f t="shared" si="21"/>
        <v>46661</v>
      </c>
      <c r="T1357" s="2" t="s">
        <v>7627</v>
      </c>
      <c r="U1357" s="7" t="s">
        <v>122</v>
      </c>
      <c r="V1357" s="162" t="str" cm="1">
        <f t="array" ref="V1357">_xlfn.IFS(C1357="","",COUNTIF(C1357,"ตำแหน่งว่าง*"),"ว่าง",COUNTIF(C1357,"&lt;&gt;ตำแหน่งว่าง*"),"คนครอง")</f>
        <v>คนครอง</v>
      </c>
      <c r="W1357" s="5" cm="1">
        <f t="array" ref="W1357">_xlfn.IFS(COUNTIF(F1357,"ผบ.หมู่*"),51,COUNTIF(F1357,"รอง สว.*"),43)</f>
        <v>43</v>
      </c>
      <c r="X1357" s="1" t="s">
        <v>3774</v>
      </c>
      <c r="Y1357" s="1" t="s">
        <v>52</v>
      </c>
    </row>
    <row r="1358" spans="1:25" s="9" customFormat="1" ht="21.3" customHeight="1">
      <c r="A1358" s="27" t="s">
        <v>612</v>
      </c>
      <c r="B1358" s="28" t="s">
        <v>12</v>
      </c>
      <c r="C1358" s="27" t="s">
        <v>3264</v>
      </c>
      <c r="D1358" s="27" t="s">
        <v>9411</v>
      </c>
      <c r="E1358" s="27" t="s">
        <v>9412</v>
      </c>
      <c r="F1358" s="27" t="s">
        <v>3938</v>
      </c>
      <c r="G1358" s="101" t="s">
        <v>3940</v>
      </c>
      <c r="H1358" s="91">
        <v>45322</v>
      </c>
      <c r="I1358" s="73">
        <v>42416</v>
      </c>
      <c r="J1358" s="73">
        <v>42416</v>
      </c>
      <c r="K1358" s="73">
        <v>35390</v>
      </c>
      <c r="L1358" s="19" t="s">
        <v>82</v>
      </c>
      <c r="M1358" s="3" t="s">
        <v>80</v>
      </c>
      <c r="N1358" s="112" t="s">
        <v>14</v>
      </c>
      <c r="O1358" s="104" t="s">
        <v>52</v>
      </c>
      <c r="P1358" s="104" t="s">
        <v>52</v>
      </c>
      <c r="Q1358" s="105"/>
      <c r="R1358" s="28" t="s">
        <v>7708</v>
      </c>
      <c r="S1358" s="225">
        <f t="shared" si="21"/>
        <v>57619</v>
      </c>
      <c r="T1358" s="2" t="s">
        <v>7631</v>
      </c>
      <c r="U1358" s="7" t="s">
        <v>122</v>
      </c>
      <c r="V1358" s="162" t="str" cm="1">
        <f t="array" ref="V1358">_xlfn.IFS(C1358="","",COUNTIF(C1358,"ตำแหน่งว่าง*"),"ว่าง",COUNTIF(C1358,"&lt;&gt;ตำแหน่งว่าง*"),"คนครอง")</f>
        <v>คนครอง</v>
      </c>
      <c r="W1358" s="6" cm="1">
        <f t="array" ref="W1358">_xlfn.IFS(COUNTIF(F1358,"ผบ.หมู่*"),51,COUNTIF(F1358,"รอง สว.*"),43)</f>
        <v>51</v>
      </c>
      <c r="X1358" s="1" t="s">
        <v>3939</v>
      </c>
      <c r="Y1358" s="1" t="s">
        <v>52</v>
      </c>
    </row>
    <row r="1359" spans="1:25" s="10" customFormat="1" ht="21.3" customHeight="1">
      <c r="A1359" s="192" t="s">
        <v>169</v>
      </c>
      <c r="B1359" s="193" t="s">
        <v>12</v>
      </c>
      <c r="C1359" s="192" t="s">
        <v>7932</v>
      </c>
      <c r="D1359" s="27" t="s">
        <v>9413</v>
      </c>
      <c r="E1359" s="27" t="s">
        <v>9414</v>
      </c>
      <c r="F1359" s="192" t="s">
        <v>3938</v>
      </c>
      <c r="G1359" s="101" t="s">
        <v>3942</v>
      </c>
      <c r="H1359" s="73">
        <v>45463</v>
      </c>
      <c r="I1359" s="73">
        <v>45463</v>
      </c>
      <c r="J1359" s="73">
        <v>45463</v>
      </c>
      <c r="K1359" s="73">
        <v>36411</v>
      </c>
      <c r="L1359" s="2" t="s">
        <v>82</v>
      </c>
      <c r="M1359" s="3"/>
      <c r="N1359" s="112" t="s">
        <v>14</v>
      </c>
      <c r="O1359" s="104" t="s">
        <v>52</v>
      </c>
      <c r="P1359" s="104" t="s">
        <v>52</v>
      </c>
      <c r="Q1359" s="105"/>
      <c r="R1359" s="28" t="s">
        <v>7961</v>
      </c>
      <c r="S1359" s="174">
        <f t="shared" si="21"/>
        <v>58349</v>
      </c>
      <c r="T1359" s="2" t="s">
        <v>7631</v>
      </c>
      <c r="U1359" s="2" t="s">
        <v>122</v>
      </c>
      <c r="V1359" s="162" t="str" cm="1">
        <f t="array" ref="V1359">_xlfn.IFS(C1359="","",COUNTIF(C1359,"ตำแหน่งว่าง*"),"ว่าง",COUNTIF(C1359,"&lt;&gt;ตำแหน่งว่าง*"),"คนครอง")</f>
        <v>คนครอง</v>
      </c>
      <c r="W1359" s="1" cm="1">
        <f t="array" ref="W1359">_xlfn.IFS(COUNTIF(F1359,"ผบ.หมู่*"),51,COUNTIF(F1359,"รอง สว.*"),43)</f>
        <v>51</v>
      </c>
      <c r="X1359" s="1" t="s">
        <v>3941</v>
      </c>
      <c r="Y1359" s="1" t="s">
        <v>52</v>
      </c>
    </row>
    <row r="1360" spans="1:25" s="9" customFormat="1" ht="21.3" customHeight="1">
      <c r="A1360" s="27" t="s">
        <v>10753</v>
      </c>
      <c r="B1360" s="28" t="s">
        <v>21</v>
      </c>
      <c r="C1360" s="27" t="s">
        <v>3943</v>
      </c>
      <c r="D1360" s="27" t="s">
        <v>9415</v>
      </c>
      <c r="E1360" s="27" t="s">
        <v>9416</v>
      </c>
      <c r="F1360" s="27" t="s">
        <v>3948</v>
      </c>
      <c r="G1360" s="101" t="s">
        <v>3945</v>
      </c>
      <c r="H1360" s="91">
        <v>45382</v>
      </c>
      <c r="I1360" s="73">
        <v>45382</v>
      </c>
      <c r="J1360" s="73">
        <v>34352</v>
      </c>
      <c r="K1360" s="73">
        <v>26029</v>
      </c>
      <c r="L1360" s="19" t="s">
        <v>3946</v>
      </c>
      <c r="M1360" s="3" t="s">
        <v>80</v>
      </c>
      <c r="N1360" s="112" t="s">
        <v>14</v>
      </c>
      <c r="O1360" s="104" t="s">
        <v>52</v>
      </c>
      <c r="P1360" s="104" t="s">
        <v>52</v>
      </c>
      <c r="Q1360" s="105"/>
      <c r="R1360" s="33" t="s">
        <v>7801</v>
      </c>
      <c r="S1360" s="225">
        <f t="shared" si="21"/>
        <v>48122</v>
      </c>
      <c r="T1360" s="2" t="s">
        <v>7631</v>
      </c>
      <c r="U1360" s="7" t="s">
        <v>122</v>
      </c>
      <c r="V1360" s="162" t="str" cm="1">
        <f t="array" ref="V1360">_xlfn.IFS(C1360="","",COUNTIF(C1360,"ตำแหน่งว่าง*"),"ว่าง",COUNTIF(C1360,"&lt;&gt;ตำแหน่งว่าง*"),"คนครอง")</f>
        <v>คนครอง</v>
      </c>
      <c r="W1360" s="6" cm="1">
        <f t="array" ref="W1360">_xlfn.IFS(COUNTIF(F1360,"ผบ.หมู่*"),51,COUNTIF(F1360,"รอง สว.*"),43)</f>
        <v>43</v>
      </c>
      <c r="X1360" s="1" t="s">
        <v>3944</v>
      </c>
      <c r="Y1360" s="1" t="s">
        <v>52</v>
      </c>
    </row>
    <row r="1361" spans="1:25" s="9" customFormat="1" ht="21.3" customHeight="1">
      <c r="A1361" s="27" t="s">
        <v>10753</v>
      </c>
      <c r="B1361" s="28" t="s">
        <v>12</v>
      </c>
      <c r="C1361" s="27" t="s">
        <v>3947</v>
      </c>
      <c r="D1361" s="27" t="s">
        <v>9417</v>
      </c>
      <c r="E1361" s="27" t="s">
        <v>8931</v>
      </c>
      <c r="F1361" s="27" t="s">
        <v>3948</v>
      </c>
      <c r="G1361" s="101" t="s">
        <v>3950</v>
      </c>
      <c r="H1361" s="75">
        <v>45016</v>
      </c>
      <c r="I1361" s="73">
        <v>45016</v>
      </c>
      <c r="J1361" s="73">
        <v>34352</v>
      </c>
      <c r="K1361" s="73">
        <v>25503</v>
      </c>
      <c r="L1361" s="19" t="s">
        <v>3951</v>
      </c>
      <c r="M1361" s="3" t="s">
        <v>80</v>
      </c>
      <c r="N1361" s="112" t="s">
        <v>14</v>
      </c>
      <c r="O1361" s="104" t="s">
        <v>52</v>
      </c>
      <c r="P1361" s="104" t="s">
        <v>52</v>
      </c>
      <c r="Q1361" s="105"/>
      <c r="R1361" s="28" t="s">
        <v>483</v>
      </c>
      <c r="S1361" s="225">
        <f t="shared" si="21"/>
        <v>47757</v>
      </c>
      <c r="T1361" s="2" t="s">
        <v>7631</v>
      </c>
      <c r="U1361" s="7" t="s">
        <v>122</v>
      </c>
      <c r="V1361" s="162" t="str" cm="1">
        <f t="array" ref="V1361">_xlfn.IFS(C1361="","",COUNTIF(C1361,"ตำแหน่งว่าง*"),"ว่าง",COUNTIF(C1361,"&lt;&gt;ตำแหน่งว่าง*"),"คนครอง")</f>
        <v>คนครอง</v>
      </c>
      <c r="W1361" s="5" cm="1">
        <f t="array" ref="W1361">_xlfn.IFS(COUNTIF(F1361,"ผบ.หมู่*"),51,COUNTIF(F1361,"รอง สว.*"),43)</f>
        <v>43</v>
      </c>
      <c r="X1361" s="1" t="s">
        <v>3949</v>
      </c>
      <c r="Y1361" s="1" t="s">
        <v>52</v>
      </c>
    </row>
    <row r="1362" spans="1:25" s="9" customFormat="1" ht="21.3" customHeight="1">
      <c r="A1362" s="27" t="s">
        <v>612</v>
      </c>
      <c r="B1362" s="28" t="s">
        <v>12</v>
      </c>
      <c r="C1362" s="27" t="s">
        <v>3952</v>
      </c>
      <c r="D1362" s="27" t="s">
        <v>9418</v>
      </c>
      <c r="E1362" s="27" t="s">
        <v>9419</v>
      </c>
      <c r="F1362" s="27" t="s">
        <v>3938</v>
      </c>
      <c r="G1362" s="101" t="s">
        <v>3954</v>
      </c>
      <c r="H1362" s="91">
        <v>44243</v>
      </c>
      <c r="I1362" s="73">
        <v>42416</v>
      </c>
      <c r="J1362" s="73">
        <v>42416</v>
      </c>
      <c r="K1362" s="73">
        <v>33812</v>
      </c>
      <c r="L1362" s="19" t="s">
        <v>3955</v>
      </c>
      <c r="M1362" s="3" t="s">
        <v>80</v>
      </c>
      <c r="N1362" s="112" t="s">
        <v>14</v>
      </c>
      <c r="O1362" s="104" t="s">
        <v>52</v>
      </c>
      <c r="P1362" s="104" t="s">
        <v>52</v>
      </c>
      <c r="Q1362" s="105"/>
      <c r="R1362" s="28" t="s">
        <v>617</v>
      </c>
      <c r="S1362" s="225">
        <f t="shared" si="21"/>
        <v>55793</v>
      </c>
      <c r="T1362" s="2" t="s">
        <v>7631</v>
      </c>
      <c r="U1362" s="7" t="s">
        <v>122</v>
      </c>
      <c r="V1362" s="162" t="str" cm="1">
        <f t="array" ref="V1362">_xlfn.IFS(C1362="","",COUNTIF(C1362,"ตำแหน่งว่าง*"),"ว่าง",COUNTIF(C1362,"&lt;&gt;ตำแหน่งว่าง*"),"คนครอง")</f>
        <v>คนครอง</v>
      </c>
      <c r="W1362" s="6" cm="1">
        <f t="array" ref="W1362">_xlfn.IFS(COUNTIF(F1362,"ผบ.หมู่*"),51,COUNTIF(F1362,"รอง สว.*"),43)</f>
        <v>51</v>
      </c>
      <c r="X1362" s="1" t="s">
        <v>3953</v>
      </c>
      <c r="Y1362" s="1" t="s">
        <v>52</v>
      </c>
    </row>
    <row r="1363" spans="1:25" s="9" customFormat="1" ht="21.3" customHeight="1">
      <c r="A1363" s="27" t="s">
        <v>10753</v>
      </c>
      <c r="B1363" s="28" t="s">
        <v>12</v>
      </c>
      <c r="C1363" s="27" t="s">
        <v>3956</v>
      </c>
      <c r="D1363" s="27" t="s">
        <v>9420</v>
      </c>
      <c r="E1363" s="27" t="s">
        <v>9421</v>
      </c>
      <c r="F1363" s="27" t="s">
        <v>3948</v>
      </c>
      <c r="G1363" s="101" t="s">
        <v>3958</v>
      </c>
      <c r="H1363" s="91">
        <v>45382</v>
      </c>
      <c r="I1363" s="73">
        <v>45382</v>
      </c>
      <c r="J1363" s="73">
        <v>34001</v>
      </c>
      <c r="K1363" s="73">
        <v>26035</v>
      </c>
      <c r="L1363" s="19" t="s">
        <v>3959</v>
      </c>
      <c r="M1363" s="3" t="s">
        <v>80</v>
      </c>
      <c r="N1363" s="112" t="s">
        <v>14</v>
      </c>
      <c r="O1363" s="104" t="s">
        <v>52</v>
      </c>
      <c r="P1363" s="104" t="s">
        <v>52</v>
      </c>
      <c r="Q1363" s="105"/>
      <c r="R1363" s="33" t="s">
        <v>7801</v>
      </c>
      <c r="S1363" s="225">
        <f t="shared" si="21"/>
        <v>48122</v>
      </c>
      <c r="T1363" s="2" t="s">
        <v>7631</v>
      </c>
      <c r="U1363" s="7" t="s">
        <v>122</v>
      </c>
      <c r="V1363" s="162" t="str" cm="1">
        <f t="array" ref="V1363">_xlfn.IFS(C1363="","",COUNTIF(C1363,"ตำแหน่งว่าง*"),"ว่าง",COUNTIF(C1363,"&lt;&gt;ตำแหน่งว่าง*"),"คนครอง")</f>
        <v>คนครอง</v>
      </c>
      <c r="W1363" s="6" cm="1">
        <f t="array" ref="W1363">_xlfn.IFS(COUNTIF(F1363,"ผบ.หมู่*"),51,COUNTIF(F1363,"รอง สว.*"),43)</f>
        <v>43</v>
      </c>
      <c r="X1363" s="1" t="s">
        <v>3957</v>
      </c>
      <c r="Y1363" s="1" t="s">
        <v>52</v>
      </c>
    </row>
    <row r="1364" spans="1:25" s="9" customFormat="1" ht="21.3" customHeight="1">
      <c r="A1364" s="27" t="s">
        <v>157</v>
      </c>
      <c r="B1364" s="28" t="s">
        <v>21</v>
      </c>
      <c r="C1364" s="27" t="s">
        <v>3960</v>
      </c>
      <c r="D1364" s="27" t="s">
        <v>9422</v>
      </c>
      <c r="E1364" s="27" t="s">
        <v>9423</v>
      </c>
      <c r="F1364" s="27" t="s">
        <v>3938</v>
      </c>
      <c r="G1364" s="101" t="s">
        <v>3962</v>
      </c>
      <c r="H1364" s="75">
        <v>42501</v>
      </c>
      <c r="I1364" s="73">
        <v>34729</v>
      </c>
      <c r="J1364" s="73">
        <v>34729</v>
      </c>
      <c r="K1364" s="73">
        <v>26723</v>
      </c>
      <c r="L1364" s="19" t="s">
        <v>3963</v>
      </c>
      <c r="M1364" s="3" t="s">
        <v>103</v>
      </c>
      <c r="N1364" s="112" t="s">
        <v>14</v>
      </c>
      <c r="O1364" s="104" t="s">
        <v>52</v>
      </c>
      <c r="P1364" s="104" t="s">
        <v>52</v>
      </c>
      <c r="Q1364" s="105"/>
      <c r="R1364" s="28" t="s">
        <v>110</v>
      </c>
      <c r="S1364" s="225">
        <f t="shared" si="21"/>
        <v>48853</v>
      </c>
      <c r="T1364" s="2" t="s">
        <v>7631</v>
      </c>
      <c r="U1364" s="7" t="s">
        <v>122</v>
      </c>
      <c r="V1364" s="162" t="str" cm="1">
        <f t="array" ref="V1364">_xlfn.IFS(C1364="","",COUNTIF(C1364,"ตำแหน่งว่าง*"),"ว่าง",COUNTIF(C1364,"&lt;&gt;ตำแหน่งว่าง*"),"คนครอง")</f>
        <v>คนครอง</v>
      </c>
      <c r="W1364" s="6" cm="1">
        <f t="array" ref="W1364">_xlfn.IFS(COUNTIF(F1364,"ผบ.หมู่*"),51,COUNTIF(F1364,"รอง สว.*"),43)</f>
        <v>51</v>
      </c>
      <c r="X1364" s="1" t="s">
        <v>3961</v>
      </c>
      <c r="Y1364" s="1" t="s">
        <v>52</v>
      </c>
    </row>
    <row r="1365" spans="1:25" s="9" customFormat="1" ht="21.3" customHeight="1">
      <c r="A1365" s="27"/>
      <c r="B1365" s="28"/>
      <c r="C1365" s="68" t="s">
        <v>18</v>
      </c>
      <c r="D1365" s="27"/>
      <c r="E1365" s="27"/>
      <c r="F1365" s="68" t="s">
        <v>3938</v>
      </c>
      <c r="G1365" s="121" t="s">
        <v>3965</v>
      </c>
      <c r="H1365" s="91" t="s">
        <v>19</v>
      </c>
      <c r="I1365" s="73" t="s">
        <v>19</v>
      </c>
      <c r="J1365" s="73" t="s">
        <v>19</v>
      </c>
      <c r="K1365" s="73" t="s">
        <v>19</v>
      </c>
      <c r="L1365" s="19"/>
      <c r="M1365" s="3"/>
      <c r="N1365" s="113" t="s">
        <v>14</v>
      </c>
      <c r="O1365" s="122" t="s">
        <v>52</v>
      </c>
      <c r="P1365" s="122" t="s">
        <v>52</v>
      </c>
      <c r="Q1365" s="105"/>
      <c r="R1365" s="28"/>
      <c r="S1365" s="225" t="str">
        <f t="shared" si="21"/>
        <v/>
      </c>
      <c r="T1365" s="2" t="s">
        <v>7631</v>
      </c>
      <c r="U1365" s="7" t="s">
        <v>122</v>
      </c>
      <c r="V1365" s="171" t="str" cm="1">
        <f t="array" ref="V1365">_xlfn.IFS(C1365="","",COUNTIF(C1365,"ตำแหน่งว่าง*"),"ว่าง",COUNTIF(C1365,"&lt;&gt;ตำแหน่งว่าง*"),"คนครอง")</f>
        <v>ว่าง</v>
      </c>
      <c r="W1365" s="6" cm="1">
        <f t="array" ref="W1365">_xlfn.IFS(COUNTIF(F1365,"ผบ.หมู่*"),51,COUNTIF(F1365,"รอง สว.*"),43)</f>
        <v>51</v>
      </c>
      <c r="X1365" s="6" t="s">
        <v>3964</v>
      </c>
      <c r="Y1365" s="6" t="s">
        <v>52</v>
      </c>
    </row>
    <row r="1366" spans="1:25" s="9" customFormat="1" ht="21.3" customHeight="1">
      <c r="A1366" s="27" t="s">
        <v>612</v>
      </c>
      <c r="B1366" s="28" t="s">
        <v>12</v>
      </c>
      <c r="C1366" s="27" t="s">
        <v>3966</v>
      </c>
      <c r="D1366" s="27" t="s">
        <v>8036</v>
      </c>
      <c r="E1366" s="27" t="s">
        <v>8129</v>
      </c>
      <c r="F1366" s="27" t="s">
        <v>3938</v>
      </c>
      <c r="G1366" s="101" t="s">
        <v>3968</v>
      </c>
      <c r="H1366" s="75">
        <v>42501</v>
      </c>
      <c r="I1366" s="73">
        <v>42416</v>
      </c>
      <c r="J1366" s="73">
        <v>42416</v>
      </c>
      <c r="K1366" s="73">
        <v>32996</v>
      </c>
      <c r="L1366" s="19" t="s">
        <v>3508</v>
      </c>
      <c r="M1366" s="3" t="s">
        <v>80</v>
      </c>
      <c r="N1366" s="112" t="s">
        <v>14</v>
      </c>
      <c r="O1366" s="104" t="s">
        <v>52</v>
      </c>
      <c r="P1366" s="104" t="s">
        <v>52</v>
      </c>
      <c r="Q1366" s="105"/>
      <c r="R1366" s="28" t="s">
        <v>110</v>
      </c>
      <c r="S1366" s="225">
        <f t="shared" si="21"/>
        <v>55062</v>
      </c>
      <c r="T1366" s="2" t="s">
        <v>7631</v>
      </c>
      <c r="U1366" s="7" t="s">
        <v>122</v>
      </c>
      <c r="V1366" s="162" t="str" cm="1">
        <f t="array" ref="V1366">_xlfn.IFS(C1366="","",COUNTIF(C1366,"ตำแหน่งว่าง*"),"ว่าง",COUNTIF(C1366,"&lt;&gt;ตำแหน่งว่าง*"),"คนครอง")</f>
        <v>คนครอง</v>
      </c>
      <c r="W1366" s="6" cm="1">
        <f t="array" ref="W1366">_xlfn.IFS(COUNTIF(F1366,"ผบ.หมู่*"),51,COUNTIF(F1366,"รอง สว.*"),43)</f>
        <v>51</v>
      </c>
      <c r="X1366" s="1" t="s">
        <v>3967</v>
      </c>
      <c r="Y1366" s="1" t="s">
        <v>52</v>
      </c>
    </row>
    <row r="1367" spans="1:25" s="9" customFormat="1" ht="21.3" customHeight="1">
      <c r="A1367" s="27" t="s">
        <v>612</v>
      </c>
      <c r="B1367" s="28" t="s">
        <v>12</v>
      </c>
      <c r="C1367" s="27" t="s">
        <v>3969</v>
      </c>
      <c r="D1367" s="27" t="s">
        <v>7978</v>
      </c>
      <c r="E1367" s="27" t="s">
        <v>9424</v>
      </c>
      <c r="F1367" s="27" t="s">
        <v>3938</v>
      </c>
      <c r="G1367" s="101" t="s">
        <v>3971</v>
      </c>
      <c r="H1367" s="91">
        <v>44243</v>
      </c>
      <c r="I1367" s="73">
        <v>42416</v>
      </c>
      <c r="J1367" s="73">
        <v>42416</v>
      </c>
      <c r="K1367" s="73">
        <v>33416</v>
      </c>
      <c r="L1367" s="19" t="s">
        <v>3972</v>
      </c>
      <c r="M1367" s="3" t="s">
        <v>50</v>
      </c>
      <c r="N1367" s="112" t="s">
        <v>14</v>
      </c>
      <c r="O1367" s="104" t="s">
        <v>52</v>
      </c>
      <c r="P1367" s="104" t="s">
        <v>52</v>
      </c>
      <c r="Q1367" s="105"/>
      <c r="R1367" s="28" t="s">
        <v>617</v>
      </c>
      <c r="S1367" s="225">
        <f t="shared" si="21"/>
        <v>55427</v>
      </c>
      <c r="T1367" s="2" t="s">
        <v>7631</v>
      </c>
      <c r="U1367" s="7" t="s">
        <v>122</v>
      </c>
      <c r="V1367" s="162" t="str" cm="1">
        <f t="array" ref="V1367">_xlfn.IFS(C1367="","",COUNTIF(C1367,"ตำแหน่งว่าง*"),"ว่าง",COUNTIF(C1367,"&lt;&gt;ตำแหน่งว่าง*"),"คนครอง")</f>
        <v>คนครอง</v>
      </c>
      <c r="W1367" s="6" cm="1">
        <f t="array" ref="W1367">_xlfn.IFS(COUNTIF(F1367,"ผบ.หมู่*"),51,COUNTIF(F1367,"รอง สว.*"),43)</f>
        <v>51</v>
      </c>
      <c r="X1367" s="1" t="s">
        <v>3970</v>
      </c>
      <c r="Y1367" s="1" t="s">
        <v>52</v>
      </c>
    </row>
    <row r="1368" spans="1:25" s="10" customFormat="1" ht="21.3" customHeight="1">
      <c r="A1368" s="27"/>
      <c r="B1368" s="30"/>
      <c r="C1368" s="30" t="s">
        <v>18</v>
      </c>
      <c r="D1368" s="27"/>
      <c r="E1368" s="27"/>
      <c r="F1368" s="68" t="s">
        <v>3938</v>
      </c>
      <c r="G1368" s="121" t="s">
        <v>3974</v>
      </c>
      <c r="H1368" s="93" t="s">
        <v>19</v>
      </c>
      <c r="I1368" s="74" t="s">
        <v>19</v>
      </c>
      <c r="J1368" s="74" t="s">
        <v>19</v>
      </c>
      <c r="K1368" s="74" t="s">
        <v>19</v>
      </c>
      <c r="L1368" s="44"/>
      <c r="M1368" s="8"/>
      <c r="N1368" s="113" t="s">
        <v>14</v>
      </c>
      <c r="O1368" s="122" t="s">
        <v>52</v>
      </c>
      <c r="P1368" s="122" t="s">
        <v>52</v>
      </c>
      <c r="Q1368" s="106"/>
      <c r="R1368" s="30"/>
      <c r="S1368" s="225" t="str">
        <f t="shared" si="21"/>
        <v/>
      </c>
      <c r="T1368" s="7" t="s">
        <v>7631</v>
      </c>
      <c r="U1368" s="7" t="s">
        <v>122</v>
      </c>
      <c r="V1368" s="171" t="str" cm="1">
        <f t="array" ref="V1368">_xlfn.IFS(C1368="","",COUNTIF(C1368,"ตำแหน่งว่าง*"),"ว่าง",COUNTIF(C1368,"&lt;&gt;ตำแหน่งว่าง*"),"คนครอง")</f>
        <v>ว่าง</v>
      </c>
      <c r="W1368" s="6" cm="1">
        <f t="array" ref="W1368">_xlfn.IFS(COUNTIF(F1368,"ผบ.หมู่*"),51,COUNTIF(F1368,"รอง สว.*"),43)</f>
        <v>51</v>
      </c>
      <c r="X1368" s="6" t="s">
        <v>3973</v>
      </c>
      <c r="Y1368" s="6" t="s">
        <v>52</v>
      </c>
    </row>
    <row r="1369" spans="1:25" s="12" customFormat="1" ht="21.3" customHeight="1">
      <c r="A1369" s="27"/>
      <c r="B1369" s="28"/>
      <c r="C1369" s="30" t="s">
        <v>18</v>
      </c>
      <c r="D1369" s="27"/>
      <c r="E1369" s="27"/>
      <c r="F1369" s="68" t="s">
        <v>3938</v>
      </c>
      <c r="G1369" s="121" t="s">
        <v>3976</v>
      </c>
      <c r="H1369" s="91" t="s">
        <v>19</v>
      </c>
      <c r="I1369" s="73" t="s">
        <v>19</v>
      </c>
      <c r="J1369" s="73" t="s">
        <v>19</v>
      </c>
      <c r="K1369" s="73" t="s">
        <v>19</v>
      </c>
      <c r="L1369" s="19"/>
      <c r="M1369" s="3"/>
      <c r="N1369" s="113" t="s">
        <v>14</v>
      </c>
      <c r="O1369" s="122" t="s">
        <v>52</v>
      </c>
      <c r="P1369" s="122" t="s">
        <v>52</v>
      </c>
      <c r="Q1369" s="105"/>
      <c r="R1369" s="28"/>
      <c r="S1369" s="225" t="str">
        <f t="shared" si="21"/>
        <v/>
      </c>
      <c r="T1369" s="162" t="s">
        <v>7631</v>
      </c>
      <c r="U1369" s="7" t="s">
        <v>122</v>
      </c>
      <c r="V1369" s="171" t="str" cm="1">
        <f t="array" ref="V1369">_xlfn.IFS(C1369="","",COUNTIF(C1369,"ตำแหน่งว่าง*"),"ว่าง",COUNTIF(C1369,"&lt;&gt;ตำแหน่งว่าง*"),"คนครอง")</f>
        <v>ว่าง</v>
      </c>
      <c r="W1369" s="6" cm="1">
        <f t="array" ref="W1369">_xlfn.IFS(COUNTIF(F1369,"ผบ.หมู่*"),51,COUNTIF(F1369,"รอง สว.*"),43)</f>
        <v>51</v>
      </c>
      <c r="X1369" s="6" t="s">
        <v>3975</v>
      </c>
      <c r="Y1369" s="6" t="s">
        <v>52</v>
      </c>
    </row>
    <row r="1370" spans="1:25" s="12" customFormat="1" ht="21.3" customHeight="1">
      <c r="A1370" s="27"/>
      <c r="B1370" s="30"/>
      <c r="C1370" s="30" t="s">
        <v>18</v>
      </c>
      <c r="D1370" s="27"/>
      <c r="E1370" s="27"/>
      <c r="F1370" s="68" t="s">
        <v>3938</v>
      </c>
      <c r="G1370" s="121" t="s">
        <v>3978</v>
      </c>
      <c r="H1370" s="93" t="s">
        <v>19</v>
      </c>
      <c r="I1370" s="74" t="s">
        <v>19</v>
      </c>
      <c r="J1370" s="74" t="s">
        <v>19</v>
      </c>
      <c r="K1370" s="74" t="s">
        <v>19</v>
      </c>
      <c r="L1370" s="44"/>
      <c r="M1370" s="8"/>
      <c r="N1370" s="113" t="s">
        <v>14</v>
      </c>
      <c r="O1370" s="122" t="s">
        <v>52</v>
      </c>
      <c r="P1370" s="122" t="s">
        <v>52</v>
      </c>
      <c r="Q1370" s="106"/>
      <c r="R1370" s="30"/>
      <c r="S1370" s="225" t="str">
        <f t="shared" si="21"/>
        <v/>
      </c>
      <c r="T1370" s="162" t="s">
        <v>7631</v>
      </c>
      <c r="U1370" s="7" t="s">
        <v>122</v>
      </c>
      <c r="V1370" s="171" t="str" cm="1">
        <f t="array" ref="V1370">_xlfn.IFS(C1370="","",COUNTIF(C1370,"ตำแหน่งว่าง*"),"ว่าง",COUNTIF(C1370,"&lt;&gt;ตำแหน่งว่าง*"),"คนครอง")</f>
        <v>ว่าง</v>
      </c>
      <c r="W1370" s="6" cm="1">
        <f t="array" ref="W1370">_xlfn.IFS(COUNTIF(F1370,"ผบ.หมู่*"),51,COUNTIF(F1370,"รอง สว.*"),43)</f>
        <v>51</v>
      </c>
      <c r="X1370" s="6" t="s">
        <v>3977</v>
      </c>
      <c r="Y1370" s="6" t="s">
        <v>52</v>
      </c>
    </row>
    <row r="1371" spans="1:25" s="10" customFormat="1" ht="21.3" customHeight="1">
      <c r="A1371" s="27"/>
      <c r="B1371" s="28"/>
      <c r="C1371" s="30" t="s">
        <v>18</v>
      </c>
      <c r="D1371" s="27"/>
      <c r="E1371" s="27"/>
      <c r="F1371" s="68" t="s">
        <v>3938</v>
      </c>
      <c r="G1371" s="121" t="s">
        <v>3980</v>
      </c>
      <c r="H1371" s="91" t="s">
        <v>19</v>
      </c>
      <c r="I1371" s="73" t="s">
        <v>19</v>
      </c>
      <c r="J1371" s="73" t="s">
        <v>19</v>
      </c>
      <c r="K1371" s="73" t="s">
        <v>19</v>
      </c>
      <c r="L1371" s="19"/>
      <c r="M1371" s="3"/>
      <c r="N1371" s="113" t="s">
        <v>14</v>
      </c>
      <c r="O1371" s="122" t="s">
        <v>52</v>
      </c>
      <c r="P1371" s="122" t="s">
        <v>52</v>
      </c>
      <c r="Q1371" s="105"/>
      <c r="R1371" s="28"/>
      <c r="S1371" s="225" t="str">
        <f t="shared" si="21"/>
        <v/>
      </c>
      <c r="T1371" s="7" t="s">
        <v>7631</v>
      </c>
      <c r="U1371" s="7" t="s">
        <v>122</v>
      </c>
      <c r="V1371" s="171" t="str" cm="1">
        <f t="array" ref="V1371">_xlfn.IFS(C1371="","",COUNTIF(C1371,"ตำแหน่งว่าง*"),"ว่าง",COUNTIF(C1371,"&lt;&gt;ตำแหน่งว่าง*"),"คนครอง")</f>
        <v>ว่าง</v>
      </c>
      <c r="W1371" s="6" cm="1">
        <f t="array" ref="W1371">_xlfn.IFS(COUNTIF(F1371,"ผบ.หมู่*"),51,COUNTIF(F1371,"รอง สว.*"),43)</f>
        <v>51</v>
      </c>
      <c r="X1371" s="6" t="s">
        <v>3979</v>
      </c>
      <c r="Y1371" s="6" t="s">
        <v>52</v>
      </c>
    </row>
    <row r="1372" spans="1:25" s="10" customFormat="1" ht="21.3" customHeight="1">
      <c r="A1372" s="27"/>
      <c r="B1372" s="28"/>
      <c r="C1372" s="30" t="s">
        <v>18</v>
      </c>
      <c r="D1372" s="27"/>
      <c r="E1372" s="27"/>
      <c r="F1372" s="68" t="s">
        <v>3938</v>
      </c>
      <c r="G1372" s="121" t="s">
        <v>3982</v>
      </c>
      <c r="H1372" s="91" t="s">
        <v>19</v>
      </c>
      <c r="I1372" s="73" t="s">
        <v>19</v>
      </c>
      <c r="J1372" s="73" t="s">
        <v>19</v>
      </c>
      <c r="K1372" s="73" t="s">
        <v>19</v>
      </c>
      <c r="L1372" s="19"/>
      <c r="M1372" s="3"/>
      <c r="N1372" s="113" t="s">
        <v>14</v>
      </c>
      <c r="O1372" s="122" t="s">
        <v>52</v>
      </c>
      <c r="P1372" s="122" t="s">
        <v>52</v>
      </c>
      <c r="Q1372" s="105"/>
      <c r="R1372" s="28"/>
      <c r="S1372" s="225" t="str">
        <f t="shared" si="21"/>
        <v/>
      </c>
      <c r="T1372" s="7" t="s">
        <v>7631</v>
      </c>
      <c r="U1372" s="7" t="s">
        <v>122</v>
      </c>
      <c r="V1372" s="171" t="str" cm="1">
        <f t="array" ref="V1372">_xlfn.IFS(C1372="","",COUNTIF(C1372,"ตำแหน่งว่าง*"),"ว่าง",COUNTIF(C1372,"&lt;&gt;ตำแหน่งว่าง*"),"คนครอง")</f>
        <v>ว่าง</v>
      </c>
      <c r="W1372" s="6" cm="1">
        <f t="array" ref="W1372">_xlfn.IFS(COUNTIF(F1372,"ผบ.หมู่*"),51,COUNTIF(F1372,"รอง สว.*"),43)</f>
        <v>51</v>
      </c>
      <c r="X1372" s="6" t="s">
        <v>3981</v>
      </c>
      <c r="Y1372" s="6" t="s">
        <v>52</v>
      </c>
    </row>
    <row r="1373" spans="1:25" s="10" customFormat="1" ht="21.3" customHeight="1">
      <c r="A1373" s="27"/>
      <c r="B1373" s="28"/>
      <c r="C1373" s="30" t="s">
        <v>18</v>
      </c>
      <c r="D1373" s="27"/>
      <c r="E1373" s="27"/>
      <c r="F1373" s="68" t="s">
        <v>3938</v>
      </c>
      <c r="G1373" s="121" t="s">
        <v>3984</v>
      </c>
      <c r="H1373" s="91" t="s">
        <v>19</v>
      </c>
      <c r="I1373" s="73" t="s">
        <v>19</v>
      </c>
      <c r="J1373" s="73" t="s">
        <v>19</v>
      </c>
      <c r="K1373" s="73" t="s">
        <v>19</v>
      </c>
      <c r="L1373" s="19"/>
      <c r="M1373" s="3"/>
      <c r="N1373" s="113" t="s">
        <v>14</v>
      </c>
      <c r="O1373" s="122" t="s">
        <v>52</v>
      </c>
      <c r="P1373" s="122" t="s">
        <v>52</v>
      </c>
      <c r="Q1373" s="105"/>
      <c r="R1373" s="28"/>
      <c r="S1373" s="225" t="str">
        <f t="shared" si="21"/>
        <v/>
      </c>
      <c r="T1373" s="7" t="s">
        <v>7631</v>
      </c>
      <c r="U1373" s="7" t="s">
        <v>122</v>
      </c>
      <c r="V1373" s="171" t="str" cm="1">
        <f t="array" ref="V1373">_xlfn.IFS(C1373="","",COUNTIF(C1373,"ตำแหน่งว่าง*"),"ว่าง",COUNTIF(C1373,"&lt;&gt;ตำแหน่งว่าง*"),"คนครอง")</f>
        <v>ว่าง</v>
      </c>
      <c r="W1373" s="6" cm="1">
        <f t="array" ref="W1373">_xlfn.IFS(COUNTIF(F1373,"ผบ.หมู่*"),51,COUNTIF(F1373,"รอง สว.*"),43)</f>
        <v>51</v>
      </c>
      <c r="X1373" s="6" t="s">
        <v>3983</v>
      </c>
      <c r="Y1373" s="6" t="s">
        <v>52</v>
      </c>
    </row>
    <row r="1374" spans="1:25" s="10" customFormat="1" ht="21.3" customHeight="1">
      <c r="A1374" s="27"/>
      <c r="B1374" s="28"/>
      <c r="C1374" s="30" t="s">
        <v>18</v>
      </c>
      <c r="D1374" s="27"/>
      <c r="E1374" s="27"/>
      <c r="F1374" s="68" t="s">
        <v>3938</v>
      </c>
      <c r="G1374" s="121" t="s">
        <v>3986</v>
      </c>
      <c r="H1374" s="91" t="s">
        <v>19</v>
      </c>
      <c r="I1374" s="73" t="s">
        <v>19</v>
      </c>
      <c r="J1374" s="73" t="s">
        <v>19</v>
      </c>
      <c r="K1374" s="73" t="s">
        <v>19</v>
      </c>
      <c r="L1374" s="19"/>
      <c r="M1374" s="3"/>
      <c r="N1374" s="113" t="s">
        <v>14</v>
      </c>
      <c r="O1374" s="122" t="s">
        <v>52</v>
      </c>
      <c r="P1374" s="122" t="s">
        <v>52</v>
      </c>
      <c r="Q1374" s="105"/>
      <c r="R1374" s="28"/>
      <c r="S1374" s="225" t="str">
        <f t="shared" si="21"/>
        <v/>
      </c>
      <c r="T1374" s="7" t="s">
        <v>7631</v>
      </c>
      <c r="U1374" s="7" t="s">
        <v>122</v>
      </c>
      <c r="V1374" s="171" t="str" cm="1">
        <f t="array" ref="V1374">_xlfn.IFS(C1374="","",COUNTIF(C1374,"ตำแหน่งว่าง*"),"ว่าง",COUNTIF(C1374,"&lt;&gt;ตำแหน่งว่าง*"),"คนครอง")</f>
        <v>ว่าง</v>
      </c>
      <c r="W1374" s="6" cm="1">
        <f t="array" ref="W1374">_xlfn.IFS(COUNTIF(F1374,"ผบ.หมู่*"),51,COUNTIF(F1374,"รอง สว.*"),43)</f>
        <v>51</v>
      </c>
      <c r="X1374" s="6" t="s">
        <v>3985</v>
      </c>
      <c r="Y1374" s="6" t="s">
        <v>52</v>
      </c>
    </row>
    <row r="1375" spans="1:25" s="9" customFormat="1" ht="21.3" customHeight="1">
      <c r="A1375" s="27" t="s">
        <v>157</v>
      </c>
      <c r="B1375" s="28" t="s">
        <v>12</v>
      </c>
      <c r="C1375" s="27" t="s">
        <v>3777</v>
      </c>
      <c r="D1375" s="27" t="s">
        <v>9425</v>
      </c>
      <c r="E1375" s="27" t="s">
        <v>9426</v>
      </c>
      <c r="F1375" s="27" t="s">
        <v>3778</v>
      </c>
      <c r="G1375" s="101" t="s">
        <v>3780</v>
      </c>
      <c r="H1375" s="75">
        <v>42501</v>
      </c>
      <c r="I1375" s="73">
        <v>40084</v>
      </c>
      <c r="J1375" s="73">
        <v>40084</v>
      </c>
      <c r="K1375" s="73">
        <v>27899</v>
      </c>
      <c r="L1375" s="19" t="s">
        <v>3781</v>
      </c>
      <c r="M1375" s="3" t="s">
        <v>50</v>
      </c>
      <c r="N1375" s="112" t="s">
        <v>14</v>
      </c>
      <c r="O1375" s="104" t="s">
        <v>52</v>
      </c>
      <c r="P1375" s="104" t="s">
        <v>52</v>
      </c>
      <c r="Q1375" s="105"/>
      <c r="R1375" s="28" t="s">
        <v>110</v>
      </c>
      <c r="S1375" s="225">
        <f t="shared" si="21"/>
        <v>49949</v>
      </c>
      <c r="T1375" s="2" t="s">
        <v>7628</v>
      </c>
      <c r="U1375" s="7" t="s">
        <v>122</v>
      </c>
      <c r="V1375" s="162" t="str" cm="1">
        <f t="array" ref="V1375">_xlfn.IFS(C1375="","",COUNTIF(C1375,"ตำแหน่งว่าง*"),"ว่าง",COUNTIF(C1375,"&lt;&gt;ตำแหน่งว่าง*"),"คนครอง")</f>
        <v>คนครอง</v>
      </c>
      <c r="W1375" s="6" cm="1">
        <f t="array" ref="W1375">_xlfn.IFS(COUNTIF(F1375,"ผบ.หมู่*"),51,COUNTIF(F1375,"รอง สว.*"),43)</f>
        <v>51</v>
      </c>
      <c r="X1375" s="1" t="s">
        <v>3779</v>
      </c>
      <c r="Y1375" s="1" t="s">
        <v>52</v>
      </c>
    </row>
    <row r="1376" spans="1:25" s="10" customFormat="1" ht="21.3" customHeight="1">
      <c r="A1376" s="27" t="s">
        <v>157</v>
      </c>
      <c r="B1376" s="28" t="s">
        <v>21</v>
      </c>
      <c r="C1376" s="27" t="s">
        <v>3782</v>
      </c>
      <c r="D1376" s="27" t="s">
        <v>8133</v>
      </c>
      <c r="E1376" s="27" t="s">
        <v>9427</v>
      </c>
      <c r="F1376" s="27" t="s">
        <v>3778</v>
      </c>
      <c r="G1376" s="101" t="s">
        <v>3784</v>
      </c>
      <c r="H1376" s="75">
        <v>44599</v>
      </c>
      <c r="I1376" s="73">
        <v>40339</v>
      </c>
      <c r="J1376" s="73">
        <v>40339</v>
      </c>
      <c r="K1376" s="73">
        <v>31756</v>
      </c>
      <c r="L1376" s="19" t="s">
        <v>3785</v>
      </c>
      <c r="M1376" s="3" t="s">
        <v>50</v>
      </c>
      <c r="N1376" s="112" t="s">
        <v>14</v>
      </c>
      <c r="O1376" s="104" t="s">
        <v>52</v>
      </c>
      <c r="P1376" s="104" t="s">
        <v>52</v>
      </c>
      <c r="Q1376" s="105"/>
      <c r="R1376" s="28" t="s">
        <v>607</v>
      </c>
      <c r="S1376" s="225">
        <f t="shared" si="21"/>
        <v>53966</v>
      </c>
      <c r="T1376" s="7" t="s">
        <v>7628</v>
      </c>
      <c r="U1376" s="7" t="s">
        <v>122</v>
      </c>
      <c r="V1376" s="162" t="str" cm="1">
        <f t="array" ref="V1376">_xlfn.IFS(C1376="","",COUNTIF(C1376,"ตำแหน่งว่าง*"),"ว่าง",COUNTIF(C1376,"&lt;&gt;ตำแหน่งว่าง*"),"คนครอง")</f>
        <v>คนครอง</v>
      </c>
      <c r="W1376" s="6" cm="1">
        <f t="array" ref="W1376">_xlfn.IFS(COUNTIF(F1376,"ผบ.หมู่*"),51,COUNTIF(F1376,"รอง สว.*"),43)</f>
        <v>51</v>
      </c>
      <c r="X1376" s="1" t="s">
        <v>3783</v>
      </c>
      <c r="Y1376" s="1" t="s">
        <v>52</v>
      </c>
    </row>
    <row r="1377" spans="1:25" s="9" customFormat="1" ht="21.3" customHeight="1">
      <c r="A1377" s="27" t="s">
        <v>157</v>
      </c>
      <c r="B1377" s="28" t="s">
        <v>21</v>
      </c>
      <c r="C1377" s="27" t="s">
        <v>3786</v>
      </c>
      <c r="D1377" s="27" t="s">
        <v>8057</v>
      </c>
      <c r="E1377" s="27" t="s">
        <v>9428</v>
      </c>
      <c r="F1377" s="27" t="s">
        <v>3778</v>
      </c>
      <c r="G1377" s="101" t="s">
        <v>3788</v>
      </c>
      <c r="H1377" s="75">
        <v>42501</v>
      </c>
      <c r="I1377" s="73">
        <v>34352</v>
      </c>
      <c r="J1377" s="73">
        <v>34352</v>
      </c>
      <c r="K1377" s="73">
        <v>27350</v>
      </c>
      <c r="L1377" s="19" t="s">
        <v>722</v>
      </c>
      <c r="M1377" s="3" t="s">
        <v>50</v>
      </c>
      <c r="N1377" s="112" t="s">
        <v>14</v>
      </c>
      <c r="O1377" s="104" t="s">
        <v>52</v>
      </c>
      <c r="P1377" s="104" t="s">
        <v>52</v>
      </c>
      <c r="Q1377" s="105"/>
      <c r="R1377" s="28" t="s">
        <v>110</v>
      </c>
      <c r="S1377" s="225">
        <f t="shared" si="21"/>
        <v>49583</v>
      </c>
      <c r="T1377" s="2" t="s">
        <v>7628</v>
      </c>
      <c r="U1377" s="7" t="s">
        <v>122</v>
      </c>
      <c r="V1377" s="162" t="str" cm="1">
        <f t="array" ref="V1377">_xlfn.IFS(C1377="","",COUNTIF(C1377,"ตำแหน่งว่าง*"),"ว่าง",COUNTIF(C1377,"&lt;&gt;ตำแหน่งว่าง*"),"คนครอง")</f>
        <v>คนครอง</v>
      </c>
      <c r="W1377" s="6" cm="1">
        <f t="array" ref="W1377">_xlfn.IFS(COUNTIF(F1377,"ผบ.หมู่*"),51,COUNTIF(F1377,"รอง สว.*"),43)</f>
        <v>51</v>
      </c>
      <c r="X1377" s="1" t="s">
        <v>3787</v>
      </c>
      <c r="Y1377" s="1" t="s">
        <v>52</v>
      </c>
    </row>
    <row r="1378" spans="1:25" s="12" customFormat="1" ht="21.3" customHeight="1">
      <c r="A1378" s="27" t="s">
        <v>44</v>
      </c>
      <c r="B1378" s="31" t="s">
        <v>12</v>
      </c>
      <c r="C1378" s="95" t="s">
        <v>3789</v>
      </c>
      <c r="D1378" s="27" t="s">
        <v>9429</v>
      </c>
      <c r="E1378" s="27" t="s">
        <v>9430</v>
      </c>
      <c r="F1378" s="95" t="s">
        <v>3790</v>
      </c>
      <c r="G1378" s="101" t="s">
        <v>3792</v>
      </c>
      <c r="H1378" s="88">
        <v>42501</v>
      </c>
      <c r="I1378" s="76">
        <v>32905</v>
      </c>
      <c r="J1378" s="76">
        <v>32905</v>
      </c>
      <c r="K1378" s="76">
        <v>25161</v>
      </c>
      <c r="L1378" s="46" t="s">
        <v>3793</v>
      </c>
      <c r="M1378" s="4" t="s">
        <v>50</v>
      </c>
      <c r="N1378" s="111" t="s">
        <v>14</v>
      </c>
      <c r="O1378" s="104" t="s">
        <v>52</v>
      </c>
      <c r="P1378" s="104" t="s">
        <v>52</v>
      </c>
      <c r="Q1378" s="108"/>
      <c r="R1378" s="31" t="s">
        <v>110</v>
      </c>
      <c r="S1378" s="225">
        <f t="shared" si="21"/>
        <v>47392</v>
      </c>
      <c r="T1378" s="162" t="s">
        <v>7628</v>
      </c>
      <c r="U1378" s="7" t="s">
        <v>122</v>
      </c>
      <c r="V1378" s="162" t="str" cm="1">
        <f t="array" ref="V1378">_xlfn.IFS(C1378="","",COUNTIF(C1378,"ตำแหน่งว่าง*"),"ว่าง",COUNTIF(C1378,"&lt;&gt;ตำแหน่งว่าง*"),"คนครอง")</f>
        <v>คนครอง</v>
      </c>
      <c r="W1378" s="5" cm="1">
        <f t="array" ref="W1378">_xlfn.IFS(COUNTIF(F1378,"ผบ.หมู่*"),51,COUNTIF(F1378,"รอง สว.*"),43)</f>
        <v>43</v>
      </c>
      <c r="X1378" s="5" t="s">
        <v>3791</v>
      </c>
      <c r="Y1378" s="5" t="s">
        <v>52</v>
      </c>
    </row>
    <row r="1379" spans="1:25" s="9" customFormat="1" ht="21.3" customHeight="1">
      <c r="A1379" s="27" t="s">
        <v>157</v>
      </c>
      <c r="B1379" s="28" t="s">
        <v>21</v>
      </c>
      <c r="C1379" s="27" t="s">
        <v>3794</v>
      </c>
      <c r="D1379" s="27" t="s">
        <v>8064</v>
      </c>
      <c r="E1379" s="27" t="s">
        <v>9431</v>
      </c>
      <c r="F1379" s="27" t="s">
        <v>3778</v>
      </c>
      <c r="G1379" s="101" t="s">
        <v>3796</v>
      </c>
      <c r="H1379" s="75">
        <v>43235</v>
      </c>
      <c r="I1379" s="73">
        <v>40339</v>
      </c>
      <c r="J1379" s="73">
        <v>40339</v>
      </c>
      <c r="K1379" s="73">
        <v>29986</v>
      </c>
      <c r="L1379" s="19" t="s">
        <v>3797</v>
      </c>
      <c r="M1379" s="3" t="s">
        <v>50</v>
      </c>
      <c r="N1379" s="112" t="s">
        <v>14</v>
      </c>
      <c r="O1379" s="104" t="s">
        <v>52</v>
      </c>
      <c r="P1379" s="104" t="s">
        <v>52</v>
      </c>
      <c r="Q1379" s="105"/>
      <c r="R1379" s="28" t="s">
        <v>3798</v>
      </c>
      <c r="S1379" s="225">
        <f t="shared" si="21"/>
        <v>52140</v>
      </c>
      <c r="T1379" s="2" t="s">
        <v>7628</v>
      </c>
      <c r="U1379" s="7" t="s">
        <v>122</v>
      </c>
      <c r="V1379" s="162" t="str" cm="1">
        <f t="array" ref="V1379">_xlfn.IFS(C1379="","",COUNTIF(C1379,"ตำแหน่งว่าง*"),"ว่าง",COUNTIF(C1379,"&lt;&gt;ตำแหน่งว่าง*"),"คนครอง")</f>
        <v>คนครอง</v>
      </c>
      <c r="W1379" s="6" cm="1">
        <f t="array" ref="W1379">_xlfn.IFS(COUNTIF(F1379,"ผบ.หมู่*"),51,COUNTIF(F1379,"รอง สว.*"),43)</f>
        <v>51</v>
      </c>
      <c r="X1379" s="1" t="s">
        <v>3795</v>
      </c>
      <c r="Y1379" s="1" t="s">
        <v>52</v>
      </c>
    </row>
    <row r="1380" spans="1:25" s="12" customFormat="1" ht="21.3" customHeight="1">
      <c r="A1380" s="27" t="s">
        <v>44</v>
      </c>
      <c r="B1380" s="31" t="s">
        <v>21</v>
      </c>
      <c r="C1380" s="95" t="s">
        <v>3799</v>
      </c>
      <c r="D1380" s="27" t="s">
        <v>8173</v>
      </c>
      <c r="E1380" s="27" t="s">
        <v>9432</v>
      </c>
      <c r="F1380" s="95" t="s">
        <v>3790</v>
      </c>
      <c r="G1380" s="101" t="s">
        <v>3801</v>
      </c>
      <c r="H1380" s="88">
        <v>44651</v>
      </c>
      <c r="I1380" s="76">
        <v>44651</v>
      </c>
      <c r="J1380" s="76">
        <v>34729</v>
      </c>
      <c r="K1380" s="76">
        <v>25183</v>
      </c>
      <c r="L1380" s="46" t="s">
        <v>3802</v>
      </c>
      <c r="M1380" s="4" t="s">
        <v>50</v>
      </c>
      <c r="N1380" s="111" t="s">
        <v>14</v>
      </c>
      <c r="O1380" s="104" t="s">
        <v>52</v>
      </c>
      <c r="P1380" s="104" t="s">
        <v>52</v>
      </c>
      <c r="Q1380" s="108"/>
      <c r="R1380" s="31" t="s">
        <v>2856</v>
      </c>
      <c r="S1380" s="225">
        <f t="shared" si="21"/>
        <v>47392</v>
      </c>
      <c r="T1380" s="162" t="s">
        <v>7628</v>
      </c>
      <c r="U1380" s="7" t="s">
        <v>122</v>
      </c>
      <c r="V1380" s="162" t="str" cm="1">
        <f t="array" ref="V1380">_xlfn.IFS(C1380="","",COUNTIF(C1380,"ตำแหน่งว่าง*"),"ว่าง",COUNTIF(C1380,"&lt;&gt;ตำแหน่งว่าง*"),"คนครอง")</f>
        <v>คนครอง</v>
      </c>
      <c r="W1380" s="5" cm="1">
        <f t="array" ref="W1380">_xlfn.IFS(COUNTIF(F1380,"ผบ.หมู่*"),51,COUNTIF(F1380,"รอง สว.*"),43)</f>
        <v>43</v>
      </c>
      <c r="X1380" s="5" t="s">
        <v>3800</v>
      </c>
      <c r="Y1380" s="5" t="s">
        <v>52</v>
      </c>
    </row>
    <row r="1381" spans="1:25" s="9" customFormat="1" ht="21.3" customHeight="1">
      <c r="A1381" s="27" t="s">
        <v>60</v>
      </c>
      <c r="B1381" s="28" t="s">
        <v>12</v>
      </c>
      <c r="C1381" s="27" t="s">
        <v>3803</v>
      </c>
      <c r="D1381" s="27" t="s">
        <v>9433</v>
      </c>
      <c r="E1381" s="27" t="s">
        <v>9434</v>
      </c>
      <c r="F1381" s="27" t="s">
        <v>3790</v>
      </c>
      <c r="G1381" s="101" t="s">
        <v>3805</v>
      </c>
      <c r="H1381" s="91">
        <v>45382</v>
      </c>
      <c r="I1381" s="73">
        <v>45382</v>
      </c>
      <c r="J1381" s="73">
        <v>34366</v>
      </c>
      <c r="K1381" s="73">
        <v>25877</v>
      </c>
      <c r="L1381" s="19" t="s">
        <v>3806</v>
      </c>
      <c r="M1381" s="3" t="s">
        <v>50</v>
      </c>
      <c r="N1381" s="112" t="s">
        <v>14</v>
      </c>
      <c r="O1381" s="104" t="s">
        <v>52</v>
      </c>
      <c r="P1381" s="104" t="s">
        <v>52</v>
      </c>
      <c r="Q1381" s="105"/>
      <c r="R1381" s="33" t="s">
        <v>7801</v>
      </c>
      <c r="S1381" s="225">
        <f t="shared" si="21"/>
        <v>48122</v>
      </c>
      <c r="T1381" s="2" t="s">
        <v>7628</v>
      </c>
      <c r="U1381" s="7" t="s">
        <v>122</v>
      </c>
      <c r="V1381" s="162" t="str" cm="1">
        <f t="array" ref="V1381">_xlfn.IFS(C1381="","",COUNTIF(C1381,"ตำแหน่งว่าง*"),"ว่าง",COUNTIF(C1381,"&lt;&gt;ตำแหน่งว่าง*"),"คนครอง")</f>
        <v>คนครอง</v>
      </c>
      <c r="W1381" s="6" cm="1">
        <f t="array" ref="W1381">_xlfn.IFS(COUNTIF(F1381,"ผบ.หมู่*"),51,COUNTIF(F1381,"รอง สว.*"),43)</f>
        <v>43</v>
      </c>
      <c r="X1381" s="1" t="s">
        <v>3804</v>
      </c>
      <c r="Y1381" s="1" t="s">
        <v>52</v>
      </c>
    </row>
    <row r="1382" spans="1:25" s="9" customFormat="1" ht="21.3" customHeight="1">
      <c r="A1382" s="27"/>
      <c r="B1382" s="28"/>
      <c r="C1382" s="95" t="s">
        <v>18</v>
      </c>
      <c r="D1382" s="27"/>
      <c r="E1382" s="27"/>
      <c r="F1382" s="27" t="s">
        <v>3778</v>
      </c>
      <c r="G1382" s="101" t="s">
        <v>3808</v>
      </c>
      <c r="H1382" s="91"/>
      <c r="I1382" s="73"/>
      <c r="J1382" s="73"/>
      <c r="K1382" s="73"/>
      <c r="L1382" s="19"/>
      <c r="M1382" s="3"/>
      <c r="N1382" s="112" t="s">
        <v>14</v>
      </c>
      <c r="O1382" s="104" t="s">
        <v>52</v>
      </c>
      <c r="P1382" s="104" t="s">
        <v>52</v>
      </c>
      <c r="Q1382" s="105"/>
      <c r="R1382" s="33"/>
      <c r="S1382" s="225" t="str">
        <f t="shared" si="21"/>
        <v/>
      </c>
      <c r="T1382" s="2" t="s">
        <v>7628</v>
      </c>
      <c r="U1382" s="7" t="s">
        <v>122</v>
      </c>
      <c r="V1382" s="162" t="str" cm="1">
        <f t="array" ref="V1382">_xlfn.IFS(C1382="","",COUNTIF(C1382,"ตำแหน่งว่าง*"),"ว่าง",COUNTIF(C1382,"&lt;&gt;ตำแหน่งว่าง*"),"คนครอง")</f>
        <v>ว่าง</v>
      </c>
      <c r="W1382" s="6" cm="1">
        <f t="array" ref="W1382">_xlfn.IFS(COUNTIF(F1382,"ผบ.หมู่*"),51,COUNTIF(F1382,"รอง สว.*"),43)</f>
        <v>51</v>
      </c>
      <c r="X1382" s="1" t="s">
        <v>3807</v>
      </c>
      <c r="Y1382" s="1" t="s">
        <v>52</v>
      </c>
    </row>
    <row r="1383" spans="1:25" s="9" customFormat="1" ht="21.3" customHeight="1">
      <c r="A1383" s="27" t="s">
        <v>157</v>
      </c>
      <c r="B1383" s="28" t="s">
        <v>21</v>
      </c>
      <c r="C1383" s="27" t="s">
        <v>3809</v>
      </c>
      <c r="D1383" s="27" t="s">
        <v>9435</v>
      </c>
      <c r="E1383" s="27" t="s">
        <v>9436</v>
      </c>
      <c r="F1383" s="27" t="s">
        <v>3778</v>
      </c>
      <c r="G1383" s="101" t="s">
        <v>3811</v>
      </c>
      <c r="H1383" s="75">
        <v>42501</v>
      </c>
      <c r="I1383" s="73">
        <v>34729</v>
      </c>
      <c r="J1383" s="73">
        <v>34729</v>
      </c>
      <c r="K1383" s="73">
        <v>27465</v>
      </c>
      <c r="L1383" s="19" t="s">
        <v>3812</v>
      </c>
      <c r="M1383" s="3" t="s">
        <v>50</v>
      </c>
      <c r="N1383" s="112" t="s">
        <v>14</v>
      </c>
      <c r="O1383" s="104" t="s">
        <v>52</v>
      </c>
      <c r="P1383" s="104" t="s">
        <v>52</v>
      </c>
      <c r="Q1383" s="105"/>
      <c r="R1383" s="28" t="s">
        <v>110</v>
      </c>
      <c r="S1383" s="225">
        <f t="shared" si="21"/>
        <v>49583</v>
      </c>
      <c r="T1383" s="2" t="s">
        <v>7628</v>
      </c>
      <c r="U1383" s="7" t="s">
        <v>122</v>
      </c>
      <c r="V1383" s="162" t="str" cm="1">
        <f t="array" ref="V1383">_xlfn.IFS(C1383="","",COUNTIF(C1383,"ตำแหน่งว่าง*"),"ว่าง",COUNTIF(C1383,"&lt;&gt;ตำแหน่งว่าง*"),"คนครอง")</f>
        <v>คนครอง</v>
      </c>
      <c r="W1383" s="6" cm="1">
        <f t="array" ref="W1383">_xlfn.IFS(COUNTIF(F1383,"ผบ.หมู่*"),51,COUNTIF(F1383,"รอง สว.*"),43)</f>
        <v>51</v>
      </c>
      <c r="X1383" s="1" t="s">
        <v>3810</v>
      </c>
      <c r="Y1383" s="1" t="s">
        <v>52</v>
      </c>
    </row>
    <row r="1384" spans="1:25" s="9" customFormat="1" ht="21.3" customHeight="1">
      <c r="A1384" s="27" t="s">
        <v>612</v>
      </c>
      <c r="B1384" s="28" t="s">
        <v>12</v>
      </c>
      <c r="C1384" s="27" t="s">
        <v>3813</v>
      </c>
      <c r="D1384" s="27" t="s">
        <v>8292</v>
      </c>
      <c r="E1384" s="27" t="s">
        <v>9437</v>
      </c>
      <c r="F1384" s="27" t="s">
        <v>3778</v>
      </c>
      <c r="G1384" s="101" t="s">
        <v>3815</v>
      </c>
      <c r="H1384" s="75">
        <v>44599</v>
      </c>
      <c r="I1384" s="73">
        <v>41944</v>
      </c>
      <c r="J1384" s="73">
        <v>41944</v>
      </c>
      <c r="K1384" s="73">
        <v>31160</v>
      </c>
      <c r="L1384" s="11" t="s">
        <v>3816</v>
      </c>
      <c r="M1384" s="1" t="s">
        <v>50</v>
      </c>
      <c r="N1384" s="112" t="s">
        <v>14</v>
      </c>
      <c r="O1384" s="104" t="s">
        <v>52</v>
      </c>
      <c r="P1384" s="104" t="s">
        <v>52</v>
      </c>
      <c r="Q1384" s="105"/>
      <c r="R1384" s="28" t="s">
        <v>607</v>
      </c>
      <c r="S1384" s="225">
        <f t="shared" si="21"/>
        <v>53236</v>
      </c>
      <c r="T1384" s="2" t="s">
        <v>7628</v>
      </c>
      <c r="U1384" s="7" t="s">
        <v>122</v>
      </c>
      <c r="V1384" s="162" t="str" cm="1">
        <f t="array" ref="V1384">_xlfn.IFS(C1384="","",COUNTIF(C1384,"ตำแหน่งว่าง*"),"ว่าง",COUNTIF(C1384,"&lt;&gt;ตำแหน่งว่าง*"),"คนครอง")</f>
        <v>คนครอง</v>
      </c>
      <c r="W1384" s="6" cm="1">
        <f t="array" ref="W1384">_xlfn.IFS(COUNTIF(F1384,"ผบ.หมู่*"),51,COUNTIF(F1384,"รอง สว.*"),43)</f>
        <v>51</v>
      </c>
      <c r="X1384" s="1" t="s">
        <v>3814</v>
      </c>
      <c r="Y1384" s="1" t="s">
        <v>52</v>
      </c>
    </row>
    <row r="1385" spans="1:25" s="9" customFormat="1" ht="21.3" customHeight="1">
      <c r="A1385" s="27" t="s">
        <v>157</v>
      </c>
      <c r="B1385" s="28" t="s">
        <v>21</v>
      </c>
      <c r="C1385" s="27" t="s">
        <v>3817</v>
      </c>
      <c r="D1385" s="27" t="s">
        <v>8261</v>
      </c>
      <c r="E1385" s="27" t="s">
        <v>9438</v>
      </c>
      <c r="F1385" s="27" t="s">
        <v>3778</v>
      </c>
      <c r="G1385" s="101" t="s">
        <v>3819</v>
      </c>
      <c r="H1385" s="75">
        <v>42501</v>
      </c>
      <c r="I1385" s="73">
        <v>34729</v>
      </c>
      <c r="J1385" s="73">
        <v>34729</v>
      </c>
      <c r="K1385" s="73">
        <v>27556</v>
      </c>
      <c r="L1385" s="19" t="s">
        <v>3820</v>
      </c>
      <c r="M1385" s="3" t="s">
        <v>50</v>
      </c>
      <c r="N1385" s="112" t="s">
        <v>14</v>
      </c>
      <c r="O1385" s="104" t="s">
        <v>52</v>
      </c>
      <c r="P1385" s="104" t="s">
        <v>52</v>
      </c>
      <c r="Q1385" s="105"/>
      <c r="R1385" s="28" t="s">
        <v>110</v>
      </c>
      <c r="S1385" s="225">
        <f t="shared" si="21"/>
        <v>49583</v>
      </c>
      <c r="T1385" s="2" t="s">
        <v>7628</v>
      </c>
      <c r="U1385" s="7" t="s">
        <v>122</v>
      </c>
      <c r="V1385" s="162" t="str" cm="1">
        <f t="array" ref="V1385">_xlfn.IFS(C1385="","",COUNTIF(C1385,"ตำแหน่งว่าง*"),"ว่าง",COUNTIF(C1385,"&lt;&gt;ตำแหน่งว่าง*"),"คนครอง")</f>
        <v>คนครอง</v>
      </c>
      <c r="W1385" s="6" cm="1">
        <f t="array" ref="W1385">_xlfn.IFS(COUNTIF(F1385,"ผบ.หมู่*"),51,COUNTIF(F1385,"รอง สว.*"),43)</f>
        <v>51</v>
      </c>
      <c r="X1385" s="1" t="s">
        <v>3818</v>
      </c>
      <c r="Y1385" s="1" t="s">
        <v>52</v>
      </c>
    </row>
    <row r="1386" spans="1:25" s="12" customFormat="1" ht="21.3" customHeight="1">
      <c r="A1386" s="27" t="s">
        <v>44</v>
      </c>
      <c r="B1386" s="31" t="s">
        <v>12</v>
      </c>
      <c r="C1386" s="95" t="s">
        <v>3821</v>
      </c>
      <c r="D1386" s="27" t="s">
        <v>8319</v>
      </c>
      <c r="E1386" s="27" t="s">
        <v>9439</v>
      </c>
      <c r="F1386" s="95" t="s">
        <v>3790</v>
      </c>
      <c r="G1386" s="101" t="s">
        <v>3823</v>
      </c>
      <c r="H1386" s="88">
        <v>42501</v>
      </c>
      <c r="I1386" s="76">
        <v>34352</v>
      </c>
      <c r="J1386" s="76">
        <v>34352</v>
      </c>
      <c r="K1386" s="76">
        <v>25307</v>
      </c>
      <c r="L1386" s="46" t="s">
        <v>3824</v>
      </c>
      <c r="M1386" s="4" t="s">
        <v>50</v>
      </c>
      <c r="N1386" s="111" t="s">
        <v>14</v>
      </c>
      <c r="O1386" s="104" t="s">
        <v>52</v>
      </c>
      <c r="P1386" s="104" t="s">
        <v>52</v>
      </c>
      <c r="Q1386" s="108"/>
      <c r="R1386" s="31" t="s">
        <v>110</v>
      </c>
      <c r="S1386" s="225">
        <f t="shared" si="21"/>
        <v>47392</v>
      </c>
      <c r="T1386" s="162" t="s">
        <v>7628</v>
      </c>
      <c r="U1386" s="7" t="s">
        <v>122</v>
      </c>
      <c r="V1386" s="162" t="str" cm="1">
        <f t="array" ref="V1386">_xlfn.IFS(C1386="","",COUNTIF(C1386,"ตำแหน่งว่าง*"),"ว่าง",COUNTIF(C1386,"&lt;&gt;ตำแหน่งว่าง*"),"คนครอง")</f>
        <v>คนครอง</v>
      </c>
      <c r="W1386" s="5" cm="1">
        <f t="array" ref="W1386">_xlfn.IFS(COUNTIF(F1386,"ผบ.หมู่*"),51,COUNTIF(F1386,"รอง สว.*"),43)</f>
        <v>43</v>
      </c>
      <c r="X1386" s="5" t="s">
        <v>3822</v>
      </c>
      <c r="Y1386" s="5" t="s">
        <v>52</v>
      </c>
    </row>
    <row r="1387" spans="1:25" s="9" customFormat="1" ht="21.3" customHeight="1">
      <c r="A1387" s="27" t="s">
        <v>157</v>
      </c>
      <c r="B1387" s="28" t="s">
        <v>21</v>
      </c>
      <c r="C1387" s="27" t="s">
        <v>3825</v>
      </c>
      <c r="D1387" s="27" t="s">
        <v>8344</v>
      </c>
      <c r="E1387" s="27" t="s">
        <v>9440</v>
      </c>
      <c r="F1387" s="27" t="s">
        <v>3778</v>
      </c>
      <c r="G1387" s="101" t="s">
        <v>3827</v>
      </c>
      <c r="H1387" s="75">
        <v>42501</v>
      </c>
      <c r="I1387" s="73">
        <v>34352</v>
      </c>
      <c r="J1387" s="73">
        <v>34352</v>
      </c>
      <c r="K1387" s="73">
        <v>26822</v>
      </c>
      <c r="L1387" s="19" t="s">
        <v>3828</v>
      </c>
      <c r="M1387" s="3" t="s">
        <v>50</v>
      </c>
      <c r="N1387" s="112" t="s">
        <v>14</v>
      </c>
      <c r="O1387" s="104" t="s">
        <v>52</v>
      </c>
      <c r="P1387" s="104" t="s">
        <v>52</v>
      </c>
      <c r="Q1387" s="105"/>
      <c r="R1387" s="28" t="s">
        <v>110</v>
      </c>
      <c r="S1387" s="225">
        <f t="shared" si="21"/>
        <v>48853</v>
      </c>
      <c r="T1387" s="2" t="s">
        <v>7628</v>
      </c>
      <c r="U1387" s="7" t="s">
        <v>122</v>
      </c>
      <c r="V1387" s="162" t="str" cm="1">
        <f t="array" ref="V1387">_xlfn.IFS(C1387="","",COUNTIF(C1387,"ตำแหน่งว่าง*"),"ว่าง",COUNTIF(C1387,"&lt;&gt;ตำแหน่งว่าง*"),"คนครอง")</f>
        <v>คนครอง</v>
      </c>
      <c r="W1387" s="6" cm="1">
        <f t="array" ref="W1387">_xlfn.IFS(COUNTIF(F1387,"ผบ.หมู่*"),51,COUNTIF(F1387,"รอง สว.*"),43)</f>
        <v>51</v>
      </c>
      <c r="X1387" s="1" t="s">
        <v>3826</v>
      </c>
      <c r="Y1387" s="1" t="s">
        <v>52</v>
      </c>
    </row>
    <row r="1388" spans="1:25" s="12" customFormat="1" ht="21.3" customHeight="1">
      <c r="A1388" s="27" t="s">
        <v>612</v>
      </c>
      <c r="B1388" s="31" t="s">
        <v>21</v>
      </c>
      <c r="C1388" s="95" t="s">
        <v>3829</v>
      </c>
      <c r="D1388" s="27" t="s">
        <v>8269</v>
      </c>
      <c r="E1388" s="27" t="s">
        <v>9441</v>
      </c>
      <c r="F1388" s="95" t="s">
        <v>3778</v>
      </c>
      <c r="G1388" s="101" t="s">
        <v>3831</v>
      </c>
      <c r="H1388" s="88">
        <v>44599</v>
      </c>
      <c r="I1388" s="76">
        <v>42416</v>
      </c>
      <c r="J1388" s="76">
        <v>42416</v>
      </c>
      <c r="K1388" s="76">
        <v>30391</v>
      </c>
      <c r="L1388" s="46" t="s">
        <v>3832</v>
      </c>
      <c r="M1388" s="4" t="s">
        <v>65</v>
      </c>
      <c r="N1388" s="111" t="s">
        <v>14</v>
      </c>
      <c r="O1388" s="104" t="s">
        <v>52</v>
      </c>
      <c r="P1388" s="104" t="s">
        <v>52</v>
      </c>
      <c r="Q1388" s="108"/>
      <c r="R1388" s="31" t="s">
        <v>607</v>
      </c>
      <c r="S1388" s="225">
        <f t="shared" si="21"/>
        <v>52505</v>
      </c>
      <c r="T1388" s="162" t="s">
        <v>7628</v>
      </c>
      <c r="U1388" s="7" t="s">
        <v>122</v>
      </c>
      <c r="V1388" s="162" t="str" cm="1">
        <f t="array" ref="V1388">_xlfn.IFS(C1388="","",COUNTIF(C1388,"ตำแหน่งว่าง*"),"ว่าง",COUNTIF(C1388,"&lt;&gt;ตำแหน่งว่าง*"),"คนครอง")</f>
        <v>คนครอง</v>
      </c>
      <c r="W1388" s="6" cm="1">
        <f t="array" ref="W1388">_xlfn.IFS(COUNTIF(F1388,"ผบ.หมู่*"),51,COUNTIF(F1388,"รอง สว.*"),43)</f>
        <v>51</v>
      </c>
      <c r="X1388" s="5" t="s">
        <v>3830</v>
      </c>
      <c r="Y1388" s="5" t="s">
        <v>52</v>
      </c>
    </row>
    <row r="1389" spans="1:25" s="9" customFormat="1" ht="21.3" customHeight="1">
      <c r="A1389" s="27" t="s">
        <v>157</v>
      </c>
      <c r="B1389" s="28" t="s">
        <v>21</v>
      </c>
      <c r="C1389" s="27" t="s">
        <v>3833</v>
      </c>
      <c r="D1389" s="27" t="s">
        <v>8193</v>
      </c>
      <c r="E1389" s="27" t="s">
        <v>9442</v>
      </c>
      <c r="F1389" s="27" t="s">
        <v>3778</v>
      </c>
      <c r="G1389" s="101" t="s">
        <v>3835</v>
      </c>
      <c r="H1389" s="75">
        <v>42501</v>
      </c>
      <c r="I1389" s="73">
        <v>35293</v>
      </c>
      <c r="J1389" s="73">
        <v>35293</v>
      </c>
      <c r="K1389" s="73">
        <v>25903</v>
      </c>
      <c r="L1389" s="19" t="s">
        <v>722</v>
      </c>
      <c r="M1389" s="3" t="s">
        <v>50</v>
      </c>
      <c r="N1389" s="112" t="s">
        <v>14</v>
      </c>
      <c r="O1389" s="104" t="s">
        <v>52</v>
      </c>
      <c r="P1389" s="104" t="s">
        <v>52</v>
      </c>
      <c r="Q1389" s="105"/>
      <c r="R1389" s="28" t="s">
        <v>110</v>
      </c>
      <c r="S1389" s="225">
        <f t="shared" si="21"/>
        <v>48122</v>
      </c>
      <c r="T1389" s="2" t="s">
        <v>7628</v>
      </c>
      <c r="U1389" s="7" t="s">
        <v>122</v>
      </c>
      <c r="V1389" s="162" t="str" cm="1">
        <f t="array" ref="V1389">_xlfn.IFS(C1389="","",COUNTIF(C1389,"ตำแหน่งว่าง*"),"ว่าง",COUNTIF(C1389,"&lt;&gt;ตำแหน่งว่าง*"),"คนครอง")</f>
        <v>คนครอง</v>
      </c>
      <c r="W1389" s="6" cm="1">
        <f t="array" ref="W1389">_xlfn.IFS(COUNTIF(F1389,"ผบ.หมู่*"),51,COUNTIF(F1389,"รอง สว.*"),43)</f>
        <v>51</v>
      </c>
      <c r="X1389" s="1" t="s">
        <v>3834</v>
      </c>
      <c r="Y1389" s="1" t="s">
        <v>52</v>
      </c>
    </row>
    <row r="1390" spans="1:25" s="9" customFormat="1" ht="21.3" customHeight="1">
      <c r="A1390" s="27" t="s">
        <v>60</v>
      </c>
      <c r="B1390" s="28" t="s">
        <v>21</v>
      </c>
      <c r="C1390" s="27" t="s">
        <v>3836</v>
      </c>
      <c r="D1390" s="27" t="s">
        <v>9443</v>
      </c>
      <c r="E1390" s="27" t="s">
        <v>9444</v>
      </c>
      <c r="F1390" s="27" t="s">
        <v>3790</v>
      </c>
      <c r="G1390" s="101" t="s">
        <v>3838</v>
      </c>
      <c r="H1390" s="75">
        <v>42501</v>
      </c>
      <c r="I1390" s="73">
        <v>34729</v>
      </c>
      <c r="J1390" s="73">
        <v>34729</v>
      </c>
      <c r="K1390" s="73">
        <v>26524</v>
      </c>
      <c r="L1390" s="19" t="s">
        <v>7859</v>
      </c>
      <c r="M1390" s="3" t="s">
        <v>50</v>
      </c>
      <c r="N1390" s="112" t="s">
        <v>14</v>
      </c>
      <c r="O1390" s="104" t="s">
        <v>52</v>
      </c>
      <c r="P1390" s="104" t="s">
        <v>52</v>
      </c>
      <c r="Q1390" s="105"/>
      <c r="R1390" s="28" t="s">
        <v>110</v>
      </c>
      <c r="S1390" s="225">
        <f t="shared" si="21"/>
        <v>48488</v>
      </c>
      <c r="T1390" s="2" t="s">
        <v>7628</v>
      </c>
      <c r="U1390" s="7" t="s">
        <v>122</v>
      </c>
      <c r="V1390" s="162" t="str" cm="1">
        <f t="array" ref="V1390">_xlfn.IFS(C1390="","",COUNTIF(C1390,"ตำแหน่งว่าง*"),"ว่าง",COUNTIF(C1390,"&lt;&gt;ตำแหน่งว่าง*"),"คนครอง")</f>
        <v>คนครอง</v>
      </c>
      <c r="W1390" s="6" cm="1">
        <f t="array" ref="W1390">_xlfn.IFS(COUNTIF(F1390,"ผบ.หมู่*"),51,COUNTIF(F1390,"รอง สว.*"),43)</f>
        <v>43</v>
      </c>
      <c r="X1390" s="1" t="s">
        <v>3837</v>
      </c>
      <c r="Y1390" s="1" t="s">
        <v>52</v>
      </c>
    </row>
    <row r="1391" spans="1:25" s="9" customFormat="1" ht="21.3" customHeight="1">
      <c r="A1391" s="27" t="s">
        <v>182</v>
      </c>
      <c r="B1391" s="28" t="s">
        <v>12</v>
      </c>
      <c r="C1391" s="27" t="s">
        <v>10826</v>
      </c>
      <c r="D1391" s="27" t="s">
        <v>8130</v>
      </c>
      <c r="E1391" s="27" t="s">
        <v>10825</v>
      </c>
      <c r="F1391" s="27" t="s">
        <v>3778</v>
      </c>
      <c r="G1391" s="101" t="s">
        <v>3840</v>
      </c>
      <c r="H1391" s="91">
        <v>45768</v>
      </c>
      <c r="I1391" s="73" t="s">
        <v>7609</v>
      </c>
      <c r="J1391" s="73" t="s">
        <v>7609</v>
      </c>
      <c r="K1391" s="73">
        <v>36581</v>
      </c>
      <c r="L1391" s="19" t="s">
        <v>7609</v>
      </c>
      <c r="M1391" s="3" t="s">
        <v>7609</v>
      </c>
      <c r="N1391" s="112" t="s">
        <v>14</v>
      </c>
      <c r="O1391" s="104" t="s">
        <v>52</v>
      </c>
      <c r="P1391" s="104" t="s">
        <v>52</v>
      </c>
      <c r="Q1391" s="105"/>
      <c r="R1391" s="28" t="s">
        <v>10804</v>
      </c>
      <c r="S1391" s="174">
        <f t="shared" si="21"/>
        <v>58715</v>
      </c>
      <c r="T1391" s="2" t="s">
        <v>7628</v>
      </c>
      <c r="U1391" s="2" t="s">
        <v>122</v>
      </c>
      <c r="V1391" s="203" t="str" cm="1">
        <f t="array" ref="V1391">_xlfn.IFS(C1391="","",COUNTIF(C1391,"ตำแหน่งว่าง*"),"ว่าง",COUNTIF(C1391,"&lt;&gt;ตำแหน่งว่าง*"),"คนครอง")</f>
        <v>คนครอง</v>
      </c>
      <c r="W1391" s="1" cm="1">
        <f t="array" ref="W1391">_xlfn.IFS(COUNTIF(F1391,"ผบ.หมู่*"),51,COUNTIF(F1391,"รอง สว.*"),43)</f>
        <v>51</v>
      </c>
      <c r="X1391" s="1" t="s">
        <v>3839</v>
      </c>
      <c r="Y1391" s="1" t="s">
        <v>52</v>
      </c>
    </row>
    <row r="1392" spans="1:25" s="10" customFormat="1" ht="21.3" customHeight="1">
      <c r="A1392" s="152" t="s">
        <v>128</v>
      </c>
      <c r="B1392" s="153"/>
      <c r="C1392" s="125"/>
      <c r="D1392" s="27"/>
      <c r="E1392" s="158"/>
      <c r="F1392" s="158"/>
      <c r="G1392" s="125"/>
      <c r="H1392" s="154" t="s">
        <v>19</v>
      </c>
      <c r="I1392" s="126" t="s">
        <v>19</v>
      </c>
      <c r="J1392" s="126" t="s">
        <v>19</v>
      </c>
      <c r="K1392" s="126" t="s">
        <v>19</v>
      </c>
      <c r="L1392" s="127"/>
      <c r="M1392" s="128"/>
      <c r="N1392" s="125"/>
      <c r="O1392" s="125"/>
      <c r="P1392" s="125"/>
      <c r="Q1392" s="160"/>
      <c r="R1392" s="128"/>
      <c r="S1392" s="226" t="str">
        <f t="shared" si="21"/>
        <v/>
      </c>
      <c r="T1392" s="158"/>
      <c r="U1392" s="158"/>
      <c r="V1392" s="171" t="str" cm="1">
        <f t="array" ref="V1392">_xlfn.IFS(C1392="","",COUNTIF(C1392,"ตำแหน่งว่าง*"),"ว่าง",COUNTIF(C1392,"&lt;&gt;ตำแหน่งว่าง*"),"คนครอง")</f>
        <v/>
      </c>
      <c r="W1392" s="125"/>
      <c r="X1392" s="125"/>
      <c r="Y1392" s="125"/>
    </row>
    <row r="1393" spans="1:25" s="10" customFormat="1" ht="21.3" customHeight="1">
      <c r="A1393" s="27"/>
      <c r="B1393" s="28"/>
      <c r="C1393" s="30" t="s">
        <v>18</v>
      </c>
      <c r="D1393" s="27"/>
      <c r="E1393" s="27"/>
      <c r="F1393" s="68" t="s">
        <v>3988</v>
      </c>
      <c r="G1393" s="121" t="s">
        <v>3990</v>
      </c>
      <c r="H1393" s="93"/>
      <c r="I1393" s="80"/>
      <c r="J1393" s="80"/>
      <c r="K1393" s="80"/>
      <c r="L1393" s="45"/>
      <c r="M1393" s="30"/>
      <c r="N1393" s="113" t="s">
        <v>14</v>
      </c>
      <c r="O1393" s="122" t="s">
        <v>27</v>
      </c>
      <c r="P1393" s="122"/>
      <c r="Q1393" s="106"/>
      <c r="R1393" s="30"/>
      <c r="S1393" s="225" t="str">
        <f t="shared" si="21"/>
        <v/>
      </c>
      <c r="T1393" s="7" t="s">
        <v>128</v>
      </c>
      <c r="U1393" s="7" t="s">
        <v>128</v>
      </c>
      <c r="V1393" s="171" t="str" cm="1">
        <f t="array" ref="V1393">_xlfn.IFS(C1393="","",COUNTIF(C1393,"ตำแหน่งว่าง*"),"ว่าง",COUNTIF(C1393,"&lt;&gt;ตำแหน่งว่าง*"),"คนครอง")</f>
        <v>ว่าง</v>
      </c>
      <c r="W1393" s="6" cm="1">
        <f t="array" ref="W1393">_xlfn.IFS(COUNTIF(F1393,"ผบ.หมู่*"),51,COUNTIF(F1393,"รอง สว.*"),43)</f>
        <v>51</v>
      </c>
      <c r="X1393" s="6" t="s">
        <v>3989</v>
      </c>
      <c r="Y1393" s="30" t="s">
        <v>27</v>
      </c>
    </row>
    <row r="1394" spans="1:25" s="10" customFormat="1" ht="21.3" customHeight="1">
      <c r="A1394" s="27"/>
      <c r="B1394" s="28"/>
      <c r="C1394" s="30" t="s">
        <v>18</v>
      </c>
      <c r="D1394" s="27"/>
      <c r="E1394" s="27"/>
      <c r="F1394" s="68" t="s">
        <v>3988</v>
      </c>
      <c r="G1394" s="121" t="s">
        <v>3992</v>
      </c>
      <c r="H1394" s="93"/>
      <c r="I1394" s="80"/>
      <c r="J1394" s="80"/>
      <c r="K1394" s="80"/>
      <c r="L1394" s="45"/>
      <c r="M1394" s="30"/>
      <c r="N1394" s="113" t="s">
        <v>14</v>
      </c>
      <c r="O1394" s="122" t="s">
        <v>27</v>
      </c>
      <c r="P1394" s="122"/>
      <c r="Q1394" s="106"/>
      <c r="R1394" s="30"/>
      <c r="S1394" s="225" t="str">
        <f t="shared" si="21"/>
        <v/>
      </c>
      <c r="T1394" s="7" t="s">
        <v>128</v>
      </c>
      <c r="U1394" s="7" t="s">
        <v>128</v>
      </c>
      <c r="V1394" s="171" t="str" cm="1">
        <f t="array" ref="V1394">_xlfn.IFS(C1394="","",COUNTIF(C1394,"ตำแหน่งว่าง*"),"ว่าง",COUNTIF(C1394,"&lt;&gt;ตำแหน่งว่าง*"),"คนครอง")</f>
        <v>ว่าง</v>
      </c>
      <c r="W1394" s="6" cm="1">
        <f t="array" ref="W1394">_xlfn.IFS(COUNTIF(F1394,"ผบ.หมู่*"),51,COUNTIF(F1394,"รอง สว.*"),43)</f>
        <v>51</v>
      </c>
      <c r="X1394" s="6" t="s">
        <v>3991</v>
      </c>
      <c r="Y1394" s="30" t="s">
        <v>27</v>
      </c>
    </row>
    <row r="1395" spans="1:25" s="9" customFormat="1" ht="21.3" customHeight="1">
      <c r="A1395" s="68"/>
      <c r="B1395" s="30"/>
      <c r="C1395" s="30" t="s">
        <v>18</v>
      </c>
      <c r="D1395" s="27"/>
      <c r="E1395" s="27"/>
      <c r="F1395" s="68" t="s">
        <v>3994</v>
      </c>
      <c r="G1395" s="121" t="s">
        <v>3996</v>
      </c>
      <c r="H1395" s="93" t="s">
        <v>19</v>
      </c>
      <c r="I1395" s="74" t="s">
        <v>19</v>
      </c>
      <c r="J1395" s="74" t="s">
        <v>19</v>
      </c>
      <c r="K1395" s="74" t="s">
        <v>19</v>
      </c>
      <c r="L1395" s="16"/>
      <c r="M1395" s="6"/>
      <c r="N1395" s="113" t="s">
        <v>14</v>
      </c>
      <c r="O1395" s="122" t="s">
        <v>27</v>
      </c>
      <c r="P1395" s="122"/>
      <c r="Q1395" s="106"/>
      <c r="R1395" s="30"/>
      <c r="S1395" s="225" t="str">
        <f t="shared" si="21"/>
        <v/>
      </c>
      <c r="T1395" s="2" t="s">
        <v>7698</v>
      </c>
      <c r="U1395" s="7" t="s">
        <v>128</v>
      </c>
      <c r="V1395" s="171" t="str" cm="1">
        <f t="array" ref="V1395">_xlfn.IFS(C1395="","",COUNTIF(C1395,"ตำแหน่งว่าง*"),"ว่าง",COUNTIF(C1395,"&lt;&gt;ตำแหน่งว่าง*"),"คนครอง")</f>
        <v>ว่าง</v>
      </c>
      <c r="W1395" s="6" cm="1">
        <f t="array" ref="W1395">_xlfn.IFS(COUNTIF(F1395,"ผบ.หมู่*"),51,COUNTIF(F1395,"รอง สว.*"),43)</f>
        <v>51</v>
      </c>
      <c r="X1395" s="6" t="s">
        <v>3995</v>
      </c>
      <c r="Y1395" s="6" t="s">
        <v>27</v>
      </c>
    </row>
    <row r="1396" spans="1:25" s="10" customFormat="1" ht="21.3" customHeight="1">
      <c r="A1396" s="27" t="s">
        <v>157</v>
      </c>
      <c r="B1396" s="28" t="s">
        <v>12</v>
      </c>
      <c r="C1396" s="27" t="s">
        <v>3997</v>
      </c>
      <c r="D1396" s="27" t="s">
        <v>9445</v>
      </c>
      <c r="E1396" s="27" t="s">
        <v>9446</v>
      </c>
      <c r="F1396" s="27" t="s">
        <v>3994</v>
      </c>
      <c r="G1396" s="101" t="s">
        <v>3999</v>
      </c>
      <c r="H1396" s="91">
        <v>44999</v>
      </c>
      <c r="I1396" s="80">
        <v>34352</v>
      </c>
      <c r="J1396" s="80">
        <v>34352</v>
      </c>
      <c r="K1396" s="80">
        <v>27216</v>
      </c>
      <c r="L1396" s="45" t="s">
        <v>4000</v>
      </c>
      <c r="M1396" s="30" t="s">
        <v>36</v>
      </c>
      <c r="N1396" s="112" t="s">
        <v>14</v>
      </c>
      <c r="O1396" s="104" t="s">
        <v>27</v>
      </c>
      <c r="P1396" s="104"/>
      <c r="Q1396" s="106"/>
      <c r="R1396" s="28" t="s">
        <v>74</v>
      </c>
      <c r="S1396" s="225">
        <f t="shared" si="21"/>
        <v>49218</v>
      </c>
      <c r="T1396" s="7" t="s">
        <v>7698</v>
      </c>
      <c r="U1396" s="7" t="s">
        <v>128</v>
      </c>
      <c r="V1396" s="162" t="str" cm="1">
        <f t="array" ref="V1396">_xlfn.IFS(C1396="","",COUNTIF(C1396,"ตำแหน่งว่าง*"),"ว่าง",COUNTIF(C1396,"&lt;&gt;ตำแหน่งว่าง*"),"คนครอง")</f>
        <v>คนครอง</v>
      </c>
      <c r="W1396" s="6" cm="1">
        <f t="array" ref="W1396">_xlfn.IFS(COUNTIF(F1396,"ผบ.หมู่*"),51,COUNTIF(F1396,"รอง สว.*"),43)</f>
        <v>51</v>
      </c>
      <c r="X1396" s="28" t="s">
        <v>3998</v>
      </c>
      <c r="Y1396" s="28" t="s">
        <v>27</v>
      </c>
    </row>
    <row r="1397" spans="1:25" s="9" customFormat="1" ht="21.3" customHeight="1">
      <c r="A1397" s="68"/>
      <c r="B1397" s="30"/>
      <c r="C1397" s="30" t="s">
        <v>18</v>
      </c>
      <c r="D1397" s="27"/>
      <c r="E1397" s="27"/>
      <c r="F1397" s="68" t="s">
        <v>3994</v>
      </c>
      <c r="G1397" s="121" t="s">
        <v>4002</v>
      </c>
      <c r="H1397" s="93" t="s">
        <v>19</v>
      </c>
      <c r="I1397" s="74" t="s">
        <v>19</v>
      </c>
      <c r="J1397" s="74" t="s">
        <v>19</v>
      </c>
      <c r="K1397" s="74" t="s">
        <v>19</v>
      </c>
      <c r="L1397" s="16"/>
      <c r="M1397" s="6"/>
      <c r="N1397" s="113" t="s">
        <v>14</v>
      </c>
      <c r="O1397" s="122" t="s">
        <v>27</v>
      </c>
      <c r="P1397" s="122"/>
      <c r="Q1397" s="106"/>
      <c r="R1397" s="30"/>
      <c r="S1397" s="225" t="str">
        <f t="shared" si="21"/>
        <v/>
      </c>
      <c r="T1397" s="2" t="s">
        <v>7698</v>
      </c>
      <c r="U1397" s="7" t="s">
        <v>128</v>
      </c>
      <c r="V1397" s="171" t="str" cm="1">
        <f t="array" ref="V1397">_xlfn.IFS(C1397="","",COUNTIF(C1397,"ตำแหน่งว่าง*"),"ว่าง",COUNTIF(C1397,"&lt;&gt;ตำแหน่งว่าง*"),"คนครอง")</f>
        <v>ว่าง</v>
      </c>
      <c r="W1397" s="6" cm="1">
        <f t="array" ref="W1397">_xlfn.IFS(COUNTIF(F1397,"ผบ.หมู่*"),51,COUNTIF(F1397,"รอง สว.*"),43)</f>
        <v>51</v>
      </c>
      <c r="X1397" s="6" t="s">
        <v>4001</v>
      </c>
      <c r="Y1397" s="6" t="s">
        <v>27</v>
      </c>
    </row>
    <row r="1398" spans="1:25" s="10" customFormat="1" ht="21.3" customHeight="1">
      <c r="A1398" s="27"/>
      <c r="B1398" s="28"/>
      <c r="C1398" s="30" t="s">
        <v>18</v>
      </c>
      <c r="D1398" s="27"/>
      <c r="E1398" s="27"/>
      <c r="F1398" s="68" t="s">
        <v>3994</v>
      </c>
      <c r="G1398" s="121" t="s">
        <v>4004</v>
      </c>
      <c r="H1398" s="91" t="s">
        <v>19</v>
      </c>
      <c r="I1398" s="73" t="s">
        <v>19</v>
      </c>
      <c r="J1398" s="73" t="s">
        <v>19</v>
      </c>
      <c r="K1398" s="73" t="s">
        <v>19</v>
      </c>
      <c r="L1398" s="11"/>
      <c r="M1398" s="1"/>
      <c r="N1398" s="113" t="s">
        <v>14</v>
      </c>
      <c r="O1398" s="122" t="s">
        <v>27</v>
      </c>
      <c r="P1398" s="122"/>
      <c r="Q1398" s="105"/>
      <c r="R1398" s="28"/>
      <c r="S1398" s="225" t="str">
        <f t="shared" si="21"/>
        <v/>
      </c>
      <c r="T1398" s="7" t="s">
        <v>7698</v>
      </c>
      <c r="U1398" s="7" t="s">
        <v>128</v>
      </c>
      <c r="V1398" s="171" t="str" cm="1">
        <f t="array" ref="V1398">_xlfn.IFS(C1398="","",COUNTIF(C1398,"ตำแหน่งว่าง*"),"ว่าง",COUNTIF(C1398,"&lt;&gt;ตำแหน่งว่าง*"),"คนครอง")</f>
        <v>ว่าง</v>
      </c>
      <c r="W1398" s="6" cm="1">
        <f t="array" ref="W1398">_xlfn.IFS(COUNTIF(F1398,"ผบ.หมู่*"),51,COUNTIF(F1398,"รอง สว.*"),43)</f>
        <v>51</v>
      </c>
      <c r="X1398" s="6" t="s">
        <v>4003</v>
      </c>
      <c r="Y1398" s="6" t="s">
        <v>27</v>
      </c>
    </row>
    <row r="1399" spans="1:25" s="10" customFormat="1" ht="21.3" customHeight="1">
      <c r="A1399" s="27"/>
      <c r="B1399" s="28"/>
      <c r="C1399" s="30" t="s">
        <v>18</v>
      </c>
      <c r="D1399" s="27"/>
      <c r="E1399" s="27"/>
      <c r="F1399" s="68" t="s">
        <v>3994</v>
      </c>
      <c r="G1399" s="121" t="s">
        <v>4006</v>
      </c>
      <c r="H1399" s="91" t="s">
        <v>19</v>
      </c>
      <c r="I1399" s="73" t="s">
        <v>19</v>
      </c>
      <c r="J1399" s="73" t="s">
        <v>19</v>
      </c>
      <c r="K1399" s="73" t="s">
        <v>19</v>
      </c>
      <c r="L1399" s="11"/>
      <c r="M1399" s="1"/>
      <c r="N1399" s="113" t="s">
        <v>14</v>
      </c>
      <c r="O1399" s="122" t="s">
        <v>27</v>
      </c>
      <c r="P1399" s="122"/>
      <c r="Q1399" s="105"/>
      <c r="R1399" s="28"/>
      <c r="S1399" s="225" t="str">
        <f t="shared" si="21"/>
        <v/>
      </c>
      <c r="T1399" s="7" t="s">
        <v>7698</v>
      </c>
      <c r="U1399" s="7" t="s">
        <v>128</v>
      </c>
      <c r="V1399" s="171" t="str" cm="1">
        <f t="array" ref="V1399">_xlfn.IFS(C1399="","",COUNTIF(C1399,"ตำแหน่งว่าง*"),"ว่าง",COUNTIF(C1399,"&lt;&gt;ตำแหน่งว่าง*"),"คนครอง")</f>
        <v>ว่าง</v>
      </c>
      <c r="W1399" s="6" cm="1">
        <f t="array" ref="W1399">_xlfn.IFS(COUNTIF(F1399,"ผบ.หมู่*"),51,COUNTIF(F1399,"รอง สว.*"),43)</f>
        <v>51</v>
      </c>
      <c r="X1399" s="6" t="s">
        <v>4005</v>
      </c>
      <c r="Y1399" s="6" t="s">
        <v>27</v>
      </c>
    </row>
    <row r="1400" spans="1:25" s="10" customFormat="1" ht="21.3" customHeight="1">
      <c r="A1400" s="27"/>
      <c r="B1400" s="28"/>
      <c r="C1400" s="30" t="s">
        <v>18</v>
      </c>
      <c r="D1400" s="27"/>
      <c r="E1400" s="27"/>
      <c r="F1400" s="68" t="s">
        <v>3994</v>
      </c>
      <c r="G1400" s="121" t="s">
        <v>4008</v>
      </c>
      <c r="H1400" s="91" t="s">
        <v>19</v>
      </c>
      <c r="I1400" s="73" t="s">
        <v>19</v>
      </c>
      <c r="J1400" s="73" t="s">
        <v>19</v>
      </c>
      <c r="K1400" s="73" t="s">
        <v>19</v>
      </c>
      <c r="L1400" s="11"/>
      <c r="M1400" s="1"/>
      <c r="N1400" s="113" t="s">
        <v>14</v>
      </c>
      <c r="O1400" s="122" t="s">
        <v>27</v>
      </c>
      <c r="P1400" s="122"/>
      <c r="Q1400" s="105"/>
      <c r="R1400" s="28"/>
      <c r="S1400" s="225" t="str">
        <f t="shared" si="21"/>
        <v/>
      </c>
      <c r="T1400" s="7" t="s">
        <v>7698</v>
      </c>
      <c r="U1400" s="7" t="s">
        <v>128</v>
      </c>
      <c r="V1400" s="171" t="str" cm="1">
        <f t="array" ref="V1400">_xlfn.IFS(C1400="","",COUNTIF(C1400,"ตำแหน่งว่าง*"),"ว่าง",COUNTIF(C1400,"&lt;&gt;ตำแหน่งว่าง*"),"คนครอง")</f>
        <v>ว่าง</v>
      </c>
      <c r="W1400" s="6" cm="1">
        <f t="array" ref="W1400">_xlfn.IFS(COUNTIF(F1400,"ผบ.หมู่*"),51,COUNTIF(F1400,"รอง สว.*"),43)</f>
        <v>51</v>
      </c>
      <c r="X1400" s="6" t="s">
        <v>4007</v>
      </c>
      <c r="Y1400" s="6" t="s">
        <v>27</v>
      </c>
    </row>
    <row r="1401" spans="1:25" s="10" customFormat="1" ht="21.3" customHeight="1">
      <c r="A1401" s="27"/>
      <c r="B1401" s="28"/>
      <c r="C1401" s="30" t="s">
        <v>18</v>
      </c>
      <c r="D1401" s="27"/>
      <c r="E1401" s="27"/>
      <c r="F1401" s="68" t="s">
        <v>3994</v>
      </c>
      <c r="G1401" s="121" t="s">
        <v>4010</v>
      </c>
      <c r="H1401" s="91" t="s">
        <v>19</v>
      </c>
      <c r="I1401" s="73" t="s">
        <v>19</v>
      </c>
      <c r="J1401" s="73" t="s">
        <v>19</v>
      </c>
      <c r="K1401" s="73" t="s">
        <v>19</v>
      </c>
      <c r="L1401" s="11"/>
      <c r="M1401" s="1"/>
      <c r="N1401" s="113" t="s">
        <v>14</v>
      </c>
      <c r="O1401" s="122" t="s">
        <v>27</v>
      </c>
      <c r="P1401" s="122"/>
      <c r="Q1401" s="105"/>
      <c r="R1401" s="28"/>
      <c r="S1401" s="225" t="str">
        <f t="shared" si="21"/>
        <v/>
      </c>
      <c r="T1401" s="7" t="s">
        <v>7698</v>
      </c>
      <c r="U1401" s="7" t="s">
        <v>128</v>
      </c>
      <c r="V1401" s="171" t="str" cm="1">
        <f t="array" ref="V1401">_xlfn.IFS(C1401="","",COUNTIF(C1401,"ตำแหน่งว่าง*"),"ว่าง",COUNTIF(C1401,"&lt;&gt;ตำแหน่งว่าง*"),"คนครอง")</f>
        <v>ว่าง</v>
      </c>
      <c r="W1401" s="6" cm="1">
        <f t="array" ref="W1401">_xlfn.IFS(COUNTIF(F1401,"ผบ.หมู่*"),51,COUNTIF(F1401,"รอง สว.*"),43)</f>
        <v>51</v>
      </c>
      <c r="X1401" s="6" t="s">
        <v>4009</v>
      </c>
      <c r="Y1401" s="6" t="s">
        <v>27</v>
      </c>
    </row>
    <row r="1402" spans="1:25" s="10" customFormat="1" ht="21.3" customHeight="1">
      <c r="A1402" s="27"/>
      <c r="B1402" s="28"/>
      <c r="C1402" s="30" t="s">
        <v>18</v>
      </c>
      <c r="D1402" s="27"/>
      <c r="E1402" s="27"/>
      <c r="F1402" s="68" t="s">
        <v>3994</v>
      </c>
      <c r="G1402" s="121" t="s">
        <v>4012</v>
      </c>
      <c r="H1402" s="91" t="s">
        <v>19</v>
      </c>
      <c r="I1402" s="73" t="s">
        <v>19</v>
      </c>
      <c r="J1402" s="73" t="s">
        <v>19</v>
      </c>
      <c r="K1402" s="73" t="s">
        <v>19</v>
      </c>
      <c r="L1402" s="11"/>
      <c r="M1402" s="1"/>
      <c r="N1402" s="113" t="s">
        <v>14</v>
      </c>
      <c r="O1402" s="122" t="s">
        <v>27</v>
      </c>
      <c r="P1402" s="122"/>
      <c r="Q1402" s="105"/>
      <c r="R1402" s="28"/>
      <c r="S1402" s="225" t="str">
        <f t="shared" si="21"/>
        <v/>
      </c>
      <c r="T1402" s="7" t="s">
        <v>7698</v>
      </c>
      <c r="U1402" s="7" t="s">
        <v>128</v>
      </c>
      <c r="V1402" s="171" t="str" cm="1">
        <f t="array" ref="V1402">_xlfn.IFS(C1402="","",COUNTIF(C1402,"ตำแหน่งว่าง*"),"ว่าง",COUNTIF(C1402,"&lt;&gt;ตำแหน่งว่าง*"),"คนครอง")</f>
        <v>ว่าง</v>
      </c>
      <c r="W1402" s="6" cm="1">
        <f t="array" ref="W1402">_xlfn.IFS(COUNTIF(F1402,"ผบ.หมู่*"),51,COUNTIF(F1402,"รอง สว.*"),43)</f>
        <v>51</v>
      </c>
      <c r="X1402" s="6" t="s">
        <v>4011</v>
      </c>
      <c r="Y1402" s="6" t="s">
        <v>27</v>
      </c>
    </row>
    <row r="1403" spans="1:25" s="10" customFormat="1" ht="21.3" customHeight="1">
      <c r="A1403" s="27"/>
      <c r="B1403" s="28"/>
      <c r="C1403" s="30" t="s">
        <v>18</v>
      </c>
      <c r="D1403" s="27"/>
      <c r="E1403" s="27"/>
      <c r="F1403" s="68" t="s">
        <v>3994</v>
      </c>
      <c r="G1403" s="121" t="s">
        <v>4014</v>
      </c>
      <c r="H1403" s="91" t="s">
        <v>19</v>
      </c>
      <c r="I1403" s="73" t="s">
        <v>19</v>
      </c>
      <c r="J1403" s="73" t="s">
        <v>19</v>
      </c>
      <c r="K1403" s="73" t="s">
        <v>19</v>
      </c>
      <c r="L1403" s="11"/>
      <c r="M1403" s="1"/>
      <c r="N1403" s="113" t="s">
        <v>14</v>
      </c>
      <c r="O1403" s="122" t="s">
        <v>27</v>
      </c>
      <c r="P1403" s="122"/>
      <c r="Q1403" s="105"/>
      <c r="R1403" s="34"/>
      <c r="S1403" s="225" t="str">
        <f t="shared" si="21"/>
        <v/>
      </c>
      <c r="T1403" s="7" t="s">
        <v>7698</v>
      </c>
      <c r="U1403" s="7" t="s">
        <v>128</v>
      </c>
      <c r="V1403" s="171" t="str" cm="1">
        <f t="array" ref="V1403">_xlfn.IFS(C1403="","",COUNTIF(C1403,"ตำแหน่งว่าง*"),"ว่าง",COUNTIF(C1403,"&lt;&gt;ตำแหน่งว่าง*"),"คนครอง")</f>
        <v>ว่าง</v>
      </c>
      <c r="W1403" s="6" cm="1">
        <f t="array" ref="W1403">_xlfn.IFS(COUNTIF(F1403,"ผบ.หมู่*"),51,COUNTIF(F1403,"รอง สว.*"),43)</f>
        <v>51</v>
      </c>
      <c r="X1403" s="6" t="s">
        <v>4013</v>
      </c>
      <c r="Y1403" s="6" t="s">
        <v>27</v>
      </c>
    </row>
    <row r="1404" spans="1:25" s="9" customFormat="1" ht="21.3" customHeight="1">
      <c r="A1404" s="95"/>
      <c r="B1404" s="28"/>
      <c r="C1404" s="30" t="s">
        <v>18</v>
      </c>
      <c r="D1404" s="27"/>
      <c r="E1404" s="27"/>
      <c r="F1404" s="68" t="s">
        <v>3994</v>
      </c>
      <c r="G1404" s="121" t="s">
        <v>4051</v>
      </c>
      <c r="H1404" s="93"/>
      <c r="I1404" s="74"/>
      <c r="J1404" s="90"/>
      <c r="K1404" s="74"/>
      <c r="L1404" s="16"/>
      <c r="M1404" s="6"/>
      <c r="N1404" s="113" t="s">
        <v>14</v>
      </c>
      <c r="O1404" s="122" t="s">
        <v>43</v>
      </c>
      <c r="P1404" s="122"/>
      <c r="Q1404" s="106"/>
      <c r="R1404" s="30"/>
      <c r="S1404" s="225" t="str">
        <f t="shared" si="21"/>
        <v/>
      </c>
      <c r="T1404" s="2" t="s">
        <v>7698</v>
      </c>
      <c r="U1404" s="7" t="s">
        <v>128</v>
      </c>
      <c r="V1404" s="171" t="str" cm="1">
        <f t="array" ref="V1404">_xlfn.IFS(C1404="","",COUNTIF(C1404,"ตำแหน่งว่าง*"),"ว่าง",COUNTIF(C1404,"&lt;&gt;ตำแหน่งว่าง*"),"คนครอง")</f>
        <v>ว่าง</v>
      </c>
      <c r="W1404" s="6" cm="1">
        <f t="array" ref="W1404">_xlfn.IFS(COUNTIF(F1404,"ผบ.หมู่*"),51,COUNTIF(F1404,"รอง สว.*"),43)</f>
        <v>51</v>
      </c>
      <c r="X1404" s="6" t="s">
        <v>4050</v>
      </c>
      <c r="Y1404" s="6" t="s">
        <v>48</v>
      </c>
    </row>
    <row r="1405" spans="1:25" s="9" customFormat="1" ht="21.3" customHeight="1">
      <c r="A1405" s="27" t="s">
        <v>157</v>
      </c>
      <c r="B1405" s="28" t="s">
        <v>21</v>
      </c>
      <c r="C1405" s="27" t="s">
        <v>4015</v>
      </c>
      <c r="D1405" s="27" t="s">
        <v>9447</v>
      </c>
      <c r="E1405" s="27" t="s">
        <v>9448</v>
      </c>
      <c r="F1405" s="27" t="s">
        <v>3994</v>
      </c>
      <c r="G1405" s="101" t="s">
        <v>4017</v>
      </c>
      <c r="H1405" s="91">
        <v>43235</v>
      </c>
      <c r="I1405" s="73">
        <v>39717</v>
      </c>
      <c r="J1405" s="73">
        <v>39717</v>
      </c>
      <c r="K1405" s="73">
        <v>29307</v>
      </c>
      <c r="L1405" s="11" t="s">
        <v>68</v>
      </c>
      <c r="M1405" s="1" t="s">
        <v>36</v>
      </c>
      <c r="N1405" s="112" t="s">
        <v>14</v>
      </c>
      <c r="O1405" s="104" t="s">
        <v>52</v>
      </c>
      <c r="P1405" s="104" t="s">
        <v>52</v>
      </c>
      <c r="Q1405" s="105"/>
      <c r="R1405" s="28" t="s">
        <v>4018</v>
      </c>
      <c r="S1405" s="225">
        <f t="shared" si="21"/>
        <v>51410</v>
      </c>
      <c r="T1405" s="2" t="s">
        <v>7698</v>
      </c>
      <c r="U1405" s="7" t="s">
        <v>128</v>
      </c>
      <c r="V1405" s="162" t="str" cm="1">
        <f t="array" ref="V1405">_xlfn.IFS(C1405="","",COUNTIF(C1405,"ตำแหน่งว่าง*"),"ว่าง",COUNTIF(C1405,"&lt;&gt;ตำแหน่งว่าง*"),"คนครอง")</f>
        <v>คนครอง</v>
      </c>
      <c r="W1405" s="6" cm="1">
        <f t="array" ref="W1405">_xlfn.IFS(COUNTIF(F1405,"ผบ.หมู่*"),51,COUNTIF(F1405,"รอง สว.*"),43)</f>
        <v>51</v>
      </c>
      <c r="X1405" s="1" t="s">
        <v>4016</v>
      </c>
      <c r="Y1405" s="1" t="s">
        <v>52</v>
      </c>
    </row>
    <row r="1406" spans="1:25" s="9" customFormat="1" ht="21.3" customHeight="1">
      <c r="A1406" s="27" t="s">
        <v>157</v>
      </c>
      <c r="B1406" s="28" t="s">
        <v>21</v>
      </c>
      <c r="C1406" s="27" t="s">
        <v>4019</v>
      </c>
      <c r="D1406" s="27" t="s">
        <v>9449</v>
      </c>
      <c r="E1406" s="27" t="s">
        <v>9450</v>
      </c>
      <c r="F1406" s="27" t="s">
        <v>3994</v>
      </c>
      <c r="G1406" s="101" t="s">
        <v>4021</v>
      </c>
      <c r="H1406" s="91">
        <v>44243</v>
      </c>
      <c r="I1406" s="73">
        <v>40339</v>
      </c>
      <c r="J1406" s="73">
        <v>40339</v>
      </c>
      <c r="K1406" s="73">
        <v>30776</v>
      </c>
      <c r="L1406" s="11" t="s">
        <v>4022</v>
      </c>
      <c r="M1406" s="1" t="s">
        <v>36</v>
      </c>
      <c r="N1406" s="112" t="s">
        <v>14</v>
      </c>
      <c r="O1406" s="104" t="s">
        <v>52</v>
      </c>
      <c r="P1406" s="104" t="s">
        <v>52</v>
      </c>
      <c r="Q1406" s="105"/>
      <c r="R1406" s="28" t="s">
        <v>617</v>
      </c>
      <c r="S1406" s="225">
        <f t="shared" si="21"/>
        <v>52871</v>
      </c>
      <c r="T1406" s="2" t="s">
        <v>7698</v>
      </c>
      <c r="U1406" s="7" t="s">
        <v>128</v>
      </c>
      <c r="V1406" s="162" t="str" cm="1">
        <f t="array" ref="V1406">_xlfn.IFS(C1406="","",COUNTIF(C1406,"ตำแหน่งว่าง*"),"ว่าง",COUNTIF(C1406,"&lt;&gt;ตำแหน่งว่าง*"),"คนครอง")</f>
        <v>คนครอง</v>
      </c>
      <c r="W1406" s="6" cm="1">
        <f t="array" ref="W1406">_xlfn.IFS(COUNTIF(F1406,"ผบ.หมู่*"),51,COUNTIF(F1406,"รอง สว.*"),43)</f>
        <v>51</v>
      </c>
      <c r="X1406" s="1" t="s">
        <v>4020</v>
      </c>
      <c r="Y1406" s="1" t="s">
        <v>52</v>
      </c>
    </row>
    <row r="1407" spans="1:25" s="9" customFormat="1" ht="21.3" customHeight="1">
      <c r="A1407" s="27" t="s">
        <v>60</v>
      </c>
      <c r="B1407" s="28" t="s">
        <v>21</v>
      </c>
      <c r="C1407" s="27" t="s">
        <v>4023</v>
      </c>
      <c r="D1407" s="27" t="s">
        <v>7990</v>
      </c>
      <c r="E1407" s="27" t="s">
        <v>9451</v>
      </c>
      <c r="F1407" s="27" t="s">
        <v>4030</v>
      </c>
      <c r="G1407" s="101" t="s">
        <v>4025</v>
      </c>
      <c r="H1407" s="91">
        <v>42501</v>
      </c>
      <c r="I1407" s="73">
        <v>34352</v>
      </c>
      <c r="J1407" s="73">
        <v>34352</v>
      </c>
      <c r="K1407" s="73">
        <v>26548</v>
      </c>
      <c r="L1407" s="11" t="s">
        <v>4026</v>
      </c>
      <c r="M1407" s="1" t="s">
        <v>36</v>
      </c>
      <c r="N1407" s="112" t="s">
        <v>14</v>
      </c>
      <c r="O1407" s="104" t="s">
        <v>52</v>
      </c>
      <c r="P1407" s="104" t="s">
        <v>52</v>
      </c>
      <c r="Q1407" s="105"/>
      <c r="R1407" s="28" t="s">
        <v>110</v>
      </c>
      <c r="S1407" s="225">
        <f t="shared" si="21"/>
        <v>48488</v>
      </c>
      <c r="T1407" s="2" t="s">
        <v>7698</v>
      </c>
      <c r="U1407" s="7" t="s">
        <v>128</v>
      </c>
      <c r="V1407" s="162" t="str" cm="1">
        <f t="array" ref="V1407">_xlfn.IFS(C1407="","",COUNTIF(C1407,"ตำแหน่งว่าง*"),"ว่าง",COUNTIF(C1407,"&lt;&gt;ตำแหน่งว่าง*"),"คนครอง")</f>
        <v>คนครอง</v>
      </c>
      <c r="W1407" s="6" cm="1">
        <f t="array" ref="W1407">_xlfn.IFS(COUNTIF(F1407,"ผบ.หมู่*"),51,COUNTIF(F1407,"รอง สว.*"),43)</f>
        <v>43</v>
      </c>
      <c r="X1407" s="1" t="s">
        <v>4024</v>
      </c>
      <c r="Y1407" s="1" t="s">
        <v>52</v>
      </c>
    </row>
    <row r="1408" spans="1:25" s="9" customFormat="1" ht="21.3" customHeight="1">
      <c r="A1408" s="27" t="s">
        <v>60</v>
      </c>
      <c r="B1408" s="28" t="s">
        <v>21</v>
      </c>
      <c r="C1408" s="27" t="s">
        <v>4196</v>
      </c>
      <c r="D1408" s="27" t="s">
        <v>8120</v>
      </c>
      <c r="E1408" s="27" t="s">
        <v>9452</v>
      </c>
      <c r="F1408" s="27" t="s">
        <v>4030</v>
      </c>
      <c r="G1408" s="101" t="s">
        <v>4028</v>
      </c>
      <c r="H1408" s="91">
        <v>45322</v>
      </c>
      <c r="I1408" s="73">
        <v>34352</v>
      </c>
      <c r="J1408" s="73">
        <v>34352</v>
      </c>
      <c r="K1408" s="73">
        <v>26514</v>
      </c>
      <c r="L1408" s="11" t="s">
        <v>4042</v>
      </c>
      <c r="M1408" s="1" t="s">
        <v>36</v>
      </c>
      <c r="N1408" s="112" t="s">
        <v>14</v>
      </c>
      <c r="O1408" s="104" t="s">
        <v>52</v>
      </c>
      <c r="P1408" s="104" t="s">
        <v>52</v>
      </c>
      <c r="Q1408" s="105"/>
      <c r="R1408" s="30" t="s">
        <v>7780</v>
      </c>
      <c r="S1408" s="225">
        <f t="shared" si="21"/>
        <v>48488</v>
      </c>
      <c r="T1408" s="2" t="s">
        <v>7698</v>
      </c>
      <c r="U1408" s="7" t="s">
        <v>128</v>
      </c>
      <c r="V1408" s="162" t="str" cm="1">
        <f t="array" ref="V1408">_xlfn.IFS(C1408="","",COUNTIF(C1408,"ตำแหน่งว่าง*"),"ว่าง",COUNTIF(C1408,"&lt;&gt;ตำแหน่งว่าง*"),"คนครอง")</f>
        <v>คนครอง</v>
      </c>
      <c r="W1408" s="6" cm="1">
        <f t="array" ref="W1408">_xlfn.IFS(COUNTIF(F1408,"ผบ.หมู่*"),51,COUNTIF(F1408,"รอง สว.*"),43)</f>
        <v>43</v>
      </c>
      <c r="X1408" s="1" t="s">
        <v>4027</v>
      </c>
      <c r="Y1408" s="1" t="s">
        <v>52</v>
      </c>
    </row>
    <row r="1409" spans="1:25" s="12" customFormat="1" ht="21.3" customHeight="1">
      <c r="A1409" s="95" t="s">
        <v>44</v>
      </c>
      <c r="B1409" s="31" t="s">
        <v>21</v>
      </c>
      <c r="C1409" s="95" t="s">
        <v>4029</v>
      </c>
      <c r="D1409" s="27" t="s">
        <v>9453</v>
      </c>
      <c r="E1409" s="27" t="s">
        <v>9454</v>
      </c>
      <c r="F1409" s="95" t="s">
        <v>4030</v>
      </c>
      <c r="G1409" s="101" t="s">
        <v>4032</v>
      </c>
      <c r="H1409" s="88">
        <v>44651</v>
      </c>
      <c r="I1409" s="76">
        <v>44651</v>
      </c>
      <c r="J1409" s="76">
        <v>35095</v>
      </c>
      <c r="K1409" s="76">
        <v>25250</v>
      </c>
      <c r="L1409" s="17" t="s">
        <v>4033</v>
      </c>
      <c r="M1409" s="5" t="s">
        <v>36</v>
      </c>
      <c r="N1409" s="111" t="s">
        <v>14</v>
      </c>
      <c r="O1409" s="104" t="s">
        <v>52</v>
      </c>
      <c r="P1409" s="104" t="s">
        <v>52</v>
      </c>
      <c r="Q1409" s="108"/>
      <c r="R1409" s="31" t="s">
        <v>2856</v>
      </c>
      <c r="S1409" s="225">
        <f t="shared" si="21"/>
        <v>47392</v>
      </c>
      <c r="T1409" s="162" t="s">
        <v>7698</v>
      </c>
      <c r="U1409" s="7" t="s">
        <v>128</v>
      </c>
      <c r="V1409" s="162" t="str" cm="1">
        <f t="array" ref="V1409">_xlfn.IFS(C1409="","",COUNTIF(C1409,"ตำแหน่งว่าง*"),"ว่าง",COUNTIF(C1409,"&lt;&gt;ตำแหน่งว่าง*"),"คนครอง")</f>
        <v>คนครอง</v>
      </c>
      <c r="W1409" s="5" cm="1">
        <f t="array" ref="W1409">_xlfn.IFS(COUNTIF(F1409,"ผบ.หมู่*"),51,COUNTIF(F1409,"รอง สว.*"),43)</f>
        <v>43</v>
      </c>
      <c r="X1409" s="5" t="s">
        <v>4031</v>
      </c>
      <c r="Y1409" s="5" t="s">
        <v>52</v>
      </c>
    </row>
    <row r="1410" spans="1:25" s="9" customFormat="1" ht="21.3" customHeight="1">
      <c r="A1410" s="132" t="s">
        <v>10753</v>
      </c>
      <c r="B1410" s="28" t="s">
        <v>21</v>
      </c>
      <c r="C1410" s="27" t="s">
        <v>4034</v>
      </c>
      <c r="D1410" s="27" t="s">
        <v>8298</v>
      </c>
      <c r="E1410" s="27" t="s">
        <v>9224</v>
      </c>
      <c r="F1410" s="27" t="s">
        <v>4030</v>
      </c>
      <c r="G1410" s="101" t="s">
        <v>4036</v>
      </c>
      <c r="H1410" s="91">
        <v>45382</v>
      </c>
      <c r="I1410" s="73">
        <v>45382</v>
      </c>
      <c r="J1410" s="73">
        <v>34729</v>
      </c>
      <c r="K1410" s="73">
        <v>26074</v>
      </c>
      <c r="L1410" s="11" t="s">
        <v>7809</v>
      </c>
      <c r="M1410" s="1" t="s">
        <v>36</v>
      </c>
      <c r="N1410" s="112" t="s">
        <v>14</v>
      </c>
      <c r="O1410" s="104" t="s">
        <v>52</v>
      </c>
      <c r="P1410" s="104" t="s">
        <v>52</v>
      </c>
      <c r="Q1410" s="105"/>
      <c r="R1410" s="33" t="s">
        <v>110</v>
      </c>
      <c r="S1410" s="225">
        <f t="shared" ref="S1410:S1473" si="22">IF(K1410&lt;&gt;"",DATE(YEAR(K1410)+60+(K1410&gt;=DATE(YEAR(K1410),10,2)),10,1),"")</f>
        <v>48122</v>
      </c>
      <c r="T1410" s="2" t="s">
        <v>7698</v>
      </c>
      <c r="U1410" s="7" t="s">
        <v>128</v>
      </c>
      <c r="V1410" s="162" t="str" cm="1">
        <f t="array" ref="V1410">_xlfn.IFS(C1410="","",COUNTIF(C1410,"ตำแหน่งว่าง*"),"ว่าง",COUNTIF(C1410,"&lt;&gt;ตำแหน่งว่าง*"),"คนครอง")</f>
        <v>คนครอง</v>
      </c>
      <c r="W1410" s="6" cm="1">
        <f t="array" ref="W1410">_xlfn.IFS(COUNTIF(F1410,"ผบ.หมู่*"),51,COUNTIF(F1410,"รอง สว.*"),43)</f>
        <v>43</v>
      </c>
      <c r="X1410" s="1" t="s">
        <v>4035</v>
      </c>
      <c r="Y1410" s="1" t="s">
        <v>52</v>
      </c>
    </row>
    <row r="1411" spans="1:25" s="9" customFormat="1" ht="21.3" customHeight="1">
      <c r="A1411" s="27" t="s">
        <v>157</v>
      </c>
      <c r="B1411" s="28" t="s">
        <v>21</v>
      </c>
      <c r="C1411" s="27" t="s">
        <v>4079</v>
      </c>
      <c r="D1411" s="27" t="s">
        <v>9470</v>
      </c>
      <c r="E1411" s="27" t="s">
        <v>9471</v>
      </c>
      <c r="F1411" s="27" t="s">
        <v>3994</v>
      </c>
      <c r="G1411" s="101" t="s">
        <v>4038</v>
      </c>
      <c r="H1411" s="75">
        <v>45768</v>
      </c>
      <c r="I1411" s="73">
        <v>35095</v>
      </c>
      <c r="J1411" s="73">
        <v>35095</v>
      </c>
      <c r="K1411" s="73">
        <v>27369</v>
      </c>
      <c r="L1411" s="11" t="s">
        <v>162</v>
      </c>
      <c r="M1411" s="1" t="s">
        <v>36</v>
      </c>
      <c r="N1411" s="112" t="s">
        <v>14</v>
      </c>
      <c r="O1411" s="104" t="s">
        <v>52</v>
      </c>
      <c r="P1411" s="104" t="s">
        <v>52</v>
      </c>
      <c r="Q1411" s="105"/>
      <c r="R1411" s="28" t="s">
        <v>10711</v>
      </c>
      <c r="S1411" s="174">
        <f t="shared" si="22"/>
        <v>49583</v>
      </c>
      <c r="T1411" s="2" t="s">
        <v>7698</v>
      </c>
      <c r="U1411" s="2" t="s">
        <v>128</v>
      </c>
      <c r="V1411" s="203" t="str" cm="1">
        <f t="array" ref="V1411">_xlfn.IFS(C1411="","",COUNTIF(C1411,"ตำแหน่งว่าง*"),"ว่าง",COUNTIF(C1411,"&lt;&gt;ตำแหน่งว่าง*"),"คนครอง")</f>
        <v>คนครอง</v>
      </c>
      <c r="W1411" s="1" cm="1">
        <f t="array" ref="W1411">_xlfn.IFS(COUNTIF(F1411,"ผบ.หมู่*"),51,COUNTIF(F1411,"รอง สว.*"),43)</f>
        <v>51</v>
      </c>
      <c r="X1411" s="1" t="s">
        <v>4037</v>
      </c>
      <c r="Y1411" s="1" t="s">
        <v>52</v>
      </c>
    </row>
    <row r="1412" spans="1:25" s="9" customFormat="1" ht="21.3" customHeight="1">
      <c r="A1412" s="27" t="s">
        <v>157</v>
      </c>
      <c r="B1412" s="28" t="s">
        <v>21</v>
      </c>
      <c r="C1412" s="27" t="s">
        <v>4039</v>
      </c>
      <c r="D1412" s="27" t="s">
        <v>9455</v>
      </c>
      <c r="E1412" s="27" t="s">
        <v>9456</v>
      </c>
      <c r="F1412" s="27" t="s">
        <v>3994</v>
      </c>
      <c r="G1412" s="101" t="s">
        <v>4041</v>
      </c>
      <c r="H1412" s="75">
        <v>42501</v>
      </c>
      <c r="I1412" s="73">
        <v>34729</v>
      </c>
      <c r="J1412" s="73">
        <v>34729</v>
      </c>
      <c r="K1412" s="73">
        <v>27310</v>
      </c>
      <c r="L1412" s="11" t="s">
        <v>4042</v>
      </c>
      <c r="M1412" s="1" t="s">
        <v>36</v>
      </c>
      <c r="N1412" s="112" t="s">
        <v>14</v>
      </c>
      <c r="O1412" s="104" t="s">
        <v>52</v>
      </c>
      <c r="P1412" s="104" t="s">
        <v>52</v>
      </c>
      <c r="Q1412" s="105"/>
      <c r="R1412" s="28" t="s">
        <v>110</v>
      </c>
      <c r="S1412" s="225">
        <f t="shared" si="22"/>
        <v>49583</v>
      </c>
      <c r="T1412" s="2" t="s">
        <v>7698</v>
      </c>
      <c r="U1412" s="7" t="s">
        <v>128</v>
      </c>
      <c r="V1412" s="162" t="str" cm="1">
        <f t="array" ref="V1412">_xlfn.IFS(C1412="","",COUNTIF(C1412,"ตำแหน่งว่าง*"),"ว่าง",COUNTIF(C1412,"&lt;&gt;ตำแหน่งว่าง*"),"คนครอง")</f>
        <v>คนครอง</v>
      </c>
      <c r="W1412" s="6" cm="1">
        <f t="array" ref="W1412">_xlfn.IFS(COUNTIF(F1412,"ผบ.หมู่*"),51,COUNTIF(F1412,"รอง สว.*"),43)</f>
        <v>51</v>
      </c>
      <c r="X1412" s="1" t="s">
        <v>4040</v>
      </c>
      <c r="Y1412" s="1" t="s">
        <v>52</v>
      </c>
    </row>
    <row r="1413" spans="1:25" s="9" customFormat="1" ht="21.3" customHeight="1">
      <c r="A1413" s="27" t="s">
        <v>30</v>
      </c>
      <c r="B1413" s="28" t="s">
        <v>12</v>
      </c>
      <c r="C1413" s="27" t="s">
        <v>4043</v>
      </c>
      <c r="D1413" s="27" t="s">
        <v>9457</v>
      </c>
      <c r="E1413" s="27" t="s">
        <v>9458</v>
      </c>
      <c r="F1413" s="27" t="s">
        <v>4030</v>
      </c>
      <c r="G1413" s="101" t="s">
        <v>4045</v>
      </c>
      <c r="H1413" s="75">
        <v>43555</v>
      </c>
      <c r="I1413" s="73">
        <v>43555</v>
      </c>
      <c r="J1413" s="73">
        <v>43555</v>
      </c>
      <c r="K1413" s="73">
        <v>24101</v>
      </c>
      <c r="L1413" s="11" t="s">
        <v>4046</v>
      </c>
      <c r="M1413" s="1" t="s">
        <v>36</v>
      </c>
      <c r="N1413" s="112" t="s">
        <v>14</v>
      </c>
      <c r="O1413" s="104" t="s">
        <v>52</v>
      </c>
      <c r="P1413" s="104" t="s">
        <v>52</v>
      </c>
      <c r="Q1413" s="105"/>
      <c r="R1413" s="28" t="s">
        <v>2892</v>
      </c>
      <c r="S1413" s="225">
        <f t="shared" si="22"/>
        <v>46296</v>
      </c>
      <c r="T1413" s="2" t="s">
        <v>7698</v>
      </c>
      <c r="U1413" s="7" t="s">
        <v>128</v>
      </c>
      <c r="V1413" s="162" t="str" cm="1">
        <f t="array" ref="V1413">_xlfn.IFS(C1413="","",COUNTIF(C1413,"ตำแหน่งว่าง*"),"ว่าง",COUNTIF(C1413,"&lt;&gt;ตำแหน่งว่าง*"),"คนครอง")</f>
        <v>คนครอง</v>
      </c>
      <c r="W1413" s="5" cm="1">
        <f t="array" ref="W1413">_xlfn.IFS(COUNTIF(F1413,"ผบ.หมู่*"),51,COUNTIF(F1413,"รอง สว.*"),43)</f>
        <v>43</v>
      </c>
      <c r="X1413" s="1" t="s">
        <v>4044</v>
      </c>
      <c r="Y1413" s="1" t="s">
        <v>52</v>
      </c>
    </row>
    <row r="1414" spans="1:25" s="12" customFormat="1" ht="21.3" customHeight="1">
      <c r="A1414" s="27" t="s">
        <v>44</v>
      </c>
      <c r="B1414" s="31" t="s">
        <v>21</v>
      </c>
      <c r="C1414" s="95" t="s">
        <v>4047</v>
      </c>
      <c r="D1414" s="27" t="s">
        <v>9459</v>
      </c>
      <c r="E1414" s="27" t="s">
        <v>9460</v>
      </c>
      <c r="F1414" s="95" t="s">
        <v>4030</v>
      </c>
      <c r="G1414" s="101" t="s">
        <v>4049</v>
      </c>
      <c r="H1414" s="88">
        <v>44651</v>
      </c>
      <c r="I1414" s="76">
        <v>44651</v>
      </c>
      <c r="J1414" s="76">
        <v>35095</v>
      </c>
      <c r="K1414" s="76">
        <v>25148</v>
      </c>
      <c r="L1414" s="17" t="s">
        <v>133</v>
      </c>
      <c r="M1414" s="5" t="s">
        <v>36</v>
      </c>
      <c r="N1414" s="111" t="s">
        <v>14</v>
      </c>
      <c r="O1414" s="104" t="s">
        <v>52</v>
      </c>
      <c r="P1414" s="104" t="s">
        <v>52</v>
      </c>
      <c r="Q1414" s="108"/>
      <c r="R1414" s="31" t="s">
        <v>2856</v>
      </c>
      <c r="S1414" s="225">
        <f t="shared" si="22"/>
        <v>47392</v>
      </c>
      <c r="T1414" s="162" t="s">
        <v>7698</v>
      </c>
      <c r="U1414" s="7" t="s">
        <v>128</v>
      </c>
      <c r="V1414" s="162" t="str" cm="1">
        <f t="array" ref="V1414">_xlfn.IFS(C1414="","",COUNTIF(C1414,"ตำแหน่งว่าง*"),"ว่าง",COUNTIF(C1414,"&lt;&gt;ตำแหน่งว่าง*"),"คนครอง")</f>
        <v>คนครอง</v>
      </c>
      <c r="W1414" s="5" cm="1">
        <f t="array" ref="W1414">_xlfn.IFS(COUNTIF(F1414,"ผบ.หมู่*"),51,COUNTIF(F1414,"รอง สว.*"),43)</f>
        <v>43</v>
      </c>
      <c r="X1414" s="5" t="s">
        <v>4048</v>
      </c>
      <c r="Y1414" s="5" t="s">
        <v>52</v>
      </c>
    </row>
    <row r="1415" spans="1:25" s="9" customFormat="1" ht="21.3" customHeight="1">
      <c r="A1415" s="27" t="s">
        <v>157</v>
      </c>
      <c r="B1415" s="28" t="s">
        <v>12</v>
      </c>
      <c r="C1415" s="27" t="s">
        <v>4053</v>
      </c>
      <c r="D1415" s="27" t="s">
        <v>9461</v>
      </c>
      <c r="E1415" s="27" t="s">
        <v>9462</v>
      </c>
      <c r="F1415" s="27" t="s">
        <v>4054</v>
      </c>
      <c r="G1415" s="101" t="s">
        <v>4056</v>
      </c>
      <c r="H1415" s="91">
        <v>42940</v>
      </c>
      <c r="I1415" s="73">
        <v>37316</v>
      </c>
      <c r="J1415" s="73">
        <v>37316</v>
      </c>
      <c r="K1415" s="73">
        <v>28025</v>
      </c>
      <c r="L1415" s="11" t="s">
        <v>4057</v>
      </c>
      <c r="M1415" s="1" t="s">
        <v>36</v>
      </c>
      <c r="N1415" s="112" t="s">
        <v>14</v>
      </c>
      <c r="O1415" s="104" t="s">
        <v>52</v>
      </c>
      <c r="P1415" s="104" t="s">
        <v>52</v>
      </c>
      <c r="Q1415" s="105"/>
      <c r="R1415" s="28" t="s">
        <v>4058</v>
      </c>
      <c r="S1415" s="225">
        <f t="shared" si="22"/>
        <v>49949</v>
      </c>
      <c r="T1415" s="2" t="s">
        <v>7690</v>
      </c>
      <c r="U1415" s="7" t="s">
        <v>128</v>
      </c>
      <c r="V1415" s="162" t="str" cm="1">
        <f t="array" ref="V1415">_xlfn.IFS(C1415="","",COUNTIF(C1415,"ตำแหน่งว่าง*"),"ว่าง",COUNTIF(C1415,"&lt;&gt;ตำแหน่งว่าง*"),"คนครอง")</f>
        <v>คนครอง</v>
      </c>
      <c r="W1415" s="6" cm="1">
        <f t="array" ref="W1415">_xlfn.IFS(COUNTIF(F1415,"ผบ.หมู่*"),51,COUNTIF(F1415,"รอง สว.*"),43)</f>
        <v>51</v>
      </c>
      <c r="X1415" s="1" t="s">
        <v>4055</v>
      </c>
      <c r="Y1415" s="1" t="s">
        <v>52</v>
      </c>
    </row>
    <row r="1416" spans="1:25" s="9" customFormat="1" ht="21.3" customHeight="1">
      <c r="A1416" s="27"/>
      <c r="B1416" s="28"/>
      <c r="C1416" s="27" t="s">
        <v>18</v>
      </c>
      <c r="D1416" s="27"/>
      <c r="E1416" s="27"/>
      <c r="F1416" s="27" t="s">
        <v>4054</v>
      </c>
      <c r="G1416" s="101" t="s">
        <v>4061</v>
      </c>
      <c r="H1416" s="75"/>
      <c r="I1416" s="73"/>
      <c r="J1416" s="73"/>
      <c r="K1416" s="73"/>
      <c r="L1416" s="11"/>
      <c r="M1416" s="1"/>
      <c r="N1416" s="112" t="s">
        <v>14</v>
      </c>
      <c r="O1416" s="104" t="s">
        <v>52</v>
      </c>
      <c r="P1416" s="104" t="s">
        <v>52</v>
      </c>
      <c r="Q1416" s="105"/>
      <c r="R1416" s="28"/>
      <c r="S1416" s="174" t="str">
        <f t="shared" si="22"/>
        <v/>
      </c>
      <c r="T1416" s="2" t="s">
        <v>7690</v>
      </c>
      <c r="U1416" s="2" t="s">
        <v>128</v>
      </c>
      <c r="V1416" s="2" t="str" cm="1">
        <f t="array" ref="V1416">_xlfn.IFS(C1416="","",COUNTIF(C1416,"ตำแหน่งว่าง*"),"ว่าง",COUNTIF(C1416,"&lt;&gt;ตำแหน่งว่าง*"),"คนครอง")</f>
        <v>ว่าง</v>
      </c>
      <c r="W1416" s="1" cm="1">
        <f t="array" ref="W1416">_xlfn.IFS(COUNTIF(F1416,"ผบ.หมู่*"),51,COUNTIF(F1416,"รอง สว.*"),43)</f>
        <v>51</v>
      </c>
      <c r="X1416" s="1" t="s">
        <v>4060</v>
      </c>
      <c r="Y1416" s="1" t="s">
        <v>52</v>
      </c>
    </row>
    <row r="1417" spans="1:25" s="9" customFormat="1" ht="21.3" customHeight="1">
      <c r="A1417" s="27" t="s">
        <v>612</v>
      </c>
      <c r="B1417" s="28" t="s">
        <v>21</v>
      </c>
      <c r="C1417" s="27" t="s">
        <v>4063</v>
      </c>
      <c r="D1417" s="27" t="s">
        <v>9463</v>
      </c>
      <c r="E1417" s="27" t="s">
        <v>9464</v>
      </c>
      <c r="F1417" s="27" t="s">
        <v>4054</v>
      </c>
      <c r="G1417" s="101" t="s">
        <v>4065</v>
      </c>
      <c r="H1417" s="91">
        <v>43656</v>
      </c>
      <c r="I1417" s="73">
        <v>41944</v>
      </c>
      <c r="J1417" s="73">
        <v>41944</v>
      </c>
      <c r="K1417" s="73">
        <v>29455</v>
      </c>
      <c r="L1417" s="11" t="s">
        <v>4066</v>
      </c>
      <c r="M1417" s="1" t="s">
        <v>36</v>
      </c>
      <c r="N1417" s="112" t="s">
        <v>14</v>
      </c>
      <c r="O1417" s="104" t="s">
        <v>52</v>
      </c>
      <c r="P1417" s="104" t="s">
        <v>52</v>
      </c>
      <c r="Q1417" s="105"/>
      <c r="R1417" s="28" t="s">
        <v>713</v>
      </c>
      <c r="S1417" s="225">
        <f t="shared" si="22"/>
        <v>51410</v>
      </c>
      <c r="T1417" s="2" t="s">
        <v>7690</v>
      </c>
      <c r="U1417" s="7" t="s">
        <v>128</v>
      </c>
      <c r="V1417" s="162" t="str" cm="1">
        <f t="array" ref="V1417">_xlfn.IFS(C1417="","",COUNTIF(C1417,"ตำแหน่งว่าง*"),"ว่าง",COUNTIF(C1417,"&lt;&gt;ตำแหน่งว่าง*"),"คนครอง")</f>
        <v>คนครอง</v>
      </c>
      <c r="W1417" s="6" cm="1">
        <f t="array" ref="W1417">_xlfn.IFS(COUNTIF(F1417,"ผบ.หมู่*"),51,COUNTIF(F1417,"รอง สว.*"),43)</f>
        <v>51</v>
      </c>
      <c r="X1417" s="1" t="s">
        <v>4064</v>
      </c>
      <c r="Y1417" s="1" t="s">
        <v>52</v>
      </c>
    </row>
    <row r="1418" spans="1:25" s="9" customFormat="1" ht="21.3" customHeight="1">
      <c r="A1418" s="27" t="s">
        <v>612</v>
      </c>
      <c r="B1418" s="28" t="s">
        <v>12</v>
      </c>
      <c r="C1418" s="27" t="s">
        <v>4067</v>
      </c>
      <c r="D1418" s="27" t="s">
        <v>9465</v>
      </c>
      <c r="E1418" s="27" t="s">
        <v>9466</v>
      </c>
      <c r="F1418" s="27" t="s">
        <v>4054</v>
      </c>
      <c r="G1418" s="101" t="s">
        <v>4069</v>
      </c>
      <c r="H1418" s="91">
        <v>44599</v>
      </c>
      <c r="I1418" s="73">
        <v>42416</v>
      </c>
      <c r="J1418" s="73">
        <v>42416</v>
      </c>
      <c r="K1418" s="73">
        <v>32795</v>
      </c>
      <c r="L1418" s="11" t="s">
        <v>1980</v>
      </c>
      <c r="M1418" s="1" t="s">
        <v>36</v>
      </c>
      <c r="N1418" s="112" t="s">
        <v>14</v>
      </c>
      <c r="O1418" s="104" t="s">
        <v>52</v>
      </c>
      <c r="P1418" s="104" t="s">
        <v>52</v>
      </c>
      <c r="Q1418" s="105"/>
      <c r="R1418" s="28" t="s">
        <v>607</v>
      </c>
      <c r="S1418" s="225">
        <f t="shared" si="22"/>
        <v>55062</v>
      </c>
      <c r="T1418" s="2" t="s">
        <v>7690</v>
      </c>
      <c r="U1418" s="7" t="s">
        <v>128</v>
      </c>
      <c r="V1418" s="162" t="str" cm="1">
        <f t="array" ref="V1418">_xlfn.IFS(C1418="","",COUNTIF(C1418,"ตำแหน่งว่าง*"),"ว่าง",COUNTIF(C1418,"&lt;&gt;ตำแหน่งว่าง*"),"คนครอง")</f>
        <v>คนครอง</v>
      </c>
      <c r="W1418" s="6" cm="1">
        <f t="array" ref="W1418">_xlfn.IFS(COUNTIF(F1418,"ผบ.หมู่*"),51,COUNTIF(F1418,"รอง สว.*"),43)</f>
        <v>51</v>
      </c>
      <c r="X1418" s="1" t="s">
        <v>4068</v>
      </c>
      <c r="Y1418" s="1" t="s">
        <v>52</v>
      </c>
    </row>
    <row r="1419" spans="1:25" s="9" customFormat="1" ht="21.3" customHeight="1">
      <c r="A1419" s="27" t="s">
        <v>157</v>
      </c>
      <c r="B1419" s="28" t="s">
        <v>12</v>
      </c>
      <c r="C1419" s="27" t="s">
        <v>4070</v>
      </c>
      <c r="D1419" s="27" t="s">
        <v>7988</v>
      </c>
      <c r="E1419" s="27" t="s">
        <v>9467</v>
      </c>
      <c r="F1419" s="27" t="s">
        <v>4054</v>
      </c>
      <c r="G1419" s="101" t="s">
        <v>4072</v>
      </c>
      <c r="H1419" s="91">
        <v>44243</v>
      </c>
      <c r="I1419" s="73">
        <v>41023</v>
      </c>
      <c r="J1419" s="73">
        <v>41023</v>
      </c>
      <c r="K1419" s="73">
        <v>33499</v>
      </c>
      <c r="L1419" s="11" t="s">
        <v>4073</v>
      </c>
      <c r="M1419" s="1" t="s">
        <v>36</v>
      </c>
      <c r="N1419" s="112" t="s">
        <v>14</v>
      </c>
      <c r="O1419" s="104" t="s">
        <v>52</v>
      </c>
      <c r="P1419" s="104" t="s">
        <v>52</v>
      </c>
      <c r="Q1419" s="105"/>
      <c r="R1419" s="28" t="s">
        <v>617</v>
      </c>
      <c r="S1419" s="225">
        <f t="shared" si="22"/>
        <v>55427</v>
      </c>
      <c r="T1419" s="2" t="s">
        <v>7690</v>
      </c>
      <c r="U1419" s="7" t="s">
        <v>128</v>
      </c>
      <c r="V1419" s="162" t="str" cm="1">
        <f t="array" ref="V1419">_xlfn.IFS(C1419="","",COUNTIF(C1419,"ตำแหน่งว่าง*"),"ว่าง",COUNTIF(C1419,"&lt;&gt;ตำแหน่งว่าง*"),"คนครอง")</f>
        <v>คนครอง</v>
      </c>
      <c r="W1419" s="6" cm="1">
        <f t="array" ref="W1419">_xlfn.IFS(COUNTIF(F1419,"ผบ.หมู่*"),51,COUNTIF(F1419,"รอง สว.*"),43)</f>
        <v>51</v>
      </c>
      <c r="X1419" s="1" t="s">
        <v>4071</v>
      </c>
      <c r="Y1419" s="1" t="s">
        <v>52</v>
      </c>
    </row>
    <row r="1420" spans="1:25" s="9" customFormat="1" ht="21.3" customHeight="1">
      <c r="A1420" s="27" t="s">
        <v>26</v>
      </c>
      <c r="B1420" s="28" t="s">
        <v>12</v>
      </c>
      <c r="C1420" s="27" t="s">
        <v>4074</v>
      </c>
      <c r="D1420" s="27" t="s">
        <v>9468</v>
      </c>
      <c r="E1420" s="27" t="s">
        <v>9469</v>
      </c>
      <c r="F1420" s="27" t="s">
        <v>4075</v>
      </c>
      <c r="G1420" s="101" t="s">
        <v>4077</v>
      </c>
      <c r="H1420" s="91">
        <v>44286</v>
      </c>
      <c r="I1420" s="73">
        <v>44286</v>
      </c>
      <c r="J1420" s="73">
        <v>34352</v>
      </c>
      <c r="K1420" s="73">
        <v>24819</v>
      </c>
      <c r="L1420" s="11" t="s">
        <v>4078</v>
      </c>
      <c r="M1420" s="1" t="s">
        <v>36</v>
      </c>
      <c r="N1420" s="112" t="s">
        <v>14</v>
      </c>
      <c r="O1420" s="104" t="s">
        <v>52</v>
      </c>
      <c r="P1420" s="104" t="s">
        <v>52</v>
      </c>
      <c r="Q1420" s="105"/>
      <c r="R1420" s="28" t="s">
        <v>1313</v>
      </c>
      <c r="S1420" s="225">
        <f t="shared" si="22"/>
        <v>47027</v>
      </c>
      <c r="T1420" s="2" t="s">
        <v>7690</v>
      </c>
      <c r="U1420" s="7" t="s">
        <v>128</v>
      </c>
      <c r="V1420" s="162" t="str" cm="1">
        <f t="array" ref="V1420">_xlfn.IFS(C1420="","",COUNTIF(C1420,"ตำแหน่งว่าง*"),"ว่าง",COUNTIF(C1420,"&lt;&gt;ตำแหน่งว่าง*"),"คนครอง")</f>
        <v>คนครอง</v>
      </c>
      <c r="W1420" s="5" cm="1">
        <f t="array" ref="W1420">_xlfn.IFS(COUNTIF(F1420,"ผบ.หมู่*"),51,COUNTIF(F1420,"รอง สว.*"),43)</f>
        <v>43</v>
      </c>
      <c r="X1420" s="1" t="s">
        <v>4076</v>
      </c>
      <c r="Y1420" s="1" t="s">
        <v>52</v>
      </c>
    </row>
    <row r="1421" spans="1:25" s="9" customFormat="1" ht="21.3" customHeight="1">
      <c r="A1421" s="27"/>
      <c r="B1421" s="28"/>
      <c r="C1421" s="27" t="s">
        <v>18</v>
      </c>
      <c r="D1421" s="27"/>
      <c r="E1421" s="27"/>
      <c r="F1421" s="27" t="s">
        <v>4054</v>
      </c>
      <c r="G1421" s="101" t="s">
        <v>4081</v>
      </c>
      <c r="H1421" s="75"/>
      <c r="I1421" s="73"/>
      <c r="J1421" s="73"/>
      <c r="K1421" s="73"/>
      <c r="L1421" s="11"/>
      <c r="M1421" s="1"/>
      <c r="N1421" s="112" t="s">
        <v>14</v>
      </c>
      <c r="O1421" s="104" t="s">
        <v>52</v>
      </c>
      <c r="P1421" s="104" t="s">
        <v>52</v>
      </c>
      <c r="Q1421" s="105"/>
      <c r="R1421" s="28"/>
      <c r="S1421" s="174" t="str">
        <f t="shared" si="22"/>
        <v/>
      </c>
      <c r="T1421" s="2" t="s">
        <v>7690</v>
      </c>
      <c r="U1421" s="2" t="s">
        <v>128</v>
      </c>
      <c r="V1421" s="2" t="str" cm="1">
        <f t="array" ref="V1421">_xlfn.IFS(C1421="","",COUNTIF(C1421,"ตำแหน่งว่าง*"),"ว่าง",COUNTIF(C1421,"&lt;&gt;ตำแหน่งว่าง*"),"คนครอง")</f>
        <v>ว่าง</v>
      </c>
      <c r="W1421" s="1" cm="1">
        <f t="array" ref="W1421">_xlfn.IFS(COUNTIF(F1421,"ผบ.หมู่*"),51,COUNTIF(F1421,"รอง สว.*"),43)</f>
        <v>51</v>
      </c>
      <c r="X1421" s="1" t="s">
        <v>4080</v>
      </c>
      <c r="Y1421" s="1" t="s">
        <v>52</v>
      </c>
    </row>
    <row r="1422" spans="1:25" s="9" customFormat="1" ht="21.3" customHeight="1">
      <c r="A1422" s="27" t="s">
        <v>157</v>
      </c>
      <c r="B1422" s="28" t="s">
        <v>21</v>
      </c>
      <c r="C1422" s="27" t="s">
        <v>4082</v>
      </c>
      <c r="D1422" s="27" t="s">
        <v>9472</v>
      </c>
      <c r="E1422" s="27" t="s">
        <v>9473</v>
      </c>
      <c r="F1422" s="27" t="s">
        <v>4054</v>
      </c>
      <c r="G1422" s="101" t="s">
        <v>4084</v>
      </c>
      <c r="H1422" s="75">
        <v>42501</v>
      </c>
      <c r="I1422" s="73">
        <v>35095</v>
      </c>
      <c r="J1422" s="73">
        <v>35095</v>
      </c>
      <c r="K1422" s="73">
        <v>27012</v>
      </c>
      <c r="L1422" s="11" t="s">
        <v>112</v>
      </c>
      <c r="M1422" s="1" t="s">
        <v>36</v>
      </c>
      <c r="N1422" s="112" t="s">
        <v>14</v>
      </c>
      <c r="O1422" s="104" t="s">
        <v>52</v>
      </c>
      <c r="P1422" s="104" t="s">
        <v>52</v>
      </c>
      <c r="Q1422" s="105"/>
      <c r="R1422" s="28" t="s">
        <v>110</v>
      </c>
      <c r="S1422" s="225">
        <f t="shared" si="22"/>
        <v>49218</v>
      </c>
      <c r="T1422" s="2" t="s">
        <v>7690</v>
      </c>
      <c r="U1422" s="7" t="s">
        <v>128</v>
      </c>
      <c r="V1422" s="162" t="str" cm="1">
        <f t="array" ref="V1422">_xlfn.IFS(C1422="","",COUNTIF(C1422,"ตำแหน่งว่าง*"),"ว่าง",COUNTIF(C1422,"&lt;&gt;ตำแหน่งว่าง*"),"คนครอง")</f>
        <v>คนครอง</v>
      </c>
      <c r="W1422" s="6" cm="1">
        <f t="array" ref="W1422">_xlfn.IFS(COUNTIF(F1422,"ผบ.หมู่*"),51,COUNTIF(F1422,"รอง สว.*"),43)</f>
        <v>51</v>
      </c>
      <c r="X1422" s="1" t="s">
        <v>4083</v>
      </c>
      <c r="Y1422" s="1" t="s">
        <v>52</v>
      </c>
    </row>
    <row r="1423" spans="1:25" s="9" customFormat="1" ht="21.3" customHeight="1">
      <c r="A1423" s="27" t="s">
        <v>157</v>
      </c>
      <c r="B1423" s="28" t="s">
        <v>21</v>
      </c>
      <c r="C1423" s="27" t="s">
        <v>4085</v>
      </c>
      <c r="D1423" s="27" t="s">
        <v>8261</v>
      </c>
      <c r="E1423" s="27" t="s">
        <v>9474</v>
      </c>
      <c r="F1423" s="27" t="s">
        <v>4054</v>
      </c>
      <c r="G1423" s="101" t="s">
        <v>4087</v>
      </c>
      <c r="H1423" s="75">
        <v>42501</v>
      </c>
      <c r="I1423" s="73">
        <v>34352</v>
      </c>
      <c r="J1423" s="73">
        <v>34352</v>
      </c>
      <c r="K1423" s="73">
        <v>26969</v>
      </c>
      <c r="L1423" s="11" t="s">
        <v>4042</v>
      </c>
      <c r="M1423" s="1" t="s">
        <v>36</v>
      </c>
      <c r="N1423" s="112" t="s">
        <v>14</v>
      </c>
      <c r="O1423" s="104" t="s">
        <v>52</v>
      </c>
      <c r="P1423" s="104" t="s">
        <v>52</v>
      </c>
      <c r="Q1423" s="105"/>
      <c r="R1423" s="28" t="s">
        <v>110</v>
      </c>
      <c r="S1423" s="225">
        <f t="shared" si="22"/>
        <v>49218</v>
      </c>
      <c r="T1423" s="2" t="s">
        <v>7690</v>
      </c>
      <c r="U1423" s="7" t="s">
        <v>128</v>
      </c>
      <c r="V1423" s="162" t="str" cm="1">
        <f t="array" ref="V1423">_xlfn.IFS(C1423="","",COUNTIF(C1423,"ตำแหน่งว่าง*"),"ว่าง",COUNTIF(C1423,"&lt;&gt;ตำแหน่งว่าง*"),"คนครอง")</f>
        <v>คนครอง</v>
      </c>
      <c r="W1423" s="6" cm="1">
        <f t="array" ref="W1423">_xlfn.IFS(COUNTIF(F1423,"ผบ.หมู่*"),51,COUNTIF(F1423,"รอง สว.*"),43)</f>
        <v>51</v>
      </c>
      <c r="X1423" s="1" t="s">
        <v>4086</v>
      </c>
      <c r="Y1423" s="1" t="s">
        <v>52</v>
      </c>
    </row>
    <row r="1424" spans="1:25" s="9" customFormat="1" ht="21.3" customHeight="1">
      <c r="A1424" s="27" t="s">
        <v>26</v>
      </c>
      <c r="B1424" s="28" t="s">
        <v>21</v>
      </c>
      <c r="C1424" s="27" t="s">
        <v>4088</v>
      </c>
      <c r="D1424" s="27" t="s">
        <v>8048</v>
      </c>
      <c r="E1424" s="27" t="s">
        <v>9475</v>
      </c>
      <c r="F1424" s="27" t="s">
        <v>4075</v>
      </c>
      <c r="G1424" s="101" t="s">
        <v>4090</v>
      </c>
      <c r="H1424" s="91">
        <v>43921</v>
      </c>
      <c r="I1424" s="73">
        <v>43921</v>
      </c>
      <c r="J1424" s="73">
        <v>43921</v>
      </c>
      <c r="K1424" s="73">
        <v>24550</v>
      </c>
      <c r="L1424" s="11" t="s">
        <v>162</v>
      </c>
      <c r="M1424" s="1" t="s">
        <v>36</v>
      </c>
      <c r="N1424" s="112" t="s">
        <v>14</v>
      </c>
      <c r="O1424" s="104" t="s">
        <v>52</v>
      </c>
      <c r="P1424" s="104" t="s">
        <v>52</v>
      </c>
      <c r="Q1424" s="105"/>
      <c r="R1424" s="28" t="s">
        <v>2700</v>
      </c>
      <c r="S1424" s="225">
        <f t="shared" si="22"/>
        <v>46661</v>
      </c>
      <c r="T1424" s="2" t="s">
        <v>7690</v>
      </c>
      <c r="U1424" s="7" t="s">
        <v>128</v>
      </c>
      <c r="V1424" s="162" t="str" cm="1">
        <f t="array" ref="V1424">_xlfn.IFS(C1424="","",COUNTIF(C1424,"ตำแหน่งว่าง*"),"ว่าง",COUNTIF(C1424,"&lt;&gt;ตำแหน่งว่าง*"),"คนครอง")</f>
        <v>คนครอง</v>
      </c>
      <c r="W1424" s="5" cm="1">
        <f t="array" ref="W1424">_xlfn.IFS(COUNTIF(F1424,"ผบ.หมู่*"),51,COUNTIF(F1424,"รอง สว.*"),43)</f>
        <v>43</v>
      </c>
      <c r="X1424" s="1" t="s">
        <v>4089</v>
      </c>
      <c r="Y1424" s="1" t="s">
        <v>52</v>
      </c>
    </row>
    <row r="1425" spans="1:25" s="12" customFormat="1" ht="21.3" customHeight="1">
      <c r="A1425" s="27" t="s">
        <v>44</v>
      </c>
      <c r="B1425" s="31" t="s">
        <v>12</v>
      </c>
      <c r="C1425" s="95" t="s">
        <v>4091</v>
      </c>
      <c r="D1425" s="27" t="s">
        <v>9476</v>
      </c>
      <c r="E1425" s="27" t="s">
        <v>9477</v>
      </c>
      <c r="F1425" s="95" t="s">
        <v>4075</v>
      </c>
      <c r="G1425" s="101" t="s">
        <v>4093</v>
      </c>
      <c r="H1425" s="92">
        <v>44651</v>
      </c>
      <c r="I1425" s="76">
        <v>44651</v>
      </c>
      <c r="J1425" s="76">
        <v>34352</v>
      </c>
      <c r="K1425" s="76">
        <v>25293</v>
      </c>
      <c r="L1425" s="17" t="s">
        <v>112</v>
      </c>
      <c r="M1425" s="5" t="s">
        <v>36</v>
      </c>
      <c r="N1425" s="111" t="s">
        <v>14</v>
      </c>
      <c r="O1425" s="104" t="s">
        <v>52</v>
      </c>
      <c r="P1425" s="104" t="s">
        <v>52</v>
      </c>
      <c r="Q1425" s="108"/>
      <c r="R1425" s="31" t="s">
        <v>2856</v>
      </c>
      <c r="S1425" s="225">
        <f t="shared" si="22"/>
        <v>47392</v>
      </c>
      <c r="T1425" s="162" t="s">
        <v>7690</v>
      </c>
      <c r="U1425" s="7" t="s">
        <v>128</v>
      </c>
      <c r="V1425" s="162" t="str" cm="1">
        <f t="array" ref="V1425">_xlfn.IFS(C1425="","",COUNTIF(C1425,"ตำแหน่งว่าง*"),"ว่าง",COUNTIF(C1425,"&lt;&gt;ตำแหน่งว่าง*"),"คนครอง")</f>
        <v>คนครอง</v>
      </c>
      <c r="W1425" s="5" cm="1">
        <f t="array" ref="W1425">_xlfn.IFS(COUNTIF(F1425,"ผบ.หมู่*"),51,COUNTIF(F1425,"รอง สว.*"),43)</f>
        <v>43</v>
      </c>
      <c r="X1425" s="5" t="s">
        <v>4092</v>
      </c>
      <c r="Y1425" s="5" t="s">
        <v>52</v>
      </c>
    </row>
    <row r="1426" spans="1:25" s="9" customFormat="1" ht="21.3" customHeight="1">
      <c r="A1426" s="27" t="s">
        <v>157</v>
      </c>
      <c r="B1426" s="28" t="s">
        <v>21</v>
      </c>
      <c r="C1426" s="27" t="s">
        <v>4095</v>
      </c>
      <c r="D1426" s="27" t="s">
        <v>9478</v>
      </c>
      <c r="E1426" s="27" t="s">
        <v>9479</v>
      </c>
      <c r="F1426" s="27" t="s">
        <v>4096</v>
      </c>
      <c r="G1426" s="101" t="s">
        <v>4098</v>
      </c>
      <c r="H1426" s="75">
        <v>42604</v>
      </c>
      <c r="I1426" s="73">
        <v>40814</v>
      </c>
      <c r="J1426" s="73">
        <v>40814</v>
      </c>
      <c r="K1426" s="73">
        <v>29512</v>
      </c>
      <c r="L1426" s="11" t="s">
        <v>68</v>
      </c>
      <c r="M1426" s="1" t="s">
        <v>46</v>
      </c>
      <c r="N1426" s="112" t="s">
        <v>14</v>
      </c>
      <c r="O1426" s="104" t="s">
        <v>52</v>
      </c>
      <c r="P1426" s="104" t="s">
        <v>52</v>
      </c>
      <c r="Q1426" s="105"/>
      <c r="R1426" s="28" t="s">
        <v>76</v>
      </c>
      <c r="S1426" s="225">
        <f t="shared" si="22"/>
        <v>51775</v>
      </c>
      <c r="T1426" s="2" t="s">
        <v>115</v>
      </c>
      <c r="U1426" s="7" t="s">
        <v>128</v>
      </c>
      <c r="V1426" s="162" t="str" cm="1">
        <f t="array" ref="V1426">_xlfn.IFS(C1426="","",COUNTIF(C1426,"ตำแหน่งว่าง*"),"ว่าง",COUNTIF(C1426,"&lt;&gt;ตำแหน่งว่าง*"),"คนครอง")</f>
        <v>คนครอง</v>
      </c>
      <c r="W1426" s="6" cm="1">
        <f t="array" ref="W1426">_xlfn.IFS(COUNTIF(F1426,"ผบ.หมู่*"),51,COUNTIF(F1426,"รอง สว.*"),43)</f>
        <v>51</v>
      </c>
      <c r="X1426" s="1" t="s">
        <v>4097</v>
      </c>
      <c r="Y1426" s="1" t="s">
        <v>52</v>
      </c>
    </row>
    <row r="1427" spans="1:25" s="9" customFormat="1" ht="21.3" customHeight="1">
      <c r="A1427" s="27" t="s">
        <v>157</v>
      </c>
      <c r="B1427" s="28" t="s">
        <v>21</v>
      </c>
      <c r="C1427" s="27" t="s">
        <v>4099</v>
      </c>
      <c r="D1427" s="27" t="s">
        <v>9480</v>
      </c>
      <c r="E1427" s="27" t="s">
        <v>9481</v>
      </c>
      <c r="F1427" s="27" t="s">
        <v>4096</v>
      </c>
      <c r="G1427" s="101" t="s">
        <v>4101</v>
      </c>
      <c r="H1427" s="75">
        <v>42604</v>
      </c>
      <c r="I1427" s="73">
        <v>40814</v>
      </c>
      <c r="J1427" s="73">
        <v>40814</v>
      </c>
      <c r="K1427" s="73">
        <v>27967</v>
      </c>
      <c r="L1427" s="11" t="s">
        <v>4102</v>
      </c>
      <c r="M1427" s="1" t="s">
        <v>81</v>
      </c>
      <c r="N1427" s="112" t="s">
        <v>14</v>
      </c>
      <c r="O1427" s="104" t="s">
        <v>52</v>
      </c>
      <c r="P1427" s="104" t="s">
        <v>52</v>
      </c>
      <c r="Q1427" s="105"/>
      <c r="R1427" s="28" t="s">
        <v>76</v>
      </c>
      <c r="S1427" s="225">
        <f t="shared" si="22"/>
        <v>49949</v>
      </c>
      <c r="T1427" s="2" t="s">
        <v>115</v>
      </c>
      <c r="U1427" s="7" t="s">
        <v>128</v>
      </c>
      <c r="V1427" s="162" t="str" cm="1">
        <f t="array" ref="V1427">_xlfn.IFS(C1427="","",COUNTIF(C1427,"ตำแหน่งว่าง*"),"ว่าง",COUNTIF(C1427,"&lt;&gt;ตำแหน่งว่าง*"),"คนครอง")</f>
        <v>คนครอง</v>
      </c>
      <c r="W1427" s="6" cm="1">
        <f t="array" ref="W1427">_xlfn.IFS(COUNTIF(F1427,"ผบ.หมู่*"),51,COUNTIF(F1427,"รอง สว.*"),43)</f>
        <v>51</v>
      </c>
      <c r="X1427" s="1" t="s">
        <v>4100</v>
      </c>
      <c r="Y1427" s="1" t="s">
        <v>52</v>
      </c>
    </row>
    <row r="1428" spans="1:25" s="9" customFormat="1" ht="21.3" customHeight="1">
      <c r="A1428" s="27" t="s">
        <v>157</v>
      </c>
      <c r="B1428" s="28" t="s">
        <v>21</v>
      </c>
      <c r="C1428" s="27" t="s">
        <v>4103</v>
      </c>
      <c r="D1428" s="27" t="s">
        <v>9482</v>
      </c>
      <c r="E1428" s="27" t="s">
        <v>8206</v>
      </c>
      <c r="F1428" s="27" t="s">
        <v>4096</v>
      </c>
      <c r="G1428" s="101" t="s">
        <v>4105</v>
      </c>
      <c r="H1428" s="75">
        <v>42604</v>
      </c>
      <c r="I1428" s="73">
        <v>40814</v>
      </c>
      <c r="J1428" s="73">
        <v>40814</v>
      </c>
      <c r="K1428" s="73">
        <v>27964</v>
      </c>
      <c r="L1428" s="11" t="s">
        <v>4102</v>
      </c>
      <c r="M1428" s="1" t="s">
        <v>36</v>
      </c>
      <c r="N1428" s="112" t="s">
        <v>14</v>
      </c>
      <c r="O1428" s="104" t="s">
        <v>52</v>
      </c>
      <c r="P1428" s="104" t="s">
        <v>52</v>
      </c>
      <c r="Q1428" s="105"/>
      <c r="R1428" s="28" t="s">
        <v>76</v>
      </c>
      <c r="S1428" s="225">
        <f t="shared" si="22"/>
        <v>49949</v>
      </c>
      <c r="T1428" s="2" t="s">
        <v>115</v>
      </c>
      <c r="U1428" s="7" t="s">
        <v>128</v>
      </c>
      <c r="V1428" s="162" t="str" cm="1">
        <f t="array" ref="V1428">_xlfn.IFS(C1428="","",COUNTIF(C1428,"ตำแหน่งว่าง*"),"ว่าง",COUNTIF(C1428,"&lt;&gt;ตำแหน่งว่าง*"),"คนครอง")</f>
        <v>คนครอง</v>
      </c>
      <c r="W1428" s="6" cm="1">
        <f t="array" ref="W1428">_xlfn.IFS(COUNTIF(F1428,"ผบ.หมู่*"),51,COUNTIF(F1428,"รอง สว.*"),43)</f>
        <v>51</v>
      </c>
      <c r="X1428" s="1" t="s">
        <v>4104</v>
      </c>
      <c r="Y1428" s="1" t="s">
        <v>52</v>
      </c>
    </row>
    <row r="1429" spans="1:25" s="9" customFormat="1" ht="21.3" customHeight="1">
      <c r="A1429" s="27" t="s">
        <v>157</v>
      </c>
      <c r="B1429" s="28" t="s">
        <v>21</v>
      </c>
      <c r="C1429" s="27" t="s">
        <v>4106</v>
      </c>
      <c r="D1429" s="27" t="s">
        <v>9483</v>
      </c>
      <c r="E1429" s="27" t="s">
        <v>9484</v>
      </c>
      <c r="F1429" s="27" t="s">
        <v>4096</v>
      </c>
      <c r="G1429" s="101" t="s">
        <v>4108</v>
      </c>
      <c r="H1429" s="75">
        <v>42604</v>
      </c>
      <c r="I1429" s="73">
        <v>40814</v>
      </c>
      <c r="J1429" s="73">
        <v>40814</v>
      </c>
      <c r="K1429" s="73">
        <v>31327</v>
      </c>
      <c r="L1429" s="11" t="s">
        <v>4109</v>
      </c>
      <c r="M1429" s="1" t="s">
        <v>36</v>
      </c>
      <c r="N1429" s="112" t="s">
        <v>14</v>
      </c>
      <c r="O1429" s="104" t="s">
        <v>52</v>
      </c>
      <c r="P1429" s="104" t="s">
        <v>52</v>
      </c>
      <c r="Q1429" s="105"/>
      <c r="R1429" s="28" t="s">
        <v>76</v>
      </c>
      <c r="S1429" s="225">
        <f t="shared" si="22"/>
        <v>53601</v>
      </c>
      <c r="T1429" s="2" t="s">
        <v>115</v>
      </c>
      <c r="U1429" s="7" t="s">
        <v>128</v>
      </c>
      <c r="V1429" s="162" t="str" cm="1">
        <f t="array" ref="V1429">_xlfn.IFS(C1429="","",COUNTIF(C1429,"ตำแหน่งว่าง*"),"ว่าง",COUNTIF(C1429,"&lt;&gt;ตำแหน่งว่าง*"),"คนครอง")</f>
        <v>คนครอง</v>
      </c>
      <c r="W1429" s="6" cm="1">
        <f t="array" ref="W1429">_xlfn.IFS(COUNTIF(F1429,"ผบ.หมู่*"),51,COUNTIF(F1429,"รอง สว.*"),43)</f>
        <v>51</v>
      </c>
      <c r="X1429" s="1" t="s">
        <v>4107</v>
      </c>
      <c r="Y1429" s="1" t="s">
        <v>52</v>
      </c>
    </row>
    <row r="1430" spans="1:25" s="10" customFormat="1" ht="21.3" customHeight="1">
      <c r="A1430" s="95" t="s">
        <v>157</v>
      </c>
      <c r="B1430" s="31" t="s">
        <v>12</v>
      </c>
      <c r="C1430" s="95" t="s">
        <v>4110</v>
      </c>
      <c r="D1430" s="27" t="s">
        <v>9485</v>
      </c>
      <c r="E1430" s="27" t="s">
        <v>9486</v>
      </c>
      <c r="F1430" s="95" t="s">
        <v>4111</v>
      </c>
      <c r="G1430" s="101" t="s">
        <v>4113</v>
      </c>
      <c r="H1430" s="92">
        <v>44999</v>
      </c>
      <c r="I1430" s="76">
        <v>41214</v>
      </c>
      <c r="J1430" s="76">
        <v>41214</v>
      </c>
      <c r="K1430" s="76">
        <v>31858</v>
      </c>
      <c r="L1430" s="17"/>
      <c r="M1430" s="5"/>
      <c r="N1430" s="111" t="s">
        <v>14</v>
      </c>
      <c r="O1430" s="104" t="s">
        <v>52</v>
      </c>
      <c r="P1430" s="104" t="s">
        <v>52</v>
      </c>
      <c r="Q1430" s="108"/>
      <c r="R1430" s="31" t="s">
        <v>74</v>
      </c>
      <c r="S1430" s="225">
        <f t="shared" si="22"/>
        <v>53966</v>
      </c>
      <c r="T1430" s="7" t="s">
        <v>7691</v>
      </c>
      <c r="U1430" s="7" t="s">
        <v>128</v>
      </c>
      <c r="V1430" s="162" t="str" cm="1">
        <f t="array" ref="V1430">_xlfn.IFS(C1430="","",COUNTIF(C1430,"ตำแหน่งว่าง*"),"ว่าง",COUNTIF(C1430,"&lt;&gt;ตำแหน่งว่าง*"),"คนครอง")</f>
        <v>คนครอง</v>
      </c>
      <c r="W1430" s="6" cm="1">
        <f t="array" ref="W1430">_xlfn.IFS(COUNTIF(F1430,"ผบ.หมู่*"),51,COUNTIF(F1430,"รอง สว.*"),43)</f>
        <v>51</v>
      </c>
      <c r="X1430" s="5" t="s">
        <v>4112</v>
      </c>
      <c r="Y1430" s="5" t="s">
        <v>52</v>
      </c>
    </row>
    <row r="1431" spans="1:25" s="9" customFormat="1" ht="21.3" customHeight="1">
      <c r="A1431" s="27" t="s">
        <v>30</v>
      </c>
      <c r="B1431" s="28" t="s">
        <v>21</v>
      </c>
      <c r="C1431" s="27" t="s">
        <v>4114</v>
      </c>
      <c r="D1431" s="27" t="s">
        <v>9487</v>
      </c>
      <c r="E1431" s="27" t="s">
        <v>9488</v>
      </c>
      <c r="F1431" s="27" t="s">
        <v>4115</v>
      </c>
      <c r="G1431" s="101" t="s">
        <v>4117</v>
      </c>
      <c r="H1431" s="91">
        <v>43555</v>
      </c>
      <c r="I1431" s="73">
        <v>43555</v>
      </c>
      <c r="J1431" s="73">
        <v>43555</v>
      </c>
      <c r="K1431" s="73">
        <v>24304</v>
      </c>
      <c r="L1431" s="11" t="s">
        <v>162</v>
      </c>
      <c r="M1431" s="1" t="s">
        <v>36</v>
      </c>
      <c r="N1431" s="112" t="s">
        <v>14</v>
      </c>
      <c r="O1431" s="104" t="s">
        <v>52</v>
      </c>
      <c r="P1431" s="104" t="s">
        <v>52</v>
      </c>
      <c r="Q1431" s="105"/>
      <c r="R1431" s="28" t="s">
        <v>2892</v>
      </c>
      <c r="S1431" s="225">
        <f t="shared" si="22"/>
        <v>46296</v>
      </c>
      <c r="T1431" s="2" t="s">
        <v>7691</v>
      </c>
      <c r="U1431" s="7" t="s">
        <v>128</v>
      </c>
      <c r="V1431" s="162" t="str" cm="1">
        <f t="array" ref="V1431">_xlfn.IFS(C1431="","",COUNTIF(C1431,"ตำแหน่งว่าง*"),"ว่าง",COUNTIF(C1431,"&lt;&gt;ตำแหน่งว่าง*"),"คนครอง")</f>
        <v>คนครอง</v>
      </c>
      <c r="W1431" s="5" cm="1">
        <f t="array" ref="W1431">_xlfn.IFS(COUNTIF(F1431,"ผบ.หมู่*"),51,COUNTIF(F1431,"รอง สว.*"),43)</f>
        <v>43</v>
      </c>
      <c r="X1431" s="1" t="s">
        <v>4116</v>
      </c>
      <c r="Y1431" s="1" t="s">
        <v>52</v>
      </c>
    </row>
    <row r="1432" spans="1:25" s="9" customFormat="1" ht="21.3" customHeight="1">
      <c r="A1432" s="27" t="s">
        <v>612</v>
      </c>
      <c r="B1432" s="28" t="s">
        <v>21</v>
      </c>
      <c r="C1432" s="27" t="s">
        <v>4118</v>
      </c>
      <c r="D1432" s="27" t="s">
        <v>8349</v>
      </c>
      <c r="E1432" s="27" t="s">
        <v>9489</v>
      </c>
      <c r="F1432" s="27" t="s">
        <v>4111</v>
      </c>
      <c r="G1432" s="101" t="s">
        <v>4120</v>
      </c>
      <c r="H1432" s="75">
        <v>42501</v>
      </c>
      <c r="I1432" s="73">
        <v>41944</v>
      </c>
      <c r="J1432" s="73">
        <v>41944</v>
      </c>
      <c r="K1432" s="73">
        <v>31680</v>
      </c>
      <c r="L1432" s="11" t="s">
        <v>4121</v>
      </c>
      <c r="M1432" s="1" t="s">
        <v>117</v>
      </c>
      <c r="N1432" s="112" t="s">
        <v>14</v>
      </c>
      <c r="O1432" s="104" t="s">
        <v>52</v>
      </c>
      <c r="P1432" s="104" t="s">
        <v>52</v>
      </c>
      <c r="Q1432" s="105"/>
      <c r="R1432" s="28" t="s">
        <v>110</v>
      </c>
      <c r="S1432" s="225">
        <f t="shared" si="22"/>
        <v>53601</v>
      </c>
      <c r="T1432" s="2" t="s">
        <v>7691</v>
      </c>
      <c r="U1432" s="7" t="s">
        <v>128</v>
      </c>
      <c r="V1432" s="162" t="str" cm="1">
        <f t="array" ref="V1432">_xlfn.IFS(C1432="","",COUNTIF(C1432,"ตำแหน่งว่าง*"),"ว่าง",COUNTIF(C1432,"&lt;&gt;ตำแหน่งว่าง*"),"คนครอง")</f>
        <v>คนครอง</v>
      </c>
      <c r="W1432" s="6" cm="1">
        <f t="array" ref="W1432">_xlfn.IFS(COUNTIF(F1432,"ผบ.หมู่*"),51,COUNTIF(F1432,"รอง สว.*"),43)</f>
        <v>51</v>
      </c>
      <c r="X1432" s="1" t="s">
        <v>4119</v>
      </c>
      <c r="Y1432" s="1" t="s">
        <v>52</v>
      </c>
    </row>
    <row r="1433" spans="1:25" s="9" customFormat="1" ht="21.3" customHeight="1">
      <c r="A1433" s="27" t="s">
        <v>157</v>
      </c>
      <c r="B1433" s="28" t="s">
        <v>21</v>
      </c>
      <c r="C1433" s="27" t="s">
        <v>4122</v>
      </c>
      <c r="D1433" s="27" t="s">
        <v>9490</v>
      </c>
      <c r="E1433" s="27" t="s">
        <v>9491</v>
      </c>
      <c r="F1433" s="27" t="s">
        <v>4111</v>
      </c>
      <c r="G1433" s="101" t="s">
        <v>4124</v>
      </c>
      <c r="H1433" s="91">
        <v>42940</v>
      </c>
      <c r="I1433" s="73">
        <v>40814</v>
      </c>
      <c r="J1433" s="73">
        <v>40814</v>
      </c>
      <c r="K1433" s="73">
        <v>31170</v>
      </c>
      <c r="L1433" s="11" t="s">
        <v>68</v>
      </c>
      <c r="M1433" s="1" t="s">
        <v>36</v>
      </c>
      <c r="N1433" s="112" t="s">
        <v>14</v>
      </c>
      <c r="O1433" s="104" t="s">
        <v>52</v>
      </c>
      <c r="P1433" s="104" t="s">
        <v>52</v>
      </c>
      <c r="Q1433" s="105"/>
      <c r="R1433" s="28" t="s">
        <v>726</v>
      </c>
      <c r="S1433" s="225">
        <f t="shared" si="22"/>
        <v>53236</v>
      </c>
      <c r="T1433" s="2" t="s">
        <v>7691</v>
      </c>
      <c r="U1433" s="7" t="s">
        <v>128</v>
      </c>
      <c r="V1433" s="162" t="str" cm="1">
        <f t="array" ref="V1433">_xlfn.IFS(C1433="","",COUNTIF(C1433,"ตำแหน่งว่าง*"),"ว่าง",COUNTIF(C1433,"&lt;&gt;ตำแหน่งว่าง*"),"คนครอง")</f>
        <v>คนครอง</v>
      </c>
      <c r="W1433" s="6" cm="1">
        <f t="array" ref="W1433">_xlfn.IFS(COUNTIF(F1433,"ผบ.หมู่*"),51,COUNTIF(F1433,"รอง สว.*"),43)</f>
        <v>51</v>
      </c>
      <c r="X1433" s="1" t="s">
        <v>4123</v>
      </c>
      <c r="Y1433" s="1" t="s">
        <v>52</v>
      </c>
    </row>
    <row r="1434" spans="1:25" s="9" customFormat="1" ht="21.3" customHeight="1">
      <c r="A1434" s="27" t="s">
        <v>182</v>
      </c>
      <c r="B1434" s="28" t="s">
        <v>21</v>
      </c>
      <c r="C1434" s="27" t="s">
        <v>10782</v>
      </c>
      <c r="D1434" s="27" t="s">
        <v>10783</v>
      </c>
      <c r="E1434" s="27" t="s">
        <v>8134</v>
      </c>
      <c r="F1434" s="27" t="s">
        <v>4111</v>
      </c>
      <c r="G1434" s="101" t="s">
        <v>4126</v>
      </c>
      <c r="H1434" s="91">
        <v>45768</v>
      </c>
      <c r="I1434" s="73" t="s">
        <v>7609</v>
      </c>
      <c r="J1434" s="73" t="s">
        <v>7609</v>
      </c>
      <c r="K1434" s="73">
        <v>35126</v>
      </c>
      <c r="L1434" s="11" t="s">
        <v>7609</v>
      </c>
      <c r="M1434" s="1" t="s">
        <v>7609</v>
      </c>
      <c r="N1434" s="112" t="s">
        <v>14</v>
      </c>
      <c r="O1434" s="104" t="s">
        <v>52</v>
      </c>
      <c r="P1434" s="104" t="s">
        <v>52</v>
      </c>
      <c r="Q1434" s="105"/>
      <c r="R1434" s="28" t="s">
        <v>10804</v>
      </c>
      <c r="S1434" s="174">
        <f t="shared" si="22"/>
        <v>57254</v>
      </c>
      <c r="T1434" s="2" t="s">
        <v>7691</v>
      </c>
      <c r="U1434" s="2" t="s">
        <v>128</v>
      </c>
      <c r="V1434" s="2" t="str" cm="1">
        <f t="array" ref="V1434">_xlfn.IFS(C1434="","",COUNTIF(C1434,"ตำแหน่งว่าง*"),"ว่าง",COUNTIF(C1434,"&lt;&gt;ตำแหน่งว่าง*"),"คนครอง")</f>
        <v>คนครอง</v>
      </c>
      <c r="W1434" s="1" cm="1">
        <f t="array" ref="W1434">_xlfn.IFS(COUNTIF(F1434,"ผบ.หมู่*"),51,COUNTIF(F1434,"รอง สว.*"),43)</f>
        <v>51</v>
      </c>
      <c r="X1434" s="1" t="s">
        <v>4125</v>
      </c>
      <c r="Y1434" s="1" t="s">
        <v>52</v>
      </c>
    </row>
    <row r="1435" spans="1:25" s="9" customFormat="1" ht="21.3" customHeight="1">
      <c r="A1435" s="27"/>
      <c r="B1435" s="28"/>
      <c r="C1435" s="30" t="s">
        <v>18</v>
      </c>
      <c r="D1435" s="27"/>
      <c r="E1435" s="27"/>
      <c r="F1435" s="27" t="s">
        <v>4111</v>
      </c>
      <c r="G1435" s="101" t="s">
        <v>4129</v>
      </c>
      <c r="H1435" s="91"/>
      <c r="I1435" s="73"/>
      <c r="J1435" s="73"/>
      <c r="K1435" s="73"/>
      <c r="L1435" s="11"/>
      <c r="M1435" s="1"/>
      <c r="N1435" s="112" t="s">
        <v>14</v>
      </c>
      <c r="O1435" s="104" t="s">
        <v>52</v>
      </c>
      <c r="P1435" s="104" t="s">
        <v>52</v>
      </c>
      <c r="Q1435" s="105"/>
      <c r="R1435" s="28"/>
      <c r="S1435" s="225" t="str">
        <f t="shared" si="22"/>
        <v/>
      </c>
      <c r="T1435" s="2" t="s">
        <v>7691</v>
      </c>
      <c r="U1435" s="7" t="s">
        <v>128</v>
      </c>
      <c r="V1435" s="162" t="str" cm="1">
        <f t="array" ref="V1435">_xlfn.IFS(C1435="","",COUNTIF(C1435,"ตำแหน่งว่าง*"),"ว่าง",COUNTIF(C1435,"&lt;&gt;ตำแหน่งว่าง*"),"คนครอง")</f>
        <v>ว่าง</v>
      </c>
      <c r="W1435" s="6" cm="1">
        <f t="array" ref="W1435">_xlfn.IFS(COUNTIF(F1435,"ผบ.หมู่*"),51,COUNTIF(F1435,"รอง สว.*"),43)</f>
        <v>51</v>
      </c>
      <c r="X1435" s="1" t="s">
        <v>4128</v>
      </c>
      <c r="Y1435" s="1" t="s">
        <v>52</v>
      </c>
    </row>
    <row r="1436" spans="1:25" s="9" customFormat="1" ht="21.3" customHeight="1">
      <c r="A1436" s="27" t="s">
        <v>612</v>
      </c>
      <c r="B1436" s="28" t="s">
        <v>12</v>
      </c>
      <c r="C1436" s="27" t="s">
        <v>4059</v>
      </c>
      <c r="D1436" s="27" t="s">
        <v>8111</v>
      </c>
      <c r="E1436" s="27" t="s">
        <v>7967</v>
      </c>
      <c r="F1436" s="27" t="s">
        <v>4111</v>
      </c>
      <c r="G1436" s="101" t="s">
        <v>4131</v>
      </c>
      <c r="H1436" s="91">
        <v>45768</v>
      </c>
      <c r="I1436" s="73">
        <v>42416</v>
      </c>
      <c r="J1436" s="73">
        <v>42416</v>
      </c>
      <c r="K1436" s="73">
        <v>33219</v>
      </c>
      <c r="L1436" s="11" t="s">
        <v>4062</v>
      </c>
      <c r="M1436" s="1" t="s">
        <v>36</v>
      </c>
      <c r="N1436" s="112" t="s">
        <v>14</v>
      </c>
      <c r="O1436" s="104" t="s">
        <v>52</v>
      </c>
      <c r="P1436" s="104" t="s">
        <v>52</v>
      </c>
      <c r="Q1436" s="105"/>
      <c r="R1436" s="28" t="s">
        <v>10711</v>
      </c>
      <c r="S1436" s="174">
        <f t="shared" si="22"/>
        <v>55427</v>
      </c>
      <c r="T1436" s="2" t="s">
        <v>7691</v>
      </c>
      <c r="U1436" s="2" t="s">
        <v>128</v>
      </c>
      <c r="V1436" s="203" t="str" cm="1">
        <f t="array" ref="V1436">_xlfn.IFS(C1436="","",COUNTIF(C1436,"ตำแหน่งว่าง*"),"ว่าง",COUNTIF(C1436,"&lt;&gt;ตำแหน่งว่าง*"),"คนครอง")</f>
        <v>คนครอง</v>
      </c>
      <c r="W1436" s="1" cm="1">
        <f t="array" ref="W1436">_xlfn.IFS(COUNTIF(F1436,"ผบ.หมู่*"),51,COUNTIF(F1436,"รอง สว.*"),43)</f>
        <v>51</v>
      </c>
      <c r="X1436" s="1" t="s">
        <v>4130</v>
      </c>
      <c r="Y1436" s="1" t="s">
        <v>52</v>
      </c>
    </row>
    <row r="1437" spans="1:25" s="9" customFormat="1" ht="21.3" customHeight="1">
      <c r="A1437" s="27" t="s">
        <v>26</v>
      </c>
      <c r="B1437" s="28" t="s">
        <v>12</v>
      </c>
      <c r="C1437" s="27" t="s">
        <v>4132</v>
      </c>
      <c r="D1437" s="27" t="s">
        <v>8123</v>
      </c>
      <c r="E1437" s="27" t="s">
        <v>9492</v>
      </c>
      <c r="F1437" s="27" t="s">
        <v>4133</v>
      </c>
      <c r="G1437" s="101" t="s">
        <v>4135</v>
      </c>
      <c r="H1437" s="91">
        <v>44286</v>
      </c>
      <c r="I1437" s="73">
        <v>44286</v>
      </c>
      <c r="J1437" s="73">
        <v>44286</v>
      </c>
      <c r="K1437" s="73">
        <v>25000</v>
      </c>
      <c r="L1437" s="11" t="s">
        <v>4136</v>
      </c>
      <c r="M1437" s="1" t="s">
        <v>36</v>
      </c>
      <c r="N1437" s="112" t="s">
        <v>14</v>
      </c>
      <c r="O1437" s="104" t="s">
        <v>52</v>
      </c>
      <c r="P1437" s="104" t="s">
        <v>52</v>
      </c>
      <c r="Q1437" s="105"/>
      <c r="R1437" s="28" t="s">
        <v>1313</v>
      </c>
      <c r="S1437" s="225">
        <f t="shared" si="22"/>
        <v>47027</v>
      </c>
      <c r="T1437" s="2" t="s">
        <v>7692</v>
      </c>
      <c r="U1437" s="7" t="s">
        <v>128</v>
      </c>
      <c r="V1437" s="162" t="str" cm="1">
        <f t="array" ref="V1437">_xlfn.IFS(C1437="","",COUNTIF(C1437,"ตำแหน่งว่าง*"),"ว่าง",COUNTIF(C1437,"&lt;&gt;ตำแหน่งว่าง*"),"คนครอง")</f>
        <v>คนครอง</v>
      </c>
      <c r="W1437" s="5" cm="1">
        <f t="array" ref="W1437">_xlfn.IFS(COUNTIF(F1437,"ผบ.หมู่*"),51,COUNTIF(F1437,"รอง สว.*"),43)</f>
        <v>43</v>
      </c>
      <c r="X1437" s="1" t="s">
        <v>4134</v>
      </c>
      <c r="Y1437" s="1" t="s">
        <v>52</v>
      </c>
    </row>
    <row r="1438" spans="1:25" s="9" customFormat="1" ht="21.3" customHeight="1">
      <c r="A1438" s="27" t="s">
        <v>612</v>
      </c>
      <c r="B1438" s="28" t="s">
        <v>12</v>
      </c>
      <c r="C1438" s="27" t="s">
        <v>4137</v>
      </c>
      <c r="D1438" s="27" t="s">
        <v>9493</v>
      </c>
      <c r="E1438" s="27" t="s">
        <v>9494</v>
      </c>
      <c r="F1438" s="27" t="s">
        <v>4138</v>
      </c>
      <c r="G1438" s="101" t="s">
        <v>4140</v>
      </c>
      <c r="H1438" s="91">
        <v>44599</v>
      </c>
      <c r="I1438" s="73">
        <v>42416</v>
      </c>
      <c r="J1438" s="73">
        <v>42416</v>
      </c>
      <c r="K1438" s="73">
        <v>31261</v>
      </c>
      <c r="L1438" s="11" t="s">
        <v>112</v>
      </c>
      <c r="M1438" s="1" t="s">
        <v>36</v>
      </c>
      <c r="N1438" s="112" t="s">
        <v>14</v>
      </c>
      <c r="O1438" s="104" t="s">
        <v>52</v>
      </c>
      <c r="P1438" s="104" t="s">
        <v>52</v>
      </c>
      <c r="Q1438" s="105"/>
      <c r="R1438" s="28" t="s">
        <v>607</v>
      </c>
      <c r="S1438" s="225">
        <f t="shared" si="22"/>
        <v>53236</v>
      </c>
      <c r="T1438" s="2" t="s">
        <v>7692</v>
      </c>
      <c r="U1438" s="7" t="s">
        <v>128</v>
      </c>
      <c r="V1438" s="162" t="str" cm="1">
        <f t="array" ref="V1438">_xlfn.IFS(C1438="","",COUNTIF(C1438,"ตำแหน่งว่าง*"),"ว่าง",COUNTIF(C1438,"&lt;&gt;ตำแหน่งว่าง*"),"คนครอง")</f>
        <v>คนครอง</v>
      </c>
      <c r="W1438" s="6" cm="1">
        <f t="array" ref="W1438">_xlfn.IFS(COUNTIF(F1438,"ผบ.หมู่*"),51,COUNTIF(F1438,"รอง สว.*"),43)</f>
        <v>51</v>
      </c>
      <c r="X1438" s="1" t="s">
        <v>4139</v>
      </c>
      <c r="Y1438" s="1" t="s">
        <v>52</v>
      </c>
    </row>
    <row r="1439" spans="1:25" s="9" customFormat="1" ht="21.3" customHeight="1">
      <c r="A1439" s="27" t="s">
        <v>612</v>
      </c>
      <c r="B1439" s="28" t="s">
        <v>12</v>
      </c>
      <c r="C1439" s="27" t="s">
        <v>4141</v>
      </c>
      <c r="D1439" s="27" t="s">
        <v>9495</v>
      </c>
      <c r="E1439" s="27" t="s">
        <v>9496</v>
      </c>
      <c r="F1439" s="27" t="s">
        <v>4138</v>
      </c>
      <c r="G1439" s="101" t="s">
        <v>4143</v>
      </c>
      <c r="H1439" s="91">
        <v>43656</v>
      </c>
      <c r="I1439" s="73">
        <v>42309</v>
      </c>
      <c r="J1439" s="73">
        <v>42309</v>
      </c>
      <c r="K1439" s="73">
        <v>33744</v>
      </c>
      <c r="L1439" s="11" t="s">
        <v>4144</v>
      </c>
      <c r="M1439" s="1" t="s">
        <v>117</v>
      </c>
      <c r="N1439" s="112" t="s">
        <v>14</v>
      </c>
      <c r="O1439" s="104" t="s">
        <v>52</v>
      </c>
      <c r="P1439" s="104" t="s">
        <v>52</v>
      </c>
      <c r="Q1439" s="105"/>
      <c r="R1439" s="28" t="s">
        <v>2794</v>
      </c>
      <c r="S1439" s="225">
        <f t="shared" si="22"/>
        <v>55793</v>
      </c>
      <c r="T1439" s="2" t="s">
        <v>7692</v>
      </c>
      <c r="U1439" s="7" t="s">
        <v>128</v>
      </c>
      <c r="V1439" s="162" t="str" cm="1">
        <f t="array" ref="V1439">_xlfn.IFS(C1439="","",COUNTIF(C1439,"ตำแหน่งว่าง*"),"ว่าง",COUNTIF(C1439,"&lt;&gt;ตำแหน่งว่าง*"),"คนครอง")</f>
        <v>คนครอง</v>
      </c>
      <c r="W1439" s="6" cm="1">
        <f t="array" ref="W1439">_xlfn.IFS(COUNTIF(F1439,"ผบ.หมู่*"),51,COUNTIF(F1439,"รอง สว.*"),43)</f>
        <v>51</v>
      </c>
      <c r="X1439" s="1" t="s">
        <v>4142</v>
      </c>
      <c r="Y1439" s="1" t="s">
        <v>52</v>
      </c>
    </row>
    <row r="1440" spans="1:25" s="9" customFormat="1" ht="21.3" customHeight="1">
      <c r="A1440" s="27" t="s">
        <v>60</v>
      </c>
      <c r="B1440" s="28" t="s">
        <v>21</v>
      </c>
      <c r="C1440" s="27" t="s">
        <v>4145</v>
      </c>
      <c r="D1440" s="27" t="s">
        <v>9497</v>
      </c>
      <c r="E1440" s="27" t="s">
        <v>9498</v>
      </c>
      <c r="F1440" s="27" t="s">
        <v>4133</v>
      </c>
      <c r="G1440" s="101" t="s">
        <v>4147</v>
      </c>
      <c r="H1440" s="75">
        <v>42940</v>
      </c>
      <c r="I1440" s="73">
        <v>34729</v>
      </c>
      <c r="J1440" s="73">
        <v>34729</v>
      </c>
      <c r="K1440" s="73">
        <v>26480</v>
      </c>
      <c r="L1440" s="11" t="s">
        <v>4148</v>
      </c>
      <c r="M1440" s="1" t="s">
        <v>36</v>
      </c>
      <c r="N1440" s="112" t="s">
        <v>14</v>
      </c>
      <c r="O1440" s="104" t="s">
        <v>52</v>
      </c>
      <c r="P1440" s="104" t="s">
        <v>52</v>
      </c>
      <c r="Q1440" s="105"/>
      <c r="R1440" s="28" t="s">
        <v>718</v>
      </c>
      <c r="S1440" s="225">
        <f t="shared" si="22"/>
        <v>48488</v>
      </c>
      <c r="T1440" s="2" t="s">
        <v>7692</v>
      </c>
      <c r="U1440" s="7" t="s">
        <v>128</v>
      </c>
      <c r="V1440" s="162" t="str" cm="1">
        <f t="array" ref="V1440">_xlfn.IFS(C1440="","",COUNTIF(C1440,"ตำแหน่งว่าง*"),"ว่าง",COUNTIF(C1440,"&lt;&gt;ตำแหน่งว่าง*"),"คนครอง")</f>
        <v>คนครอง</v>
      </c>
      <c r="W1440" s="6" cm="1">
        <f t="array" ref="W1440">_xlfn.IFS(COUNTIF(F1440,"ผบ.หมู่*"),51,COUNTIF(F1440,"รอง สว.*"),43)</f>
        <v>43</v>
      </c>
      <c r="X1440" s="1" t="s">
        <v>4146</v>
      </c>
      <c r="Y1440" s="1" t="s">
        <v>52</v>
      </c>
    </row>
    <row r="1441" spans="1:25" s="9" customFormat="1" ht="21.3" customHeight="1">
      <c r="A1441" s="27" t="s">
        <v>30</v>
      </c>
      <c r="B1441" s="28" t="s">
        <v>12</v>
      </c>
      <c r="C1441" s="27" t="s">
        <v>4149</v>
      </c>
      <c r="D1441" s="27" t="s">
        <v>8011</v>
      </c>
      <c r="E1441" s="27" t="s">
        <v>9499</v>
      </c>
      <c r="F1441" s="27" t="s">
        <v>4150</v>
      </c>
      <c r="G1441" s="101" t="s">
        <v>4152</v>
      </c>
      <c r="H1441" s="91">
        <v>43555</v>
      </c>
      <c r="I1441" s="73">
        <v>43555</v>
      </c>
      <c r="J1441" s="73">
        <v>43555</v>
      </c>
      <c r="K1441" s="73">
        <v>24295</v>
      </c>
      <c r="L1441" s="11" t="s">
        <v>4153</v>
      </c>
      <c r="M1441" s="1" t="s">
        <v>36</v>
      </c>
      <c r="N1441" s="112" t="s">
        <v>14</v>
      </c>
      <c r="O1441" s="104" t="s">
        <v>52</v>
      </c>
      <c r="P1441" s="104" t="s">
        <v>52</v>
      </c>
      <c r="Q1441" s="105"/>
      <c r="R1441" s="28" t="s">
        <v>2892</v>
      </c>
      <c r="S1441" s="225">
        <f t="shared" si="22"/>
        <v>46296</v>
      </c>
      <c r="T1441" s="2" t="s">
        <v>7693</v>
      </c>
      <c r="U1441" s="7" t="s">
        <v>128</v>
      </c>
      <c r="V1441" s="162" t="str" cm="1">
        <f t="array" ref="V1441">_xlfn.IFS(C1441="","",COUNTIF(C1441,"ตำแหน่งว่าง*"),"ว่าง",COUNTIF(C1441,"&lt;&gt;ตำแหน่งว่าง*"),"คนครอง")</f>
        <v>คนครอง</v>
      </c>
      <c r="W1441" s="5" cm="1">
        <f t="array" ref="W1441">_xlfn.IFS(COUNTIF(F1441,"ผบ.หมู่*"),51,COUNTIF(F1441,"รอง สว.*"),43)</f>
        <v>43</v>
      </c>
      <c r="X1441" s="1" t="s">
        <v>4151</v>
      </c>
      <c r="Y1441" s="1" t="s">
        <v>52</v>
      </c>
    </row>
    <row r="1442" spans="1:25" s="9" customFormat="1" ht="21.3" customHeight="1">
      <c r="A1442" s="27" t="s">
        <v>10753</v>
      </c>
      <c r="B1442" s="28" t="s">
        <v>21</v>
      </c>
      <c r="C1442" s="27" t="s">
        <v>4154</v>
      </c>
      <c r="D1442" s="27" t="s">
        <v>8145</v>
      </c>
      <c r="E1442" s="27" t="s">
        <v>9500</v>
      </c>
      <c r="F1442" s="27" t="s">
        <v>4150</v>
      </c>
      <c r="G1442" s="101" t="s">
        <v>4156</v>
      </c>
      <c r="H1442" s="91">
        <v>45016</v>
      </c>
      <c r="I1442" s="73">
        <v>45016</v>
      </c>
      <c r="J1442" s="73">
        <v>34352</v>
      </c>
      <c r="K1442" s="73">
        <v>25603</v>
      </c>
      <c r="L1442" s="11" t="s">
        <v>133</v>
      </c>
      <c r="M1442" s="1" t="s">
        <v>36</v>
      </c>
      <c r="N1442" s="112" t="s">
        <v>14</v>
      </c>
      <c r="O1442" s="104" t="s">
        <v>52</v>
      </c>
      <c r="P1442" s="104" t="s">
        <v>52</v>
      </c>
      <c r="Q1442" s="105"/>
      <c r="R1442" s="28" t="s">
        <v>483</v>
      </c>
      <c r="S1442" s="225">
        <f t="shared" si="22"/>
        <v>47757</v>
      </c>
      <c r="T1442" s="2" t="s">
        <v>7693</v>
      </c>
      <c r="U1442" s="7" t="s">
        <v>128</v>
      </c>
      <c r="V1442" s="162" t="str" cm="1">
        <f t="array" ref="V1442">_xlfn.IFS(C1442="","",COUNTIF(C1442,"ตำแหน่งว่าง*"),"ว่าง",COUNTIF(C1442,"&lt;&gt;ตำแหน่งว่าง*"),"คนครอง")</f>
        <v>คนครอง</v>
      </c>
      <c r="W1442" s="5" cm="1">
        <f t="array" ref="W1442">_xlfn.IFS(COUNTIF(F1442,"ผบ.หมู่*"),51,COUNTIF(F1442,"รอง สว.*"),43)</f>
        <v>43</v>
      </c>
      <c r="X1442" s="1" t="s">
        <v>4155</v>
      </c>
      <c r="Y1442" s="1" t="s">
        <v>52</v>
      </c>
    </row>
    <row r="1443" spans="1:25" s="9" customFormat="1" ht="21.3" customHeight="1">
      <c r="A1443" s="27" t="s">
        <v>157</v>
      </c>
      <c r="B1443" s="28" t="s">
        <v>21</v>
      </c>
      <c r="C1443" s="27" t="s">
        <v>4157</v>
      </c>
      <c r="D1443" s="27" t="s">
        <v>9501</v>
      </c>
      <c r="E1443" s="27" t="s">
        <v>9502</v>
      </c>
      <c r="F1443" s="27" t="s">
        <v>4158</v>
      </c>
      <c r="G1443" s="101" t="s">
        <v>4160</v>
      </c>
      <c r="H1443" s="91">
        <v>42501</v>
      </c>
      <c r="I1443" s="73">
        <v>34352</v>
      </c>
      <c r="J1443" s="73">
        <v>34352</v>
      </c>
      <c r="K1443" s="73">
        <v>26684</v>
      </c>
      <c r="L1443" s="11" t="s">
        <v>133</v>
      </c>
      <c r="M1443" s="1" t="s">
        <v>36</v>
      </c>
      <c r="N1443" s="112" t="s">
        <v>14</v>
      </c>
      <c r="O1443" s="104" t="s">
        <v>52</v>
      </c>
      <c r="P1443" s="104" t="s">
        <v>52</v>
      </c>
      <c r="Q1443" s="105"/>
      <c r="R1443" s="28" t="s">
        <v>110</v>
      </c>
      <c r="S1443" s="225">
        <f t="shared" si="22"/>
        <v>48853</v>
      </c>
      <c r="T1443" s="2" t="s">
        <v>7693</v>
      </c>
      <c r="U1443" s="7" t="s">
        <v>128</v>
      </c>
      <c r="V1443" s="162" t="str" cm="1">
        <f t="array" ref="V1443">_xlfn.IFS(C1443="","",COUNTIF(C1443,"ตำแหน่งว่าง*"),"ว่าง",COUNTIF(C1443,"&lt;&gt;ตำแหน่งว่าง*"),"คนครอง")</f>
        <v>คนครอง</v>
      </c>
      <c r="W1443" s="6" cm="1">
        <f t="array" ref="W1443">_xlfn.IFS(COUNTIF(F1443,"ผบ.หมู่*"),51,COUNTIF(F1443,"รอง สว.*"),43)</f>
        <v>51</v>
      </c>
      <c r="X1443" s="1" t="s">
        <v>4159</v>
      </c>
      <c r="Y1443" s="1" t="s">
        <v>52</v>
      </c>
    </row>
    <row r="1444" spans="1:25" s="9" customFormat="1" ht="21.3" customHeight="1">
      <c r="A1444" s="27" t="s">
        <v>10753</v>
      </c>
      <c r="B1444" s="28" t="s">
        <v>21</v>
      </c>
      <c r="C1444" s="27" t="s">
        <v>4161</v>
      </c>
      <c r="D1444" s="27" t="s">
        <v>9503</v>
      </c>
      <c r="E1444" s="27" t="s">
        <v>9504</v>
      </c>
      <c r="F1444" s="27" t="s">
        <v>4150</v>
      </c>
      <c r="G1444" s="101" t="s">
        <v>4163</v>
      </c>
      <c r="H1444" s="91">
        <v>45016</v>
      </c>
      <c r="I1444" s="73">
        <v>45016</v>
      </c>
      <c r="J1444" s="73">
        <v>37316</v>
      </c>
      <c r="K1444" s="73">
        <v>25593</v>
      </c>
      <c r="L1444" s="11" t="s">
        <v>4033</v>
      </c>
      <c r="M1444" s="1" t="s">
        <v>36</v>
      </c>
      <c r="N1444" s="112" t="s">
        <v>14</v>
      </c>
      <c r="O1444" s="104" t="s">
        <v>52</v>
      </c>
      <c r="P1444" s="104" t="s">
        <v>52</v>
      </c>
      <c r="Q1444" s="105"/>
      <c r="R1444" s="28" t="s">
        <v>483</v>
      </c>
      <c r="S1444" s="225">
        <f t="shared" si="22"/>
        <v>47757</v>
      </c>
      <c r="T1444" s="2" t="s">
        <v>7693</v>
      </c>
      <c r="U1444" s="7" t="s">
        <v>128</v>
      </c>
      <c r="V1444" s="162" t="str" cm="1">
        <f t="array" ref="V1444">_xlfn.IFS(C1444="","",COUNTIF(C1444,"ตำแหน่งว่าง*"),"ว่าง",COUNTIF(C1444,"&lt;&gt;ตำแหน่งว่าง*"),"คนครอง")</f>
        <v>คนครอง</v>
      </c>
      <c r="W1444" s="5" cm="1">
        <f t="array" ref="W1444">_xlfn.IFS(COUNTIF(F1444,"ผบ.หมู่*"),51,COUNTIF(F1444,"รอง สว.*"),43)</f>
        <v>43</v>
      </c>
      <c r="X1444" s="1" t="s">
        <v>4162</v>
      </c>
      <c r="Y1444" s="1" t="s">
        <v>52</v>
      </c>
    </row>
    <row r="1445" spans="1:25" s="12" customFormat="1" ht="21.3" customHeight="1">
      <c r="A1445" s="27" t="s">
        <v>44</v>
      </c>
      <c r="B1445" s="31" t="s">
        <v>21</v>
      </c>
      <c r="C1445" s="95" t="s">
        <v>4164</v>
      </c>
      <c r="D1445" s="27" t="s">
        <v>8226</v>
      </c>
      <c r="E1445" s="27" t="s">
        <v>9505</v>
      </c>
      <c r="F1445" s="95" t="s">
        <v>4165</v>
      </c>
      <c r="G1445" s="101" t="s">
        <v>4167</v>
      </c>
      <c r="H1445" s="92">
        <v>44651</v>
      </c>
      <c r="I1445" s="76">
        <v>44651</v>
      </c>
      <c r="J1445" s="76">
        <v>34352</v>
      </c>
      <c r="K1445" s="76">
        <v>25308</v>
      </c>
      <c r="L1445" s="17" t="s">
        <v>4168</v>
      </c>
      <c r="M1445" s="5" t="s">
        <v>36</v>
      </c>
      <c r="N1445" s="111" t="s">
        <v>14</v>
      </c>
      <c r="O1445" s="104" t="s">
        <v>52</v>
      </c>
      <c r="P1445" s="104" t="s">
        <v>52</v>
      </c>
      <c r="Q1445" s="108"/>
      <c r="R1445" s="31" t="s">
        <v>2856</v>
      </c>
      <c r="S1445" s="225">
        <f t="shared" si="22"/>
        <v>47392</v>
      </c>
      <c r="T1445" s="162" t="s">
        <v>7694</v>
      </c>
      <c r="U1445" s="7" t="s">
        <v>128</v>
      </c>
      <c r="V1445" s="162" t="str" cm="1">
        <f t="array" ref="V1445">_xlfn.IFS(C1445="","",COUNTIF(C1445,"ตำแหน่งว่าง*"),"ว่าง",COUNTIF(C1445,"&lt;&gt;ตำแหน่งว่าง*"),"คนครอง")</f>
        <v>คนครอง</v>
      </c>
      <c r="W1445" s="5" cm="1">
        <f t="array" ref="W1445">_xlfn.IFS(COUNTIF(F1445,"ผบ.หมู่*"),51,COUNTIF(F1445,"รอง สว.*"),43)</f>
        <v>43</v>
      </c>
      <c r="X1445" s="5" t="s">
        <v>4166</v>
      </c>
      <c r="Y1445" s="5" t="s">
        <v>52</v>
      </c>
    </row>
    <row r="1446" spans="1:25" s="9" customFormat="1" ht="21.3" customHeight="1">
      <c r="A1446" s="27" t="s">
        <v>10753</v>
      </c>
      <c r="B1446" s="28" t="s">
        <v>21</v>
      </c>
      <c r="C1446" s="27" t="s">
        <v>4173</v>
      </c>
      <c r="D1446" s="27" t="s">
        <v>9506</v>
      </c>
      <c r="E1446" s="27" t="s">
        <v>9507</v>
      </c>
      <c r="F1446" s="27" t="s">
        <v>4165</v>
      </c>
      <c r="G1446" s="101" t="s">
        <v>4175</v>
      </c>
      <c r="H1446" s="91">
        <v>45016</v>
      </c>
      <c r="I1446" s="73">
        <v>45016</v>
      </c>
      <c r="J1446" s="73">
        <v>35095</v>
      </c>
      <c r="K1446" s="73">
        <v>25834</v>
      </c>
      <c r="L1446" s="11" t="s">
        <v>4033</v>
      </c>
      <c r="M1446" s="1" t="s">
        <v>36</v>
      </c>
      <c r="N1446" s="112" t="s">
        <v>14</v>
      </c>
      <c r="O1446" s="104" t="s">
        <v>52</v>
      </c>
      <c r="P1446" s="104" t="s">
        <v>52</v>
      </c>
      <c r="Q1446" s="105"/>
      <c r="R1446" s="28" t="s">
        <v>483</v>
      </c>
      <c r="S1446" s="225">
        <f t="shared" si="22"/>
        <v>47757</v>
      </c>
      <c r="T1446" s="2" t="s">
        <v>7694</v>
      </c>
      <c r="U1446" s="7" t="s">
        <v>128</v>
      </c>
      <c r="V1446" s="162" t="str" cm="1">
        <f t="array" ref="V1446">_xlfn.IFS(C1446="","",COUNTIF(C1446,"ตำแหน่งว่าง*"),"ว่าง",COUNTIF(C1446,"&lt;&gt;ตำแหน่งว่าง*"),"คนครอง")</f>
        <v>คนครอง</v>
      </c>
      <c r="W1446" s="5" cm="1">
        <f t="array" ref="W1446">_xlfn.IFS(COUNTIF(F1446,"ผบ.หมู่*"),51,COUNTIF(F1446,"รอง สว.*"),43)</f>
        <v>43</v>
      </c>
      <c r="X1446" s="1" t="s">
        <v>4174</v>
      </c>
      <c r="Y1446" s="1" t="s">
        <v>52</v>
      </c>
    </row>
    <row r="1447" spans="1:25" s="9" customFormat="1" ht="21.3" customHeight="1">
      <c r="A1447" s="27" t="s">
        <v>157</v>
      </c>
      <c r="B1447" s="28" t="s">
        <v>12</v>
      </c>
      <c r="C1447" s="27" t="s">
        <v>4169</v>
      </c>
      <c r="D1447" s="27" t="s">
        <v>9508</v>
      </c>
      <c r="E1447" s="27" t="s">
        <v>9509</v>
      </c>
      <c r="F1447" s="27" t="s">
        <v>4170</v>
      </c>
      <c r="G1447" s="101" t="s">
        <v>4172</v>
      </c>
      <c r="H1447" s="91">
        <v>44999</v>
      </c>
      <c r="I1447" s="73">
        <v>41214</v>
      </c>
      <c r="J1447" s="73">
        <v>41214</v>
      </c>
      <c r="K1447" s="73">
        <v>31456</v>
      </c>
      <c r="L1447" s="11" t="s">
        <v>116</v>
      </c>
      <c r="M1447" s="1" t="s">
        <v>36</v>
      </c>
      <c r="N1447" s="112" t="s">
        <v>14</v>
      </c>
      <c r="O1447" s="104" t="s">
        <v>52</v>
      </c>
      <c r="P1447" s="104" t="s">
        <v>52</v>
      </c>
      <c r="Q1447" s="105"/>
      <c r="R1447" s="28" t="s">
        <v>74</v>
      </c>
      <c r="S1447" s="225">
        <f t="shared" si="22"/>
        <v>53601</v>
      </c>
      <c r="T1447" s="2" t="s">
        <v>7694</v>
      </c>
      <c r="U1447" s="7" t="s">
        <v>128</v>
      </c>
      <c r="V1447" s="162" t="str" cm="1">
        <f t="array" ref="V1447">_xlfn.IFS(C1447="","",COUNTIF(C1447,"ตำแหน่งว่าง*"),"ว่าง",COUNTIF(C1447,"&lt;&gt;ตำแหน่งว่าง*"),"คนครอง")</f>
        <v>คนครอง</v>
      </c>
      <c r="W1447" s="6" cm="1">
        <f t="array" ref="W1447">_xlfn.IFS(COUNTIF(F1447,"ผบ.หมู่*"),51,COUNTIF(F1447,"รอง สว.*"),43)</f>
        <v>51</v>
      </c>
      <c r="X1447" s="1" t="s">
        <v>4171</v>
      </c>
      <c r="Y1447" s="1" t="s">
        <v>52</v>
      </c>
    </row>
    <row r="1448" spans="1:25" s="9" customFormat="1" ht="21.3" customHeight="1">
      <c r="A1448" s="27" t="s">
        <v>157</v>
      </c>
      <c r="B1448" s="28" t="s">
        <v>21</v>
      </c>
      <c r="C1448" s="27" t="s">
        <v>4176</v>
      </c>
      <c r="D1448" s="27" t="s">
        <v>8349</v>
      </c>
      <c r="E1448" s="27" t="s">
        <v>9510</v>
      </c>
      <c r="F1448" s="27" t="s">
        <v>4170</v>
      </c>
      <c r="G1448" s="101" t="s">
        <v>4178</v>
      </c>
      <c r="H1448" s="75">
        <v>42501</v>
      </c>
      <c r="I1448" s="73">
        <v>34729</v>
      </c>
      <c r="J1448" s="73">
        <v>34729</v>
      </c>
      <c r="K1448" s="73">
        <v>27812</v>
      </c>
      <c r="L1448" s="11" t="s">
        <v>4042</v>
      </c>
      <c r="M1448" s="1" t="s">
        <v>36</v>
      </c>
      <c r="N1448" s="112" t="s">
        <v>14</v>
      </c>
      <c r="O1448" s="104" t="s">
        <v>52</v>
      </c>
      <c r="P1448" s="104" t="s">
        <v>52</v>
      </c>
      <c r="Q1448" s="105"/>
      <c r="R1448" s="28" t="s">
        <v>110</v>
      </c>
      <c r="S1448" s="225">
        <f t="shared" si="22"/>
        <v>49949</v>
      </c>
      <c r="T1448" s="2" t="s">
        <v>7694</v>
      </c>
      <c r="U1448" s="7" t="s">
        <v>128</v>
      </c>
      <c r="V1448" s="162" t="str" cm="1">
        <f t="array" ref="V1448">_xlfn.IFS(C1448="","",COUNTIF(C1448,"ตำแหน่งว่าง*"),"ว่าง",COUNTIF(C1448,"&lt;&gt;ตำแหน่งว่าง*"),"คนครอง")</f>
        <v>คนครอง</v>
      </c>
      <c r="W1448" s="6" cm="1">
        <f t="array" ref="W1448">_xlfn.IFS(COUNTIF(F1448,"ผบ.หมู่*"),51,COUNTIF(F1448,"รอง สว.*"),43)</f>
        <v>51</v>
      </c>
      <c r="X1448" s="1" t="s">
        <v>4177</v>
      </c>
      <c r="Y1448" s="1" t="s">
        <v>52</v>
      </c>
    </row>
    <row r="1449" spans="1:25" s="9" customFormat="1" ht="21.3" customHeight="1">
      <c r="A1449" s="27" t="s">
        <v>157</v>
      </c>
      <c r="B1449" s="28" t="s">
        <v>21</v>
      </c>
      <c r="C1449" s="27" t="s">
        <v>10746</v>
      </c>
      <c r="D1449" s="27" t="s">
        <v>10747</v>
      </c>
      <c r="E1449" s="27" t="s">
        <v>10748</v>
      </c>
      <c r="F1449" s="27" t="s">
        <v>4170</v>
      </c>
      <c r="G1449" s="101" t="s">
        <v>4180</v>
      </c>
      <c r="H1449" s="91">
        <v>45768</v>
      </c>
      <c r="I1449" s="73" t="s">
        <v>7609</v>
      </c>
      <c r="J1449" s="73" t="s">
        <v>7609</v>
      </c>
      <c r="K1449" s="73">
        <v>26110</v>
      </c>
      <c r="L1449" s="11" t="s">
        <v>10829</v>
      </c>
      <c r="M1449" s="1" t="s">
        <v>7609</v>
      </c>
      <c r="N1449" s="112" t="s">
        <v>14</v>
      </c>
      <c r="O1449" s="104" t="s">
        <v>52</v>
      </c>
      <c r="P1449" s="104" t="s">
        <v>52</v>
      </c>
      <c r="Q1449" s="105"/>
      <c r="R1449" s="28" t="s">
        <v>10804</v>
      </c>
      <c r="S1449" s="174">
        <f t="shared" si="22"/>
        <v>48122</v>
      </c>
      <c r="T1449" s="2" t="s">
        <v>7694</v>
      </c>
      <c r="U1449" s="2" t="s">
        <v>128</v>
      </c>
      <c r="V1449" s="203" t="str" cm="1">
        <f t="array" ref="V1449">_xlfn.IFS(C1449="","",COUNTIF(C1449,"ตำแหน่งว่าง*"),"ว่าง",COUNTIF(C1449,"&lt;&gt;ตำแหน่งว่าง*"),"คนครอง")</f>
        <v>คนครอง</v>
      </c>
      <c r="W1449" s="1" cm="1">
        <f t="array" ref="W1449">_xlfn.IFS(COUNTIF(F1449,"ผบ.หมู่*"),51,COUNTIF(F1449,"รอง สว.*"),43)</f>
        <v>51</v>
      </c>
      <c r="X1449" s="1" t="s">
        <v>4179</v>
      </c>
      <c r="Y1449" s="1" t="s">
        <v>52</v>
      </c>
    </row>
    <row r="1450" spans="1:25" s="9" customFormat="1" ht="21.3" customHeight="1">
      <c r="A1450" s="27"/>
      <c r="B1450" s="28"/>
      <c r="C1450" s="30" t="s">
        <v>18</v>
      </c>
      <c r="D1450" s="27"/>
      <c r="E1450" s="27"/>
      <c r="F1450" s="68" t="s">
        <v>4181</v>
      </c>
      <c r="G1450" s="121" t="s">
        <v>4183</v>
      </c>
      <c r="H1450" s="93"/>
      <c r="I1450" s="74"/>
      <c r="J1450" s="74"/>
      <c r="K1450" s="74"/>
      <c r="L1450" s="16"/>
      <c r="M1450" s="6"/>
      <c r="N1450" s="113" t="s">
        <v>14</v>
      </c>
      <c r="O1450" s="122" t="s">
        <v>52</v>
      </c>
      <c r="P1450" s="122" t="s">
        <v>52</v>
      </c>
      <c r="Q1450" s="106"/>
      <c r="R1450" s="30"/>
      <c r="S1450" s="225" t="str">
        <f t="shared" si="22"/>
        <v/>
      </c>
      <c r="T1450" s="2" t="s">
        <v>7695</v>
      </c>
      <c r="U1450" s="7" t="s">
        <v>128</v>
      </c>
      <c r="V1450" s="171" t="str" cm="1">
        <f t="array" ref="V1450">_xlfn.IFS(C1450="","",COUNTIF(C1450,"ตำแหน่งว่าง*"),"ว่าง",COUNTIF(C1450,"&lt;&gt;ตำแหน่งว่าง*"),"คนครอง")</f>
        <v>ว่าง</v>
      </c>
      <c r="W1450" s="6" cm="1">
        <f t="array" ref="W1450">_xlfn.IFS(COUNTIF(F1450,"ผบ.หมู่*"),51,COUNTIF(F1450,"รอง สว.*"),43)</f>
        <v>51</v>
      </c>
      <c r="X1450" s="6" t="s">
        <v>4182</v>
      </c>
      <c r="Y1450" s="6" t="s">
        <v>52</v>
      </c>
    </row>
    <row r="1451" spans="1:25" s="9" customFormat="1" ht="21.3" customHeight="1">
      <c r="A1451" s="27" t="s">
        <v>157</v>
      </c>
      <c r="B1451" s="28" t="s">
        <v>21</v>
      </c>
      <c r="C1451" s="27" t="s">
        <v>4184</v>
      </c>
      <c r="D1451" s="27" t="s">
        <v>9511</v>
      </c>
      <c r="E1451" s="27" t="s">
        <v>9512</v>
      </c>
      <c r="F1451" s="27" t="s">
        <v>4181</v>
      </c>
      <c r="G1451" s="101" t="s">
        <v>4186</v>
      </c>
      <c r="H1451" s="91">
        <v>43235</v>
      </c>
      <c r="I1451" s="73">
        <v>40339</v>
      </c>
      <c r="J1451" s="73">
        <v>40339</v>
      </c>
      <c r="K1451" s="73">
        <v>29949</v>
      </c>
      <c r="L1451" s="11" t="s">
        <v>68</v>
      </c>
      <c r="M1451" s="1" t="s">
        <v>81</v>
      </c>
      <c r="N1451" s="112" t="s">
        <v>14</v>
      </c>
      <c r="O1451" s="104" t="s">
        <v>52</v>
      </c>
      <c r="P1451" s="104" t="s">
        <v>52</v>
      </c>
      <c r="Q1451" s="105"/>
      <c r="R1451" s="28" t="s">
        <v>924</v>
      </c>
      <c r="S1451" s="225">
        <f t="shared" si="22"/>
        <v>52140</v>
      </c>
      <c r="T1451" s="2" t="s">
        <v>7695</v>
      </c>
      <c r="U1451" s="7" t="s">
        <v>128</v>
      </c>
      <c r="V1451" s="162" t="str" cm="1">
        <f t="array" ref="V1451">_xlfn.IFS(C1451="","",COUNTIF(C1451,"ตำแหน่งว่าง*"),"ว่าง",COUNTIF(C1451,"&lt;&gt;ตำแหน่งว่าง*"),"คนครอง")</f>
        <v>คนครอง</v>
      </c>
      <c r="W1451" s="6" cm="1">
        <f t="array" ref="W1451">_xlfn.IFS(COUNTIF(F1451,"ผบ.หมู่*"),51,COUNTIF(F1451,"รอง สว.*"),43)</f>
        <v>51</v>
      </c>
      <c r="X1451" s="1" t="s">
        <v>4185</v>
      </c>
      <c r="Y1451" s="1" t="s">
        <v>52</v>
      </c>
    </row>
    <row r="1452" spans="1:25" s="9" customFormat="1" ht="21.3" customHeight="1">
      <c r="A1452" s="27" t="s">
        <v>612</v>
      </c>
      <c r="B1452" s="28" t="s">
        <v>12</v>
      </c>
      <c r="C1452" s="27" t="s">
        <v>4187</v>
      </c>
      <c r="D1452" s="27" t="s">
        <v>8217</v>
      </c>
      <c r="E1452" s="27" t="s">
        <v>9513</v>
      </c>
      <c r="F1452" s="27" t="s">
        <v>4181</v>
      </c>
      <c r="G1452" s="101" t="s">
        <v>4189</v>
      </c>
      <c r="H1452" s="75">
        <v>43871</v>
      </c>
      <c r="I1452" s="73">
        <v>41944</v>
      </c>
      <c r="J1452" s="73">
        <v>41944</v>
      </c>
      <c r="K1452" s="73">
        <v>31446</v>
      </c>
      <c r="L1452" s="11" t="s">
        <v>640</v>
      </c>
      <c r="M1452" s="1" t="s">
        <v>36</v>
      </c>
      <c r="N1452" s="112" t="s">
        <v>14</v>
      </c>
      <c r="O1452" s="104" t="s">
        <v>52</v>
      </c>
      <c r="P1452" s="104" t="s">
        <v>52</v>
      </c>
      <c r="Q1452" s="105"/>
      <c r="R1452" s="26" t="s">
        <v>688</v>
      </c>
      <c r="S1452" s="225">
        <f t="shared" si="22"/>
        <v>53601</v>
      </c>
      <c r="T1452" s="2" t="s">
        <v>7695</v>
      </c>
      <c r="U1452" s="7" t="s">
        <v>128</v>
      </c>
      <c r="V1452" s="162" t="str" cm="1">
        <f t="array" ref="V1452">_xlfn.IFS(C1452="","",COUNTIF(C1452,"ตำแหน่งว่าง*"),"ว่าง",COUNTIF(C1452,"&lt;&gt;ตำแหน่งว่าง*"),"คนครอง")</f>
        <v>คนครอง</v>
      </c>
      <c r="W1452" s="6" cm="1">
        <f t="array" ref="W1452">_xlfn.IFS(COUNTIF(F1452,"ผบ.หมู่*"),51,COUNTIF(F1452,"รอง สว.*"),43)</f>
        <v>51</v>
      </c>
      <c r="X1452" s="1" t="s">
        <v>4188</v>
      </c>
      <c r="Y1452" s="1" t="s">
        <v>52</v>
      </c>
    </row>
    <row r="1453" spans="1:25" s="12" customFormat="1" ht="21.3" customHeight="1">
      <c r="A1453" s="27" t="s">
        <v>157</v>
      </c>
      <c r="B1453" s="28" t="s">
        <v>21</v>
      </c>
      <c r="C1453" s="95" t="s">
        <v>4190</v>
      </c>
      <c r="D1453" s="27" t="s">
        <v>9514</v>
      </c>
      <c r="E1453" s="27" t="s">
        <v>9515</v>
      </c>
      <c r="F1453" s="95" t="s">
        <v>4181</v>
      </c>
      <c r="G1453" s="101" t="s">
        <v>4192</v>
      </c>
      <c r="H1453" s="75">
        <v>42604</v>
      </c>
      <c r="I1453" s="73">
        <v>40084</v>
      </c>
      <c r="J1453" s="73">
        <v>40084</v>
      </c>
      <c r="K1453" s="73">
        <v>29820</v>
      </c>
      <c r="L1453" s="11" t="s">
        <v>31</v>
      </c>
      <c r="M1453" s="1" t="s">
        <v>36</v>
      </c>
      <c r="N1453" s="111" t="s">
        <v>14</v>
      </c>
      <c r="O1453" s="104" t="s">
        <v>52</v>
      </c>
      <c r="P1453" s="104" t="s">
        <v>52</v>
      </c>
      <c r="Q1453" s="105"/>
      <c r="R1453" s="28" t="s">
        <v>76</v>
      </c>
      <c r="S1453" s="225">
        <f t="shared" si="22"/>
        <v>51775</v>
      </c>
      <c r="T1453" s="162" t="s">
        <v>7695</v>
      </c>
      <c r="U1453" s="7" t="s">
        <v>128</v>
      </c>
      <c r="V1453" s="162" t="str" cm="1">
        <f t="array" ref="V1453">_xlfn.IFS(C1453="","",COUNTIF(C1453,"ตำแหน่งว่าง*"),"ว่าง",COUNTIF(C1453,"&lt;&gt;ตำแหน่งว่าง*"),"คนครอง")</f>
        <v>คนครอง</v>
      </c>
      <c r="W1453" s="6" cm="1">
        <f t="array" ref="W1453">_xlfn.IFS(COUNTIF(F1453,"ผบ.หมู่*"),51,COUNTIF(F1453,"รอง สว.*"),43)</f>
        <v>51</v>
      </c>
      <c r="X1453" s="5" t="s">
        <v>4191</v>
      </c>
      <c r="Y1453" s="5" t="s">
        <v>52</v>
      </c>
    </row>
    <row r="1454" spans="1:25" s="9" customFormat="1" ht="23.25">
      <c r="A1454" s="27" t="s">
        <v>157</v>
      </c>
      <c r="B1454" s="28" t="s">
        <v>21</v>
      </c>
      <c r="C1454" s="27" t="s">
        <v>10702</v>
      </c>
      <c r="D1454" s="27" t="s">
        <v>8335</v>
      </c>
      <c r="E1454" s="27" t="s">
        <v>10703</v>
      </c>
      <c r="F1454" s="27" t="s">
        <v>4193</v>
      </c>
      <c r="G1454" s="101" t="s">
        <v>4195</v>
      </c>
      <c r="H1454" s="91">
        <v>43235</v>
      </c>
      <c r="I1454" s="73">
        <v>34729</v>
      </c>
      <c r="J1454" s="73">
        <v>34729</v>
      </c>
      <c r="K1454" s="73">
        <v>26786</v>
      </c>
      <c r="L1454" s="11" t="s">
        <v>4042</v>
      </c>
      <c r="M1454" s="1" t="s">
        <v>36</v>
      </c>
      <c r="N1454" s="112" t="s">
        <v>14</v>
      </c>
      <c r="O1454" s="104" t="s">
        <v>52</v>
      </c>
      <c r="P1454" s="104" t="s">
        <v>52</v>
      </c>
      <c r="Q1454" s="105"/>
      <c r="R1454" s="28" t="s">
        <v>3492</v>
      </c>
      <c r="S1454" s="225">
        <f t="shared" si="22"/>
        <v>48853</v>
      </c>
      <c r="T1454" s="2" t="s">
        <v>7696</v>
      </c>
      <c r="U1454" s="7" t="s">
        <v>128</v>
      </c>
      <c r="V1454" s="162" t="str" cm="1">
        <f t="array" ref="V1454">_xlfn.IFS(C1454="","",COUNTIF(C1454,"ตำแหน่งว่าง*"),"ว่าง",COUNTIF(C1454,"&lt;&gt;ตำแหน่งว่าง*"),"คนครอง")</f>
        <v>คนครอง</v>
      </c>
      <c r="W1454" s="6" cm="1">
        <f t="array" ref="W1454">_xlfn.IFS(COUNTIF(F1454,"ผบ.หมู่*"),51,COUNTIF(F1454,"รอง สว.*"),43)</f>
        <v>51</v>
      </c>
      <c r="X1454" s="1" t="s">
        <v>4194</v>
      </c>
      <c r="Y1454" s="1" t="s">
        <v>52</v>
      </c>
    </row>
    <row r="1455" spans="1:25" s="9" customFormat="1" ht="21.3" customHeight="1">
      <c r="A1455" s="27" t="s">
        <v>157</v>
      </c>
      <c r="B1455" s="28" t="s">
        <v>21</v>
      </c>
      <c r="C1455" s="27" t="s">
        <v>3987</v>
      </c>
      <c r="D1455" s="27" t="s">
        <v>9516</v>
      </c>
      <c r="E1455" s="27" t="s">
        <v>9517</v>
      </c>
      <c r="F1455" s="27" t="s">
        <v>4193</v>
      </c>
      <c r="G1455" s="101" t="s">
        <v>4198</v>
      </c>
      <c r="H1455" s="91">
        <v>45322</v>
      </c>
      <c r="I1455" s="73">
        <v>41214</v>
      </c>
      <c r="J1455" s="73">
        <v>41214</v>
      </c>
      <c r="K1455" s="73">
        <v>32446</v>
      </c>
      <c r="L1455" s="11" t="s">
        <v>82</v>
      </c>
      <c r="M1455" s="1" t="s">
        <v>86</v>
      </c>
      <c r="N1455" s="112" t="s">
        <v>14</v>
      </c>
      <c r="O1455" s="104" t="s">
        <v>52</v>
      </c>
      <c r="P1455" s="104" t="s">
        <v>52</v>
      </c>
      <c r="Q1455" s="105"/>
      <c r="R1455" s="28" t="s">
        <v>7780</v>
      </c>
      <c r="S1455" s="225">
        <f t="shared" si="22"/>
        <v>54697</v>
      </c>
      <c r="T1455" s="2" t="s">
        <v>7696</v>
      </c>
      <c r="U1455" s="7" t="s">
        <v>128</v>
      </c>
      <c r="V1455" s="162" t="str" cm="1">
        <f t="array" ref="V1455">_xlfn.IFS(C1455="","",COUNTIF(C1455,"ตำแหน่งว่าง*"),"ว่าง",COUNTIF(C1455,"&lt;&gt;ตำแหน่งว่าง*"),"คนครอง")</f>
        <v>คนครอง</v>
      </c>
      <c r="W1455" s="6" cm="1">
        <f t="array" ref="W1455">_xlfn.IFS(COUNTIF(F1455,"ผบ.หมู่*"),51,COUNTIF(F1455,"รอง สว.*"),43)</f>
        <v>51</v>
      </c>
      <c r="X1455" s="1" t="s">
        <v>4197</v>
      </c>
      <c r="Y1455" s="1" t="s">
        <v>52</v>
      </c>
    </row>
    <row r="1456" spans="1:25" s="9" customFormat="1" ht="21.3" customHeight="1">
      <c r="A1456" s="27" t="s">
        <v>30</v>
      </c>
      <c r="B1456" s="28" t="s">
        <v>21</v>
      </c>
      <c r="C1456" s="27" t="s">
        <v>4199</v>
      </c>
      <c r="D1456" s="27" t="s">
        <v>9518</v>
      </c>
      <c r="E1456" s="27" t="s">
        <v>9519</v>
      </c>
      <c r="F1456" s="27" t="s">
        <v>4200</v>
      </c>
      <c r="G1456" s="101" t="s">
        <v>4202</v>
      </c>
      <c r="H1456" s="91">
        <v>43555</v>
      </c>
      <c r="I1456" s="73">
        <v>43555</v>
      </c>
      <c r="J1456" s="73">
        <v>43555</v>
      </c>
      <c r="K1456" s="73">
        <v>24241</v>
      </c>
      <c r="L1456" s="11" t="s">
        <v>4203</v>
      </c>
      <c r="M1456" s="1" t="s">
        <v>36</v>
      </c>
      <c r="N1456" s="112" t="s">
        <v>14</v>
      </c>
      <c r="O1456" s="104" t="s">
        <v>52</v>
      </c>
      <c r="P1456" s="104" t="s">
        <v>52</v>
      </c>
      <c r="Q1456" s="105"/>
      <c r="R1456" s="28" t="s">
        <v>2892</v>
      </c>
      <c r="S1456" s="225">
        <f t="shared" si="22"/>
        <v>46296</v>
      </c>
      <c r="T1456" s="2" t="s">
        <v>7696</v>
      </c>
      <c r="U1456" s="7" t="s">
        <v>128</v>
      </c>
      <c r="V1456" s="162" t="str" cm="1">
        <f t="array" ref="V1456">_xlfn.IFS(C1456="","",COUNTIF(C1456,"ตำแหน่งว่าง*"),"ว่าง",COUNTIF(C1456,"&lt;&gt;ตำแหน่งว่าง*"),"คนครอง")</f>
        <v>คนครอง</v>
      </c>
      <c r="W1456" s="5" cm="1">
        <f t="array" ref="W1456">_xlfn.IFS(COUNTIF(F1456,"ผบ.หมู่*"),51,COUNTIF(F1456,"รอง สว.*"),43)</f>
        <v>43</v>
      </c>
      <c r="X1456" s="1" t="s">
        <v>4201</v>
      </c>
      <c r="Y1456" s="1" t="s">
        <v>52</v>
      </c>
    </row>
    <row r="1457" spans="1:25" s="9" customFormat="1" ht="21.3" customHeight="1">
      <c r="A1457" s="27" t="s">
        <v>157</v>
      </c>
      <c r="B1457" s="28" t="s">
        <v>21</v>
      </c>
      <c r="C1457" s="27" t="s">
        <v>4205</v>
      </c>
      <c r="D1457" s="27" t="s">
        <v>8267</v>
      </c>
      <c r="E1457" s="27" t="s">
        <v>9520</v>
      </c>
      <c r="F1457" s="27" t="s">
        <v>4193</v>
      </c>
      <c r="G1457" s="101" t="s">
        <v>4207</v>
      </c>
      <c r="H1457" s="91">
        <v>43235</v>
      </c>
      <c r="I1457" s="73">
        <v>39717</v>
      </c>
      <c r="J1457" s="73">
        <v>39717</v>
      </c>
      <c r="K1457" s="73">
        <v>27040</v>
      </c>
      <c r="L1457" s="11" t="s">
        <v>4208</v>
      </c>
      <c r="M1457" s="1" t="s">
        <v>36</v>
      </c>
      <c r="N1457" s="112" t="s">
        <v>14</v>
      </c>
      <c r="O1457" s="104" t="s">
        <v>52</v>
      </c>
      <c r="P1457" s="104" t="s">
        <v>52</v>
      </c>
      <c r="Q1457" s="105"/>
      <c r="R1457" s="28" t="s">
        <v>4209</v>
      </c>
      <c r="S1457" s="225">
        <f t="shared" si="22"/>
        <v>49218</v>
      </c>
      <c r="T1457" s="2" t="s">
        <v>7696</v>
      </c>
      <c r="U1457" s="7" t="s">
        <v>128</v>
      </c>
      <c r="V1457" s="162" t="str" cm="1">
        <f t="array" ref="V1457">_xlfn.IFS(C1457="","",COUNTIF(C1457,"ตำแหน่งว่าง*"),"ว่าง",COUNTIF(C1457,"&lt;&gt;ตำแหน่งว่าง*"),"คนครอง")</f>
        <v>คนครอง</v>
      </c>
      <c r="W1457" s="6" cm="1">
        <f t="array" ref="W1457">_xlfn.IFS(COUNTIF(F1457,"ผบ.หมู่*"),51,COUNTIF(F1457,"รอง สว.*"),43)</f>
        <v>51</v>
      </c>
      <c r="X1457" s="1" t="s">
        <v>4206</v>
      </c>
      <c r="Y1457" s="1" t="s">
        <v>52</v>
      </c>
    </row>
    <row r="1458" spans="1:25" s="9" customFormat="1" ht="21.3" customHeight="1">
      <c r="A1458" s="27" t="s">
        <v>157</v>
      </c>
      <c r="B1458" s="28" t="s">
        <v>21</v>
      </c>
      <c r="C1458" s="27" t="s">
        <v>7781</v>
      </c>
      <c r="D1458" s="27" t="s">
        <v>8046</v>
      </c>
      <c r="E1458" s="27" t="s">
        <v>9521</v>
      </c>
      <c r="F1458" s="27" t="s">
        <v>4210</v>
      </c>
      <c r="G1458" s="101" t="s">
        <v>4212</v>
      </c>
      <c r="H1458" s="91">
        <v>45322</v>
      </c>
      <c r="I1458" s="73">
        <v>40339</v>
      </c>
      <c r="J1458" s="73">
        <v>40339</v>
      </c>
      <c r="K1458" s="73">
        <v>31371</v>
      </c>
      <c r="L1458" s="11" t="s">
        <v>3993</v>
      </c>
      <c r="M1458" s="1" t="s">
        <v>36</v>
      </c>
      <c r="N1458" s="112" t="s">
        <v>14</v>
      </c>
      <c r="O1458" s="104" t="s">
        <v>52</v>
      </c>
      <c r="P1458" s="104" t="s">
        <v>52</v>
      </c>
      <c r="Q1458" s="105"/>
      <c r="R1458" s="30" t="s">
        <v>7780</v>
      </c>
      <c r="S1458" s="225">
        <f t="shared" si="22"/>
        <v>53601</v>
      </c>
      <c r="T1458" s="2" t="s">
        <v>7697</v>
      </c>
      <c r="U1458" s="7" t="s">
        <v>128</v>
      </c>
      <c r="V1458" s="162" t="str" cm="1">
        <f t="array" ref="V1458">_xlfn.IFS(C1458="","",COUNTIF(C1458,"ตำแหน่งว่าง*"),"ว่าง",COUNTIF(C1458,"&lt;&gt;ตำแหน่งว่าง*"),"คนครอง")</f>
        <v>คนครอง</v>
      </c>
      <c r="W1458" s="6" cm="1">
        <f t="array" ref="W1458">_xlfn.IFS(COUNTIF(F1458,"ผบ.หมู่*"),51,COUNTIF(F1458,"รอง สว.*"),43)</f>
        <v>51</v>
      </c>
      <c r="X1458" s="1" t="s">
        <v>4211</v>
      </c>
      <c r="Y1458" s="1" t="s">
        <v>52</v>
      </c>
    </row>
    <row r="1459" spans="1:25" s="9" customFormat="1" ht="21.3" customHeight="1">
      <c r="A1459" s="27" t="s">
        <v>157</v>
      </c>
      <c r="B1459" s="28" t="s">
        <v>12</v>
      </c>
      <c r="C1459" s="27" t="s">
        <v>4213</v>
      </c>
      <c r="D1459" s="27" t="s">
        <v>8149</v>
      </c>
      <c r="E1459" s="27" t="s">
        <v>9522</v>
      </c>
      <c r="F1459" s="27" t="s">
        <v>4214</v>
      </c>
      <c r="G1459" s="101" t="s">
        <v>4216</v>
      </c>
      <c r="H1459" s="91">
        <v>43235</v>
      </c>
      <c r="I1459" s="73">
        <v>34731</v>
      </c>
      <c r="J1459" s="73">
        <v>34731</v>
      </c>
      <c r="K1459" s="73">
        <v>26810</v>
      </c>
      <c r="L1459" s="11" t="s">
        <v>4217</v>
      </c>
      <c r="M1459" s="1" t="s">
        <v>78</v>
      </c>
      <c r="N1459" s="112" t="s">
        <v>14</v>
      </c>
      <c r="O1459" s="104" t="s">
        <v>52</v>
      </c>
      <c r="P1459" s="104" t="s">
        <v>52</v>
      </c>
      <c r="Q1459" s="105"/>
      <c r="R1459" s="28" t="s">
        <v>593</v>
      </c>
      <c r="S1459" s="225">
        <f t="shared" si="22"/>
        <v>48853</v>
      </c>
      <c r="T1459" s="2" t="s">
        <v>7632</v>
      </c>
      <c r="U1459" s="7" t="s">
        <v>128</v>
      </c>
      <c r="V1459" s="162" t="str" cm="1">
        <f t="array" ref="V1459">_xlfn.IFS(C1459="","",COUNTIF(C1459,"ตำแหน่งว่าง*"),"ว่าง",COUNTIF(C1459,"&lt;&gt;ตำแหน่งว่าง*"),"คนครอง")</f>
        <v>คนครอง</v>
      </c>
      <c r="W1459" s="6" cm="1">
        <f t="array" ref="W1459">_xlfn.IFS(COUNTIF(F1459,"ผบ.หมู่*"),51,COUNTIF(F1459,"รอง สว.*"),43)</f>
        <v>51</v>
      </c>
      <c r="X1459" s="1" t="s">
        <v>4215</v>
      </c>
      <c r="Y1459" s="1" t="s">
        <v>52</v>
      </c>
    </row>
    <row r="1460" spans="1:25" s="9" customFormat="1" ht="21.3" customHeight="1">
      <c r="A1460" s="132" t="s">
        <v>10753</v>
      </c>
      <c r="B1460" s="28" t="s">
        <v>12</v>
      </c>
      <c r="C1460" s="27" t="s">
        <v>4218</v>
      </c>
      <c r="D1460" s="27" t="s">
        <v>9523</v>
      </c>
      <c r="E1460" s="27" t="s">
        <v>9524</v>
      </c>
      <c r="F1460" s="27" t="s">
        <v>4222</v>
      </c>
      <c r="G1460" s="101" t="s">
        <v>4220</v>
      </c>
      <c r="H1460" s="91">
        <v>45382</v>
      </c>
      <c r="I1460" s="73">
        <v>45382</v>
      </c>
      <c r="J1460" s="73">
        <v>35825</v>
      </c>
      <c r="K1460" s="73">
        <v>26206</v>
      </c>
      <c r="L1460" s="11" t="s">
        <v>112</v>
      </c>
      <c r="M1460" s="1" t="s">
        <v>78</v>
      </c>
      <c r="N1460" s="112" t="s">
        <v>14</v>
      </c>
      <c r="O1460" s="104" t="s">
        <v>52</v>
      </c>
      <c r="P1460" s="104" t="s">
        <v>52</v>
      </c>
      <c r="Q1460" s="105"/>
      <c r="R1460" s="33" t="s">
        <v>110</v>
      </c>
      <c r="S1460" s="225">
        <f t="shared" si="22"/>
        <v>48122</v>
      </c>
      <c r="T1460" s="2" t="s">
        <v>7632</v>
      </c>
      <c r="U1460" s="7" t="s">
        <v>128</v>
      </c>
      <c r="V1460" s="162" t="str" cm="1">
        <f t="array" ref="V1460">_xlfn.IFS(C1460="","",COUNTIF(C1460,"ตำแหน่งว่าง*"),"ว่าง",COUNTIF(C1460,"&lt;&gt;ตำแหน่งว่าง*"),"คนครอง")</f>
        <v>คนครอง</v>
      </c>
      <c r="W1460" s="6" cm="1">
        <f t="array" ref="W1460">_xlfn.IFS(COUNTIF(F1460,"ผบ.หมู่*"),51,COUNTIF(F1460,"รอง สว.*"),43)</f>
        <v>43</v>
      </c>
      <c r="X1460" s="1" t="s">
        <v>4219</v>
      </c>
      <c r="Y1460" s="1" t="s">
        <v>52</v>
      </c>
    </row>
    <row r="1461" spans="1:25" s="9" customFormat="1" ht="21.3" customHeight="1">
      <c r="A1461" s="27" t="s">
        <v>26</v>
      </c>
      <c r="B1461" s="28" t="s">
        <v>12</v>
      </c>
      <c r="C1461" s="27" t="s">
        <v>4221</v>
      </c>
      <c r="D1461" s="27" t="s">
        <v>9525</v>
      </c>
      <c r="E1461" s="27" t="s">
        <v>9526</v>
      </c>
      <c r="F1461" s="27" t="s">
        <v>4222</v>
      </c>
      <c r="G1461" s="101" t="s">
        <v>4224</v>
      </c>
      <c r="H1461" s="91">
        <v>43921</v>
      </c>
      <c r="I1461" s="73">
        <v>43921</v>
      </c>
      <c r="J1461" s="73">
        <v>43921</v>
      </c>
      <c r="K1461" s="73">
        <v>24591</v>
      </c>
      <c r="L1461" s="11" t="s">
        <v>4225</v>
      </c>
      <c r="M1461" s="1" t="s">
        <v>78</v>
      </c>
      <c r="N1461" s="112" t="s">
        <v>14</v>
      </c>
      <c r="O1461" s="104" t="s">
        <v>52</v>
      </c>
      <c r="P1461" s="104" t="s">
        <v>52</v>
      </c>
      <c r="Q1461" s="105"/>
      <c r="R1461" s="28" t="s">
        <v>2700</v>
      </c>
      <c r="S1461" s="225">
        <f t="shared" si="22"/>
        <v>46661</v>
      </c>
      <c r="T1461" s="2" t="s">
        <v>7632</v>
      </c>
      <c r="U1461" s="7" t="s">
        <v>128</v>
      </c>
      <c r="V1461" s="162" t="str" cm="1">
        <f t="array" ref="V1461">_xlfn.IFS(C1461="","",COUNTIF(C1461,"ตำแหน่งว่าง*"),"ว่าง",COUNTIF(C1461,"&lt;&gt;ตำแหน่งว่าง*"),"คนครอง")</f>
        <v>คนครอง</v>
      </c>
      <c r="W1461" s="5" cm="1">
        <f t="array" ref="W1461">_xlfn.IFS(COUNTIF(F1461,"ผบ.หมู่*"),51,COUNTIF(F1461,"รอง สว.*"),43)</f>
        <v>43</v>
      </c>
      <c r="X1461" s="1" t="s">
        <v>4223</v>
      </c>
      <c r="Y1461" s="1" t="s">
        <v>52</v>
      </c>
    </row>
    <row r="1462" spans="1:25" s="9" customFormat="1" ht="21.3" customHeight="1">
      <c r="A1462" s="27"/>
      <c r="B1462" s="28"/>
      <c r="C1462" s="95" t="s">
        <v>18</v>
      </c>
      <c r="D1462" s="27"/>
      <c r="E1462" s="27"/>
      <c r="F1462" s="27" t="s">
        <v>4214</v>
      </c>
      <c r="G1462" s="101" t="s">
        <v>4227</v>
      </c>
      <c r="H1462" s="91"/>
      <c r="I1462" s="73"/>
      <c r="J1462" s="73"/>
      <c r="K1462" s="73"/>
      <c r="L1462" s="11"/>
      <c r="M1462" s="1"/>
      <c r="N1462" s="112" t="s">
        <v>14</v>
      </c>
      <c r="O1462" s="104" t="s">
        <v>52</v>
      </c>
      <c r="P1462" s="104" t="s">
        <v>52</v>
      </c>
      <c r="Q1462" s="105"/>
      <c r="R1462" s="28"/>
      <c r="S1462" s="225" t="str">
        <f t="shared" si="22"/>
        <v/>
      </c>
      <c r="T1462" s="2" t="s">
        <v>7632</v>
      </c>
      <c r="U1462" s="7" t="s">
        <v>128</v>
      </c>
      <c r="V1462" s="162" t="str" cm="1">
        <f t="array" ref="V1462">_xlfn.IFS(C1462="","",COUNTIF(C1462,"ตำแหน่งว่าง*"),"ว่าง",COUNTIF(C1462,"&lt;&gt;ตำแหน่งว่าง*"),"คนครอง")</f>
        <v>ว่าง</v>
      </c>
      <c r="W1462" s="5" cm="1">
        <f t="array" ref="W1462">_xlfn.IFS(COUNTIF(F1462,"ผบ.หมู่*"),51,COUNTIF(F1462,"รอง สว.*"),43)</f>
        <v>51</v>
      </c>
      <c r="X1462" s="1" t="s">
        <v>4226</v>
      </c>
      <c r="Y1462" s="1" t="s">
        <v>52</v>
      </c>
    </row>
    <row r="1463" spans="1:25" s="12" customFormat="1" ht="21.3" customHeight="1">
      <c r="A1463" s="27" t="s">
        <v>44</v>
      </c>
      <c r="B1463" s="31" t="s">
        <v>21</v>
      </c>
      <c r="C1463" s="95" t="s">
        <v>4228</v>
      </c>
      <c r="D1463" s="27" t="s">
        <v>8243</v>
      </c>
      <c r="E1463" s="27" t="s">
        <v>9527</v>
      </c>
      <c r="F1463" s="95" t="s">
        <v>4222</v>
      </c>
      <c r="G1463" s="101" t="s">
        <v>4230</v>
      </c>
      <c r="H1463" s="88">
        <v>44651</v>
      </c>
      <c r="I1463" s="76">
        <v>44651</v>
      </c>
      <c r="J1463" s="76">
        <v>34352</v>
      </c>
      <c r="K1463" s="76">
        <v>25163</v>
      </c>
      <c r="L1463" s="17" t="s">
        <v>4042</v>
      </c>
      <c r="M1463" s="5" t="s">
        <v>78</v>
      </c>
      <c r="N1463" s="111" t="s">
        <v>14</v>
      </c>
      <c r="O1463" s="104" t="s">
        <v>52</v>
      </c>
      <c r="P1463" s="104" t="s">
        <v>52</v>
      </c>
      <c r="Q1463" s="108"/>
      <c r="R1463" s="31" t="s">
        <v>2856</v>
      </c>
      <c r="S1463" s="225">
        <f t="shared" si="22"/>
        <v>47392</v>
      </c>
      <c r="T1463" s="162" t="s">
        <v>7632</v>
      </c>
      <c r="U1463" s="7" t="s">
        <v>128</v>
      </c>
      <c r="V1463" s="162" t="str" cm="1">
        <f t="array" ref="V1463">_xlfn.IFS(C1463="","",COUNTIF(C1463,"ตำแหน่งว่าง*"),"ว่าง",COUNTIF(C1463,"&lt;&gt;ตำแหน่งว่าง*"),"คนครอง")</f>
        <v>คนครอง</v>
      </c>
      <c r="W1463" s="5" cm="1">
        <f t="array" ref="W1463">_xlfn.IFS(COUNTIF(F1463,"ผบ.หมู่*"),51,COUNTIF(F1463,"รอง สว.*"),43)</f>
        <v>43</v>
      </c>
      <c r="X1463" s="5" t="s">
        <v>4229</v>
      </c>
      <c r="Y1463" s="5" t="s">
        <v>52</v>
      </c>
    </row>
    <row r="1464" spans="1:25" s="9" customFormat="1" ht="21.3" customHeight="1">
      <c r="A1464" s="27" t="s">
        <v>157</v>
      </c>
      <c r="B1464" s="28" t="s">
        <v>21</v>
      </c>
      <c r="C1464" s="27" t="s">
        <v>4231</v>
      </c>
      <c r="D1464" s="27" t="s">
        <v>9528</v>
      </c>
      <c r="E1464" s="27" t="s">
        <v>9529</v>
      </c>
      <c r="F1464" s="27" t="s">
        <v>4214</v>
      </c>
      <c r="G1464" s="101" t="s">
        <v>4233</v>
      </c>
      <c r="H1464" s="75">
        <v>42501</v>
      </c>
      <c r="I1464" s="73">
        <v>34352</v>
      </c>
      <c r="J1464" s="73">
        <v>34352</v>
      </c>
      <c r="K1464" s="73">
        <v>26913</v>
      </c>
      <c r="L1464" s="11" t="s">
        <v>4042</v>
      </c>
      <c r="M1464" s="1" t="s">
        <v>78</v>
      </c>
      <c r="N1464" s="112" t="s">
        <v>14</v>
      </c>
      <c r="O1464" s="104" t="s">
        <v>52</v>
      </c>
      <c r="P1464" s="104" t="s">
        <v>52</v>
      </c>
      <c r="Q1464" s="105"/>
      <c r="R1464" s="28" t="s">
        <v>110</v>
      </c>
      <c r="S1464" s="225">
        <f t="shared" si="22"/>
        <v>48853</v>
      </c>
      <c r="T1464" s="2" t="s">
        <v>7632</v>
      </c>
      <c r="U1464" s="7" t="s">
        <v>128</v>
      </c>
      <c r="V1464" s="162" t="str" cm="1">
        <f t="array" ref="V1464">_xlfn.IFS(C1464="","",COUNTIF(C1464,"ตำแหน่งว่าง*"),"ว่าง",COUNTIF(C1464,"&lt;&gt;ตำแหน่งว่าง*"),"คนครอง")</f>
        <v>คนครอง</v>
      </c>
      <c r="W1464" s="6" cm="1">
        <f t="array" ref="W1464">_xlfn.IFS(COUNTIF(F1464,"ผบ.หมู่*"),51,COUNTIF(F1464,"รอง สว.*"),43)</f>
        <v>51</v>
      </c>
      <c r="X1464" s="1" t="s">
        <v>4232</v>
      </c>
      <c r="Y1464" s="1" t="s">
        <v>52</v>
      </c>
    </row>
    <row r="1465" spans="1:25" s="10" customFormat="1" ht="21.3" customHeight="1">
      <c r="A1465" s="27" t="s">
        <v>157</v>
      </c>
      <c r="B1465" s="28" t="s">
        <v>21</v>
      </c>
      <c r="C1465" s="27" t="s">
        <v>4234</v>
      </c>
      <c r="D1465" s="27" t="s">
        <v>8051</v>
      </c>
      <c r="E1465" s="27" t="s">
        <v>9530</v>
      </c>
      <c r="F1465" s="27" t="s">
        <v>4214</v>
      </c>
      <c r="G1465" s="101" t="s">
        <v>4236</v>
      </c>
      <c r="H1465" s="91">
        <v>44599</v>
      </c>
      <c r="I1465" s="73">
        <v>40339</v>
      </c>
      <c r="J1465" s="73">
        <v>40339</v>
      </c>
      <c r="K1465" s="73">
        <v>30212</v>
      </c>
      <c r="L1465" s="11" t="s">
        <v>68</v>
      </c>
      <c r="M1465" s="1" t="s">
        <v>71</v>
      </c>
      <c r="N1465" s="112" t="s">
        <v>14</v>
      </c>
      <c r="O1465" s="104" t="s">
        <v>52</v>
      </c>
      <c r="P1465" s="104" t="s">
        <v>52</v>
      </c>
      <c r="Q1465" s="105"/>
      <c r="R1465" s="28" t="s">
        <v>607</v>
      </c>
      <c r="S1465" s="225">
        <f t="shared" si="22"/>
        <v>52140</v>
      </c>
      <c r="T1465" s="7" t="s">
        <v>7632</v>
      </c>
      <c r="U1465" s="7" t="s">
        <v>128</v>
      </c>
      <c r="V1465" s="162" t="str" cm="1">
        <f t="array" ref="V1465">_xlfn.IFS(C1465="","",COUNTIF(C1465,"ตำแหน่งว่าง*"),"ว่าง",COUNTIF(C1465,"&lt;&gt;ตำแหน่งว่าง*"),"คนครอง")</f>
        <v>คนครอง</v>
      </c>
      <c r="W1465" s="6" cm="1">
        <f t="array" ref="W1465">_xlfn.IFS(COUNTIF(F1465,"ผบ.หมู่*"),51,COUNTIF(F1465,"รอง สว.*"),43)</f>
        <v>51</v>
      </c>
      <c r="X1465" s="1" t="s">
        <v>4235</v>
      </c>
      <c r="Y1465" s="1" t="s">
        <v>52</v>
      </c>
    </row>
    <row r="1466" spans="1:25" s="9" customFormat="1" ht="21.3" customHeight="1">
      <c r="A1466" s="27" t="s">
        <v>612</v>
      </c>
      <c r="B1466" s="28" t="s">
        <v>21</v>
      </c>
      <c r="C1466" s="27" t="s">
        <v>4237</v>
      </c>
      <c r="D1466" s="27" t="s">
        <v>8208</v>
      </c>
      <c r="E1466" s="27" t="s">
        <v>9531</v>
      </c>
      <c r="F1466" s="27" t="s">
        <v>4214</v>
      </c>
      <c r="G1466" s="101" t="s">
        <v>4239</v>
      </c>
      <c r="H1466" s="91">
        <v>44243</v>
      </c>
      <c r="I1466" s="73">
        <v>42416</v>
      </c>
      <c r="J1466" s="73">
        <v>42416</v>
      </c>
      <c r="K1466" s="73">
        <v>33888</v>
      </c>
      <c r="L1466" s="11" t="s">
        <v>4240</v>
      </c>
      <c r="M1466" s="1" t="s">
        <v>78</v>
      </c>
      <c r="N1466" s="112" t="s">
        <v>14</v>
      </c>
      <c r="O1466" s="104" t="s">
        <v>52</v>
      </c>
      <c r="P1466" s="104" t="s">
        <v>52</v>
      </c>
      <c r="Q1466" s="105"/>
      <c r="R1466" s="28" t="s">
        <v>617</v>
      </c>
      <c r="S1466" s="225">
        <f t="shared" si="22"/>
        <v>56158</v>
      </c>
      <c r="T1466" s="2" t="s">
        <v>7632</v>
      </c>
      <c r="U1466" s="7" t="s">
        <v>128</v>
      </c>
      <c r="V1466" s="162" t="str" cm="1">
        <f t="array" ref="V1466">_xlfn.IFS(C1466="","",COUNTIF(C1466,"ตำแหน่งว่าง*"),"ว่าง",COUNTIF(C1466,"&lt;&gt;ตำแหน่งว่าง*"),"คนครอง")</f>
        <v>คนครอง</v>
      </c>
      <c r="W1466" s="6" cm="1">
        <f t="array" ref="W1466">_xlfn.IFS(COUNTIF(F1466,"ผบ.หมู่*"),51,COUNTIF(F1466,"รอง สว.*"),43)</f>
        <v>51</v>
      </c>
      <c r="X1466" s="1" t="s">
        <v>4238</v>
      </c>
      <c r="Y1466" s="1" t="s">
        <v>52</v>
      </c>
    </row>
    <row r="1467" spans="1:25" s="9" customFormat="1" ht="21.3" customHeight="1">
      <c r="A1467" s="27" t="s">
        <v>157</v>
      </c>
      <c r="B1467" s="28" t="s">
        <v>21</v>
      </c>
      <c r="C1467" s="27" t="s">
        <v>4241</v>
      </c>
      <c r="D1467" s="27" t="s">
        <v>8716</v>
      </c>
      <c r="E1467" s="27" t="s">
        <v>9484</v>
      </c>
      <c r="F1467" s="27" t="s">
        <v>4214</v>
      </c>
      <c r="G1467" s="101" t="s">
        <v>4243</v>
      </c>
      <c r="H1467" s="75">
        <v>42940</v>
      </c>
      <c r="I1467" s="73">
        <v>37316</v>
      </c>
      <c r="J1467" s="73">
        <v>37316</v>
      </c>
      <c r="K1467" s="73">
        <v>26918</v>
      </c>
      <c r="L1467" s="11" t="s">
        <v>133</v>
      </c>
      <c r="M1467" s="1" t="s">
        <v>78</v>
      </c>
      <c r="N1467" s="112" t="s">
        <v>14</v>
      </c>
      <c r="O1467" s="104" t="s">
        <v>52</v>
      </c>
      <c r="P1467" s="104" t="s">
        <v>52</v>
      </c>
      <c r="Q1467" s="105"/>
      <c r="R1467" s="28" t="s">
        <v>718</v>
      </c>
      <c r="S1467" s="225">
        <f t="shared" si="22"/>
        <v>48853</v>
      </c>
      <c r="T1467" s="2" t="s">
        <v>7632</v>
      </c>
      <c r="U1467" s="7" t="s">
        <v>128</v>
      </c>
      <c r="V1467" s="162" t="str" cm="1">
        <f t="array" ref="V1467">_xlfn.IFS(C1467="","",COUNTIF(C1467,"ตำแหน่งว่าง*"),"ว่าง",COUNTIF(C1467,"&lt;&gt;ตำแหน่งว่าง*"),"คนครอง")</f>
        <v>คนครอง</v>
      </c>
      <c r="W1467" s="6" cm="1">
        <f t="array" ref="W1467">_xlfn.IFS(COUNTIF(F1467,"ผบ.หมู่*"),51,COUNTIF(F1467,"รอง สว.*"),43)</f>
        <v>51</v>
      </c>
      <c r="X1467" s="1" t="s">
        <v>4242</v>
      </c>
      <c r="Y1467" s="1" t="s">
        <v>52</v>
      </c>
    </row>
    <row r="1468" spans="1:25" s="10" customFormat="1" ht="21.3" customHeight="1">
      <c r="A1468" s="27" t="s">
        <v>157</v>
      </c>
      <c r="B1468" s="28" t="s">
        <v>12</v>
      </c>
      <c r="C1468" s="27" t="s">
        <v>4244</v>
      </c>
      <c r="D1468" s="27" t="s">
        <v>8489</v>
      </c>
      <c r="E1468" s="27" t="s">
        <v>9532</v>
      </c>
      <c r="F1468" s="27" t="s">
        <v>4214</v>
      </c>
      <c r="G1468" s="101" t="s">
        <v>4246</v>
      </c>
      <c r="H1468" s="91">
        <v>44999</v>
      </c>
      <c r="I1468" s="82">
        <v>37316</v>
      </c>
      <c r="J1468" s="82">
        <v>37316</v>
      </c>
      <c r="K1468" s="82">
        <v>27961</v>
      </c>
      <c r="L1468" s="58" t="s">
        <v>7828</v>
      </c>
      <c r="M1468" s="56" t="s">
        <v>90</v>
      </c>
      <c r="N1468" s="112" t="s">
        <v>14</v>
      </c>
      <c r="O1468" s="104" t="s">
        <v>52</v>
      </c>
      <c r="P1468" s="104" t="s">
        <v>52</v>
      </c>
      <c r="Q1468" s="105"/>
      <c r="R1468" s="28" t="s">
        <v>74</v>
      </c>
      <c r="S1468" s="225">
        <f t="shared" si="22"/>
        <v>49949</v>
      </c>
      <c r="T1468" s="7" t="s">
        <v>7632</v>
      </c>
      <c r="U1468" s="7" t="s">
        <v>128</v>
      </c>
      <c r="V1468" s="162" t="str" cm="1">
        <f t="array" ref="V1468">_xlfn.IFS(C1468="","",COUNTIF(C1468,"ตำแหน่งว่าง*"),"ว่าง",COUNTIF(C1468,"&lt;&gt;ตำแหน่งว่าง*"),"คนครอง")</f>
        <v>คนครอง</v>
      </c>
      <c r="W1468" s="6" cm="1">
        <f t="array" ref="W1468">_xlfn.IFS(COUNTIF(F1468,"ผบ.หมู่*"),51,COUNTIF(F1468,"รอง สว.*"),43)</f>
        <v>51</v>
      </c>
      <c r="X1468" s="28" t="s">
        <v>4245</v>
      </c>
      <c r="Y1468" s="28" t="s">
        <v>52</v>
      </c>
    </row>
    <row r="1469" spans="1:25" s="9" customFormat="1" ht="21.3" customHeight="1">
      <c r="A1469" s="27" t="s">
        <v>612</v>
      </c>
      <c r="B1469" s="28" t="s">
        <v>21</v>
      </c>
      <c r="C1469" s="27" t="s">
        <v>7747</v>
      </c>
      <c r="D1469" s="27" t="s">
        <v>9533</v>
      </c>
      <c r="E1469" s="27" t="s">
        <v>9534</v>
      </c>
      <c r="F1469" s="27" t="s">
        <v>4214</v>
      </c>
      <c r="G1469" s="101" t="s">
        <v>4249</v>
      </c>
      <c r="H1469" s="91">
        <v>45322</v>
      </c>
      <c r="I1469" s="73">
        <v>42416</v>
      </c>
      <c r="J1469" s="73">
        <v>42416</v>
      </c>
      <c r="K1469" s="73">
        <v>33904</v>
      </c>
      <c r="L1469" s="11" t="s">
        <v>7748</v>
      </c>
      <c r="M1469" s="1"/>
      <c r="N1469" s="112" t="s">
        <v>14</v>
      </c>
      <c r="O1469" s="104" t="s">
        <v>52</v>
      </c>
      <c r="P1469" s="104" t="s">
        <v>52</v>
      </c>
      <c r="Q1469" s="105"/>
      <c r="R1469" s="30" t="s">
        <v>7708</v>
      </c>
      <c r="S1469" s="225">
        <f t="shared" si="22"/>
        <v>56158</v>
      </c>
      <c r="T1469" s="2" t="s">
        <v>7632</v>
      </c>
      <c r="U1469" s="7" t="s">
        <v>128</v>
      </c>
      <c r="V1469" s="162" t="str" cm="1">
        <f t="array" ref="V1469">_xlfn.IFS(C1469="","",COUNTIF(C1469,"ตำแหน่งว่าง*"),"ว่าง",COUNTIF(C1469,"&lt;&gt;ตำแหน่งว่าง*"),"คนครอง")</f>
        <v>คนครอง</v>
      </c>
      <c r="W1469" s="6" cm="1">
        <f t="array" ref="W1469">_xlfn.IFS(COUNTIF(F1469,"ผบ.หมู่*"),51,COUNTIF(F1469,"รอง สว.*"),43)</f>
        <v>51</v>
      </c>
      <c r="X1469" s="1" t="s">
        <v>4248</v>
      </c>
      <c r="Y1469" s="1" t="s">
        <v>52</v>
      </c>
    </row>
    <row r="1470" spans="1:25" s="10" customFormat="1" ht="21.3" customHeight="1">
      <c r="A1470" s="27" t="s">
        <v>157</v>
      </c>
      <c r="B1470" s="28" t="s">
        <v>12</v>
      </c>
      <c r="C1470" s="27" t="s">
        <v>4250</v>
      </c>
      <c r="D1470" s="27" t="s">
        <v>8121</v>
      </c>
      <c r="E1470" s="27" t="s">
        <v>9535</v>
      </c>
      <c r="F1470" s="27" t="s">
        <v>4214</v>
      </c>
      <c r="G1470" s="101" t="s">
        <v>4252</v>
      </c>
      <c r="H1470" s="91">
        <v>44999</v>
      </c>
      <c r="I1470" s="73">
        <v>41214</v>
      </c>
      <c r="J1470" s="73">
        <v>41214</v>
      </c>
      <c r="K1470" s="73">
        <v>32151</v>
      </c>
      <c r="L1470" s="11" t="s">
        <v>82</v>
      </c>
      <c r="M1470" s="1" t="s">
        <v>17</v>
      </c>
      <c r="N1470" s="112" t="s">
        <v>14</v>
      </c>
      <c r="O1470" s="104" t="s">
        <v>52</v>
      </c>
      <c r="P1470" s="104" t="s">
        <v>52</v>
      </c>
      <c r="Q1470" s="105"/>
      <c r="R1470" s="28" t="s">
        <v>74</v>
      </c>
      <c r="S1470" s="225">
        <f t="shared" si="22"/>
        <v>54332</v>
      </c>
      <c r="T1470" s="7" t="s">
        <v>7632</v>
      </c>
      <c r="U1470" s="7" t="s">
        <v>128</v>
      </c>
      <c r="V1470" s="162" t="str" cm="1">
        <f t="array" ref="V1470">_xlfn.IFS(C1470="","",COUNTIF(C1470,"ตำแหน่งว่าง*"),"ว่าง",COUNTIF(C1470,"&lt;&gt;ตำแหน่งว่าง*"),"คนครอง")</f>
        <v>คนครอง</v>
      </c>
      <c r="W1470" s="6" cm="1">
        <f t="array" ref="W1470">_xlfn.IFS(COUNTIF(F1470,"ผบ.หมู่*"),51,COUNTIF(F1470,"รอง สว.*"),43)</f>
        <v>51</v>
      </c>
      <c r="X1470" s="1" t="s">
        <v>4251</v>
      </c>
      <c r="Y1470" s="1" t="s">
        <v>52</v>
      </c>
    </row>
    <row r="1471" spans="1:25" s="10" customFormat="1" ht="21.3" customHeight="1">
      <c r="A1471" s="27" t="s">
        <v>612</v>
      </c>
      <c r="B1471" s="28" t="s">
        <v>21</v>
      </c>
      <c r="C1471" s="27" t="s">
        <v>4253</v>
      </c>
      <c r="D1471" s="27" t="s">
        <v>9536</v>
      </c>
      <c r="E1471" s="27" t="s">
        <v>8240</v>
      </c>
      <c r="F1471" s="27" t="s">
        <v>4247</v>
      </c>
      <c r="G1471" s="101" t="s">
        <v>4255</v>
      </c>
      <c r="H1471" s="91">
        <v>44999</v>
      </c>
      <c r="I1471" s="73">
        <v>42416</v>
      </c>
      <c r="J1471" s="73">
        <v>42416</v>
      </c>
      <c r="K1471" s="73">
        <v>30040</v>
      </c>
      <c r="L1471" s="11" t="s">
        <v>82</v>
      </c>
      <c r="M1471" s="1" t="s">
        <v>78</v>
      </c>
      <c r="N1471" s="113" t="s">
        <v>14</v>
      </c>
      <c r="O1471" s="104" t="s">
        <v>52</v>
      </c>
      <c r="P1471" s="104" t="s">
        <v>52</v>
      </c>
      <c r="Q1471" s="105"/>
      <c r="R1471" s="28" t="s">
        <v>74</v>
      </c>
      <c r="S1471" s="225">
        <f t="shared" si="22"/>
        <v>52140</v>
      </c>
      <c r="T1471" s="7" t="s">
        <v>7632</v>
      </c>
      <c r="U1471" s="7" t="s">
        <v>128</v>
      </c>
      <c r="V1471" s="162" t="str" cm="1">
        <f t="array" ref="V1471">_xlfn.IFS(C1471="","",COUNTIF(C1471,"ตำแหน่งว่าง*"),"ว่าง",COUNTIF(C1471,"&lt;&gt;ตำแหน่งว่าง*"),"คนครอง")</f>
        <v>คนครอง</v>
      </c>
      <c r="W1471" s="6" cm="1">
        <f t="array" ref="W1471">_xlfn.IFS(COUNTIF(F1471,"ผบ.หมู่*"),51,COUNTIF(F1471,"รอง สว.*"),43)</f>
        <v>51</v>
      </c>
      <c r="X1471" s="1" t="s">
        <v>4254</v>
      </c>
      <c r="Y1471" s="6" t="s">
        <v>52</v>
      </c>
    </row>
    <row r="1472" spans="1:25" s="10" customFormat="1" ht="21.3" customHeight="1">
      <c r="A1472" s="27" t="s">
        <v>157</v>
      </c>
      <c r="B1472" s="28" t="s">
        <v>21</v>
      </c>
      <c r="C1472" s="27" t="s">
        <v>10749</v>
      </c>
      <c r="D1472" s="27" t="s">
        <v>10750</v>
      </c>
      <c r="E1472" s="27" t="s">
        <v>10751</v>
      </c>
      <c r="F1472" s="27" t="s">
        <v>4247</v>
      </c>
      <c r="G1472" s="101" t="s">
        <v>4257</v>
      </c>
      <c r="H1472" s="91">
        <v>45768</v>
      </c>
      <c r="I1472" s="73" t="s">
        <v>7609</v>
      </c>
      <c r="J1472" s="73" t="s">
        <v>7609</v>
      </c>
      <c r="K1472" s="73">
        <v>30314</v>
      </c>
      <c r="L1472" s="11" t="s">
        <v>7609</v>
      </c>
      <c r="M1472" s="1" t="s">
        <v>7609</v>
      </c>
      <c r="N1472" s="112" t="s">
        <v>14</v>
      </c>
      <c r="O1472" s="104" t="s">
        <v>52</v>
      </c>
      <c r="P1472" s="104" t="s">
        <v>52</v>
      </c>
      <c r="Q1472" s="105"/>
      <c r="R1472" s="28" t="s">
        <v>10804</v>
      </c>
      <c r="S1472" s="174">
        <f t="shared" si="22"/>
        <v>52505</v>
      </c>
      <c r="T1472" s="2" t="s">
        <v>7632</v>
      </c>
      <c r="U1472" s="2" t="s">
        <v>128</v>
      </c>
      <c r="V1472" s="203" t="str" cm="1">
        <f t="array" ref="V1472">_xlfn.IFS(C1472="","",COUNTIF(C1472,"ตำแหน่งว่าง*"),"ว่าง",COUNTIF(C1472,"&lt;&gt;ตำแหน่งว่าง*"),"คนครอง")</f>
        <v>คนครอง</v>
      </c>
      <c r="W1472" s="1" cm="1">
        <f t="array" ref="W1472">_xlfn.IFS(COUNTIF(F1472,"ผบ.หมู่*"),51,COUNTIF(F1472,"รอง สว.*"),43)</f>
        <v>51</v>
      </c>
      <c r="X1472" s="1" t="s">
        <v>4256</v>
      </c>
      <c r="Y1472" s="1" t="s">
        <v>52</v>
      </c>
    </row>
    <row r="1473" spans="1:25" s="10" customFormat="1" ht="21.3" customHeight="1">
      <c r="A1473" s="27" t="s">
        <v>182</v>
      </c>
      <c r="B1473" s="28" t="s">
        <v>21</v>
      </c>
      <c r="C1473" s="27" t="s">
        <v>3329</v>
      </c>
      <c r="D1473" s="27" t="s">
        <v>9191</v>
      </c>
      <c r="E1473" s="27" t="s">
        <v>9192</v>
      </c>
      <c r="F1473" s="27" t="s">
        <v>4247</v>
      </c>
      <c r="G1473" s="101" t="s">
        <v>4259</v>
      </c>
      <c r="H1473" s="75">
        <v>45768</v>
      </c>
      <c r="I1473" s="73">
        <v>44043</v>
      </c>
      <c r="J1473" s="73">
        <v>44043</v>
      </c>
      <c r="K1473" s="73">
        <v>33399</v>
      </c>
      <c r="L1473" s="11" t="s">
        <v>82</v>
      </c>
      <c r="M1473" s="1" t="s">
        <v>38</v>
      </c>
      <c r="N1473" s="112" t="s">
        <v>14</v>
      </c>
      <c r="O1473" s="104" t="s">
        <v>52</v>
      </c>
      <c r="P1473" s="104" t="s">
        <v>52</v>
      </c>
      <c r="Q1473" s="105"/>
      <c r="R1473" s="28" t="s">
        <v>10804</v>
      </c>
      <c r="S1473" s="174">
        <f t="shared" si="22"/>
        <v>55427</v>
      </c>
      <c r="T1473" s="2" t="s">
        <v>7632</v>
      </c>
      <c r="U1473" s="2" t="s">
        <v>128</v>
      </c>
      <c r="V1473" s="203" t="str" cm="1">
        <f t="array" ref="V1473">_xlfn.IFS(C1473="","",COUNTIF(C1473,"ตำแหน่งว่าง*"),"ว่าง",COUNTIF(C1473,"&lt;&gt;ตำแหน่งว่าง*"),"คนครอง")</f>
        <v>คนครอง</v>
      </c>
      <c r="W1473" s="1" cm="1">
        <f t="array" ref="W1473">_xlfn.IFS(COUNTIF(F1473,"ผบ.หมู่*"),51,COUNTIF(F1473,"รอง สว.*"),43)</f>
        <v>51</v>
      </c>
      <c r="X1473" s="1" t="s">
        <v>4258</v>
      </c>
      <c r="Y1473" s="1" t="s">
        <v>52</v>
      </c>
    </row>
    <row r="1474" spans="1:25" s="9" customFormat="1" ht="21.3" customHeight="1">
      <c r="A1474" s="27" t="s">
        <v>26</v>
      </c>
      <c r="B1474" s="28" t="s">
        <v>12</v>
      </c>
      <c r="C1474" s="27" t="s">
        <v>4260</v>
      </c>
      <c r="D1474" s="27" t="s">
        <v>8105</v>
      </c>
      <c r="E1474" s="27" t="s">
        <v>9537</v>
      </c>
      <c r="F1474" s="27" t="s">
        <v>4222</v>
      </c>
      <c r="G1474" s="101" t="s">
        <v>4262</v>
      </c>
      <c r="H1474" s="75">
        <v>44286</v>
      </c>
      <c r="I1474" s="73">
        <v>44286</v>
      </c>
      <c r="J1474" s="73">
        <v>32905</v>
      </c>
      <c r="K1474" s="73">
        <v>24873</v>
      </c>
      <c r="L1474" s="11" t="s">
        <v>4263</v>
      </c>
      <c r="M1474" s="1" t="s">
        <v>78</v>
      </c>
      <c r="N1474" s="112" t="s">
        <v>14</v>
      </c>
      <c r="O1474" s="104" t="s">
        <v>52</v>
      </c>
      <c r="P1474" s="104" t="s">
        <v>52</v>
      </c>
      <c r="Q1474" s="105"/>
      <c r="R1474" s="28" t="s">
        <v>1313</v>
      </c>
      <c r="S1474" s="225">
        <f t="shared" ref="S1474:S1537" si="23">IF(K1474&lt;&gt;"",DATE(YEAR(K1474)+60+(K1474&gt;=DATE(YEAR(K1474),10,2)),10,1),"")</f>
        <v>47027</v>
      </c>
      <c r="T1474" s="2" t="s">
        <v>7632</v>
      </c>
      <c r="U1474" s="7" t="s">
        <v>128</v>
      </c>
      <c r="V1474" s="162" t="str" cm="1">
        <f t="array" ref="V1474">_xlfn.IFS(C1474="","",COUNTIF(C1474,"ตำแหน่งว่าง*"),"ว่าง",COUNTIF(C1474,"&lt;&gt;ตำแหน่งว่าง*"),"คนครอง")</f>
        <v>คนครอง</v>
      </c>
      <c r="W1474" s="5" cm="1">
        <f t="array" ref="W1474">_xlfn.IFS(COUNTIF(F1474,"ผบ.หมู่*"),51,COUNTIF(F1474,"รอง สว.*"),43)</f>
        <v>43</v>
      </c>
      <c r="X1474" s="1" t="s">
        <v>4261</v>
      </c>
      <c r="Y1474" s="1" t="s">
        <v>52</v>
      </c>
    </row>
    <row r="1475" spans="1:25" s="10" customFormat="1" ht="21.3" customHeight="1">
      <c r="A1475" s="68"/>
      <c r="B1475" s="30"/>
      <c r="C1475" s="30" t="s">
        <v>18</v>
      </c>
      <c r="D1475" s="27"/>
      <c r="E1475" s="27"/>
      <c r="F1475" s="68" t="s">
        <v>4247</v>
      </c>
      <c r="G1475" s="121" t="s">
        <v>4265</v>
      </c>
      <c r="H1475" s="80" t="s">
        <v>19</v>
      </c>
      <c r="I1475" s="74" t="s">
        <v>19</v>
      </c>
      <c r="J1475" s="74" t="s">
        <v>19</v>
      </c>
      <c r="K1475" s="74" t="s">
        <v>19</v>
      </c>
      <c r="L1475" s="16"/>
      <c r="M1475" s="6"/>
      <c r="N1475" s="113" t="s">
        <v>14</v>
      </c>
      <c r="O1475" s="122" t="s">
        <v>52</v>
      </c>
      <c r="P1475" s="122" t="s">
        <v>52</v>
      </c>
      <c r="Q1475" s="106"/>
      <c r="R1475" s="30"/>
      <c r="S1475" s="225" t="str">
        <f t="shared" si="23"/>
        <v/>
      </c>
      <c r="T1475" s="7" t="s">
        <v>7632</v>
      </c>
      <c r="U1475" s="7" t="s">
        <v>128</v>
      </c>
      <c r="V1475" s="171" t="str" cm="1">
        <f t="array" ref="V1475">_xlfn.IFS(C1475="","",COUNTIF(C1475,"ตำแหน่งว่าง*"),"ว่าง",COUNTIF(C1475,"&lt;&gt;ตำแหน่งว่าง*"),"คนครอง")</f>
        <v>ว่าง</v>
      </c>
      <c r="W1475" s="6" cm="1">
        <f t="array" ref="W1475">_xlfn.IFS(COUNTIF(F1475,"ผบ.หมู่*"),51,COUNTIF(F1475,"รอง สว.*"),43)</f>
        <v>51</v>
      </c>
      <c r="X1475" s="6" t="s">
        <v>4264</v>
      </c>
      <c r="Y1475" s="6" t="s">
        <v>52</v>
      </c>
    </row>
    <row r="1476" spans="1:25" s="9" customFormat="1" ht="21.3" customHeight="1">
      <c r="A1476" s="27" t="s">
        <v>182</v>
      </c>
      <c r="B1476" s="28" t="s">
        <v>12</v>
      </c>
      <c r="C1476" s="34" t="s">
        <v>4564</v>
      </c>
      <c r="D1476" s="27" t="s">
        <v>7426</v>
      </c>
      <c r="E1476" s="27" t="s">
        <v>9538</v>
      </c>
      <c r="F1476" s="27" t="s">
        <v>4565</v>
      </c>
      <c r="G1476" s="101" t="s">
        <v>4567</v>
      </c>
      <c r="H1476" s="91">
        <v>44043</v>
      </c>
      <c r="I1476" s="73">
        <v>44043</v>
      </c>
      <c r="J1476" s="73">
        <v>44043</v>
      </c>
      <c r="K1476" s="73">
        <v>35126</v>
      </c>
      <c r="L1476" s="11" t="s">
        <v>82</v>
      </c>
      <c r="M1476" s="1" t="s">
        <v>46</v>
      </c>
      <c r="N1476" s="112" t="s">
        <v>14</v>
      </c>
      <c r="O1476" s="104" t="s">
        <v>52</v>
      </c>
      <c r="P1476" s="104" t="s">
        <v>52</v>
      </c>
      <c r="Q1476" s="105"/>
      <c r="R1476" s="28" t="s">
        <v>2436</v>
      </c>
      <c r="S1476" s="225">
        <f t="shared" si="23"/>
        <v>57254</v>
      </c>
      <c r="T1476" s="2" t="s">
        <v>7639</v>
      </c>
      <c r="U1476" s="7" t="s">
        <v>128</v>
      </c>
      <c r="V1476" s="162" t="str" cm="1">
        <f t="array" ref="V1476">_xlfn.IFS(C1476="","",COUNTIF(C1476,"ตำแหน่งว่าง*"),"ว่าง",COUNTIF(C1476,"&lt;&gt;ตำแหน่งว่าง*"),"คนครอง")</f>
        <v>คนครอง</v>
      </c>
      <c r="W1476" s="6" cm="1">
        <f t="array" ref="W1476">_xlfn.IFS(COUNTIF(F1476,"ผบ.หมู่*"),51,COUNTIF(F1476,"รอง สว.*"),43)</f>
        <v>51</v>
      </c>
      <c r="X1476" s="1" t="s">
        <v>4566</v>
      </c>
      <c r="Y1476" s="1" t="s">
        <v>52</v>
      </c>
    </row>
    <row r="1477" spans="1:25" s="9" customFormat="1" ht="21.3" customHeight="1">
      <c r="A1477" s="27" t="s">
        <v>157</v>
      </c>
      <c r="B1477" s="28" t="s">
        <v>21</v>
      </c>
      <c r="C1477" s="34" t="s">
        <v>4568</v>
      </c>
      <c r="D1477" s="27" t="s">
        <v>9539</v>
      </c>
      <c r="E1477" s="27" t="s">
        <v>9540</v>
      </c>
      <c r="F1477" s="27" t="s">
        <v>4565</v>
      </c>
      <c r="G1477" s="101" t="s">
        <v>4570</v>
      </c>
      <c r="H1477" s="91">
        <v>43656</v>
      </c>
      <c r="I1477" s="73">
        <v>34352</v>
      </c>
      <c r="J1477" s="73">
        <v>34352</v>
      </c>
      <c r="K1477" s="73">
        <v>26880</v>
      </c>
      <c r="L1477" s="11" t="s">
        <v>4571</v>
      </c>
      <c r="M1477" s="1" t="s">
        <v>94</v>
      </c>
      <c r="N1477" s="112" t="s">
        <v>14</v>
      </c>
      <c r="O1477" s="104" t="s">
        <v>52</v>
      </c>
      <c r="P1477" s="104" t="s">
        <v>52</v>
      </c>
      <c r="Q1477" s="105"/>
      <c r="R1477" s="28" t="s">
        <v>2794</v>
      </c>
      <c r="S1477" s="225">
        <f t="shared" si="23"/>
        <v>48853</v>
      </c>
      <c r="T1477" s="2" t="s">
        <v>7639</v>
      </c>
      <c r="U1477" s="7" t="s">
        <v>128</v>
      </c>
      <c r="V1477" s="162" t="str" cm="1">
        <f t="array" ref="V1477">_xlfn.IFS(C1477="","",COUNTIF(C1477,"ตำแหน่งว่าง*"),"ว่าง",COUNTIF(C1477,"&lt;&gt;ตำแหน่งว่าง*"),"คนครอง")</f>
        <v>คนครอง</v>
      </c>
      <c r="W1477" s="6" cm="1">
        <f t="array" ref="W1477">_xlfn.IFS(COUNTIF(F1477,"ผบ.หมู่*"),51,COUNTIF(F1477,"รอง สว.*"),43)</f>
        <v>51</v>
      </c>
      <c r="X1477" s="1" t="s">
        <v>4569</v>
      </c>
      <c r="Y1477" s="1" t="s">
        <v>52</v>
      </c>
    </row>
    <row r="1478" spans="1:25" s="9" customFormat="1" ht="21.3" customHeight="1">
      <c r="A1478" s="132" t="s">
        <v>10753</v>
      </c>
      <c r="B1478" s="28" t="s">
        <v>21</v>
      </c>
      <c r="C1478" s="34" t="s">
        <v>4572</v>
      </c>
      <c r="D1478" s="27" t="s">
        <v>7970</v>
      </c>
      <c r="E1478" s="27" t="s">
        <v>9541</v>
      </c>
      <c r="F1478" s="27" t="s">
        <v>4578</v>
      </c>
      <c r="G1478" s="101" t="s">
        <v>4574</v>
      </c>
      <c r="H1478" s="91">
        <v>45382</v>
      </c>
      <c r="I1478" s="73">
        <v>45382</v>
      </c>
      <c r="J1478" s="73">
        <v>34729</v>
      </c>
      <c r="K1478" s="73">
        <v>26103</v>
      </c>
      <c r="L1478" s="11" t="s">
        <v>7807</v>
      </c>
      <c r="M1478" s="1" t="s">
        <v>94</v>
      </c>
      <c r="N1478" s="112" t="s">
        <v>14</v>
      </c>
      <c r="O1478" s="104" t="s">
        <v>52</v>
      </c>
      <c r="P1478" s="104" t="s">
        <v>52</v>
      </c>
      <c r="Q1478" s="105"/>
      <c r="R1478" s="33" t="s">
        <v>110</v>
      </c>
      <c r="S1478" s="225">
        <f t="shared" si="23"/>
        <v>48122</v>
      </c>
      <c r="T1478" s="2" t="s">
        <v>7639</v>
      </c>
      <c r="U1478" s="7" t="s">
        <v>128</v>
      </c>
      <c r="V1478" s="162" t="str" cm="1">
        <f t="array" ref="V1478">_xlfn.IFS(C1478="","",COUNTIF(C1478,"ตำแหน่งว่าง*"),"ว่าง",COUNTIF(C1478,"&lt;&gt;ตำแหน่งว่าง*"),"คนครอง")</f>
        <v>คนครอง</v>
      </c>
      <c r="W1478" s="6" cm="1">
        <f t="array" ref="W1478">_xlfn.IFS(COUNTIF(F1478,"ผบ.หมู่*"),51,COUNTIF(F1478,"รอง สว.*"),43)</f>
        <v>43</v>
      </c>
      <c r="X1478" s="1" t="s">
        <v>4573</v>
      </c>
      <c r="Y1478" s="1" t="s">
        <v>52</v>
      </c>
    </row>
    <row r="1479" spans="1:25" s="9" customFormat="1" ht="21.3" customHeight="1">
      <c r="A1479" s="132" t="s">
        <v>10753</v>
      </c>
      <c r="B1479" s="28" t="s">
        <v>12</v>
      </c>
      <c r="C1479" s="27" t="s">
        <v>4575</v>
      </c>
      <c r="D1479" s="27" t="s">
        <v>9542</v>
      </c>
      <c r="E1479" s="27" t="s">
        <v>9543</v>
      </c>
      <c r="F1479" s="27" t="s">
        <v>4578</v>
      </c>
      <c r="G1479" s="101" t="s">
        <v>4577</v>
      </c>
      <c r="H1479" s="91">
        <v>45382</v>
      </c>
      <c r="I1479" s="73">
        <v>45382</v>
      </c>
      <c r="J1479" s="73">
        <v>34731</v>
      </c>
      <c r="K1479" s="73">
        <v>26047</v>
      </c>
      <c r="L1479" s="11" t="s">
        <v>7806</v>
      </c>
      <c r="M1479" s="1" t="s">
        <v>94</v>
      </c>
      <c r="N1479" s="112" t="s">
        <v>14</v>
      </c>
      <c r="O1479" s="104" t="s">
        <v>52</v>
      </c>
      <c r="P1479" s="104" t="s">
        <v>52</v>
      </c>
      <c r="Q1479" s="105"/>
      <c r="R1479" s="33" t="s">
        <v>7830</v>
      </c>
      <c r="S1479" s="225">
        <f t="shared" si="23"/>
        <v>48122</v>
      </c>
      <c r="T1479" s="2" t="s">
        <v>7639</v>
      </c>
      <c r="U1479" s="7" t="s">
        <v>128</v>
      </c>
      <c r="V1479" s="162" t="str" cm="1">
        <f t="array" ref="V1479">_xlfn.IFS(C1479="","",COUNTIF(C1479,"ตำแหน่งว่าง*"),"ว่าง",COUNTIF(C1479,"&lt;&gt;ตำแหน่งว่าง*"),"คนครอง")</f>
        <v>คนครอง</v>
      </c>
      <c r="W1479" s="6" cm="1">
        <f t="array" ref="W1479">_xlfn.IFS(COUNTIF(F1479,"ผบ.หมู่*"),51,COUNTIF(F1479,"รอง สว.*"),43)</f>
        <v>43</v>
      </c>
      <c r="X1479" s="1" t="s">
        <v>4576</v>
      </c>
      <c r="Y1479" s="1" t="s">
        <v>52</v>
      </c>
    </row>
    <row r="1480" spans="1:25" s="9" customFormat="1" ht="21.3" customHeight="1">
      <c r="A1480" s="27"/>
      <c r="B1480" s="28"/>
      <c r="C1480" s="95" t="s">
        <v>18</v>
      </c>
      <c r="D1480" s="27"/>
      <c r="E1480" s="27"/>
      <c r="F1480" s="68" t="s">
        <v>4565</v>
      </c>
      <c r="G1480" s="101" t="s">
        <v>4580</v>
      </c>
      <c r="H1480" s="91"/>
      <c r="I1480" s="73"/>
      <c r="J1480" s="73"/>
      <c r="K1480" s="73"/>
      <c r="L1480" s="11"/>
      <c r="M1480" s="1"/>
      <c r="N1480" s="112" t="s">
        <v>14</v>
      </c>
      <c r="O1480" s="104" t="s">
        <v>52</v>
      </c>
      <c r="P1480" s="104" t="s">
        <v>52</v>
      </c>
      <c r="Q1480" s="105"/>
      <c r="R1480" s="28"/>
      <c r="S1480" s="225" t="str">
        <f t="shared" si="23"/>
        <v/>
      </c>
      <c r="T1480" s="2" t="s">
        <v>7639</v>
      </c>
      <c r="U1480" s="7" t="s">
        <v>128</v>
      </c>
      <c r="V1480" s="162" t="str" cm="1">
        <f t="array" ref="V1480">_xlfn.IFS(C1480="","",COUNTIF(C1480,"ตำแหน่งว่าง*"),"ว่าง",COUNTIF(C1480,"&lt;&gt;ตำแหน่งว่าง*"),"คนครอง")</f>
        <v>ว่าง</v>
      </c>
      <c r="W1480" s="5" cm="1">
        <f t="array" ref="W1480">_xlfn.IFS(COUNTIF(F1480,"ผบ.หมู่*"),51,COUNTIF(F1480,"รอง สว.*"),43)</f>
        <v>51</v>
      </c>
      <c r="X1480" s="1" t="s">
        <v>4579</v>
      </c>
      <c r="Y1480" s="1" t="s">
        <v>52</v>
      </c>
    </row>
    <row r="1481" spans="1:25" s="9" customFormat="1" ht="21.3" customHeight="1">
      <c r="A1481" s="27"/>
      <c r="B1481" s="28"/>
      <c r="C1481" s="30" t="s">
        <v>18</v>
      </c>
      <c r="D1481" s="27"/>
      <c r="E1481" s="27"/>
      <c r="F1481" s="68" t="s">
        <v>4565</v>
      </c>
      <c r="G1481" s="121" t="s">
        <v>4582</v>
      </c>
      <c r="H1481" s="93"/>
      <c r="I1481" s="74"/>
      <c r="J1481" s="74"/>
      <c r="K1481" s="74"/>
      <c r="L1481" s="16"/>
      <c r="M1481" s="6"/>
      <c r="N1481" s="113" t="s">
        <v>14</v>
      </c>
      <c r="O1481" s="122" t="s">
        <v>52</v>
      </c>
      <c r="P1481" s="122" t="s">
        <v>52</v>
      </c>
      <c r="Q1481" s="106"/>
      <c r="R1481" s="30"/>
      <c r="S1481" s="225" t="str">
        <f t="shared" si="23"/>
        <v/>
      </c>
      <c r="T1481" s="2" t="s">
        <v>7639</v>
      </c>
      <c r="U1481" s="7" t="s">
        <v>128</v>
      </c>
      <c r="V1481" s="171" t="str" cm="1">
        <f t="array" ref="V1481">_xlfn.IFS(C1481="","",COUNTIF(C1481,"ตำแหน่งว่าง*"),"ว่าง",COUNTIF(C1481,"&lt;&gt;ตำแหน่งว่าง*"),"คนครอง")</f>
        <v>ว่าง</v>
      </c>
      <c r="W1481" s="6" cm="1">
        <f t="array" ref="W1481">_xlfn.IFS(COUNTIF(F1481,"ผบ.หมู่*"),51,COUNTIF(F1481,"รอง สว.*"),43)</f>
        <v>51</v>
      </c>
      <c r="X1481" s="6" t="s">
        <v>4581</v>
      </c>
      <c r="Y1481" s="6" t="s">
        <v>52</v>
      </c>
    </row>
    <row r="1482" spans="1:25" s="9" customFormat="1" ht="21.3" customHeight="1">
      <c r="A1482" s="27" t="s">
        <v>26</v>
      </c>
      <c r="B1482" s="28" t="s">
        <v>12</v>
      </c>
      <c r="C1482" s="27" t="s">
        <v>4583</v>
      </c>
      <c r="D1482" s="27" t="s">
        <v>9544</v>
      </c>
      <c r="E1482" s="27" t="s">
        <v>9545</v>
      </c>
      <c r="F1482" s="27" t="s">
        <v>4578</v>
      </c>
      <c r="G1482" s="101" t="s">
        <v>4585</v>
      </c>
      <c r="H1482" s="91">
        <v>44286</v>
      </c>
      <c r="I1482" s="73">
        <v>44286</v>
      </c>
      <c r="J1482" s="73">
        <v>35825</v>
      </c>
      <c r="K1482" s="73">
        <v>24884</v>
      </c>
      <c r="L1482" s="11" t="s">
        <v>4586</v>
      </c>
      <c r="M1482" s="1" t="s">
        <v>94</v>
      </c>
      <c r="N1482" s="112" t="s">
        <v>14</v>
      </c>
      <c r="O1482" s="104" t="s">
        <v>52</v>
      </c>
      <c r="P1482" s="104" t="s">
        <v>52</v>
      </c>
      <c r="Q1482" s="105"/>
      <c r="R1482" s="28" t="s">
        <v>1313</v>
      </c>
      <c r="S1482" s="225">
        <f t="shared" si="23"/>
        <v>47027</v>
      </c>
      <c r="T1482" s="2" t="s">
        <v>7639</v>
      </c>
      <c r="U1482" s="7" t="s">
        <v>128</v>
      </c>
      <c r="V1482" s="162" t="str" cm="1">
        <f t="array" ref="V1482">_xlfn.IFS(C1482="","",COUNTIF(C1482,"ตำแหน่งว่าง*"),"ว่าง",COUNTIF(C1482,"&lt;&gt;ตำแหน่งว่าง*"),"คนครอง")</f>
        <v>คนครอง</v>
      </c>
      <c r="W1482" s="5" cm="1">
        <f t="array" ref="W1482">_xlfn.IFS(COUNTIF(F1482,"ผบ.หมู่*"),51,COUNTIF(F1482,"รอง สว.*"),43)</f>
        <v>43</v>
      </c>
      <c r="X1482" s="1" t="s">
        <v>4584</v>
      </c>
      <c r="Y1482" s="1" t="s">
        <v>52</v>
      </c>
    </row>
    <row r="1483" spans="1:25" s="9" customFormat="1" ht="21.3" customHeight="1">
      <c r="A1483" s="27" t="s">
        <v>26</v>
      </c>
      <c r="B1483" s="28" t="s">
        <v>12</v>
      </c>
      <c r="C1483" s="27" t="s">
        <v>4587</v>
      </c>
      <c r="D1483" s="27" t="s">
        <v>9546</v>
      </c>
      <c r="E1483" s="27" t="s">
        <v>9547</v>
      </c>
      <c r="F1483" s="27" t="s">
        <v>4578</v>
      </c>
      <c r="G1483" s="101" t="s">
        <v>4589</v>
      </c>
      <c r="H1483" s="91">
        <v>44286</v>
      </c>
      <c r="I1483" s="73">
        <v>44286</v>
      </c>
      <c r="J1483" s="73">
        <v>34731</v>
      </c>
      <c r="K1483" s="73">
        <v>24894</v>
      </c>
      <c r="L1483" s="11" t="s">
        <v>4590</v>
      </c>
      <c r="M1483" s="1" t="s">
        <v>94</v>
      </c>
      <c r="N1483" s="112" t="s">
        <v>14</v>
      </c>
      <c r="O1483" s="104" t="s">
        <v>52</v>
      </c>
      <c r="P1483" s="104" t="s">
        <v>52</v>
      </c>
      <c r="Q1483" s="105"/>
      <c r="R1483" s="28" t="s">
        <v>1313</v>
      </c>
      <c r="S1483" s="225">
        <f t="shared" si="23"/>
        <v>47027</v>
      </c>
      <c r="T1483" s="2" t="s">
        <v>7639</v>
      </c>
      <c r="U1483" s="7" t="s">
        <v>128</v>
      </c>
      <c r="V1483" s="162" t="str" cm="1">
        <f t="array" ref="V1483">_xlfn.IFS(C1483="","",COUNTIF(C1483,"ตำแหน่งว่าง*"),"ว่าง",COUNTIF(C1483,"&lt;&gt;ตำแหน่งว่าง*"),"คนครอง")</f>
        <v>คนครอง</v>
      </c>
      <c r="W1483" s="5" cm="1">
        <f t="array" ref="W1483">_xlfn.IFS(COUNTIF(F1483,"ผบ.หมู่*"),51,COUNTIF(F1483,"รอง สว.*"),43)</f>
        <v>43</v>
      </c>
      <c r="X1483" s="1" t="s">
        <v>4588</v>
      </c>
      <c r="Y1483" s="1" t="s">
        <v>52</v>
      </c>
    </row>
    <row r="1484" spans="1:25" s="10" customFormat="1" ht="21.3" customHeight="1">
      <c r="A1484" s="27" t="s">
        <v>157</v>
      </c>
      <c r="B1484" s="28" t="s">
        <v>21</v>
      </c>
      <c r="C1484" s="27" t="s">
        <v>4591</v>
      </c>
      <c r="D1484" s="27" t="s">
        <v>9548</v>
      </c>
      <c r="E1484" s="27" t="s">
        <v>9549</v>
      </c>
      <c r="F1484" s="27" t="s">
        <v>4565</v>
      </c>
      <c r="G1484" s="101" t="s">
        <v>4593</v>
      </c>
      <c r="H1484" s="91">
        <v>44999</v>
      </c>
      <c r="I1484" s="73">
        <v>40084</v>
      </c>
      <c r="J1484" s="73">
        <v>40084</v>
      </c>
      <c r="K1484" s="73">
        <v>30906</v>
      </c>
      <c r="L1484" s="11" t="s">
        <v>68</v>
      </c>
      <c r="M1484" s="1" t="s">
        <v>34</v>
      </c>
      <c r="N1484" s="112" t="s">
        <v>14</v>
      </c>
      <c r="O1484" s="104" t="s">
        <v>52</v>
      </c>
      <c r="P1484" s="104" t="s">
        <v>52</v>
      </c>
      <c r="Q1484" s="105"/>
      <c r="R1484" s="28" t="s">
        <v>74</v>
      </c>
      <c r="S1484" s="225">
        <f t="shared" si="23"/>
        <v>52871</v>
      </c>
      <c r="T1484" s="7" t="s">
        <v>7639</v>
      </c>
      <c r="U1484" s="7" t="s">
        <v>128</v>
      </c>
      <c r="V1484" s="162" t="str" cm="1">
        <f t="array" ref="V1484">_xlfn.IFS(C1484="","",COUNTIF(C1484,"ตำแหน่งว่าง*"),"ว่าง",COUNTIF(C1484,"&lt;&gt;ตำแหน่งว่าง*"),"คนครอง")</f>
        <v>คนครอง</v>
      </c>
      <c r="W1484" s="6" cm="1">
        <f t="array" ref="W1484">_xlfn.IFS(COUNTIF(F1484,"ผบ.หมู่*"),51,COUNTIF(F1484,"รอง สว.*"),43)</f>
        <v>51</v>
      </c>
      <c r="X1484" s="1" t="s">
        <v>4592</v>
      </c>
      <c r="Y1484" s="1" t="s">
        <v>52</v>
      </c>
    </row>
    <row r="1485" spans="1:25" s="9" customFormat="1" ht="21.3" customHeight="1">
      <c r="A1485" s="27" t="s">
        <v>612</v>
      </c>
      <c r="B1485" s="28" t="s">
        <v>12</v>
      </c>
      <c r="C1485" s="27" t="s">
        <v>4594</v>
      </c>
      <c r="D1485" s="27" t="s">
        <v>8312</v>
      </c>
      <c r="E1485" s="27" t="s">
        <v>9550</v>
      </c>
      <c r="F1485" s="27" t="s">
        <v>4565</v>
      </c>
      <c r="G1485" s="101" t="s">
        <v>4596</v>
      </c>
      <c r="H1485" s="75">
        <v>42501</v>
      </c>
      <c r="I1485" s="73">
        <v>42416</v>
      </c>
      <c r="J1485" s="73">
        <v>42416</v>
      </c>
      <c r="K1485" s="73">
        <v>33457</v>
      </c>
      <c r="L1485" s="11" t="s">
        <v>4597</v>
      </c>
      <c r="M1485" s="1" t="s">
        <v>94</v>
      </c>
      <c r="N1485" s="112" t="s">
        <v>14</v>
      </c>
      <c r="O1485" s="104" t="s">
        <v>52</v>
      </c>
      <c r="P1485" s="104" t="s">
        <v>52</v>
      </c>
      <c r="Q1485" s="105"/>
      <c r="R1485" s="28" t="s">
        <v>110</v>
      </c>
      <c r="S1485" s="225">
        <f t="shared" si="23"/>
        <v>55427</v>
      </c>
      <c r="T1485" s="2" t="s">
        <v>7639</v>
      </c>
      <c r="U1485" s="7" t="s">
        <v>128</v>
      </c>
      <c r="V1485" s="162" t="str" cm="1">
        <f t="array" ref="V1485">_xlfn.IFS(C1485="","",COUNTIF(C1485,"ตำแหน่งว่าง*"),"ว่าง",COUNTIF(C1485,"&lt;&gt;ตำแหน่งว่าง*"),"คนครอง")</f>
        <v>คนครอง</v>
      </c>
      <c r="W1485" s="6" cm="1">
        <f t="array" ref="W1485">_xlfn.IFS(COUNTIF(F1485,"ผบ.หมู่*"),51,COUNTIF(F1485,"รอง สว.*"),43)</f>
        <v>51</v>
      </c>
      <c r="X1485" s="1" t="s">
        <v>4595</v>
      </c>
      <c r="Y1485" s="1" t="s">
        <v>52</v>
      </c>
    </row>
    <row r="1486" spans="1:25" s="10" customFormat="1" ht="21.3" customHeight="1">
      <c r="A1486" s="27" t="s">
        <v>157</v>
      </c>
      <c r="B1486" s="28" t="s">
        <v>12</v>
      </c>
      <c r="C1486" s="28" t="s">
        <v>4598</v>
      </c>
      <c r="D1486" s="27" t="s">
        <v>9551</v>
      </c>
      <c r="E1486" s="27" t="s">
        <v>9552</v>
      </c>
      <c r="F1486" s="27" t="s">
        <v>4565</v>
      </c>
      <c r="G1486" s="101" t="s">
        <v>4600</v>
      </c>
      <c r="H1486" s="91">
        <v>44999</v>
      </c>
      <c r="I1486" s="82">
        <v>35462</v>
      </c>
      <c r="J1486" s="82">
        <v>35462</v>
      </c>
      <c r="K1486" s="82">
        <v>27268</v>
      </c>
      <c r="L1486" s="58" t="s">
        <v>82</v>
      </c>
      <c r="M1486" s="56" t="s">
        <v>94</v>
      </c>
      <c r="N1486" s="112" t="s">
        <v>14</v>
      </c>
      <c r="O1486" s="104" t="s">
        <v>52</v>
      </c>
      <c r="P1486" s="104" t="s">
        <v>52</v>
      </c>
      <c r="Q1486" s="105"/>
      <c r="R1486" s="28" t="s">
        <v>74</v>
      </c>
      <c r="S1486" s="225">
        <f t="shared" si="23"/>
        <v>49218</v>
      </c>
      <c r="T1486" s="7" t="s">
        <v>7639</v>
      </c>
      <c r="U1486" s="7" t="s">
        <v>128</v>
      </c>
      <c r="V1486" s="162" t="str" cm="1">
        <f t="array" ref="V1486">_xlfn.IFS(C1486="","",COUNTIF(C1486,"ตำแหน่งว่าง*"),"ว่าง",COUNTIF(C1486,"&lt;&gt;ตำแหน่งว่าง*"),"คนครอง")</f>
        <v>คนครอง</v>
      </c>
      <c r="W1486" s="6" cm="1">
        <f t="array" ref="W1486">_xlfn.IFS(COUNTIF(F1486,"ผบ.หมู่*"),51,COUNTIF(F1486,"รอง สว.*"),43)</f>
        <v>51</v>
      </c>
      <c r="X1486" s="28" t="s">
        <v>4599</v>
      </c>
      <c r="Y1486" s="28" t="s">
        <v>52</v>
      </c>
    </row>
    <row r="1487" spans="1:25" s="9" customFormat="1" ht="21.3" customHeight="1">
      <c r="A1487" s="27" t="s">
        <v>157</v>
      </c>
      <c r="B1487" s="28" t="s">
        <v>21</v>
      </c>
      <c r="C1487" s="27" t="s">
        <v>4601</v>
      </c>
      <c r="D1487" s="27" t="s">
        <v>8001</v>
      </c>
      <c r="E1487" s="27" t="s">
        <v>9553</v>
      </c>
      <c r="F1487" s="27" t="s">
        <v>4565</v>
      </c>
      <c r="G1487" s="101" t="s">
        <v>4603</v>
      </c>
      <c r="H1487" s="75">
        <v>42501</v>
      </c>
      <c r="I1487" s="73">
        <v>34352</v>
      </c>
      <c r="J1487" s="73">
        <v>34352</v>
      </c>
      <c r="K1487" s="73">
        <v>27154</v>
      </c>
      <c r="L1487" s="11" t="s">
        <v>4604</v>
      </c>
      <c r="M1487" s="1" t="s">
        <v>94</v>
      </c>
      <c r="N1487" s="112" t="s">
        <v>14</v>
      </c>
      <c r="O1487" s="104" t="s">
        <v>52</v>
      </c>
      <c r="P1487" s="104" t="s">
        <v>52</v>
      </c>
      <c r="Q1487" s="105"/>
      <c r="R1487" s="28" t="s">
        <v>110</v>
      </c>
      <c r="S1487" s="225">
        <f t="shared" si="23"/>
        <v>49218</v>
      </c>
      <c r="T1487" s="2" t="s">
        <v>7639</v>
      </c>
      <c r="U1487" s="7" t="s">
        <v>128</v>
      </c>
      <c r="V1487" s="162" t="str" cm="1">
        <f t="array" ref="V1487">_xlfn.IFS(C1487="","",COUNTIF(C1487,"ตำแหน่งว่าง*"),"ว่าง",COUNTIF(C1487,"&lt;&gt;ตำแหน่งว่าง*"),"คนครอง")</f>
        <v>คนครอง</v>
      </c>
      <c r="W1487" s="6" cm="1">
        <f t="array" ref="W1487">_xlfn.IFS(COUNTIF(F1487,"ผบ.หมู่*"),51,COUNTIF(F1487,"รอง สว.*"),43)</f>
        <v>51</v>
      </c>
      <c r="X1487" s="1" t="s">
        <v>4602</v>
      </c>
      <c r="Y1487" s="1" t="s">
        <v>52</v>
      </c>
    </row>
    <row r="1488" spans="1:25" s="9" customFormat="1" ht="21.3" customHeight="1">
      <c r="A1488" s="27" t="s">
        <v>157</v>
      </c>
      <c r="B1488" s="28" t="s">
        <v>21</v>
      </c>
      <c r="C1488" s="27" t="s">
        <v>4605</v>
      </c>
      <c r="D1488" s="27" t="s">
        <v>8047</v>
      </c>
      <c r="E1488" s="27" t="s">
        <v>9554</v>
      </c>
      <c r="F1488" s="27" t="s">
        <v>4565</v>
      </c>
      <c r="G1488" s="101" t="s">
        <v>4607</v>
      </c>
      <c r="H1488" s="91">
        <v>44243</v>
      </c>
      <c r="I1488" s="73">
        <v>40814</v>
      </c>
      <c r="J1488" s="73">
        <v>40814</v>
      </c>
      <c r="K1488" s="73">
        <v>31841</v>
      </c>
      <c r="L1488" s="11" t="s">
        <v>4608</v>
      </c>
      <c r="M1488" s="1" t="s">
        <v>94</v>
      </c>
      <c r="N1488" s="112" t="s">
        <v>14</v>
      </c>
      <c r="O1488" s="104" t="s">
        <v>52</v>
      </c>
      <c r="P1488" s="104" t="s">
        <v>52</v>
      </c>
      <c r="Q1488" s="105"/>
      <c r="R1488" s="28" t="s">
        <v>617</v>
      </c>
      <c r="S1488" s="225">
        <f t="shared" si="23"/>
        <v>53966</v>
      </c>
      <c r="T1488" s="2" t="s">
        <v>7639</v>
      </c>
      <c r="U1488" s="7" t="s">
        <v>128</v>
      </c>
      <c r="V1488" s="162" t="str" cm="1">
        <f t="array" ref="V1488">_xlfn.IFS(C1488="","",COUNTIF(C1488,"ตำแหน่งว่าง*"),"ว่าง",COUNTIF(C1488,"&lt;&gt;ตำแหน่งว่าง*"),"คนครอง")</f>
        <v>คนครอง</v>
      </c>
      <c r="W1488" s="6" cm="1">
        <f t="array" ref="W1488">_xlfn.IFS(COUNTIF(F1488,"ผบ.หมู่*"),51,COUNTIF(F1488,"รอง สว.*"),43)</f>
        <v>51</v>
      </c>
      <c r="X1488" s="1" t="s">
        <v>4606</v>
      </c>
      <c r="Y1488" s="1" t="s">
        <v>52</v>
      </c>
    </row>
    <row r="1489" spans="1:25" s="10" customFormat="1" ht="21.3" customHeight="1">
      <c r="A1489" s="27"/>
      <c r="B1489" s="28"/>
      <c r="C1489" s="30" t="s">
        <v>18</v>
      </c>
      <c r="D1489" s="27"/>
      <c r="E1489" s="27"/>
      <c r="F1489" s="68" t="s">
        <v>4565</v>
      </c>
      <c r="G1489" s="121" t="s">
        <v>4610</v>
      </c>
      <c r="H1489" s="91" t="s">
        <v>19</v>
      </c>
      <c r="I1489" s="73" t="s">
        <v>19</v>
      </c>
      <c r="J1489" s="73" t="s">
        <v>19</v>
      </c>
      <c r="K1489" s="73" t="s">
        <v>19</v>
      </c>
      <c r="L1489" s="11"/>
      <c r="M1489" s="1"/>
      <c r="N1489" s="113" t="s">
        <v>14</v>
      </c>
      <c r="O1489" s="122" t="s">
        <v>52</v>
      </c>
      <c r="P1489" s="122" t="s">
        <v>52</v>
      </c>
      <c r="Q1489" s="105"/>
      <c r="R1489" s="28"/>
      <c r="S1489" s="225" t="str">
        <f t="shared" si="23"/>
        <v/>
      </c>
      <c r="T1489" s="7" t="s">
        <v>7639</v>
      </c>
      <c r="U1489" s="7" t="s">
        <v>128</v>
      </c>
      <c r="V1489" s="171" t="str" cm="1">
        <f t="array" ref="V1489">_xlfn.IFS(C1489="","",COUNTIF(C1489,"ตำแหน่งว่าง*"),"ว่าง",COUNTIF(C1489,"&lt;&gt;ตำแหน่งว่าง*"),"คนครอง")</f>
        <v>ว่าง</v>
      </c>
      <c r="W1489" s="6" cm="1">
        <f t="array" ref="W1489">_xlfn.IFS(COUNTIF(F1489,"ผบ.หมู่*"),51,COUNTIF(F1489,"รอง สว.*"),43)</f>
        <v>51</v>
      </c>
      <c r="X1489" s="6" t="s">
        <v>4609</v>
      </c>
      <c r="Y1489" s="6" t="s">
        <v>52</v>
      </c>
    </row>
    <row r="1490" spans="1:25" s="9" customFormat="1" ht="21.3" customHeight="1">
      <c r="A1490" s="27" t="s">
        <v>157</v>
      </c>
      <c r="B1490" s="28" t="s">
        <v>21</v>
      </c>
      <c r="C1490" s="27" t="s">
        <v>4506</v>
      </c>
      <c r="D1490" s="27" t="s">
        <v>8030</v>
      </c>
      <c r="E1490" s="27" t="s">
        <v>9555</v>
      </c>
      <c r="F1490" s="27" t="s">
        <v>4507</v>
      </c>
      <c r="G1490" s="101" t="s">
        <v>4509</v>
      </c>
      <c r="H1490" s="75">
        <v>42501</v>
      </c>
      <c r="I1490" s="73">
        <v>35095</v>
      </c>
      <c r="J1490" s="73">
        <v>35095</v>
      </c>
      <c r="K1490" s="73">
        <v>27244</v>
      </c>
      <c r="L1490" s="11" t="s">
        <v>4390</v>
      </c>
      <c r="M1490" s="1" t="s">
        <v>46</v>
      </c>
      <c r="N1490" s="112" t="s">
        <v>14</v>
      </c>
      <c r="O1490" s="104" t="s">
        <v>52</v>
      </c>
      <c r="P1490" s="104" t="s">
        <v>52</v>
      </c>
      <c r="Q1490" s="105"/>
      <c r="R1490" s="28" t="s">
        <v>110</v>
      </c>
      <c r="S1490" s="225">
        <f t="shared" si="23"/>
        <v>49218</v>
      </c>
      <c r="T1490" s="2" t="s">
        <v>7638</v>
      </c>
      <c r="U1490" s="7" t="s">
        <v>128</v>
      </c>
      <c r="V1490" s="162" t="str" cm="1">
        <f t="array" ref="V1490">_xlfn.IFS(C1490="","",COUNTIF(C1490,"ตำแหน่งว่าง*"),"ว่าง",COUNTIF(C1490,"&lt;&gt;ตำแหน่งว่าง*"),"คนครอง")</f>
        <v>คนครอง</v>
      </c>
      <c r="W1490" s="6" cm="1">
        <f t="array" ref="W1490">_xlfn.IFS(COUNTIF(F1490,"ผบ.หมู่*"),51,COUNTIF(F1490,"รอง สว.*"),43)</f>
        <v>51</v>
      </c>
      <c r="X1490" s="1" t="s">
        <v>4508</v>
      </c>
      <c r="Y1490" s="1" t="s">
        <v>52</v>
      </c>
    </row>
    <row r="1491" spans="1:25" s="9" customFormat="1" ht="21.3" customHeight="1">
      <c r="A1491" s="27" t="s">
        <v>60</v>
      </c>
      <c r="B1491" s="28" t="s">
        <v>21</v>
      </c>
      <c r="C1491" s="27" t="s">
        <v>4510</v>
      </c>
      <c r="D1491" s="27" t="s">
        <v>9556</v>
      </c>
      <c r="E1491" s="27" t="s">
        <v>8003</v>
      </c>
      <c r="F1491" s="27" t="s">
        <v>4511</v>
      </c>
      <c r="G1491" s="101" t="s">
        <v>4513</v>
      </c>
      <c r="H1491" s="75">
        <v>45016</v>
      </c>
      <c r="I1491" s="73">
        <v>45016</v>
      </c>
      <c r="J1491" s="73">
        <v>34352</v>
      </c>
      <c r="K1491" s="73">
        <v>25627</v>
      </c>
      <c r="L1491" s="11" t="s">
        <v>131</v>
      </c>
      <c r="M1491" s="1" t="s">
        <v>46</v>
      </c>
      <c r="N1491" s="112" t="s">
        <v>14</v>
      </c>
      <c r="O1491" s="104" t="s">
        <v>52</v>
      </c>
      <c r="P1491" s="104" t="s">
        <v>52</v>
      </c>
      <c r="Q1491" s="105"/>
      <c r="R1491" s="28" t="s">
        <v>483</v>
      </c>
      <c r="S1491" s="225">
        <f t="shared" si="23"/>
        <v>47757</v>
      </c>
      <c r="T1491" s="2" t="s">
        <v>7638</v>
      </c>
      <c r="U1491" s="7" t="s">
        <v>128</v>
      </c>
      <c r="V1491" s="162" t="str" cm="1">
        <f t="array" ref="V1491">_xlfn.IFS(C1491="","",COUNTIF(C1491,"ตำแหน่งว่าง*"),"ว่าง",COUNTIF(C1491,"&lt;&gt;ตำแหน่งว่าง*"),"คนครอง")</f>
        <v>คนครอง</v>
      </c>
      <c r="W1491" s="5" cm="1">
        <f t="array" ref="W1491">_xlfn.IFS(COUNTIF(F1491,"ผบ.หมู่*"),51,COUNTIF(F1491,"รอง สว.*"),43)</f>
        <v>43</v>
      </c>
      <c r="X1491" s="1" t="s">
        <v>4512</v>
      </c>
      <c r="Y1491" s="1" t="s">
        <v>52</v>
      </c>
    </row>
    <row r="1492" spans="1:25" s="25" customFormat="1" ht="21.3" customHeight="1">
      <c r="A1492" s="138" t="s">
        <v>157</v>
      </c>
      <c r="B1492" s="139" t="s">
        <v>21</v>
      </c>
      <c r="C1492" s="27" t="s">
        <v>4514</v>
      </c>
      <c r="D1492" s="27" t="s">
        <v>8114</v>
      </c>
      <c r="E1492" s="27" t="s">
        <v>9557</v>
      </c>
      <c r="F1492" s="27" t="s">
        <v>4507</v>
      </c>
      <c r="G1492" s="101" t="s">
        <v>4516</v>
      </c>
      <c r="H1492" s="144">
        <v>43871</v>
      </c>
      <c r="I1492" s="83">
        <v>34729</v>
      </c>
      <c r="J1492" s="83">
        <v>34729</v>
      </c>
      <c r="K1492" s="83">
        <v>27489</v>
      </c>
      <c r="L1492" s="24" t="s">
        <v>4517</v>
      </c>
      <c r="M1492" s="1" t="s">
        <v>46</v>
      </c>
      <c r="N1492" s="118" t="s">
        <v>14</v>
      </c>
      <c r="O1492" s="104" t="s">
        <v>52</v>
      </c>
      <c r="P1492" s="119" t="s">
        <v>52</v>
      </c>
      <c r="Q1492" s="150"/>
      <c r="R1492" s="139" t="s">
        <v>688</v>
      </c>
      <c r="S1492" s="225">
        <f t="shared" si="23"/>
        <v>49583</v>
      </c>
      <c r="T1492" s="168" t="s">
        <v>7638</v>
      </c>
      <c r="U1492" s="7" t="s">
        <v>128</v>
      </c>
      <c r="V1492" s="162" t="str" cm="1">
        <f t="array" ref="V1492">_xlfn.IFS(C1492="","",COUNTIF(C1492,"ตำแหน่งว่าง*"),"ว่าง",COUNTIF(C1492,"&lt;&gt;ตำแหน่งว่าง*"),"คนครอง")</f>
        <v>คนครอง</v>
      </c>
      <c r="W1492" s="6" cm="1">
        <f t="array" ref="W1492">_xlfn.IFS(COUNTIF(F1492,"ผบ.หมู่*"),51,COUNTIF(F1492,"รอง สว.*"),43)</f>
        <v>51</v>
      </c>
      <c r="X1492" s="23" t="s">
        <v>4515</v>
      </c>
      <c r="Y1492" s="23" t="s">
        <v>52</v>
      </c>
    </row>
    <row r="1493" spans="1:25" s="9" customFormat="1" ht="21.3" customHeight="1">
      <c r="A1493" s="27" t="s">
        <v>26</v>
      </c>
      <c r="B1493" s="28" t="s">
        <v>12</v>
      </c>
      <c r="C1493" s="27" t="s">
        <v>4518</v>
      </c>
      <c r="D1493" s="27" t="s">
        <v>9558</v>
      </c>
      <c r="E1493" s="27" t="s">
        <v>9559</v>
      </c>
      <c r="F1493" s="27" t="s">
        <v>4511</v>
      </c>
      <c r="G1493" s="101" t="s">
        <v>4520</v>
      </c>
      <c r="H1493" s="91">
        <v>43921</v>
      </c>
      <c r="I1493" s="73">
        <v>43921</v>
      </c>
      <c r="J1493" s="73">
        <v>35825</v>
      </c>
      <c r="K1493" s="73">
        <v>24703</v>
      </c>
      <c r="L1493" s="11" t="s">
        <v>112</v>
      </c>
      <c r="M1493" s="1" t="s">
        <v>46</v>
      </c>
      <c r="N1493" s="112" t="s">
        <v>14</v>
      </c>
      <c r="O1493" s="104" t="s">
        <v>52</v>
      </c>
      <c r="P1493" s="104" t="s">
        <v>52</v>
      </c>
      <c r="Q1493" s="105"/>
      <c r="R1493" s="28" t="s">
        <v>2700</v>
      </c>
      <c r="S1493" s="225">
        <f t="shared" si="23"/>
        <v>46661</v>
      </c>
      <c r="T1493" s="2" t="s">
        <v>7638</v>
      </c>
      <c r="U1493" s="7" t="s">
        <v>128</v>
      </c>
      <c r="V1493" s="162" t="str" cm="1">
        <f t="array" ref="V1493">_xlfn.IFS(C1493="","",COUNTIF(C1493,"ตำแหน่งว่าง*"),"ว่าง",COUNTIF(C1493,"&lt;&gt;ตำแหน่งว่าง*"),"คนครอง")</f>
        <v>คนครอง</v>
      </c>
      <c r="W1493" s="5" cm="1">
        <f t="array" ref="W1493">_xlfn.IFS(COUNTIF(F1493,"ผบ.หมู่*"),51,COUNTIF(F1493,"รอง สว.*"),43)</f>
        <v>43</v>
      </c>
      <c r="X1493" s="1" t="s">
        <v>4519</v>
      </c>
      <c r="Y1493" s="1" t="s">
        <v>52</v>
      </c>
    </row>
    <row r="1494" spans="1:25" s="9" customFormat="1" ht="21.3" customHeight="1">
      <c r="A1494" s="27" t="s">
        <v>157</v>
      </c>
      <c r="B1494" s="28" t="s">
        <v>12</v>
      </c>
      <c r="C1494" s="27" t="s">
        <v>4521</v>
      </c>
      <c r="D1494" s="27" t="s">
        <v>8085</v>
      </c>
      <c r="E1494" s="27" t="s">
        <v>9560</v>
      </c>
      <c r="F1494" s="27" t="s">
        <v>4507</v>
      </c>
      <c r="G1494" s="101" t="s">
        <v>4523</v>
      </c>
      <c r="H1494" s="75">
        <v>42501</v>
      </c>
      <c r="I1494" s="73">
        <v>37026</v>
      </c>
      <c r="J1494" s="73">
        <v>37026</v>
      </c>
      <c r="K1494" s="73">
        <v>26625</v>
      </c>
      <c r="L1494" s="11" t="s">
        <v>4524</v>
      </c>
      <c r="M1494" s="1" t="s">
        <v>46</v>
      </c>
      <c r="N1494" s="112" t="s">
        <v>14</v>
      </c>
      <c r="O1494" s="104" t="s">
        <v>52</v>
      </c>
      <c r="P1494" s="104" t="s">
        <v>52</v>
      </c>
      <c r="Q1494" s="105"/>
      <c r="R1494" s="28" t="s">
        <v>110</v>
      </c>
      <c r="S1494" s="225">
        <f t="shared" si="23"/>
        <v>48853</v>
      </c>
      <c r="T1494" s="2" t="s">
        <v>7638</v>
      </c>
      <c r="U1494" s="7" t="s">
        <v>128</v>
      </c>
      <c r="V1494" s="162" t="str" cm="1">
        <f t="array" ref="V1494">_xlfn.IFS(C1494="","",COUNTIF(C1494,"ตำแหน่งว่าง*"),"ว่าง",COUNTIF(C1494,"&lt;&gt;ตำแหน่งว่าง*"),"คนครอง")</f>
        <v>คนครอง</v>
      </c>
      <c r="W1494" s="6" cm="1">
        <f t="array" ref="W1494">_xlfn.IFS(COUNTIF(F1494,"ผบ.หมู่*"),51,COUNTIF(F1494,"รอง สว.*"),43)</f>
        <v>51</v>
      </c>
      <c r="X1494" s="1" t="s">
        <v>4522</v>
      </c>
      <c r="Y1494" s="1" t="s">
        <v>52</v>
      </c>
    </row>
    <row r="1495" spans="1:25" s="9" customFormat="1" ht="21.3" customHeight="1">
      <c r="A1495" s="27" t="s">
        <v>612</v>
      </c>
      <c r="B1495" s="28" t="s">
        <v>12</v>
      </c>
      <c r="C1495" s="27" t="s">
        <v>4350</v>
      </c>
      <c r="D1495" s="27" t="s">
        <v>9561</v>
      </c>
      <c r="E1495" s="27" t="s">
        <v>9562</v>
      </c>
      <c r="F1495" s="27" t="s">
        <v>4507</v>
      </c>
      <c r="G1495" s="101" t="s">
        <v>4526</v>
      </c>
      <c r="H1495" s="91">
        <v>45322</v>
      </c>
      <c r="I1495" s="73">
        <v>42416</v>
      </c>
      <c r="J1495" s="73">
        <v>42416</v>
      </c>
      <c r="K1495" s="73">
        <v>34067</v>
      </c>
      <c r="L1495" s="11" t="s">
        <v>82</v>
      </c>
      <c r="M1495" s="1" t="s">
        <v>46</v>
      </c>
      <c r="N1495" s="112" t="s">
        <v>14</v>
      </c>
      <c r="O1495" s="104" t="s">
        <v>52</v>
      </c>
      <c r="P1495" s="104" t="s">
        <v>52</v>
      </c>
      <c r="Q1495" s="105"/>
      <c r="R1495" s="30" t="s">
        <v>7780</v>
      </c>
      <c r="S1495" s="225">
        <f t="shared" si="23"/>
        <v>56158</v>
      </c>
      <c r="T1495" s="2" t="s">
        <v>7638</v>
      </c>
      <c r="U1495" s="7" t="s">
        <v>128</v>
      </c>
      <c r="V1495" s="162" t="str" cm="1">
        <f t="array" ref="V1495">_xlfn.IFS(C1495="","",COUNTIF(C1495,"ตำแหน่งว่าง*"),"ว่าง",COUNTIF(C1495,"&lt;&gt;ตำแหน่งว่าง*"),"คนครอง")</f>
        <v>คนครอง</v>
      </c>
      <c r="W1495" s="6" cm="1">
        <f t="array" ref="W1495">_xlfn.IFS(COUNTIF(F1495,"ผบ.หมู่*"),51,COUNTIF(F1495,"รอง สว.*"),43)</f>
        <v>51</v>
      </c>
      <c r="X1495" s="1" t="s">
        <v>4525</v>
      </c>
      <c r="Y1495" s="1" t="s">
        <v>52</v>
      </c>
    </row>
    <row r="1496" spans="1:25" s="10" customFormat="1" ht="21.3" customHeight="1">
      <c r="A1496" s="27" t="s">
        <v>157</v>
      </c>
      <c r="B1496" s="28" t="s">
        <v>21</v>
      </c>
      <c r="C1496" s="27" t="s">
        <v>4527</v>
      </c>
      <c r="D1496" s="27" t="s">
        <v>8545</v>
      </c>
      <c r="E1496" s="27" t="s">
        <v>9563</v>
      </c>
      <c r="F1496" s="27" t="s">
        <v>4507</v>
      </c>
      <c r="G1496" s="101" t="s">
        <v>4529</v>
      </c>
      <c r="H1496" s="75">
        <v>44999</v>
      </c>
      <c r="I1496" s="73">
        <v>41214</v>
      </c>
      <c r="J1496" s="73">
        <v>41214</v>
      </c>
      <c r="K1496" s="73">
        <v>28515</v>
      </c>
      <c r="L1496" s="11" t="s">
        <v>626</v>
      </c>
      <c r="M1496" s="1" t="s">
        <v>32</v>
      </c>
      <c r="N1496" s="112" t="s">
        <v>14</v>
      </c>
      <c r="O1496" s="104" t="s">
        <v>52</v>
      </c>
      <c r="P1496" s="104" t="s">
        <v>52</v>
      </c>
      <c r="Q1496" s="105"/>
      <c r="R1496" s="26" t="s">
        <v>74</v>
      </c>
      <c r="S1496" s="225">
        <f t="shared" si="23"/>
        <v>50679</v>
      </c>
      <c r="T1496" s="7" t="s">
        <v>7638</v>
      </c>
      <c r="U1496" s="7" t="s">
        <v>128</v>
      </c>
      <c r="V1496" s="162" t="str" cm="1">
        <f t="array" ref="V1496">_xlfn.IFS(C1496="","",COUNTIF(C1496,"ตำแหน่งว่าง*"),"ว่าง",COUNTIF(C1496,"&lt;&gt;ตำแหน่งว่าง*"),"คนครอง")</f>
        <v>คนครอง</v>
      </c>
      <c r="W1496" s="6" cm="1">
        <f t="array" ref="W1496">_xlfn.IFS(COUNTIF(F1496,"ผบ.หมู่*"),51,COUNTIF(F1496,"รอง สว.*"),43)</f>
        <v>51</v>
      </c>
      <c r="X1496" s="1" t="s">
        <v>4528</v>
      </c>
      <c r="Y1496" s="1" t="s">
        <v>52</v>
      </c>
    </row>
    <row r="1497" spans="1:25" s="9" customFormat="1" ht="21.3" customHeight="1">
      <c r="A1497" s="27" t="s">
        <v>10753</v>
      </c>
      <c r="B1497" s="28" t="s">
        <v>12</v>
      </c>
      <c r="C1497" s="27" t="s">
        <v>4530</v>
      </c>
      <c r="D1497" s="27" t="s">
        <v>9564</v>
      </c>
      <c r="E1497" s="27" t="s">
        <v>9565</v>
      </c>
      <c r="F1497" s="27" t="s">
        <v>4511</v>
      </c>
      <c r="G1497" s="101" t="s">
        <v>4532</v>
      </c>
      <c r="H1497" s="91">
        <v>45016</v>
      </c>
      <c r="I1497" s="73">
        <v>45016</v>
      </c>
      <c r="J1497" s="73">
        <v>32174</v>
      </c>
      <c r="K1497" s="73">
        <v>25115</v>
      </c>
      <c r="L1497" s="11" t="s">
        <v>4533</v>
      </c>
      <c r="M1497" s="1" t="s">
        <v>46</v>
      </c>
      <c r="N1497" s="112" t="s">
        <v>14</v>
      </c>
      <c r="O1497" s="104" t="s">
        <v>52</v>
      </c>
      <c r="P1497" s="104" t="s">
        <v>52</v>
      </c>
      <c r="Q1497" s="105"/>
      <c r="R1497" s="28" t="s">
        <v>483</v>
      </c>
      <c r="S1497" s="225">
        <f t="shared" si="23"/>
        <v>47392</v>
      </c>
      <c r="T1497" s="2" t="s">
        <v>7638</v>
      </c>
      <c r="U1497" s="7" t="s">
        <v>128</v>
      </c>
      <c r="V1497" s="162" t="str" cm="1">
        <f t="array" ref="V1497">_xlfn.IFS(C1497="","",COUNTIF(C1497,"ตำแหน่งว่าง*"),"ว่าง",COUNTIF(C1497,"&lt;&gt;ตำแหน่งว่าง*"),"คนครอง")</f>
        <v>คนครอง</v>
      </c>
      <c r="W1497" s="5" cm="1">
        <f t="array" ref="W1497">_xlfn.IFS(COUNTIF(F1497,"ผบ.หมู่*"),51,COUNTIF(F1497,"รอง สว.*"),43)</f>
        <v>43</v>
      </c>
      <c r="X1497" s="1" t="s">
        <v>4531</v>
      </c>
      <c r="Y1497" s="1" t="s">
        <v>52</v>
      </c>
    </row>
    <row r="1498" spans="1:25" s="9" customFormat="1" ht="21.3" customHeight="1">
      <c r="A1498" s="27" t="s">
        <v>157</v>
      </c>
      <c r="B1498" s="28" t="s">
        <v>21</v>
      </c>
      <c r="C1498" s="27" t="s">
        <v>7783</v>
      </c>
      <c r="D1498" s="27" t="s">
        <v>9566</v>
      </c>
      <c r="E1498" s="27" t="s">
        <v>9567</v>
      </c>
      <c r="F1498" s="27" t="s">
        <v>4507</v>
      </c>
      <c r="G1498" s="101" t="s">
        <v>4535</v>
      </c>
      <c r="H1498" s="75">
        <v>45322</v>
      </c>
      <c r="I1498" s="73">
        <v>40339</v>
      </c>
      <c r="J1498" s="73">
        <v>40339</v>
      </c>
      <c r="K1498" s="73">
        <v>29595</v>
      </c>
      <c r="L1498" s="11" t="s">
        <v>130</v>
      </c>
      <c r="M1498" s="1" t="s">
        <v>81</v>
      </c>
      <c r="N1498" s="112" t="s">
        <v>14</v>
      </c>
      <c r="O1498" s="104" t="s">
        <v>52</v>
      </c>
      <c r="P1498" s="104" t="s">
        <v>52</v>
      </c>
      <c r="Q1498" s="105"/>
      <c r="R1498" s="30" t="s">
        <v>7780</v>
      </c>
      <c r="S1498" s="225">
        <f t="shared" si="23"/>
        <v>51775</v>
      </c>
      <c r="T1498" s="2" t="s">
        <v>7638</v>
      </c>
      <c r="U1498" s="7" t="s">
        <v>128</v>
      </c>
      <c r="V1498" s="162" t="str" cm="1">
        <f t="array" ref="V1498">_xlfn.IFS(C1498="","",COUNTIF(C1498,"ตำแหน่งว่าง*"),"ว่าง",COUNTIF(C1498,"&lt;&gt;ตำแหน่งว่าง*"),"คนครอง")</f>
        <v>คนครอง</v>
      </c>
      <c r="W1498" s="6" cm="1">
        <f t="array" ref="W1498">_xlfn.IFS(COUNTIF(F1498,"ผบ.หมู่*"),51,COUNTIF(F1498,"รอง สว.*"),43)</f>
        <v>51</v>
      </c>
      <c r="X1498" s="1" t="s">
        <v>4534</v>
      </c>
      <c r="Y1498" s="1" t="s">
        <v>52</v>
      </c>
    </row>
    <row r="1499" spans="1:25" s="9" customFormat="1" ht="21.3" customHeight="1">
      <c r="A1499" s="27" t="s">
        <v>157</v>
      </c>
      <c r="B1499" s="28" t="s">
        <v>21</v>
      </c>
      <c r="C1499" s="27" t="s">
        <v>4536</v>
      </c>
      <c r="D1499" s="27" t="s">
        <v>8255</v>
      </c>
      <c r="E1499" s="27" t="s">
        <v>9568</v>
      </c>
      <c r="F1499" s="27" t="s">
        <v>4507</v>
      </c>
      <c r="G1499" s="101" t="s">
        <v>4538</v>
      </c>
      <c r="H1499" s="75">
        <v>42501</v>
      </c>
      <c r="I1499" s="73">
        <v>35095</v>
      </c>
      <c r="J1499" s="73">
        <v>35095</v>
      </c>
      <c r="K1499" s="73">
        <v>27198</v>
      </c>
      <c r="L1499" s="11" t="s">
        <v>4042</v>
      </c>
      <c r="M1499" s="1" t="s">
        <v>46</v>
      </c>
      <c r="N1499" s="112" t="s">
        <v>14</v>
      </c>
      <c r="O1499" s="104" t="s">
        <v>52</v>
      </c>
      <c r="P1499" s="104" t="s">
        <v>52</v>
      </c>
      <c r="Q1499" s="105"/>
      <c r="R1499" s="28" t="s">
        <v>110</v>
      </c>
      <c r="S1499" s="225">
        <f t="shared" si="23"/>
        <v>49218</v>
      </c>
      <c r="T1499" s="2" t="s">
        <v>7638</v>
      </c>
      <c r="U1499" s="7" t="s">
        <v>128</v>
      </c>
      <c r="V1499" s="162" t="str" cm="1">
        <f t="array" ref="V1499">_xlfn.IFS(C1499="","",COUNTIF(C1499,"ตำแหน่งว่าง*"),"ว่าง",COUNTIF(C1499,"&lt;&gt;ตำแหน่งว่าง*"),"คนครอง")</f>
        <v>คนครอง</v>
      </c>
      <c r="W1499" s="6" cm="1">
        <f t="array" ref="W1499">_xlfn.IFS(COUNTIF(F1499,"ผบ.หมู่*"),51,COUNTIF(F1499,"รอง สว.*"),43)</f>
        <v>51</v>
      </c>
      <c r="X1499" s="1" t="s">
        <v>4537</v>
      </c>
      <c r="Y1499" s="1" t="s">
        <v>52</v>
      </c>
    </row>
    <row r="1500" spans="1:25" s="10" customFormat="1" ht="21.3" customHeight="1">
      <c r="A1500" s="27" t="s">
        <v>157</v>
      </c>
      <c r="B1500" s="28" t="s">
        <v>12</v>
      </c>
      <c r="C1500" s="27" t="s">
        <v>4539</v>
      </c>
      <c r="D1500" s="27" t="s">
        <v>9569</v>
      </c>
      <c r="E1500" s="27" t="s">
        <v>9570</v>
      </c>
      <c r="F1500" s="27" t="s">
        <v>4507</v>
      </c>
      <c r="G1500" s="101" t="s">
        <v>4541</v>
      </c>
      <c r="H1500" s="75">
        <v>44599</v>
      </c>
      <c r="I1500" s="74">
        <v>40339</v>
      </c>
      <c r="J1500" s="74">
        <v>40339</v>
      </c>
      <c r="K1500" s="74">
        <v>29336</v>
      </c>
      <c r="L1500" s="16" t="s">
        <v>200</v>
      </c>
      <c r="M1500" s="6" t="s">
        <v>32</v>
      </c>
      <c r="N1500" s="112" t="s">
        <v>14</v>
      </c>
      <c r="O1500" s="104" t="s">
        <v>52</v>
      </c>
      <c r="P1500" s="104" t="s">
        <v>52</v>
      </c>
      <c r="Q1500" s="105"/>
      <c r="R1500" s="28" t="s">
        <v>2883</v>
      </c>
      <c r="S1500" s="225">
        <f t="shared" si="23"/>
        <v>51410</v>
      </c>
      <c r="T1500" s="7" t="s">
        <v>7638</v>
      </c>
      <c r="U1500" s="7" t="s">
        <v>128</v>
      </c>
      <c r="V1500" s="162" t="str" cm="1">
        <f t="array" ref="V1500">_xlfn.IFS(C1500="","",COUNTIF(C1500,"ตำแหน่งว่าง*"),"ว่าง",COUNTIF(C1500,"&lt;&gt;ตำแหน่งว่าง*"),"คนครอง")</f>
        <v>คนครอง</v>
      </c>
      <c r="W1500" s="6" cm="1">
        <f t="array" ref="W1500">_xlfn.IFS(COUNTIF(F1500,"ผบ.หมู่*"),51,COUNTIF(F1500,"รอง สว.*"),43)</f>
        <v>51</v>
      </c>
      <c r="X1500" s="1" t="s">
        <v>4540</v>
      </c>
      <c r="Y1500" s="1" t="s">
        <v>52</v>
      </c>
    </row>
    <row r="1501" spans="1:25" s="9" customFormat="1" ht="21.3" customHeight="1">
      <c r="A1501" s="27" t="s">
        <v>157</v>
      </c>
      <c r="B1501" s="28" t="s">
        <v>21</v>
      </c>
      <c r="C1501" s="27" t="s">
        <v>4542</v>
      </c>
      <c r="D1501" s="27" t="s">
        <v>9571</v>
      </c>
      <c r="E1501" s="27" t="s">
        <v>9572</v>
      </c>
      <c r="F1501" s="27" t="s">
        <v>4507</v>
      </c>
      <c r="G1501" s="101" t="s">
        <v>4544</v>
      </c>
      <c r="H1501" s="75">
        <v>42501</v>
      </c>
      <c r="I1501" s="73">
        <v>35095</v>
      </c>
      <c r="J1501" s="73">
        <v>35095</v>
      </c>
      <c r="K1501" s="73">
        <v>27207</v>
      </c>
      <c r="L1501" s="11" t="s">
        <v>4545</v>
      </c>
      <c r="M1501" s="1" t="s">
        <v>46</v>
      </c>
      <c r="N1501" s="112" t="s">
        <v>14</v>
      </c>
      <c r="O1501" s="104" t="s">
        <v>52</v>
      </c>
      <c r="P1501" s="104" t="s">
        <v>52</v>
      </c>
      <c r="Q1501" s="105"/>
      <c r="R1501" s="28" t="s">
        <v>110</v>
      </c>
      <c r="S1501" s="225">
        <f t="shared" si="23"/>
        <v>49218</v>
      </c>
      <c r="T1501" s="2" t="s">
        <v>7638</v>
      </c>
      <c r="U1501" s="7" t="s">
        <v>128</v>
      </c>
      <c r="V1501" s="162" t="str" cm="1">
        <f t="array" ref="V1501">_xlfn.IFS(C1501="","",COUNTIF(C1501,"ตำแหน่งว่าง*"),"ว่าง",COUNTIF(C1501,"&lt;&gt;ตำแหน่งว่าง*"),"คนครอง")</f>
        <v>คนครอง</v>
      </c>
      <c r="W1501" s="6" cm="1">
        <f t="array" ref="W1501">_xlfn.IFS(COUNTIF(F1501,"ผบ.หมู่*"),51,COUNTIF(F1501,"รอง สว.*"),43)</f>
        <v>51</v>
      </c>
      <c r="X1501" s="1" t="s">
        <v>4543</v>
      </c>
      <c r="Y1501" s="1" t="s">
        <v>52</v>
      </c>
    </row>
    <row r="1502" spans="1:25" s="9" customFormat="1" ht="21.3" customHeight="1">
      <c r="A1502" s="27" t="s">
        <v>157</v>
      </c>
      <c r="B1502" s="28" t="s">
        <v>21</v>
      </c>
      <c r="C1502" s="27" t="s">
        <v>4546</v>
      </c>
      <c r="D1502" s="27" t="s">
        <v>9573</v>
      </c>
      <c r="E1502" s="27" t="s">
        <v>9574</v>
      </c>
      <c r="F1502" s="27" t="s">
        <v>4507</v>
      </c>
      <c r="G1502" s="101" t="s">
        <v>4548</v>
      </c>
      <c r="H1502" s="91">
        <v>43656</v>
      </c>
      <c r="I1502" s="73">
        <v>40084</v>
      </c>
      <c r="J1502" s="73">
        <v>40084</v>
      </c>
      <c r="K1502" s="73">
        <v>31253</v>
      </c>
      <c r="L1502" s="11" t="s">
        <v>4549</v>
      </c>
      <c r="M1502" s="1" t="s">
        <v>46</v>
      </c>
      <c r="N1502" s="112" t="s">
        <v>14</v>
      </c>
      <c r="O1502" s="104" t="s">
        <v>52</v>
      </c>
      <c r="P1502" s="104" t="s">
        <v>52</v>
      </c>
      <c r="Q1502" s="105"/>
      <c r="R1502" s="28" t="s">
        <v>713</v>
      </c>
      <c r="S1502" s="225">
        <f t="shared" si="23"/>
        <v>53236</v>
      </c>
      <c r="T1502" s="2" t="s">
        <v>7638</v>
      </c>
      <c r="U1502" s="7" t="s">
        <v>128</v>
      </c>
      <c r="V1502" s="162" t="str" cm="1">
        <f t="array" ref="V1502">_xlfn.IFS(C1502="","",COUNTIF(C1502,"ตำแหน่งว่าง*"),"ว่าง",COUNTIF(C1502,"&lt;&gt;ตำแหน่งว่าง*"),"คนครอง")</f>
        <v>คนครอง</v>
      </c>
      <c r="W1502" s="6" cm="1">
        <f t="array" ref="W1502">_xlfn.IFS(COUNTIF(F1502,"ผบ.หมู่*"),51,COUNTIF(F1502,"รอง สว.*"),43)</f>
        <v>51</v>
      </c>
      <c r="X1502" s="1" t="s">
        <v>4547</v>
      </c>
      <c r="Y1502" s="1" t="s">
        <v>52</v>
      </c>
    </row>
    <row r="1503" spans="1:25" s="9" customFormat="1" ht="21.3" customHeight="1">
      <c r="A1503" s="27" t="s">
        <v>157</v>
      </c>
      <c r="B1503" s="28" t="s">
        <v>21</v>
      </c>
      <c r="C1503" s="27" t="s">
        <v>4550</v>
      </c>
      <c r="D1503" s="27" t="s">
        <v>8191</v>
      </c>
      <c r="E1503" s="27" t="s">
        <v>9575</v>
      </c>
      <c r="F1503" s="27" t="s">
        <v>4507</v>
      </c>
      <c r="G1503" s="101" t="s">
        <v>4552</v>
      </c>
      <c r="H1503" s="91">
        <v>43235</v>
      </c>
      <c r="I1503" s="73">
        <v>39717</v>
      </c>
      <c r="J1503" s="73">
        <v>39717</v>
      </c>
      <c r="K1503" s="73">
        <v>29614</v>
      </c>
      <c r="L1503" s="2" t="s">
        <v>4553</v>
      </c>
      <c r="M1503" s="1" t="s">
        <v>46</v>
      </c>
      <c r="N1503" s="112" t="s">
        <v>14</v>
      </c>
      <c r="O1503" s="104" t="s">
        <v>52</v>
      </c>
      <c r="P1503" s="104" t="s">
        <v>52</v>
      </c>
      <c r="Q1503" s="105"/>
      <c r="R1503" s="28" t="s">
        <v>4018</v>
      </c>
      <c r="S1503" s="225">
        <f t="shared" si="23"/>
        <v>51775</v>
      </c>
      <c r="T1503" s="2" t="s">
        <v>7638</v>
      </c>
      <c r="U1503" s="7" t="s">
        <v>128</v>
      </c>
      <c r="V1503" s="162" t="str" cm="1">
        <f t="array" ref="V1503">_xlfn.IFS(C1503="","",COUNTIF(C1503,"ตำแหน่งว่าง*"),"ว่าง",COUNTIF(C1503,"&lt;&gt;ตำแหน่งว่าง*"),"คนครอง")</f>
        <v>คนครอง</v>
      </c>
      <c r="W1503" s="6" cm="1">
        <f t="array" ref="W1503">_xlfn.IFS(COUNTIF(F1503,"ผบ.หมู่*"),51,COUNTIF(F1503,"รอง สว.*"),43)</f>
        <v>51</v>
      </c>
      <c r="X1503" s="1" t="s">
        <v>4551</v>
      </c>
      <c r="Y1503" s="1" t="s">
        <v>52</v>
      </c>
    </row>
    <row r="1504" spans="1:25" s="9" customFormat="1" ht="21.3" customHeight="1">
      <c r="A1504" s="27" t="s">
        <v>612</v>
      </c>
      <c r="B1504" s="28" t="s">
        <v>12</v>
      </c>
      <c r="C1504" s="27" t="s">
        <v>4554</v>
      </c>
      <c r="D1504" s="27" t="s">
        <v>9576</v>
      </c>
      <c r="E1504" s="27" t="s">
        <v>9577</v>
      </c>
      <c r="F1504" s="27" t="s">
        <v>4507</v>
      </c>
      <c r="G1504" s="101" t="s">
        <v>4556</v>
      </c>
      <c r="H1504" s="91">
        <v>44243</v>
      </c>
      <c r="I1504" s="73">
        <v>42416</v>
      </c>
      <c r="J1504" s="73">
        <v>42416</v>
      </c>
      <c r="K1504" s="73">
        <v>32059</v>
      </c>
      <c r="L1504" s="11" t="s">
        <v>4557</v>
      </c>
      <c r="M1504" s="1" t="s">
        <v>46</v>
      </c>
      <c r="N1504" s="112" t="s">
        <v>14</v>
      </c>
      <c r="O1504" s="104" t="s">
        <v>52</v>
      </c>
      <c r="P1504" s="104" t="s">
        <v>52</v>
      </c>
      <c r="Q1504" s="105"/>
      <c r="R1504" s="28" t="s">
        <v>617</v>
      </c>
      <c r="S1504" s="225">
        <f t="shared" si="23"/>
        <v>54332</v>
      </c>
      <c r="T1504" s="2" t="s">
        <v>7638</v>
      </c>
      <c r="U1504" s="7" t="s">
        <v>128</v>
      </c>
      <c r="V1504" s="162" t="str" cm="1">
        <f t="array" ref="V1504">_xlfn.IFS(C1504="","",COUNTIF(C1504,"ตำแหน่งว่าง*"),"ว่าง",COUNTIF(C1504,"&lt;&gt;ตำแหน่งว่าง*"),"คนครอง")</f>
        <v>คนครอง</v>
      </c>
      <c r="W1504" s="6" cm="1">
        <f t="array" ref="W1504">_xlfn.IFS(COUNTIF(F1504,"ผบ.หมู่*"),51,COUNTIF(F1504,"รอง สว.*"),43)</f>
        <v>51</v>
      </c>
      <c r="X1504" s="1" t="s">
        <v>4555</v>
      </c>
      <c r="Y1504" s="1" t="s">
        <v>52</v>
      </c>
    </row>
    <row r="1505" spans="1:25" s="9" customFormat="1" ht="21.3" customHeight="1">
      <c r="A1505" s="27" t="s">
        <v>60</v>
      </c>
      <c r="B1505" s="28" t="s">
        <v>12</v>
      </c>
      <c r="C1505" s="27" t="s">
        <v>4558</v>
      </c>
      <c r="D1505" s="27" t="s">
        <v>8067</v>
      </c>
      <c r="E1505" s="27" t="s">
        <v>9578</v>
      </c>
      <c r="F1505" s="27" t="s">
        <v>4511</v>
      </c>
      <c r="G1505" s="101" t="s">
        <v>4560</v>
      </c>
      <c r="H1505" s="75">
        <v>42501</v>
      </c>
      <c r="I1505" s="73">
        <v>37316</v>
      </c>
      <c r="J1505" s="73">
        <v>37316</v>
      </c>
      <c r="K1505" s="73">
        <v>26519</v>
      </c>
      <c r="L1505" s="11" t="s">
        <v>112</v>
      </c>
      <c r="M1505" s="1" t="s">
        <v>46</v>
      </c>
      <c r="N1505" s="112" t="s">
        <v>14</v>
      </c>
      <c r="O1505" s="104" t="s">
        <v>52</v>
      </c>
      <c r="P1505" s="104" t="s">
        <v>52</v>
      </c>
      <c r="Q1505" s="105"/>
      <c r="R1505" s="28" t="s">
        <v>110</v>
      </c>
      <c r="S1505" s="225">
        <f t="shared" si="23"/>
        <v>48488</v>
      </c>
      <c r="T1505" s="2" t="s">
        <v>7638</v>
      </c>
      <c r="U1505" s="7" t="s">
        <v>128</v>
      </c>
      <c r="V1505" s="162" t="str" cm="1">
        <f t="array" ref="V1505">_xlfn.IFS(C1505="","",COUNTIF(C1505,"ตำแหน่งว่าง*"),"ว่าง",COUNTIF(C1505,"&lt;&gt;ตำแหน่งว่าง*"),"คนครอง")</f>
        <v>คนครอง</v>
      </c>
      <c r="W1505" s="6" cm="1">
        <f t="array" ref="W1505">_xlfn.IFS(COUNTIF(F1505,"ผบ.หมู่*"),51,COUNTIF(F1505,"รอง สว.*"),43)</f>
        <v>43</v>
      </c>
      <c r="X1505" s="1" t="s">
        <v>4559</v>
      </c>
      <c r="Y1505" s="1" t="s">
        <v>52</v>
      </c>
    </row>
    <row r="1506" spans="1:25" s="9" customFormat="1" ht="21.3" customHeight="1">
      <c r="A1506" s="132" t="s">
        <v>10753</v>
      </c>
      <c r="B1506" s="28" t="s">
        <v>12</v>
      </c>
      <c r="C1506" s="34" t="s">
        <v>4561</v>
      </c>
      <c r="D1506" s="27" t="s">
        <v>9579</v>
      </c>
      <c r="E1506" s="27" t="s">
        <v>9580</v>
      </c>
      <c r="F1506" s="27" t="s">
        <v>4511</v>
      </c>
      <c r="G1506" s="101" t="s">
        <v>4563</v>
      </c>
      <c r="H1506" s="91">
        <v>45382</v>
      </c>
      <c r="I1506" s="73">
        <v>45382</v>
      </c>
      <c r="J1506" s="73">
        <v>34001</v>
      </c>
      <c r="K1506" s="73">
        <v>26143</v>
      </c>
      <c r="L1506" s="11" t="s">
        <v>1680</v>
      </c>
      <c r="M1506" s="1" t="s">
        <v>46</v>
      </c>
      <c r="N1506" s="112" t="s">
        <v>14</v>
      </c>
      <c r="O1506" s="104" t="s">
        <v>52</v>
      </c>
      <c r="P1506" s="104" t="s">
        <v>52</v>
      </c>
      <c r="Q1506" s="105"/>
      <c r="R1506" s="33" t="s">
        <v>110</v>
      </c>
      <c r="S1506" s="225">
        <f t="shared" si="23"/>
        <v>48122</v>
      </c>
      <c r="T1506" s="2" t="s">
        <v>7638</v>
      </c>
      <c r="U1506" s="7" t="s">
        <v>128</v>
      </c>
      <c r="V1506" s="162" t="str" cm="1">
        <f t="array" ref="V1506">_xlfn.IFS(C1506="","",COUNTIF(C1506,"ตำแหน่งว่าง*"),"ว่าง",COUNTIF(C1506,"&lt;&gt;ตำแหน่งว่าง*"),"คนครอง")</f>
        <v>คนครอง</v>
      </c>
      <c r="W1506" s="6" cm="1">
        <f t="array" ref="W1506">_xlfn.IFS(COUNTIF(F1506,"ผบ.หมู่*"),51,COUNTIF(F1506,"รอง สว.*"),43)</f>
        <v>43</v>
      </c>
      <c r="X1506" s="1" t="s">
        <v>4562</v>
      </c>
      <c r="Y1506" s="1" t="s">
        <v>52</v>
      </c>
    </row>
    <row r="1507" spans="1:25" s="9" customFormat="1" ht="21.3" customHeight="1">
      <c r="A1507" s="132" t="s">
        <v>10753</v>
      </c>
      <c r="B1507" s="28" t="s">
        <v>21</v>
      </c>
      <c r="C1507" s="27" t="s">
        <v>4314</v>
      </c>
      <c r="D1507" s="27" t="s">
        <v>9581</v>
      </c>
      <c r="E1507" s="27" t="s">
        <v>8077</v>
      </c>
      <c r="F1507" s="27" t="s">
        <v>4323</v>
      </c>
      <c r="G1507" s="101" t="s">
        <v>4317</v>
      </c>
      <c r="H1507" s="91">
        <v>45382</v>
      </c>
      <c r="I1507" s="73">
        <v>45382</v>
      </c>
      <c r="J1507" s="73">
        <v>35095</v>
      </c>
      <c r="K1507" s="73">
        <v>26138</v>
      </c>
      <c r="L1507" s="11" t="s">
        <v>7808</v>
      </c>
      <c r="M1507" s="1" t="s">
        <v>32</v>
      </c>
      <c r="N1507" s="112" t="s">
        <v>14</v>
      </c>
      <c r="O1507" s="104" t="s">
        <v>52</v>
      </c>
      <c r="P1507" s="104" t="s">
        <v>52</v>
      </c>
      <c r="Q1507" s="105"/>
      <c r="R1507" s="33" t="s">
        <v>110</v>
      </c>
      <c r="S1507" s="225">
        <f t="shared" si="23"/>
        <v>48122</v>
      </c>
      <c r="T1507" s="2" t="s">
        <v>7634</v>
      </c>
      <c r="U1507" s="7" t="s">
        <v>128</v>
      </c>
      <c r="V1507" s="162" t="str" cm="1">
        <f t="array" ref="V1507">_xlfn.IFS(C1507="","",COUNTIF(C1507,"ตำแหน่งว่าง*"),"ว่าง",COUNTIF(C1507,"&lt;&gt;ตำแหน่งว่าง*"),"คนครอง")</f>
        <v>คนครอง</v>
      </c>
      <c r="W1507" s="6" cm="1">
        <f t="array" ref="W1507">_xlfn.IFS(COUNTIF(F1507,"ผบ.หมู่*"),51,COUNTIF(F1507,"รอง สว.*"),43)</f>
        <v>43</v>
      </c>
      <c r="X1507" s="1" t="s">
        <v>4316</v>
      </c>
      <c r="Y1507" s="1" t="s">
        <v>52</v>
      </c>
    </row>
    <row r="1508" spans="1:25" s="9" customFormat="1" ht="21.3" customHeight="1">
      <c r="A1508" s="134" t="s">
        <v>157</v>
      </c>
      <c r="B1508" s="26" t="s">
        <v>21</v>
      </c>
      <c r="C1508" s="134" t="s">
        <v>4318</v>
      </c>
      <c r="D1508" s="27" t="s">
        <v>9514</v>
      </c>
      <c r="E1508" s="27" t="s">
        <v>9582</v>
      </c>
      <c r="F1508" s="27" t="s">
        <v>4315</v>
      </c>
      <c r="G1508" s="101" t="s">
        <v>4320</v>
      </c>
      <c r="H1508" s="91">
        <v>44243</v>
      </c>
      <c r="I1508" s="73">
        <v>40814</v>
      </c>
      <c r="J1508" s="73">
        <v>40814</v>
      </c>
      <c r="K1508" s="73">
        <v>30744</v>
      </c>
      <c r="L1508" s="19" t="s">
        <v>4321</v>
      </c>
      <c r="M1508" s="1" t="s">
        <v>32</v>
      </c>
      <c r="N1508" s="112" t="s">
        <v>14</v>
      </c>
      <c r="O1508" s="104" t="s">
        <v>52</v>
      </c>
      <c r="P1508" s="104" t="s">
        <v>52</v>
      </c>
      <c r="Q1508" s="105"/>
      <c r="R1508" s="26" t="s">
        <v>617</v>
      </c>
      <c r="S1508" s="225">
        <f t="shared" si="23"/>
        <v>52871</v>
      </c>
      <c r="T1508" s="2" t="s">
        <v>7634</v>
      </c>
      <c r="U1508" s="7" t="s">
        <v>128</v>
      </c>
      <c r="V1508" s="162" t="str" cm="1">
        <f t="array" ref="V1508">_xlfn.IFS(C1508="","",COUNTIF(C1508,"ตำแหน่งว่าง*"),"ว่าง",COUNTIF(C1508,"&lt;&gt;ตำแหน่งว่าง*"),"คนครอง")</f>
        <v>คนครอง</v>
      </c>
      <c r="W1508" s="6" cm="1">
        <f t="array" ref="W1508">_xlfn.IFS(COUNTIF(F1508,"ผบ.หมู่*"),51,COUNTIF(F1508,"รอง สว.*"),43)</f>
        <v>51</v>
      </c>
      <c r="X1508" s="1" t="s">
        <v>4319</v>
      </c>
      <c r="Y1508" s="1" t="s">
        <v>52</v>
      </c>
    </row>
    <row r="1509" spans="1:25" s="9" customFormat="1" ht="21.3" customHeight="1">
      <c r="A1509" s="27" t="s">
        <v>30</v>
      </c>
      <c r="B1509" s="28" t="s">
        <v>12</v>
      </c>
      <c r="C1509" s="27" t="s">
        <v>4322</v>
      </c>
      <c r="D1509" s="27" t="s">
        <v>9583</v>
      </c>
      <c r="E1509" s="27" t="s">
        <v>9584</v>
      </c>
      <c r="F1509" s="27" t="s">
        <v>4323</v>
      </c>
      <c r="G1509" s="101" t="s">
        <v>4325</v>
      </c>
      <c r="H1509" s="91">
        <v>43555</v>
      </c>
      <c r="I1509" s="73">
        <v>43555</v>
      </c>
      <c r="J1509" s="73">
        <v>35825</v>
      </c>
      <c r="K1509" s="73">
        <v>24264</v>
      </c>
      <c r="L1509" s="11" t="s">
        <v>4326</v>
      </c>
      <c r="M1509" s="1" t="s">
        <v>32</v>
      </c>
      <c r="N1509" s="112" t="s">
        <v>14</v>
      </c>
      <c r="O1509" s="104" t="s">
        <v>52</v>
      </c>
      <c r="P1509" s="104" t="s">
        <v>52</v>
      </c>
      <c r="Q1509" s="105"/>
      <c r="R1509" s="28" t="s">
        <v>2892</v>
      </c>
      <c r="S1509" s="225">
        <f t="shared" si="23"/>
        <v>46296</v>
      </c>
      <c r="T1509" s="2" t="s">
        <v>7634</v>
      </c>
      <c r="U1509" s="7" t="s">
        <v>128</v>
      </c>
      <c r="V1509" s="162" t="str" cm="1">
        <f t="array" ref="V1509">_xlfn.IFS(C1509="","",COUNTIF(C1509,"ตำแหน่งว่าง*"),"ว่าง",COUNTIF(C1509,"&lt;&gt;ตำแหน่งว่าง*"),"คนครอง")</f>
        <v>คนครอง</v>
      </c>
      <c r="W1509" s="5" cm="1">
        <f t="array" ref="W1509">_xlfn.IFS(COUNTIF(F1509,"ผบ.หมู่*"),51,COUNTIF(F1509,"รอง สว.*"),43)</f>
        <v>43</v>
      </c>
      <c r="X1509" s="1" t="s">
        <v>4324</v>
      </c>
      <c r="Y1509" s="1" t="s">
        <v>52</v>
      </c>
    </row>
    <row r="1510" spans="1:25" s="9" customFormat="1" ht="21.3" customHeight="1">
      <c r="A1510" s="27" t="s">
        <v>157</v>
      </c>
      <c r="B1510" s="28" t="s">
        <v>21</v>
      </c>
      <c r="C1510" s="27" t="s">
        <v>4327</v>
      </c>
      <c r="D1510" s="27" t="s">
        <v>8321</v>
      </c>
      <c r="E1510" s="27" t="s">
        <v>9585</v>
      </c>
      <c r="F1510" s="27" t="s">
        <v>4315</v>
      </c>
      <c r="G1510" s="101" t="s">
        <v>4329</v>
      </c>
      <c r="H1510" s="75">
        <v>42501</v>
      </c>
      <c r="I1510" s="73">
        <v>34352</v>
      </c>
      <c r="J1510" s="73">
        <v>34352</v>
      </c>
      <c r="K1510" s="73">
        <v>26784</v>
      </c>
      <c r="L1510" s="11" t="s">
        <v>4330</v>
      </c>
      <c r="M1510" s="1" t="s">
        <v>32</v>
      </c>
      <c r="N1510" s="112" t="s">
        <v>14</v>
      </c>
      <c r="O1510" s="104" t="s">
        <v>52</v>
      </c>
      <c r="P1510" s="104" t="s">
        <v>52</v>
      </c>
      <c r="Q1510" s="105"/>
      <c r="R1510" s="28" t="s">
        <v>110</v>
      </c>
      <c r="S1510" s="225">
        <f t="shared" si="23"/>
        <v>48853</v>
      </c>
      <c r="T1510" s="2" t="s">
        <v>7634</v>
      </c>
      <c r="U1510" s="7" t="s">
        <v>128</v>
      </c>
      <c r="V1510" s="162" t="str" cm="1">
        <f t="array" ref="V1510">_xlfn.IFS(C1510="","",COUNTIF(C1510,"ตำแหน่งว่าง*"),"ว่าง",COUNTIF(C1510,"&lt;&gt;ตำแหน่งว่าง*"),"คนครอง")</f>
        <v>คนครอง</v>
      </c>
      <c r="W1510" s="6" cm="1">
        <f t="array" ref="W1510">_xlfn.IFS(COUNTIF(F1510,"ผบ.หมู่*"),51,COUNTIF(F1510,"รอง สว.*"),43)</f>
        <v>51</v>
      </c>
      <c r="X1510" s="1" t="s">
        <v>4328</v>
      </c>
      <c r="Y1510" s="1" t="s">
        <v>52</v>
      </c>
    </row>
    <row r="1511" spans="1:25" s="9" customFormat="1" ht="21.3" customHeight="1">
      <c r="A1511" s="27" t="s">
        <v>612</v>
      </c>
      <c r="B1511" s="28" t="s">
        <v>12</v>
      </c>
      <c r="C1511" s="27" t="s">
        <v>4331</v>
      </c>
      <c r="D1511" s="27" t="s">
        <v>8307</v>
      </c>
      <c r="E1511" s="27" t="s">
        <v>9586</v>
      </c>
      <c r="F1511" s="27" t="s">
        <v>4315</v>
      </c>
      <c r="G1511" s="101" t="s">
        <v>4333</v>
      </c>
      <c r="H1511" s="91">
        <v>44243</v>
      </c>
      <c r="I1511" s="73">
        <v>42416</v>
      </c>
      <c r="J1511" s="73">
        <v>42416</v>
      </c>
      <c r="K1511" s="73">
        <v>34055</v>
      </c>
      <c r="L1511" s="11" t="s">
        <v>82</v>
      </c>
      <c r="M1511" s="1" t="s">
        <v>32</v>
      </c>
      <c r="N1511" s="112" t="s">
        <v>14</v>
      </c>
      <c r="O1511" s="104" t="s">
        <v>52</v>
      </c>
      <c r="P1511" s="104" t="s">
        <v>52</v>
      </c>
      <c r="Q1511" s="105"/>
      <c r="R1511" s="28" t="s">
        <v>617</v>
      </c>
      <c r="S1511" s="225">
        <f t="shared" si="23"/>
        <v>56158</v>
      </c>
      <c r="T1511" s="2" t="s">
        <v>7634</v>
      </c>
      <c r="U1511" s="7" t="s">
        <v>128</v>
      </c>
      <c r="V1511" s="162" t="str" cm="1">
        <f t="array" ref="V1511">_xlfn.IFS(C1511="","",COUNTIF(C1511,"ตำแหน่งว่าง*"),"ว่าง",COUNTIF(C1511,"&lt;&gt;ตำแหน่งว่าง*"),"คนครอง")</f>
        <v>คนครอง</v>
      </c>
      <c r="W1511" s="6" cm="1">
        <f t="array" ref="W1511">_xlfn.IFS(COUNTIF(F1511,"ผบ.หมู่*"),51,COUNTIF(F1511,"รอง สว.*"),43)</f>
        <v>51</v>
      </c>
      <c r="X1511" s="1" t="s">
        <v>4332</v>
      </c>
      <c r="Y1511" s="1" t="s">
        <v>52</v>
      </c>
    </row>
    <row r="1512" spans="1:25" s="9" customFormat="1" ht="21.3" customHeight="1">
      <c r="A1512" s="27" t="s">
        <v>157</v>
      </c>
      <c r="B1512" s="28" t="s">
        <v>21</v>
      </c>
      <c r="C1512" s="27" t="s">
        <v>4334</v>
      </c>
      <c r="D1512" s="27" t="s">
        <v>8064</v>
      </c>
      <c r="E1512" s="27" t="s">
        <v>9587</v>
      </c>
      <c r="F1512" s="27" t="s">
        <v>4315</v>
      </c>
      <c r="G1512" s="101" t="s">
        <v>4336</v>
      </c>
      <c r="H1512" s="91">
        <v>42501</v>
      </c>
      <c r="I1512" s="73">
        <v>34352</v>
      </c>
      <c r="J1512" s="73">
        <v>34352</v>
      </c>
      <c r="K1512" s="73">
        <v>27304</v>
      </c>
      <c r="L1512" s="11" t="s">
        <v>133</v>
      </c>
      <c r="M1512" s="1" t="s">
        <v>32</v>
      </c>
      <c r="N1512" s="112" t="s">
        <v>14</v>
      </c>
      <c r="O1512" s="104" t="s">
        <v>52</v>
      </c>
      <c r="P1512" s="104" t="s">
        <v>52</v>
      </c>
      <c r="Q1512" s="105"/>
      <c r="R1512" s="28" t="s">
        <v>110</v>
      </c>
      <c r="S1512" s="225">
        <f t="shared" si="23"/>
        <v>49583</v>
      </c>
      <c r="T1512" s="2" t="s">
        <v>7634</v>
      </c>
      <c r="U1512" s="7" t="s">
        <v>128</v>
      </c>
      <c r="V1512" s="162" t="str" cm="1">
        <f t="array" ref="V1512">_xlfn.IFS(C1512="","",COUNTIF(C1512,"ตำแหน่งว่าง*"),"ว่าง",COUNTIF(C1512,"&lt;&gt;ตำแหน่งว่าง*"),"คนครอง")</f>
        <v>คนครอง</v>
      </c>
      <c r="W1512" s="6" cm="1">
        <f t="array" ref="W1512">_xlfn.IFS(COUNTIF(F1512,"ผบ.หมู่*"),51,COUNTIF(F1512,"รอง สว.*"),43)</f>
        <v>51</v>
      </c>
      <c r="X1512" s="1" t="s">
        <v>4335</v>
      </c>
      <c r="Y1512" s="1" t="s">
        <v>52</v>
      </c>
    </row>
    <row r="1513" spans="1:25" s="9" customFormat="1" ht="21.3" customHeight="1">
      <c r="A1513" s="27" t="s">
        <v>157</v>
      </c>
      <c r="B1513" s="28" t="s">
        <v>12</v>
      </c>
      <c r="C1513" s="27" t="s">
        <v>4337</v>
      </c>
      <c r="D1513" s="27" t="s">
        <v>8141</v>
      </c>
      <c r="E1513" s="27" t="s">
        <v>9588</v>
      </c>
      <c r="F1513" s="27" t="s">
        <v>4315</v>
      </c>
      <c r="G1513" s="101" t="s">
        <v>4339</v>
      </c>
      <c r="H1513" s="75">
        <v>42940</v>
      </c>
      <c r="I1513" s="73">
        <v>37316</v>
      </c>
      <c r="J1513" s="73">
        <v>37316</v>
      </c>
      <c r="K1513" s="73">
        <v>28266</v>
      </c>
      <c r="L1513" s="11" t="s">
        <v>4340</v>
      </c>
      <c r="M1513" s="1" t="s">
        <v>33</v>
      </c>
      <c r="N1513" s="112" t="s">
        <v>14</v>
      </c>
      <c r="O1513" s="104" t="s">
        <v>52</v>
      </c>
      <c r="P1513" s="104" t="s">
        <v>52</v>
      </c>
      <c r="Q1513" s="105"/>
      <c r="R1513" s="28" t="s">
        <v>1125</v>
      </c>
      <c r="S1513" s="225">
        <f t="shared" si="23"/>
        <v>50314</v>
      </c>
      <c r="T1513" s="2" t="s">
        <v>7634</v>
      </c>
      <c r="U1513" s="7" t="s">
        <v>128</v>
      </c>
      <c r="V1513" s="162" t="str" cm="1">
        <f t="array" ref="V1513">_xlfn.IFS(C1513="","",COUNTIF(C1513,"ตำแหน่งว่าง*"),"ว่าง",COUNTIF(C1513,"&lt;&gt;ตำแหน่งว่าง*"),"คนครอง")</f>
        <v>คนครอง</v>
      </c>
      <c r="W1513" s="6" cm="1">
        <f t="array" ref="W1513">_xlfn.IFS(COUNTIF(F1513,"ผบ.หมู่*"),51,COUNTIF(F1513,"รอง สว.*"),43)</f>
        <v>51</v>
      </c>
      <c r="X1513" s="1" t="s">
        <v>4338</v>
      </c>
      <c r="Y1513" s="1" t="s">
        <v>52</v>
      </c>
    </row>
    <row r="1514" spans="1:25" s="9" customFormat="1" ht="21.3" customHeight="1">
      <c r="A1514" s="27" t="s">
        <v>208</v>
      </c>
      <c r="B1514" s="28" t="s">
        <v>12</v>
      </c>
      <c r="C1514" s="27" t="s">
        <v>4341</v>
      </c>
      <c r="D1514" s="27" t="s">
        <v>8245</v>
      </c>
      <c r="E1514" s="27" t="s">
        <v>9589</v>
      </c>
      <c r="F1514" s="27" t="s">
        <v>4315</v>
      </c>
      <c r="G1514" s="101" t="s">
        <v>4343</v>
      </c>
      <c r="H1514" s="91">
        <v>44243</v>
      </c>
      <c r="I1514" s="73">
        <v>42416</v>
      </c>
      <c r="J1514" s="73">
        <v>42416</v>
      </c>
      <c r="K1514" s="73">
        <v>33941</v>
      </c>
      <c r="L1514" s="11" t="s">
        <v>82</v>
      </c>
      <c r="M1514" s="1" t="s">
        <v>81</v>
      </c>
      <c r="N1514" s="112" t="s">
        <v>14</v>
      </c>
      <c r="O1514" s="104" t="s">
        <v>52</v>
      </c>
      <c r="P1514" s="104" t="s">
        <v>52</v>
      </c>
      <c r="Q1514" s="105"/>
      <c r="R1514" s="28" t="s">
        <v>617</v>
      </c>
      <c r="S1514" s="225">
        <f t="shared" si="23"/>
        <v>56158</v>
      </c>
      <c r="T1514" s="2" t="s">
        <v>7634</v>
      </c>
      <c r="U1514" s="7" t="s">
        <v>128</v>
      </c>
      <c r="V1514" s="162" t="str" cm="1">
        <f t="array" ref="V1514">_xlfn.IFS(C1514="","",COUNTIF(C1514,"ตำแหน่งว่าง*"),"ว่าง",COUNTIF(C1514,"&lt;&gt;ตำแหน่งว่าง*"),"คนครอง")</f>
        <v>คนครอง</v>
      </c>
      <c r="W1514" s="6" cm="1">
        <f t="array" ref="W1514">_xlfn.IFS(COUNTIF(F1514,"ผบ.หมู่*"),51,COUNTIF(F1514,"รอง สว.*"),43)</f>
        <v>51</v>
      </c>
      <c r="X1514" s="1" t="s">
        <v>4342</v>
      </c>
      <c r="Y1514" s="1" t="s">
        <v>52</v>
      </c>
    </row>
    <row r="1515" spans="1:25" s="9" customFormat="1" ht="21.3" customHeight="1">
      <c r="A1515" s="27" t="s">
        <v>612</v>
      </c>
      <c r="B1515" s="28" t="s">
        <v>12</v>
      </c>
      <c r="C1515" s="27" t="s">
        <v>2623</v>
      </c>
      <c r="D1515" s="27" t="s">
        <v>9070</v>
      </c>
      <c r="E1515" s="27" t="s">
        <v>9071</v>
      </c>
      <c r="F1515" s="27" t="s">
        <v>4315</v>
      </c>
      <c r="G1515" s="101" t="s">
        <v>4345</v>
      </c>
      <c r="H1515" s="91">
        <v>45768</v>
      </c>
      <c r="I1515" s="73">
        <v>42416</v>
      </c>
      <c r="J1515" s="73">
        <v>42416</v>
      </c>
      <c r="K1515" s="73">
        <v>34606</v>
      </c>
      <c r="L1515" s="11" t="s">
        <v>82</v>
      </c>
      <c r="M1515" s="1" t="s">
        <v>32</v>
      </c>
      <c r="N1515" s="112" t="s">
        <v>14</v>
      </c>
      <c r="O1515" s="104" t="s">
        <v>52</v>
      </c>
      <c r="P1515" s="104" t="s">
        <v>52</v>
      </c>
      <c r="Q1515" s="105"/>
      <c r="R1515" s="28" t="s">
        <v>10804</v>
      </c>
      <c r="S1515" s="174">
        <f t="shared" si="23"/>
        <v>56523</v>
      </c>
      <c r="T1515" s="2" t="s">
        <v>7634</v>
      </c>
      <c r="U1515" s="2" t="s">
        <v>128</v>
      </c>
      <c r="V1515" s="2" t="str" cm="1">
        <f t="array" ref="V1515">_xlfn.IFS(C1515="","",COUNTIF(C1515,"ตำแหน่งว่าง*"),"ว่าง",COUNTIF(C1515,"&lt;&gt;ตำแหน่งว่าง*"),"คนครอง")</f>
        <v>คนครอง</v>
      </c>
      <c r="W1515" s="1" cm="1">
        <f t="array" ref="W1515">_xlfn.IFS(COUNTIF(F1515,"ผบ.หมู่*"),51,COUNTIF(F1515,"รอง สว.*"),43)</f>
        <v>51</v>
      </c>
      <c r="X1515" s="1" t="s">
        <v>4344</v>
      </c>
      <c r="Y1515" s="1" t="s">
        <v>52</v>
      </c>
    </row>
    <row r="1516" spans="1:25" s="9" customFormat="1" ht="21.3" customHeight="1">
      <c r="A1516" s="27" t="s">
        <v>60</v>
      </c>
      <c r="B1516" s="28" t="s">
        <v>12</v>
      </c>
      <c r="C1516" s="27" t="s">
        <v>4346</v>
      </c>
      <c r="D1516" s="27" t="s">
        <v>8024</v>
      </c>
      <c r="E1516" s="27" t="s">
        <v>9590</v>
      </c>
      <c r="F1516" s="27" t="s">
        <v>4323</v>
      </c>
      <c r="G1516" s="101" t="s">
        <v>4348</v>
      </c>
      <c r="H1516" s="75">
        <v>42501</v>
      </c>
      <c r="I1516" s="73">
        <v>37316</v>
      </c>
      <c r="J1516" s="73">
        <v>37316</v>
      </c>
      <c r="K1516" s="73">
        <v>26285</v>
      </c>
      <c r="L1516" s="11" t="s">
        <v>4349</v>
      </c>
      <c r="M1516" s="1" t="s">
        <v>32</v>
      </c>
      <c r="N1516" s="112" t="s">
        <v>14</v>
      </c>
      <c r="O1516" s="104" t="s">
        <v>52</v>
      </c>
      <c r="P1516" s="104" t="s">
        <v>52</v>
      </c>
      <c r="Q1516" s="105"/>
      <c r="R1516" s="28" t="s">
        <v>110</v>
      </c>
      <c r="S1516" s="225">
        <f t="shared" si="23"/>
        <v>48488</v>
      </c>
      <c r="T1516" s="2" t="s">
        <v>7634</v>
      </c>
      <c r="U1516" s="7" t="s">
        <v>128</v>
      </c>
      <c r="V1516" s="162" t="str" cm="1">
        <f t="array" ref="V1516">_xlfn.IFS(C1516="","",COUNTIF(C1516,"ตำแหน่งว่าง*"),"ว่าง",COUNTIF(C1516,"&lt;&gt;ตำแหน่งว่าง*"),"คนครอง")</f>
        <v>คนครอง</v>
      </c>
      <c r="W1516" s="6" cm="1">
        <f t="array" ref="W1516">_xlfn.IFS(COUNTIF(F1516,"ผบ.หมู่*"),51,COUNTIF(F1516,"รอง สว.*"),43)</f>
        <v>43</v>
      </c>
      <c r="X1516" s="1" t="s">
        <v>4347</v>
      </c>
      <c r="Y1516" s="1" t="s">
        <v>52</v>
      </c>
    </row>
    <row r="1517" spans="1:25" s="9" customFormat="1" ht="21.3" customHeight="1">
      <c r="A1517" s="27" t="s">
        <v>10753</v>
      </c>
      <c r="B1517" s="28" t="s">
        <v>12</v>
      </c>
      <c r="C1517" s="27" t="s">
        <v>7706</v>
      </c>
      <c r="D1517" s="27" t="s">
        <v>8109</v>
      </c>
      <c r="E1517" s="27" t="s">
        <v>9591</v>
      </c>
      <c r="F1517" s="27" t="s">
        <v>4323</v>
      </c>
      <c r="G1517" s="101" t="s">
        <v>4352</v>
      </c>
      <c r="H1517" s="91">
        <v>45322</v>
      </c>
      <c r="I1517" s="73">
        <v>45016</v>
      </c>
      <c r="J1517" s="73">
        <v>45016</v>
      </c>
      <c r="K1517" s="73">
        <v>25504</v>
      </c>
      <c r="L1517" s="11" t="s">
        <v>7707</v>
      </c>
      <c r="M1517" s="1" t="s">
        <v>81</v>
      </c>
      <c r="N1517" s="112" t="s">
        <v>14</v>
      </c>
      <c r="O1517" s="104" t="s">
        <v>52</v>
      </c>
      <c r="P1517" s="104" t="s">
        <v>52</v>
      </c>
      <c r="Q1517" s="105"/>
      <c r="R1517" s="28" t="s">
        <v>7708</v>
      </c>
      <c r="S1517" s="225">
        <f t="shared" si="23"/>
        <v>47757</v>
      </c>
      <c r="T1517" s="2" t="s">
        <v>7634</v>
      </c>
      <c r="U1517" s="7" t="s">
        <v>128</v>
      </c>
      <c r="V1517" s="162" t="str" cm="1">
        <f t="array" ref="V1517">_xlfn.IFS(C1517="","",COUNTIF(C1517,"ตำแหน่งว่าง*"),"ว่าง",COUNTIF(C1517,"&lt;&gt;ตำแหน่งว่าง*"),"คนครอง")</f>
        <v>คนครอง</v>
      </c>
      <c r="W1517" s="6" cm="1">
        <f t="array" ref="W1517">_xlfn.IFS(COUNTIF(F1517,"ผบ.หมู่*"),51,COUNTIF(F1517,"รอง สว.*"),43)</f>
        <v>43</v>
      </c>
      <c r="X1517" s="1" t="s">
        <v>4351</v>
      </c>
      <c r="Y1517" s="1" t="s">
        <v>52</v>
      </c>
    </row>
    <row r="1518" spans="1:25" s="9" customFormat="1" ht="21.3" customHeight="1">
      <c r="A1518" s="27"/>
      <c r="B1518" s="28"/>
      <c r="C1518" s="27" t="s">
        <v>18</v>
      </c>
      <c r="D1518" s="27"/>
      <c r="E1518" s="27"/>
      <c r="F1518" s="27" t="s">
        <v>4315</v>
      </c>
      <c r="G1518" s="101" t="s">
        <v>4354</v>
      </c>
      <c r="H1518" s="75"/>
      <c r="I1518" s="73"/>
      <c r="J1518" s="73"/>
      <c r="K1518" s="73"/>
      <c r="L1518" s="11"/>
      <c r="M1518" s="1"/>
      <c r="N1518" s="112" t="s">
        <v>14</v>
      </c>
      <c r="O1518" s="104" t="s">
        <v>52</v>
      </c>
      <c r="P1518" s="104" t="s">
        <v>52</v>
      </c>
      <c r="Q1518" s="105"/>
      <c r="R1518" s="28"/>
      <c r="S1518" s="225" t="str">
        <f t="shared" si="23"/>
        <v/>
      </c>
      <c r="T1518" s="2" t="s">
        <v>7634</v>
      </c>
      <c r="U1518" s="7" t="s">
        <v>128</v>
      </c>
      <c r="V1518" s="162" t="str" cm="1">
        <f t="array" ref="V1518">_xlfn.IFS(C1518="","",COUNTIF(C1518,"ตำแหน่งว่าง*"),"ว่าง",COUNTIF(C1518,"&lt;&gt;ตำแหน่งว่าง*"),"คนครอง")</f>
        <v>ว่าง</v>
      </c>
      <c r="W1518" s="6" cm="1">
        <f t="array" ref="W1518">_xlfn.IFS(COUNTIF(F1518,"ผบ.หมู่*"),51,COUNTIF(F1518,"รอง สว.*"),43)</f>
        <v>51</v>
      </c>
      <c r="X1518" s="1" t="s">
        <v>4353</v>
      </c>
      <c r="Y1518" s="1" t="s">
        <v>52</v>
      </c>
    </row>
    <row r="1519" spans="1:25" s="9" customFormat="1" ht="21.3" customHeight="1">
      <c r="A1519" s="27" t="s">
        <v>208</v>
      </c>
      <c r="B1519" s="28" t="s">
        <v>21</v>
      </c>
      <c r="C1519" s="27" t="s">
        <v>7768</v>
      </c>
      <c r="D1519" s="27" t="s">
        <v>8320</v>
      </c>
      <c r="E1519" s="27" t="s">
        <v>9592</v>
      </c>
      <c r="F1519" s="27" t="s">
        <v>4315</v>
      </c>
      <c r="G1519" s="101" t="s">
        <v>4356</v>
      </c>
      <c r="H1519" s="75">
        <v>45322</v>
      </c>
      <c r="I1519" s="73">
        <v>43693</v>
      </c>
      <c r="J1519" s="73">
        <v>43693</v>
      </c>
      <c r="K1519" s="73">
        <v>35048</v>
      </c>
      <c r="L1519" s="11" t="s">
        <v>2058</v>
      </c>
      <c r="M1519" s="1" t="s">
        <v>32</v>
      </c>
      <c r="N1519" s="112" t="s">
        <v>14</v>
      </c>
      <c r="O1519" s="104" t="s">
        <v>52</v>
      </c>
      <c r="P1519" s="104" t="s">
        <v>52</v>
      </c>
      <c r="Q1519" s="105"/>
      <c r="R1519" s="30" t="s">
        <v>7708</v>
      </c>
      <c r="S1519" s="225">
        <f t="shared" si="23"/>
        <v>57254</v>
      </c>
      <c r="T1519" s="2" t="s">
        <v>7634</v>
      </c>
      <c r="U1519" s="7" t="s">
        <v>128</v>
      </c>
      <c r="V1519" s="162" t="str" cm="1">
        <f t="array" ref="V1519">_xlfn.IFS(C1519="","",COUNTIF(C1519,"ตำแหน่งว่าง*"),"ว่าง",COUNTIF(C1519,"&lt;&gt;ตำแหน่งว่าง*"),"คนครอง")</f>
        <v>คนครอง</v>
      </c>
      <c r="W1519" s="6" cm="1">
        <f t="array" ref="W1519">_xlfn.IFS(COUNTIF(F1519,"ผบ.หมู่*"),51,COUNTIF(F1519,"รอง สว.*"),43)</f>
        <v>51</v>
      </c>
      <c r="X1519" s="1" t="s">
        <v>4355</v>
      </c>
      <c r="Y1519" s="1" t="s">
        <v>52</v>
      </c>
    </row>
    <row r="1520" spans="1:25" s="9" customFormat="1" ht="21.3" customHeight="1">
      <c r="A1520" s="27" t="s">
        <v>157</v>
      </c>
      <c r="B1520" s="28" t="s">
        <v>21</v>
      </c>
      <c r="C1520" s="27" t="s">
        <v>4357</v>
      </c>
      <c r="D1520" s="27" t="s">
        <v>8051</v>
      </c>
      <c r="E1520" s="27" t="s">
        <v>9593</v>
      </c>
      <c r="F1520" s="27" t="s">
        <v>4315</v>
      </c>
      <c r="G1520" s="101" t="s">
        <v>4359</v>
      </c>
      <c r="H1520" s="75">
        <v>42501</v>
      </c>
      <c r="I1520" s="73">
        <v>34729</v>
      </c>
      <c r="J1520" s="73">
        <v>34729</v>
      </c>
      <c r="K1520" s="73">
        <v>27312</v>
      </c>
      <c r="L1520" s="11" t="s">
        <v>162</v>
      </c>
      <c r="M1520" s="1" t="s">
        <v>32</v>
      </c>
      <c r="N1520" s="112" t="s">
        <v>14</v>
      </c>
      <c r="O1520" s="104" t="s">
        <v>52</v>
      </c>
      <c r="P1520" s="104" t="s">
        <v>52</v>
      </c>
      <c r="Q1520" s="105"/>
      <c r="R1520" s="28" t="s">
        <v>110</v>
      </c>
      <c r="S1520" s="225">
        <f t="shared" si="23"/>
        <v>49583</v>
      </c>
      <c r="T1520" s="2" t="s">
        <v>7634</v>
      </c>
      <c r="U1520" s="7" t="s">
        <v>128</v>
      </c>
      <c r="V1520" s="162" t="str" cm="1">
        <f t="array" ref="V1520">_xlfn.IFS(C1520="","",COUNTIF(C1520,"ตำแหน่งว่าง*"),"ว่าง",COUNTIF(C1520,"&lt;&gt;ตำแหน่งว่าง*"),"คนครอง")</f>
        <v>คนครอง</v>
      </c>
      <c r="W1520" s="6" cm="1">
        <f t="array" ref="W1520">_xlfn.IFS(COUNTIF(F1520,"ผบ.หมู่*"),51,COUNTIF(F1520,"รอง สว.*"),43)</f>
        <v>51</v>
      </c>
      <c r="X1520" s="1" t="s">
        <v>4358</v>
      </c>
      <c r="Y1520" s="1" t="s">
        <v>52</v>
      </c>
    </row>
    <row r="1521" spans="1:25" s="10" customFormat="1" ht="21.3" customHeight="1">
      <c r="A1521" s="27" t="s">
        <v>208</v>
      </c>
      <c r="B1521" s="28" t="s">
        <v>12</v>
      </c>
      <c r="C1521" s="27" t="s">
        <v>4360</v>
      </c>
      <c r="D1521" s="27" t="s">
        <v>8106</v>
      </c>
      <c r="E1521" s="27" t="s">
        <v>9594</v>
      </c>
      <c r="F1521" s="27" t="s">
        <v>4315</v>
      </c>
      <c r="G1521" s="101" t="s">
        <v>4362</v>
      </c>
      <c r="H1521" s="75">
        <v>44599</v>
      </c>
      <c r="I1521" s="73">
        <v>43132</v>
      </c>
      <c r="J1521" s="73">
        <v>43132</v>
      </c>
      <c r="K1521" s="73">
        <v>30942</v>
      </c>
      <c r="L1521" s="11" t="s">
        <v>82</v>
      </c>
      <c r="M1521" s="1" t="s">
        <v>36</v>
      </c>
      <c r="N1521" s="112" t="s">
        <v>14</v>
      </c>
      <c r="O1521" s="104" t="s">
        <v>52</v>
      </c>
      <c r="P1521" s="104" t="s">
        <v>52</v>
      </c>
      <c r="Q1521" s="105"/>
      <c r="R1521" s="28" t="s">
        <v>607</v>
      </c>
      <c r="S1521" s="225">
        <f t="shared" si="23"/>
        <v>52871</v>
      </c>
      <c r="T1521" s="7" t="s">
        <v>7634</v>
      </c>
      <c r="U1521" s="7" t="s">
        <v>128</v>
      </c>
      <c r="V1521" s="162" t="str" cm="1">
        <f t="array" ref="V1521">_xlfn.IFS(C1521="","",COUNTIF(C1521,"ตำแหน่งว่าง*"),"ว่าง",COUNTIF(C1521,"&lt;&gt;ตำแหน่งว่าง*"),"คนครอง")</f>
        <v>คนครอง</v>
      </c>
      <c r="W1521" s="6" cm="1">
        <f t="array" ref="W1521">_xlfn.IFS(COUNTIF(F1521,"ผบ.หมู่*"),51,COUNTIF(F1521,"รอง สว.*"),43)</f>
        <v>51</v>
      </c>
      <c r="X1521" s="1" t="s">
        <v>4361</v>
      </c>
      <c r="Y1521" s="1" t="s">
        <v>52</v>
      </c>
    </row>
    <row r="1522" spans="1:25" s="9" customFormat="1" ht="21.3" customHeight="1">
      <c r="A1522" s="27" t="s">
        <v>612</v>
      </c>
      <c r="B1522" s="28" t="s">
        <v>12</v>
      </c>
      <c r="C1522" s="27" t="s">
        <v>4363</v>
      </c>
      <c r="D1522" s="27" t="s">
        <v>9595</v>
      </c>
      <c r="E1522" s="27" t="s">
        <v>9596</v>
      </c>
      <c r="F1522" s="27" t="s">
        <v>4315</v>
      </c>
      <c r="G1522" s="101" t="s">
        <v>4365</v>
      </c>
      <c r="H1522" s="91">
        <v>43656</v>
      </c>
      <c r="I1522" s="73">
        <v>42156</v>
      </c>
      <c r="J1522" s="73">
        <v>42156</v>
      </c>
      <c r="K1522" s="73">
        <v>32508</v>
      </c>
      <c r="L1522" s="11" t="s">
        <v>4366</v>
      </c>
      <c r="M1522" s="1" t="s">
        <v>32</v>
      </c>
      <c r="N1522" s="112" t="s">
        <v>14</v>
      </c>
      <c r="O1522" s="104" t="s">
        <v>52</v>
      </c>
      <c r="P1522" s="104" t="s">
        <v>52</v>
      </c>
      <c r="Q1522" s="105"/>
      <c r="R1522" s="28" t="s">
        <v>2794</v>
      </c>
      <c r="S1522" s="225">
        <f t="shared" si="23"/>
        <v>54697</v>
      </c>
      <c r="T1522" s="2" t="s">
        <v>7634</v>
      </c>
      <c r="U1522" s="7" t="s">
        <v>128</v>
      </c>
      <c r="V1522" s="162" t="str" cm="1">
        <f t="array" ref="V1522">_xlfn.IFS(C1522="","",COUNTIF(C1522,"ตำแหน่งว่าง*"),"ว่าง",COUNTIF(C1522,"&lt;&gt;ตำแหน่งว่าง*"),"คนครอง")</f>
        <v>คนครอง</v>
      </c>
      <c r="W1522" s="6" cm="1">
        <f t="array" ref="W1522">_xlfn.IFS(COUNTIF(F1522,"ผบ.หมู่*"),51,COUNTIF(F1522,"รอง สว.*"),43)</f>
        <v>51</v>
      </c>
      <c r="X1522" s="1" t="s">
        <v>4364</v>
      </c>
      <c r="Y1522" s="1" t="s">
        <v>52</v>
      </c>
    </row>
    <row r="1523" spans="1:25" s="12" customFormat="1" ht="21.3" customHeight="1">
      <c r="A1523" s="27" t="s">
        <v>157</v>
      </c>
      <c r="B1523" s="31" t="s">
        <v>12</v>
      </c>
      <c r="C1523" s="95" t="s">
        <v>4683</v>
      </c>
      <c r="D1523" s="27" t="s">
        <v>9668</v>
      </c>
      <c r="E1523" s="27" t="s">
        <v>9669</v>
      </c>
      <c r="F1523" s="95" t="s">
        <v>4315</v>
      </c>
      <c r="G1523" s="101" t="s">
        <v>4369</v>
      </c>
      <c r="H1523" s="91">
        <v>45768</v>
      </c>
      <c r="I1523" s="73">
        <v>37288</v>
      </c>
      <c r="J1523" s="73" t="s">
        <v>7827</v>
      </c>
      <c r="K1523" s="73">
        <v>30493</v>
      </c>
      <c r="L1523" s="11" t="s">
        <v>82</v>
      </c>
      <c r="M1523" s="1" t="s">
        <v>63</v>
      </c>
      <c r="N1523" s="111" t="s">
        <v>14</v>
      </c>
      <c r="O1523" s="104" t="s">
        <v>52</v>
      </c>
      <c r="P1523" s="104" t="s">
        <v>52</v>
      </c>
      <c r="Q1523" s="108"/>
      <c r="R1523" s="31" t="s">
        <v>10711</v>
      </c>
      <c r="S1523" s="225">
        <f t="shared" si="23"/>
        <v>52505</v>
      </c>
      <c r="T1523" s="162" t="s">
        <v>7634</v>
      </c>
      <c r="U1523" s="7" t="s">
        <v>128</v>
      </c>
      <c r="V1523" s="162" t="str" cm="1">
        <f t="array" ref="V1523">_xlfn.IFS(C1523="","",COUNTIF(C1523,"ตำแหน่งว่าง*"),"ว่าง",COUNTIF(C1523,"&lt;&gt;ตำแหน่งว่าง*"),"คนครอง")</f>
        <v>คนครอง</v>
      </c>
      <c r="W1523" s="6" cm="1">
        <f t="array" ref="W1523">_xlfn.IFS(COUNTIF(F1523,"ผบ.หมู่*"),51,COUNTIF(F1523,"รอง สว.*"),43)</f>
        <v>51</v>
      </c>
      <c r="X1523" s="5" t="s">
        <v>4368</v>
      </c>
      <c r="Y1523" s="5" t="s">
        <v>52</v>
      </c>
    </row>
    <row r="1524" spans="1:25" s="9" customFormat="1" ht="21.3" customHeight="1">
      <c r="A1524" s="27" t="s">
        <v>157</v>
      </c>
      <c r="B1524" s="28" t="s">
        <v>21</v>
      </c>
      <c r="C1524" s="27" t="s">
        <v>4449</v>
      </c>
      <c r="D1524" s="27" t="s">
        <v>9599</v>
      </c>
      <c r="E1524" s="27" t="s">
        <v>9600</v>
      </c>
      <c r="F1524" s="27" t="s">
        <v>4450</v>
      </c>
      <c r="G1524" s="101" t="s">
        <v>4452</v>
      </c>
      <c r="H1524" s="75">
        <v>42501</v>
      </c>
      <c r="I1524" s="73">
        <v>34352</v>
      </c>
      <c r="J1524" s="73">
        <v>34352</v>
      </c>
      <c r="K1524" s="73">
        <v>27410</v>
      </c>
      <c r="L1524" s="11" t="s">
        <v>4453</v>
      </c>
      <c r="M1524" s="1" t="s">
        <v>34</v>
      </c>
      <c r="N1524" s="112" t="s">
        <v>14</v>
      </c>
      <c r="O1524" s="104" t="s">
        <v>52</v>
      </c>
      <c r="P1524" s="104" t="s">
        <v>52</v>
      </c>
      <c r="Q1524" s="105"/>
      <c r="R1524" s="28" t="s">
        <v>110</v>
      </c>
      <c r="S1524" s="225">
        <f t="shared" si="23"/>
        <v>49583</v>
      </c>
      <c r="T1524" s="2" t="s">
        <v>7637</v>
      </c>
      <c r="U1524" s="7" t="s">
        <v>128</v>
      </c>
      <c r="V1524" s="162" t="str" cm="1">
        <f t="array" ref="V1524">_xlfn.IFS(C1524="","",COUNTIF(C1524,"ตำแหน่งว่าง*"),"ว่าง",COUNTIF(C1524,"&lt;&gt;ตำแหน่งว่าง*"),"คนครอง")</f>
        <v>คนครอง</v>
      </c>
      <c r="W1524" s="6" cm="1">
        <f t="array" ref="W1524">_xlfn.IFS(COUNTIF(F1524,"ผบ.หมู่*"),51,COUNTIF(F1524,"รอง สว.*"),43)</f>
        <v>51</v>
      </c>
      <c r="X1524" s="1" t="s">
        <v>4451</v>
      </c>
      <c r="Y1524" s="1" t="s">
        <v>52</v>
      </c>
    </row>
    <row r="1525" spans="1:25" s="10" customFormat="1" ht="21.3" customHeight="1">
      <c r="A1525" s="132" t="s">
        <v>10753</v>
      </c>
      <c r="B1525" s="28" t="s">
        <v>12</v>
      </c>
      <c r="C1525" s="27" t="s">
        <v>4454</v>
      </c>
      <c r="D1525" s="27" t="s">
        <v>9601</v>
      </c>
      <c r="E1525" s="27" t="s">
        <v>9602</v>
      </c>
      <c r="F1525" s="27" t="s">
        <v>4468</v>
      </c>
      <c r="G1525" s="101" t="s">
        <v>4456</v>
      </c>
      <c r="H1525" s="91">
        <v>45382</v>
      </c>
      <c r="I1525" s="73">
        <v>45382</v>
      </c>
      <c r="J1525" s="73">
        <v>34366</v>
      </c>
      <c r="K1525" s="73">
        <v>26024</v>
      </c>
      <c r="L1525" s="11" t="s">
        <v>82</v>
      </c>
      <c r="M1525" s="1" t="s">
        <v>34</v>
      </c>
      <c r="N1525" s="112" t="s">
        <v>14</v>
      </c>
      <c r="O1525" s="104" t="s">
        <v>52</v>
      </c>
      <c r="P1525" s="104" t="s">
        <v>52</v>
      </c>
      <c r="Q1525" s="105"/>
      <c r="R1525" s="33" t="s">
        <v>132</v>
      </c>
      <c r="S1525" s="225">
        <f t="shared" si="23"/>
        <v>48122</v>
      </c>
      <c r="T1525" s="7" t="s">
        <v>7637</v>
      </c>
      <c r="U1525" s="7" t="s">
        <v>128</v>
      </c>
      <c r="V1525" s="162" t="str" cm="1">
        <f t="array" ref="V1525">_xlfn.IFS(C1525="","",COUNTIF(C1525,"ตำแหน่งว่าง*"),"ว่าง",COUNTIF(C1525,"&lt;&gt;ตำแหน่งว่าง*"),"คนครอง")</f>
        <v>คนครอง</v>
      </c>
      <c r="W1525" s="6" cm="1">
        <f t="array" ref="W1525">_xlfn.IFS(COUNTIF(F1525,"ผบ.หมู่*"),51,COUNTIF(F1525,"รอง สว.*"),43)</f>
        <v>43</v>
      </c>
      <c r="X1525" s="1" t="s">
        <v>4455</v>
      </c>
      <c r="Y1525" s="1" t="s">
        <v>52</v>
      </c>
    </row>
    <row r="1526" spans="1:25" s="9" customFormat="1" ht="21.3" customHeight="1">
      <c r="A1526" s="27" t="s">
        <v>157</v>
      </c>
      <c r="B1526" s="28" t="s">
        <v>12</v>
      </c>
      <c r="C1526" s="27" t="s">
        <v>4457</v>
      </c>
      <c r="D1526" s="27" t="s">
        <v>9603</v>
      </c>
      <c r="E1526" s="27" t="s">
        <v>9604</v>
      </c>
      <c r="F1526" s="27" t="s">
        <v>4450</v>
      </c>
      <c r="G1526" s="101" t="s">
        <v>4459</v>
      </c>
      <c r="H1526" s="75">
        <v>42940</v>
      </c>
      <c r="I1526" s="73">
        <v>39717</v>
      </c>
      <c r="J1526" s="73">
        <v>39717</v>
      </c>
      <c r="K1526" s="73">
        <v>27616</v>
      </c>
      <c r="L1526" s="11" t="s">
        <v>4460</v>
      </c>
      <c r="M1526" s="1" t="s">
        <v>34</v>
      </c>
      <c r="N1526" s="112" t="s">
        <v>14</v>
      </c>
      <c r="O1526" s="104" t="s">
        <v>52</v>
      </c>
      <c r="P1526" s="104" t="s">
        <v>52</v>
      </c>
      <c r="Q1526" s="105"/>
      <c r="R1526" s="28" t="s">
        <v>4298</v>
      </c>
      <c r="S1526" s="225">
        <f t="shared" si="23"/>
        <v>49583</v>
      </c>
      <c r="T1526" s="2" t="s">
        <v>7637</v>
      </c>
      <c r="U1526" s="7" t="s">
        <v>128</v>
      </c>
      <c r="V1526" s="162" t="str" cm="1">
        <f t="array" ref="V1526">_xlfn.IFS(C1526="","",COUNTIF(C1526,"ตำแหน่งว่าง*"),"ว่าง",COUNTIF(C1526,"&lt;&gt;ตำแหน่งว่าง*"),"คนครอง")</f>
        <v>คนครอง</v>
      </c>
      <c r="W1526" s="6" cm="1">
        <f t="array" ref="W1526">_xlfn.IFS(COUNTIF(F1526,"ผบ.หมู่*"),51,COUNTIF(F1526,"รอง สว.*"),43)</f>
        <v>51</v>
      </c>
      <c r="X1526" s="1" t="s">
        <v>4458</v>
      </c>
      <c r="Y1526" s="1" t="s">
        <v>52</v>
      </c>
    </row>
    <row r="1527" spans="1:25" s="9" customFormat="1" ht="21.3" customHeight="1">
      <c r="A1527" s="27" t="s">
        <v>157</v>
      </c>
      <c r="B1527" s="28" t="s">
        <v>21</v>
      </c>
      <c r="C1527" s="27" t="s">
        <v>4461</v>
      </c>
      <c r="D1527" s="27" t="s">
        <v>9605</v>
      </c>
      <c r="E1527" s="27" t="s">
        <v>9606</v>
      </c>
      <c r="F1527" s="27" t="s">
        <v>4450</v>
      </c>
      <c r="G1527" s="101" t="s">
        <v>4463</v>
      </c>
      <c r="H1527" s="75">
        <v>42501</v>
      </c>
      <c r="I1527" s="73">
        <v>34729</v>
      </c>
      <c r="J1527" s="73">
        <v>34729</v>
      </c>
      <c r="K1527" s="73">
        <v>26723</v>
      </c>
      <c r="L1527" s="11" t="s">
        <v>4042</v>
      </c>
      <c r="M1527" s="1" t="s">
        <v>34</v>
      </c>
      <c r="N1527" s="112" t="s">
        <v>14</v>
      </c>
      <c r="O1527" s="104" t="s">
        <v>52</v>
      </c>
      <c r="P1527" s="104" t="s">
        <v>52</v>
      </c>
      <c r="Q1527" s="105"/>
      <c r="R1527" s="28" t="s">
        <v>110</v>
      </c>
      <c r="S1527" s="225">
        <f t="shared" si="23"/>
        <v>48853</v>
      </c>
      <c r="T1527" s="2" t="s">
        <v>7637</v>
      </c>
      <c r="U1527" s="7" t="s">
        <v>128</v>
      </c>
      <c r="V1527" s="162" t="str" cm="1">
        <f t="array" ref="V1527">_xlfn.IFS(C1527="","",COUNTIF(C1527,"ตำแหน่งว่าง*"),"ว่าง",COUNTIF(C1527,"&lt;&gt;ตำแหน่งว่าง*"),"คนครอง")</f>
        <v>คนครอง</v>
      </c>
      <c r="W1527" s="6" cm="1">
        <f t="array" ref="W1527">_xlfn.IFS(COUNTIF(F1527,"ผบ.หมู่*"),51,COUNTIF(F1527,"รอง สว.*"),43)</f>
        <v>51</v>
      </c>
      <c r="X1527" s="1" t="s">
        <v>4462</v>
      </c>
      <c r="Y1527" s="1" t="s">
        <v>52</v>
      </c>
    </row>
    <row r="1528" spans="1:25" s="9" customFormat="1" ht="21.3" customHeight="1">
      <c r="A1528" s="27" t="s">
        <v>157</v>
      </c>
      <c r="B1528" s="28" t="s">
        <v>21</v>
      </c>
      <c r="C1528" s="27" t="s">
        <v>4464</v>
      </c>
      <c r="D1528" s="27" t="s">
        <v>9607</v>
      </c>
      <c r="E1528" s="27" t="s">
        <v>9608</v>
      </c>
      <c r="F1528" s="27" t="s">
        <v>4450</v>
      </c>
      <c r="G1528" s="101" t="s">
        <v>4466</v>
      </c>
      <c r="H1528" s="75">
        <v>42940</v>
      </c>
      <c r="I1528" s="73">
        <v>39717</v>
      </c>
      <c r="J1528" s="73">
        <v>39717</v>
      </c>
      <c r="K1528" s="73">
        <v>27662</v>
      </c>
      <c r="L1528" s="11" t="s">
        <v>31</v>
      </c>
      <c r="M1528" s="1" t="s">
        <v>34</v>
      </c>
      <c r="N1528" s="112" t="s">
        <v>14</v>
      </c>
      <c r="O1528" s="104" t="s">
        <v>52</v>
      </c>
      <c r="P1528" s="104" t="s">
        <v>52</v>
      </c>
      <c r="Q1528" s="105"/>
      <c r="R1528" s="28" t="s">
        <v>2771</v>
      </c>
      <c r="S1528" s="225">
        <f t="shared" si="23"/>
        <v>49583</v>
      </c>
      <c r="T1528" s="2" t="s">
        <v>7637</v>
      </c>
      <c r="U1528" s="7" t="s">
        <v>128</v>
      </c>
      <c r="V1528" s="162" t="str" cm="1">
        <f t="array" ref="V1528">_xlfn.IFS(C1528="","",COUNTIF(C1528,"ตำแหน่งว่าง*"),"ว่าง",COUNTIF(C1528,"&lt;&gt;ตำแหน่งว่าง*"),"คนครอง")</f>
        <v>คนครอง</v>
      </c>
      <c r="W1528" s="6" cm="1">
        <f t="array" ref="W1528">_xlfn.IFS(COUNTIF(F1528,"ผบ.หมู่*"),51,COUNTIF(F1528,"รอง สว.*"),43)</f>
        <v>51</v>
      </c>
      <c r="X1528" s="1" t="s">
        <v>4465</v>
      </c>
      <c r="Y1528" s="1" t="s">
        <v>52</v>
      </c>
    </row>
    <row r="1529" spans="1:25" s="9" customFormat="1" ht="21.3" customHeight="1">
      <c r="A1529" s="27" t="s">
        <v>10753</v>
      </c>
      <c r="B1529" s="28" t="s">
        <v>21</v>
      </c>
      <c r="C1529" s="27" t="s">
        <v>4467</v>
      </c>
      <c r="D1529" s="27" t="s">
        <v>8182</v>
      </c>
      <c r="E1529" s="27" t="s">
        <v>9609</v>
      </c>
      <c r="F1529" s="27" t="s">
        <v>4468</v>
      </c>
      <c r="G1529" s="101" t="s">
        <v>4470</v>
      </c>
      <c r="H1529" s="75">
        <v>45016</v>
      </c>
      <c r="I1529" s="73">
        <v>45016</v>
      </c>
      <c r="J1529" s="73">
        <v>34729</v>
      </c>
      <c r="K1529" s="73">
        <v>25616</v>
      </c>
      <c r="L1529" s="11" t="s">
        <v>4471</v>
      </c>
      <c r="M1529" s="1" t="s">
        <v>34</v>
      </c>
      <c r="N1529" s="112" t="s">
        <v>14</v>
      </c>
      <c r="O1529" s="104" t="s">
        <v>52</v>
      </c>
      <c r="P1529" s="104" t="s">
        <v>52</v>
      </c>
      <c r="Q1529" s="105"/>
      <c r="R1529" s="28" t="s">
        <v>483</v>
      </c>
      <c r="S1529" s="225">
        <f t="shared" si="23"/>
        <v>47757</v>
      </c>
      <c r="T1529" s="2" t="s">
        <v>7637</v>
      </c>
      <c r="U1529" s="7" t="s">
        <v>128</v>
      </c>
      <c r="V1529" s="162" t="str" cm="1">
        <f t="array" ref="V1529">_xlfn.IFS(C1529="","",COUNTIF(C1529,"ตำแหน่งว่าง*"),"ว่าง",COUNTIF(C1529,"&lt;&gt;ตำแหน่งว่าง*"),"คนครอง")</f>
        <v>คนครอง</v>
      </c>
      <c r="W1529" s="5" cm="1">
        <f t="array" ref="W1529">_xlfn.IFS(COUNTIF(F1529,"ผบ.หมู่*"),51,COUNTIF(F1529,"รอง สว.*"),43)</f>
        <v>43</v>
      </c>
      <c r="X1529" s="1" t="s">
        <v>4469</v>
      </c>
      <c r="Y1529" s="1" t="s">
        <v>52</v>
      </c>
    </row>
    <row r="1530" spans="1:25" s="9" customFormat="1" ht="21.3" customHeight="1">
      <c r="A1530" s="27" t="s">
        <v>157</v>
      </c>
      <c r="B1530" s="28" t="s">
        <v>21</v>
      </c>
      <c r="C1530" s="27" t="s">
        <v>4472</v>
      </c>
      <c r="D1530" s="27" t="s">
        <v>7980</v>
      </c>
      <c r="E1530" s="27" t="s">
        <v>9610</v>
      </c>
      <c r="F1530" s="27" t="s">
        <v>4450</v>
      </c>
      <c r="G1530" s="101" t="s">
        <v>4474</v>
      </c>
      <c r="H1530" s="75">
        <v>42501</v>
      </c>
      <c r="I1530" s="73">
        <v>34729</v>
      </c>
      <c r="J1530" s="73">
        <v>34729</v>
      </c>
      <c r="K1530" s="73">
        <v>27336</v>
      </c>
      <c r="L1530" s="11" t="s">
        <v>4042</v>
      </c>
      <c r="M1530" s="1" t="s">
        <v>34</v>
      </c>
      <c r="N1530" s="112" t="s">
        <v>14</v>
      </c>
      <c r="O1530" s="104" t="s">
        <v>52</v>
      </c>
      <c r="P1530" s="104" t="s">
        <v>52</v>
      </c>
      <c r="Q1530" s="105"/>
      <c r="R1530" s="28" t="s">
        <v>110</v>
      </c>
      <c r="S1530" s="225">
        <f t="shared" si="23"/>
        <v>49583</v>
      </c>
      <c r="T1530" s="2" t="s">
        <v>7637</v>
      </c>
      <c r="U1530" s="7" t="s">
        <v>128</v>
      </c>
      <c r="V1530" s="162" t="str" cm="1">
        <f t="array" ref="V1530">_xlfn.IFS(C1530="","",COUNTIF(C1530,"ตำแหน่งว่าง*"),"ว่าง",COUNTIF(C1530,"&lt;&gt;ตำแหน่งว่าง*"),"คนครอง")</f>
        <v>คนครอง</v>
      </c>
      <c r="W1530" s="6" cm="1">
        <f t="array" ref="W1530">_xlfn.IFS(COUNTIF(F1530,"ผบ.หมู่*"),51,COUNTIF(F1530,"รอง สว.*"),43)</f>
        <v>51</v>
      </c>
      <c r="X1530" s="1" t="s">
        <v>4473</v>
      </c>
      <c r="Y1530" s="1" t="s">
        <v>52</v>
      </c>
    </row>
    <row r="1531" spans="1:25" s="9" customFormat="1" ht="21.3" customHeight="1">
      <c r="A1531" s="27" t="s">
        <v>157</v>
      </c>
      <c r="B1531" s="28" t="s">
        <v>21</v>
      </c>
      <c r="C1531" s="27" t="s">
        <v>4475</v>
      </c>
      <c r="D1531" s="27" t="s">
        <v>9611</v>
      </c>
      <c r="E1531" s="27" t="s">
        <v>9612</v>
      </c>
      <c r="F1531" s="27" t="s">
        <v>4450</v>
      </c>
      <c r="G1531" s="101" t="s">
        <v>4477</v>
      </c>
      <c r="H1531" s="75">
        <v>42501</v>
      </c>
      <c r="I1531" s="73">
        <v>34729</v>
      </c>
      <c r="J1531" s="73">
        <v>34729</v>
      </c>
      <c r="K1531" s="73">
        <v>26735</v>
      </c>
      <c r="L1531" s="11" t="s">
        <v>4042</v>
      </c>
      <c r="M1531" s="1" t="s">
        <v>34</v>
      </c>
      <c r="N1531" s="112" t="s">
        <v>14</v>
      </c>
      <c r="O1531" s="104" t="s">
        <v>52</v>
      </c>
      <c r="P1531" s="104" t="s">
        <v>52</v>
      </c>
      <c r="Q1531" s="105"/>
      <c r="R1531" s="28" t="s">
        <v>110</v>
      </c>
      <c r="S1531" s="225">
        <f t="shared" si="23"/>
        <v>48853</v>
      </c>
      <c r="T1531" s="2" t="s">
        <v>7637</v>
      </c>
      <c r="U1531" s="7" t="s">
        <v>128</v>
      </c>
      <c r="V1531" s="162" t="str" cm="1">
        <f t="array" ref="V1531">_xlfn.IFS(C1531="","",COUNTIF(C1531,"ตำแหน่งว่าง*"),"ว่าง",COUNTIF(C1531,"&lt;&gt;ตำแหน่งว่าง*"),"คนครอง")</f>
        <v>คนครอง</v>
      </c>
      <c r="W1531" s="6" cm="1">
        <f t="array" ref="W1531">_xlfn.IFS(COUNTIF(F1531,"ผบ.หมู่*"),51,COUNTIF(F1531,"รอง สว.*"),43)</f>
        <v>51</v>
      </c>
      <c r="X1531" s="1" t="s">
        <v>4476</v>
      </c>
      <c r="Y1531" s="1" t="s">
        <v>52</v>
      </c>
    </row>
    <row r="1532" spans="1:25" s="9" customFormat="1" ht="21.3" customHeight="1">
      <c r="A1532" s="27" t="s">
        <v>26</v>
      </c>
      <c r="B1532" s="28" t="s">
        <v>12</v>
      </c>
      <c r="C1532" s="27" t="s">
        <v>4478</v>
      </c>
      <c r="D1532" s="27" t="s">
        <v>9613</v>
      </c>
      <c r="E1532" s="27" t="s">
        <v>9614</v>
      </c>
      <c r="F1532" s="27" t="s">
        <v>4468</v>
      </c>
      <c r="G1532" s="101" t="s">
        <v>4480</v>
      </c>
      <c r="H1532" s="91">
        <v>44286</v>
      </c>
      <c r="I1532" s="73">
        <v>44286</v>
      </c>
      <c r="J1532" s="73">
        <v>34731</v>
      </c>
      <c r="K1532" s="73">
        <v>24930</v>
      </c>
      <c r="L1532" s="11" t="s">
        <v>4481</v>
      </c>
      <c r="M1532" s="1" t="s">
        <v>34</v>
      </c>
      <c r="N1532" s="112" t="s">
        <v>14</v>
      </c>
      <c r="O1532" s="104" t="s">
        <v>52</v>
      </c>
      <c r="P1532" s="104" t="s">
        <v>52</v>
      </c>
      <c r="Q1532" s="105"/>
      <c r="R1532" s="28" t="s">
        <v>1313</v>
      </c>
      <c r="S1532" s="225">
        <f t="shared" si="23"/>
        <v>47027</v>
      </c>
      <c r="T1532" s="2" t="s">
        <v>7637</v>
      </c>
      <c r="U1532" s="7" t="s">
        <v>128</v>
      </c>
      <c r="V1532" s="162" t="str" cm="1">
        <f t="array" ref="V1532">_xlfn.IFS(C1532="","",COUNTIF(C1532,"ตำแหน่งว่าง*"),"ว่าง",COUNTIF(C1532,"&lt;&gt;ตำแหน่งว่าง*"),"คนครอง")</f>
        <v>คนครอง</v>
      </c>
      <c r="W1532" s="5" cm="1">
        <f t="array" ref="W1532">_xlfn.IFS(COUNTIF(F1532,"ผบ.หมู่*"),51,COUNTIF(F1532,"รอง สว.*"),43)</f>
        <v>43</v>
      </c>
      <c r="X1532" s="1" t="s">
        <v>4479</v>
      </c>
      <c r="Y1532" s="1" t="s">
        <v>52</v>
      </c>
    </row>
    <row r="1533" spans="1:25" s="10" customFormat="1" ht="21.3" customHeight="1">
      <c r="A1533" s="132" t="s">
        <v>10753</v>
      </c>
      <c r="B1533" s="28" t="s">
        <v>12</v>
      </c>
      <c r="C1533" s="27" t="s">
        <v>4482</v>
      </c>
      <c r="D1533" s="27" t="s">
        <v>8211</v>
      </c>
      <c r="E1533" s="27" t="s">
        <v>9615</v>
      </c>
      <c r="F1533" s="27" t="s">
        <v>4468</v>
      </c>
      <c r="G1533" s="101" t="s">
        <v>4484</v>
      </c>
      <c r="H1533" s="91">
        <v>45382</v>
      </c>
      <c r="I1533" s="73">
        <v>45382</v>
      </c>
      <c r="J1533" s="73">
        <v>34352</v>
      </c>
      <c r="K1533" s="73">
        <v>26146</v>
      </c>
      <c r="L1533" s="11" t="s">
        <v>162</v>
      </c>
      <c r="M1533" s="1" t="s">
        <v>81</v>
      </c>
      <c r="N1533" s="112" t="s">
        <v>14</v>
      </c>
      <c r="O1533" s="104" t="s">
        <v>52</v>
      </c>
      <c r="P1533" s="104" t="s">
        <v>52</v>
      </c>
      <c r="Q1533" s="105"/>
      <c r="R1533" s="33" t="s">
        <v>74</v>
      </c>
      <c r="S1533" s="225">
        <f t="shared" si="23"/>
        <v>48122</v>
      </c>
      <c r="T1533" s="7" t="s">
        <v>7637</v>
      </c>
      <c r="U1533" s="7" t="s">
        <v>128</v>
      </c>
      <c r="V1533" s="162" t="str" cm="1">
        <f t="array" ref="V1533">_xlfn.IFS(C1533="","",COUNTIF(C1533,"ตำแหน่งว่าง*"),"ว่าง",COUNTIF(C1533,"&lt;&gt;ตำแหน่งว่าง*"),"คนครอง")</f>
        <v>คนครอง</v>
      </c>
      <c r="W1533" s="6" cm="1">
        <f t="array" ref="W1533">_xlfn.IFS(COUNTIF(F1533,"ผบ.หมู่*"),51,COUNTIF(F1533,"รอง สว.*"),43)</f>
        <v>43</v>
      </c>
      <c r="X1533" s="1" t="s">
        <v>4483</v>
      </c>
      <c r="Y1533" s="1" t="s">
        <v>52</v>
      </c>
    </row>
    <row r="1534" spans="1:25" s="9" customFormat="1" ht="21.3" customHeight="1">
      <c r="A1534" s="27" t="s">
        <v>26</v>
      </c>
      <c r="B1534" s="28" t="s">
        <v>12</v>
      </c>
      <c r="C1534" s="27" t="s">
        <v>4485</v>
      </c>
      <c r="D1534" s="27" t="s">
        <v>8073</v>
      </c>
      <c r="E1534" s="27" t="s">
        <v>9606</v>
      </c>
      <c r="F1534" s="27" t="s">
        <v>4468</v>
      </c>
      <c r="G1534" s="101" t="s">
        <v>4487</v>
      </c>
      <c r="H1534" s="75">
        <v>44286</v>
      </c>
      <c r="I1534" s="73">
        <v>44286</v>
      </c>
      <c r="J1534" s="73">
        <v>34366</v>
      </c>
      <c r="K1534" s="73">
        <v>24830</v>
      </c>
      <c r="L1534" s="11" t="s">
        <v>4488</v>
      </c>
      <c r="M1534" s="1" t="s">
        <v>34</v>
      </c>
      <c r="N1534" s="112" t="s">
        <v>14</v>
      </c>
      <c r="O1534" s="104" t="s">
        <v>52</v>
      </c>
      <c r="P1534" s="104" t="s">
        <v>52</v>
      </c>
      <c r="Q1534" s="105"/>
      <c r="R1534" s="28" t="s">
        <v>1313</v>
      </c>
      <c r="S1534" s="225">
        <f t="shared" si="23"/>
        <v>47027</v>
      </c>
      <c r="T1534" s="2" t="s">
        <v>7637</v>
      </c>
      <c r="U1534" s="7" t="s">
        <v>128</v>
      </c>
      <c r="V1534" s="162" t="str" cm="1">
        <f t="array" ref="V1534">_xlfn.IFS(C1534="","",COUNTIF(C1534,"ตำแหน่งว่าง*"),"ว่าง",COUNTIF(C1534,"&lt;&gt;ตำแหน่งว่าง*"),"คนครอง")</f>
        <v>คนครอง</v>
      </c>
      <c r="W1534" s="5" cm="1">
        <f t="array" ref="W1534">_xlfn.IFS(COUNTIF(F1534,"ผบ.หมู่*"),51,COUNTIF(F1534,"รอง สว.*"),43)</f>
        <v>43</v>
      </c>
      <c r="X1534" s="1" t="s">
        <v>4486</v>
      </c>
      <c r="Y1534" s="1" t="s">
        <v>52</v>
      </c>
    </row>
    <row r="1535" spans="1:25" s="9" customFormat="1" ht="21.3" customHeight="1">
      <c r="A1535" s="27" t="s">
        <v>60</v>
      </c>
      <c r="B1535" s="28" t="s">
        <v>12</v>
      </c>
      <c r="C1535" s="27" t="s">
        <v>4489</v>
      </c>
      <c r="D1535" s="27" t="s">
        <v>9616</v>
      </c>
      <c r="E1535" s="27" t="s">
        <v>9617</v>
      </c>
      <c r="F1535" s="27" t="s">
        <v>4468</v>
      </c>
      <c r="G1535" s="101" t="s">
        <v>4491</v>
      </c>
      <c r="H1535" s="75">
        <v>42501</v>
      </c>
      <c r="I1535" s="73">
        <v>35462</v>
      </c>
      <c r="J1535" s="73">
        <v>35462</v>
      </c>
      <c r="K1535" s="73">
        <v>26357</v>
      </c>
      <c r="L1535" s="11" t="s">
        <v>4046</v>
      </c>
      <c r="M1535" s="1" t="s">
        <v>34</v>
      </c>
      <c r="N1535" s="112" t="s">
        <v>14</v>
      </c>
      <c r="O1535" s="104" t="s">
        <v>52</v>
      </c>
      <c r="P1535" s="104" t="s">
        <v>52</v>
      </c>
      <c r="Q1535" s="105"/>
      <c r="R1535" s="28" t="s">
        <v>110</v>
      </c>
      <c r="S1535" s="225">
        <f t="shared" si="23"/>
        <v>48488</v>
      </c>
      <c r="T1535" s="2" t="s">
        <v>7637</v>
      </c>
      <c r="U1535" s="7" t="s">
        <v>128</v>
      </c>
      <c r="V1535" s="162" t="str" cm="1">
        <f t="array" ref="V1535">_xlfn.IFS(C1535="","",COUNTIF(C1535,"ตำแหน่งว่าง*"),"ว่าง",COUNTIF(C1535,"&lt;&gt;ตำแหน่งว่าง*"),"คนครอง")</f>
        <v>คนครอง</v>
      </c>
      <c r="W1535" s="6" cm="1">
        <f t="array" ref="W1535">_xlfn.IFS(COUNTIF(F1535,"ผบ.หมู่*"),51,COUNTIF(F1535,"รอง สว.*"),43)</f>
        <v>43</v>
      </c>
      <c r="X1535" s="1" t="s">
        <v>4490</v>
      </c>
      <c r="Y1535" s="1" t="s">
        <v>52</v>
      </c>
    </row>
    <row r="1536" spans="1:25" s="9" customFormat="1" ht="21.3" customHeight="1">
      <c r="A1536" s="27" t="s">
        <v>157</v>
      </c>
      <c r="B1536" s="28" t="s">
        <v>12</v>
      </c>
      <c r="C1536" s="27" t="s">
        <v>10736</v>
      </c>
      <c r="D1536" s="27" t="s">
        <v>10737</v>
      </c>
      <c r="E1536" s="27" t="s">
        <v>10738</v>
      </c>
      <c r="F1536" s="27" t="s">
        <v>4450</v>
      </c>
      <c r="G1536" s="101" t="s">
        <v>4493</v>
      </c>
      <c r="H1536" s="75">
        <v>45768</v>
      </c>
      <c r="I1536" s="73" t="s">
        <v>7609</v>
      </c>
      <c r="J1536" s="73" t="s">
        <v>7609</v>
      </c>
      <c r="K1536" s="73">
        <v>31956</v>
      </c>
      <c r="L1536" s="11" t="s">
        <v>10829</v>
      </c>
      <c r="M1536" s="1" t="s">
        <v>7609</v>
      </c>
      <c r="N1536" s="112" t="s">
        <v>14</v>
      </c>
      <c r="O1536" s="104" t="s">
        <v>52</v>
      </c>
      <c r="P1536" s="104" t="s">
        <v>52</v>
      </c>
      <c r="Q1536" s="105"/>
      <c r="R1536" s="28" t="s">
        <v>10804</v>
      </c>
      <c r="S1536" s="174">
        <f t="shared" si="23"/>
        <v>53966</v>
      </c>
      <c r="T1536" s="2" t="s">
        <v>7637</v>
      </c>
      <c r="U1536" s="2" t="s">
        <v>128</v>
      </c>
      <c r="V1536" s="2" t="str" cm="1">
        <f t="array" ref="V1536">_xlfn.IFS(C1536="","",COUNTIF(C1536,"ตำแหน่งว่าง*"),"ว่าง",COUNTIF(C1536,"&lt;&gt;ตำแหน่งว่าง*"),"คนครอง")</f>
        <v>คนครอง</v>
      </c>
      <c r="W1536" s="1" cm="1">
        <f t="array" ref="W1536">_xlfn.IFS(COUNTIF(F1536,"ผบ.หมู่*"),51,COUNTIF(F1536,"รอง สว.*"),43)</f>
        <v>51</v>
      </c>
      <c r="X1536" s="1" t="s">
        <v>4492</v>
      </c>
      <c r="Y1536" s="1" t="s">
        <v>52</v>
      </c>
    </row>
    <row r="1537" spans="1:25" s="9" customFormat="1" ht="21.3" customHeight="1">
      <c r="A1537" s="27" t="s">
        <v>157</v>
      </c>
      <c r="B1537" s="28" t="s">
        <v>21</v>
      </c>
      <c r="C1537" s="27" t="s">
        <v>4494</v>
      </c>
      <c r="D1537" s="27" t="s">
        <v>8051</v>
      </c>
      <c r="E1537" s="27" t="s">
        <v>9618</v>
      </c>
      <c r="F1537" s="27" t="s">
        <v>4450</v>
      </c>
      <c r="G1537" s="101" t="s">
        <v>4496</v>
      </c>
      <c r="H1537" s="75">
        <v>42501</v>
      </c>
      <c r="I1537" s="73">
        <v>34352</v>
      </c>
      <c r="J1537" s="73">
        <v>34352</v>
      </c>
      <c r="K1537" s="73">
        <v>27327</v>
      </c>
      <c r="L1537" s="11" t="s">
        <v>4497</v>
      </c>
      <c r="M1537" s="1" t="s">
        <v>34</v>
      </c>
      <c r="N1537" s="112" t="s">
        <v>14</v>
      </c>
      <c r="O1537" s="104" t="s">
        <v>52</v>
      </c>
      <c r="P1537" s="104" t="s">
        <v>52</v>
      </c>
      <c r="Q1537" s="105"/>
      <c r="R1537" s="28" t="s">
        <v>110</v>
      </c>
      <c r="S1537" s="225">
        <f t="shared" si="23"/>
        <v>49583</v>
      </c>
      <c r="T1537" s="2" t="s">
        <v>7637</v>
      </c>
      <c r="U1537" s="7" t="s">
        <v>128</v>
      </c>
      <c r="V1537" s="162" t="str" cm="1">
        <f t="array" ref="V1537">_xlfn.IFS(C1537="","",COUNTIF(C1537,"ตำแหน่งว่าง*"),"ว่าง",COUNTIF(C1537,"&lt;&gt;ตำแหน่งว่าง*"),"คนครอง")</f>
        <v>คนครอง</v>
      </c>
      <c r="W1537" s="6" cm="1">
        <f t="array" ref="W1537">_xlfn.IFS(COUNTIF(F1537,"ผบ.หมู่*"),51,COUNTIF(F1537,"รอง สว.*"),43)</f>
        <v>51</v>
      </c>
      <c r="X1537" s="1" t="s">
        <v>4495</v>
      </c>
      <c r="Y1537" s="1" t="s">
        <v>52</v>
      </c>
    </row>
    <row r="1538" spans="1:25" s="9" customFormat="1" ht="21.3" customHeight="1">
      <c r="A1538" s="27"/>
      <c r="B1538" s="28"/>
      <c r="C1538" s="30" t="s">
        <v>18</v>
      </c>
      <c r="D1538" s="27"/>
      <c r="E1538" s="27"/>
      <c r="F1538" s="27" t="s">
        <v>4450</v>
      </c>
      <c r="G1538" s="101" t="s">
        <v>4499</v>
      </c>
      <c r="H1538" s="75"/>
      <c r="I1538" s="73"/>
      <c r="J1538" s="73"/>
      <c r="K1538" s="73"/>
      <c r="L1538" s="11"/>
      <c r="M1538" s="1"/>
      <c r="N1538" s="112" t="s">
        <v>14</v>
      </c>
      <c r="O1538" s="104" t="s">
        <v>52</v>
      </c>
      <c r="P1538" s="104" t="s">
        <v>52</v>
      </c>
      <c r="Q1538" s="105"/>
      <c r="R1538" s="28"/>
      <c r="S1538" s="225" t="str">
        <f t="shared" ref="S1538:S1601" si="24">IF(K1538&lt;&gt;"",DATE(YEAR(K1538)+60+(K1538&gt;=DATE(YEAR(K1538),10,2)),10,1),"")</f>
        <v/>
      </c>
      <c r="T1538" s="2" t="s">
        <v>7637</v>
      </c>
      <c r="U1538" s="7" t="s">
        <v>128</v>
      </c>
      <c r="V1538" s="162" t="str" cm="1">
        <f t="array" ref="V1538">_xlfn.IFS(C1538="","",COUNTIF(C1538,"ตำแหน่งว่าง*"),"ว่าง",COUNTIF(C1538,"&lt;&gt;ตำแหน่งว่าง*"),"คนครอง")</f>
        <v>ว่าง</v>
      </c>
      <c r="W1538" s="5" cm="1">
        <f t="array" ref="W1538">_xlfn.IFS(COUNTIF(F1538,"ผบ.หมู่*"),51,COUNTIF(F1538,"รอง สว.*"),43)</f>
        <v>51</v>
      </c>
      <c r="X1538" s="1" t="s">
        <v>4498</v>
      </c>
      <c r="Y1538" s="1" t="s">
        <v>52</v>
      </c>
    </row>
    <row r="1539" spans="1:25" s="9" customFormat="1" ht="21.3" customHeight="1">
      <c r="A1539" s="27"/>
      <c r="B1539" s="28"/>
      <c r="C1539" s="28" t="s">
        <v>18</v>
      </c>
      <c r="D1539" s="27"/>
      <c r="E1539" s="27"/>
      <c r="F1539" s="27" t="s">
        <v>4450</v>
      </c>
      <c r="G1539" s="101" t="s">
        <v>4501</v>
      </c>
      <c r="H1539" s="91"/>
      <c r="I1539" s="73"/>
      <c r="J1539" s="73"/>
      <c r="K1539" s="73"/>
      <c r="L1539" s="11"/>
      <c r="M1539" s="1"/>
      <c r="N1539" s="112" t="s">
        <v>14</v>
      </c>
      <c r="O1539" s="104" t="s">
        <v>52</v>
      </c>
      <c r="P1539" s="104" t="s">
        <v>52</v>
      </c>
      <c r="Q1539" s="105"/>
      <c r="R1539" s="28"/>
      <c r="S1539" s="225" t="str">
        <f t="shared" si="24"/>
        <v/>
      </c>
      <c r="T1539" s="2" t="s">
        <v>7637</v>
      </c>
      <c r="U1539" s="7" t="s">
        <v>128</v>
      </c>
      <c r="V1539" s="162" t="str" cm="1">
        <f t="array" ref="V1539">_xlfn.IFS(C1539="","",COUNTIF(C1539,"ตำแหน่งว่าง*"),"ว่าง",COUNTIF(C1539,"&lt;&gt;ตำแหน่งว่าง*"),"คนครอง")</f>
        <v>ว่าง</v>
      </c>
      <c r="W1539" s="5" cm="1">
        <f t="array" ref="W1539">_xlfn.IFS(COUNTIF(F1539,"ผบ.หมู่*"),51,COUNTIF(F1539,"รอง สว.*"),43)</f>
        <v>51</v>
      </c>
      <c r="X1539" s="1" t="s">
        <v>4500</v>
      </c>
      <c r="Y1539" s="1" t="s">
        <v>52</v>
      </c>
    </row>
    <row r="1540" spans="1:25" s="9" customFormat="1" ht="21.3" customHeight="1">
      <c r="A1540" s="27" t="s">
        <v>157</v>
      </c>
      <c r="B1540" s="28" t="s">
        <v>12</v>
      </c>
      <c r="C1540" s="27" t="s">
        <v>4502</v>
      </c>
      <c r="D1540" s="27" t="s">
        <v>9619</v>
      </c>
      <c r="E1540" s="27" t="s">
        <v>9620</v>
      </c>
      <c r="F1540" s="27" t="s">
        <v>4450</v>
      </c>
      <c r="G1540" s="101" t="s">
        <v>4504</v>
      </c>
      <c r="H1540" s="75">
        <v>42501</v>
      </c>
      <c r="I1540" s="73">
        <v>35462</v>
      </c>
      <c r="J1540" s="73">
        <v>35462</v>
      </c>
      <c r="K1540" s="73">
        <v>26684</v>
      </c>
      <c r="L1540" s="11" t="s">
        <v>4505</v>
      </c>
      <c r="M1540" s="1" t="s">
        <v>34</v>
      </c>
      <c r="N1540" s="112" t="s">
        <v>14</v>
      </c>
      <c r="O1540" s="104" t="s">
        <v>52</v>
      </c>
      <c r="P1540" s="104" t="s">
        <v>52</v>
      </c>
      <c r="Q1540" s="105"/>
      <c r="R1540" s="28" t="s">
        <v>110</v>
      </c>
      <c r="S1540" s="225">
        <f t="shared" si="24"/>
        <v>48853</v>
      </c>
      <c r="T1540" s="2" t="s">
        <v>7637</v>
      </c>
      <c r="U1540" s="7" t="s">
        <v>128</v>
      </c>
      <c r="V1540" s="162" t="str" cm="1">
        <f t="array" ref="V1540">_xlfn.IFS(C1540="","",COUNTIF(C1540,"ตำแหน่งว่าง*"),"ว่าง",COUNTIF(C1540,"&lt;&gt;ตำแหน่งว่าง*"),"คนครอง")</f>
        <v>คนครอง</v>
      </c>
      <c r="W1540" s="6" cm="1">
        <f t="array" ref="W1540">_xlfn.IFS(COUNTIF(F1540,"ผบ.หมู่*"),51,COUNTIF(F1540,"รอง สว.*"),43)</f>
        <v>51</v>
      </c>
      <c r="X1540" s="1" t="s">
        <v>4503</v>
      </c>
      <c r="Y1540" s="1" t="s">
        <v>52</v>
      </c>
    </row>
    <row r="1541" spans="1:25" s="9" customFormat="1" ht="21.3" customHeight="1">
      <c r="A1541" s="27" t="s">
        <v>157</v>
      </c>
      <c r="B1541" s="28" t="s">
        <v>12</v>
      </c>
      <c r="C1541" s="27" t="s">
        <v>4266</v>
      </c>
      <c r="D1541" s="27" t="s">
        <v>8309</v>
      </c>
      <c r="E1541" s="27" t="s">
        <v>9621</v>
      </c>
      <c r="F1541" s="27" t="s">
        <v>4267</v>
      </c>
      <c r="G1541" s="101" t="s">
        <v>4269</v>
      </c>
      <c r="H1541" s="75">
        <v>42501</v>
      </c>
      <c r="I1541" s="73">
        <v>34352</v>
      </c>
      <c r="J1541" s="73">
        <v>34352</v>
      </c>
      <c r="K1541" s="73">
        <v>26836</v>
      </c>
      <c r="L1541" s="11" t="s">
        <v>4270</v>
      </c>
      <c r="M1541" s="1" t="s">
        <v>101</v>
      </c>
      <c r="N1541" s="112" t="s">
        <v>14</v>
      </c>
      <c r="O1541" s="104" t="s">
        <v>52</v>
      </c>
      <c r="P1541" s="104" t="s">
        <v>52</v>
      </c>
      <c r="Q1541" s="105"/>
      <c r="R1541" s="28" t="s">
        <v>110</v>
      </c>
      <c r="S1541" s="225">
        <f t="shared" si="24"/>
        <v>48853</v>
      </c>
      <c r="T1541" s="2" t="s">
        <v>7633</v>
      </c>
      <c r="U1541" s="7" t="s">
        <v>128</v>
      </c>
      <c r="V1541" s="162" t="str" cm="1">
        <f t="array" ref="V1541">_xlfn.IFS(C1541="","",COUNTIF(C1541,"ตำแหน่งว่าง*"),"ว่าง",COUNTIF(C1541,"&lt;&gt;ตำแหน่งว่าง*"),"คนครอง")</f>
        <v>คนครอง</v>
      </c>
      <c r="W1541" s="6" cm="1">
        <f t="array" ref="W1541">_xlfn.IFS(COUNTIF(F1541,"ผบ.หมู่*"),51,COUNTIF(F1541,"รอง สว.*"),43)</f>
        <v>51</v>
      </c>
      <c r="X1541" s="1" t="s">
        <v>4268</v>
      </c>
      <c r="Y1541" s="1" t="s">
        <v>52</v>
      </c>
    </row>
    <row r="1542" spans="1:25" s="9" customFormat="1" ht="21.3" customHeight="1">
      <c r="A1542" s="27" t="s">
        <v>157</v>
      </c>
      <c r="B1542" s="28" t="s">
        <v>21</v>
      </c>
      <c r="C1542" s="27" t="s">
        <v>4271</v>
      </c>
      <c r="D1542" s="27" t="s">
        <v>9622</v>
      </c>
      <c r="E1542" s="27" t="s">
        <v>9623</v>
      </c>
      <c r="F1542" s="27" t="s">
        <v>4267</v>
      </c>
      <c r="G1542" s="101" t="s">
        <v>4273</v>
      </c>
      <c r="H1542" s="75">
        <v>42501</v>
      </c>
      <c r="I1542" s="73">
        <v>35095</v>
      </c>
      <c r="J1542" s="73">
        <v>35095</v>
      </c>
      <c r="K1542" s="73">
        <v>27033</v>
      </c>
      <c r="L1542" s="11" t="s">
        <v>4042</v>
      </c>
      <c r="M1542" s="1" t="s">
        <v>101</v>
      </c>
      <c r="N1542" s="112" t="s">
        <v>14</v>
      </c>
      <c r="O1542" s="104" t="s">
        <v>52</v>
      </c>
      <c r="P1542" s="104" t="s">
        <v>52</v>
      </c>
      <c r="Q1542" s="105"/>
      <c r="R1542" s="28" t="s">
        <v>110</v>
      </c>
      <c r="S1542" s="225">
        <f t="shared" si="24"/>
        <v>49218</v>
      </c>
      <c r="T1542" s="2" t="s">
        <v>7633</v>
      </c>
      <c r="U1542" s="7" t="s">
        <v>128</v>
      </c>
      <c r="V1542" s="162" t="str" cm="1">
        <f t="array" ref="V1542">_xlfn.IFS(C1542="","",COUNTIF(C1542,"ตำแหน่งว่าง*"),"ว่าง",COUNTIF(C1542,"&lt;&gt;ตำแหน่งว่าง*"),"คนครอง")</f>
        <v>คนครอง</v>
      </c>
      <c r="W1542" s="6" cm="1">
        <f t="array" ref="W1542">_xlfn.IFS(COUNTIF(F1542,"ผบ.หมู่*"),51,COUNTIF(F1542,"รอง สว.*"),43)</f>
        <v>51</v>
      </c>
      <c r="X1542" s="1" t="s">
        <v>4272</v>
      </c>
      <c r="Y1542" s="1" t="s">
        <v>52</v>
      </c>
    </row>
    <row r="1543" spans="1:25" s="9" customFormat="1" ht="21.3" customHeight="1">
      <c r="A1543" s="27" t="s">
        <v>157</v>
      </c>
      <c r="B1543" s="28" t="s">
        <v>12</v>
      </c>
      <c r="C1543" s="27" t="s">
        <v>4274</v>
      </c>
      <c r="D1543" s="27" t="s">
        <v>8059</v>
      </c>
      <c r="E1543" s="27" t="s">
        <v>9624</v>
      </c>
      <c r="F1543" s="27" t="s">
        <v>4267</v>
      </c>
      <c r="G1543" s="101" t="s">
        <v>4276</v>
      </c>
      <c r="H1543" s="75">
        <v>42501</v>
      </c>
      <c r="I1543" s="73">
        <v>37316</v>
      </c>
      <c r="J1543" s="73">
        <v>37316</v>
      </c>
      <c r="K1543" s="73">
        <v>29064</v>
      </c>
      <c r="L1543" s="11" t="s">
        <v>112</v>
      </c>
      <c r="M1543" s="1" t="s">
        <v>101</v>
      </c>
      <c r="N1543" s="112" t="s">
        <v>14</v>
      </c>
      <c r="O1543" s="104" t="s">
        <v>52</v>
      </c>
      <c r="P1543" s="104" t="s">
        <v>52</v>
      </c>
      <c r="Q1543" s="105"/>
      <c r="R1543" s="28" t="s">
        <v>110</v>
      </c>
      <c r="S1543" s="225">
        <f t="shared" si="24"/>
        <v>51044</v>
      </c>
      <c r="T1543" s="2" t="s">
        <v>7633</v>
      </c>
      <c r="U1543" s="7" t="s">
        <v>128</v>
      </c>
      <c r="V1543" s="162" t="str" cm="1">
        <f t="array" ref="V1543">_xlfn.IFS(C1543="","",COUNTIF(C1543,"ตำแหน่งว่าง*"),"ว่าง",COUNTIF(C1543,"&lt;&gt;ตำแหน่งว่าง*"),"คนครอง")</f>
        <v>คนครอง</v>
      </c>
      <c r="W1543" s="6" cm="1">
        <f t="array" ref="W1543">_xlfn.IFS(COUNTIF(F1543,"ผบ.หมู่*"),51,COUNTIF(F1543,"รอง สว.*"),43)</f>
        <v>51</v>
      </c>
      <c r="X1543" s="1" t="s">
        <v>4275</v>
      </c>
      <c r="Y1543" s="1" t="s">
        <v>52</v>
      </c>
    </row>
    <row r="1544" spans="1:25" s="9" customFormat="1" ht="21.3" customHeight="1">
      <c r="A1544" s="27" t="s">
        <v>157</v>
      </c>
      <c r="B1544" s="28" t="s">
        <v>12</v>
      </c>
      <c r="C1544" s="27" t="s">
        <v>4277</v>
      </c>
      <c r="D1544" s="27" t="s">
        <v>9625</v>
      </c>
      <c r="E1544" s="27" t="s">
        <v>9626</v>
      </c>
      <c r="F1544" s="27" t="s">
        <v>4267</v>
      </c>
      <c r="G1544" s="101" t="s">
        <v>4279</v>
      </c>
      <c r="H1544" s="75">
        <v>42501</v>
      </c>
      <c r="I1544" s="73">
        <v>35096</v>
      </c>
      <c r="J1544" s="73">
        <v>35096</v>
      </c>
      <c r="K1544" s="73">
        <v>27473</v>
      </c>
      <c r="L1544" s="11" t="s">
        <v>4280</v>
      </c>
      <c r="M1544" s="1" t="s">
        <v>101</v>
      </c>
      <c r="N1544" s="112" t="s">
        <v>14</v>
      </c>
      <c r="O1544" s="104" t="s">
        <v>52</v>
      </c>
      <c r="P1544" s="104" t="s">
        <v>52</v>
      </c>
      <c r="Q1544" s="105"/>
      <c r="R1544" s="28" t="s">
        <v>110</v>
      </c>
      <c r="S1544" s="225">
        <f t="shared" si="24"/>
        <v>49583</v>
      </c>
      <c r="T1544" s="2" t="s">
        <v>7633</v>
      </c>
      <c r="U1544" s="7" t="s">
        <v>128</v>
      </c>
      <c r="V1544" s="162" t="str" cm="1">
        <f t="array" ref="V1544">_xlfn.IFS(C1544="","",COUNTIF(C1544,"ตำแหน่งว่าง*"),"ว่าง",COUNTIF(C1544,"&lt;&gt;ตำแหน่งว่าง*"),"คนครอง")</f>
        <v>คนครอง</v>
      </c>
      <c r="W1544" s="6" cm="1">
        <f t="array" ref="W1544">_xlfn.IFS(COUNTIF(F1544,"ผบ.หมู่*"),51,COUNTIF(F1544,"รอง สว.*"),43)</f>
        <v>51</v>
      </c>
      <c r="X1544" s="1" t="s">
        <v>4278</v>
      </c>
      <c r="Y1544" s="1" t="s">
        <v>52</v>
      </c>
    </row>
    <row r="1545" spans="1:25" s="9" customFormat="1" ht="21.3" customHeight="1">
      <c r="A1545" s="27" t="s">
        <v>30</v>
      </c>
      <c r="B1545" s="28" t="s">
        <v>21</v>
      </c>
      <c r="C1545" s="27" t="s">
        <v>4281</v>
      </c>
      <c r="D1545" s="27" t="s">
        <v>8110</v>
      </c>
      <c r="E1545" s="27" t="s">
        <v>9627</v>
      </c>
      <c r="F1545" s="27" t="s">
        <v>4282</v>
      </c>
      <c r="G1545" s="101" t="s">
        <v>4284</v>
      </c>
      <c r="H1545" s="75">
        <v>43555</v>
      </c>
      <c r="I1545" s="73">
        <v>43555</v>
      </c>
      <c r="J1545" s="73">
        <v>35095</v>
      </c>
      <c r="K1545" s="73">
        <v>24241</v>
      </c>
      <c r="L1545" s="11" t="s">
        <v>112</v>
      </c>
      <c r="M1545" s="1" t="s">
        <v>101</v>
      </c>
      <c r="N1545" s="112" t="s">
        <v>14</v>
      </c>
      <c r="O1545" s="104" t="s">
        <v>52</v>
      </c>
      <c r="P1545" s="104" t="s">
        <v>52</v>
      </c>
      <c r="Q1545" s="105"/>
      <c r="R1545" s="28" t="s">
        <v>2892</v>
      </c>
      <c r="S1545" s="225">
        <f t="shared" si="24"/>
        <v>46296</v>
      </c>
      <c r="T1545" s="2" t="s">
        <v>7633</v>
      </c>
      <c r="U1545" s="7" t="s">
        <v>128</v>
      </c>
      <c r="V1545" s="162" t="str" cm="1">
        <f t="array" ref="V1545">_xlfn.IFS(C1545="","",COUNTIF(C1545,"ตำแหน่งว่าง*"),"ว่าง",COUNTIF(C1545,"&lt;&gt;ตำแหน่งว่าง*"),"คนครอง")</f>
        <v>คนครอง</v>
      </c>
      <c r="W1545" s="5" cm="1">
        <f t="array" ref="W1545">_xlfn.IFS(COUNTIF(F1545,"ผบ.หมู่*"),51,COUNTIF(F1545,"รอง สว.*"),43)</f>
        <v>43</v>
      </c>
      <c r="X1545" s="1" t="s">
        <v>4283</v>
      </c>
      <c r="Y1545" s="1" t="s">
        <v>52</v>
      </c>
    </row>
    <row r="1546" spans="1:25" s="9" customFormat="1" ht="21.3" customHeight="1">
      <c r="A1546" s="27" t="s">
        <v>26</v>
      </c>
      <c r="B1546" s="28" t="s">
        <v>12</v>
      </c>
      <c r="C1546" s="27" t="s">
        <v>4285</v>
      </c>
      <c r="D1546" s="27" t="s">
        <v>8424</v>
      </c>
      <c r="E1546" s="27" t="s">
        <v>9628</v>
      </c>
      <c r="F1546" s="27" t="s">
        <v>4282</v>
      </c>
      <c r="G1546" s="101" t="s">
        <v>4287</v>
      </c>
      <c r="H1546" s="75">
        <v>43921</v>
      </c>
      <c r="I1546" s="73">
        <v>43921</v>
      </c>
      <c r="J1546" s="73">
        <v>34352</v>
      </c>
      <c r="K1546" s="73">
        <v>24512</v>
      </c>
      <c r="L1546" s="11" t="s">
        <v>112</v>
      </c>
      <c r="M1546" s="1" t="s">
        <v>101</v>
      </c>
      <c r="N1546" s="112" t="s">
        <v>14</v>
      </c>
      <c r="O1546" s="104" t="s">
        <v>52</v>
      </c>
      <c r="P1546" s="104" t="s">
        <v>52</v>
      </c>
      <c r="Q1546" s="105"/>
      <c r="R1546" s="28" t="s">
        <v>2700</v>
      </c>
      <c r="S1546" s="225">
        <f t="shared" si="24"/>
        <v>46661</v>
      </c>
      <c r="T1546" s="2" t="s">
        <v>7633</v>
      </c>
      <c r="U1546" s="7" t="s">
        <v>128</v>
      </c>
      <c r="V1546" s="162" t="str" cm="1">
        <f t="array" ref="V1546">_xlfn.IFS(C1546="","",COUNTIF(C1546,"ตำแหน่งว่าง*"),"ว่าง",COUNTIF(C1546,"&lt;&gt;ตำแหน่งว่าง*"),"คนครอง")</f>
        <v>คนครอง</v>
      </c>
      <c r="W1546" s="5" cm="1">
        <f t="array" ref="W1546">_xlfn.IFS(COUNTIF(F1546,"ผบ.หมู่*"),51,COUNTIF(F1546,"รอง สว.*"),43)</f>
        <v>43</v>
      </c>
      <c r="X1546" s="1" t="s">
        <v>4286</v>
      </c>
      <c r="Y1546" s="1" t="s">
        <v>52</v>
      </c>
    </row>
    <row r="1547" spans="1:25" s="9" customFormat="1" ht="21.3" customHeight="1">
      <c r="A1547" s="27" t="s">
        <v>30</v>
      </c>
      <c r="B1547" s="28" t="s">
        <v>12</v>
      </c>
      <c r="C1547" s="27" t="s">
        <v>4288</v>
      </c>
      <c r="D1547" s="27" t="s">
        <v>8309</v>
      </c>
      <c r="E1547" s="27" t="s">
        <v>9629</v>
      </c>
      <c r="F1547" s="27" t="s">
        <v>4282</v>
      </c>
      <c r="G1547" s="101" t="s">
        <v>4290</v>
      </c>
      <c r="H1547" s="75">
        <v>43921</v>
      </c>
      <c r="I1547" s="73">
        <v>43921</v>
      </c>
      <c r="J1547" s="73">
        <v>34352</v>
      </c>
      <c r="K1547" s="73">
        <v>24112</v>
      </c>
      <c r="L1547" s="11" t="s">
        <v>112</v>
      </c>
      <c r="M1547" s="1" t="s">
        <v>101</v>
      </c>
      <c r="N1547" s="112" t="s">
        <v>14</v>
      </c>
      <c r="O1547" s="104" t="s">
        <v>52</v>
      </c>
      <c r="P1547" s="104" t="s">
        <v>52</v>
      </c>
      <c r="Q1547" s="105"/>
      <c r="R1547" s="28" t="s">
        <v>2700</v>
      </c>
      <c r="S1547" s="225">
        <f t="shared" si="24"/>
        <v>46296</v>
      </c>
      <c r="T1547" s="2" t="s">
        <v>7633</v>
      </c>
      <c r="U1547" s="7" t="s">
        <v>128</v>
      </c>
      <c r="V1547" s="162" t="str" cm="1">
        <f t="array" ref="V1547">_xlfn.IFS(C1547="","",COUNTIF(C1547,"ตำแหน่งว่าง*"),"ว่าง",COUNTIF(C1547,"&lt;&gt;ตำแหน่งว่าง*"),"คนครอง")</f>
        <v>คนครอง</v>
      </c>
      <c r="W1547" s="5" cm="1">
        <f t="array" ref="W1547">_xlfn.IFS(COUNTIF(F1547,"ผบ.หมู่*"),51,COUNTIF(F1547,"รอง สว.*"),43)</f>
        <v>43</v>
      </c>
      <c r="X1547" s="1" t="s">
        <v>4289</v>
      </c>
      <c r="Y1547" s="1" t="s">
        <v>52</v>
      </c>
    </row>
    <row r="1548" spans="1:25" s="9" customFormat="1" ht="21.3" customHeight="1">
      <c r="A1548" s="27" t="s">
        <v>10753</v>
      </c>
      <c r="B1548" s="28" t="s">
        <v>12</v>
      </c>
      <c r="C1548" s="27" t="s">
        <v>4291</v>
      </c>
      <c r="D1548" s="27" t="s">
        <v>9630</v>
      </c>
      <c r="E1548" s="27" t="s">
        <v>9631</v>
      </c>
      <c r="F1548" s="27" t="s">
        <v>4282</v>
      </c>
      <c r="G1548" s="101" t="s">
        <v>4293</v>
      </c>
      <c r="H1548" s="75">
        <v>45016</v>
      </c>
      <c r="I1548" s="73">
        <v>45016</v>
      </c>
      <c r="J1548" s="73">
        <v>34366</v>
      </c>
      <c r="K1548" s="73">
        <v>25692</v>
      </c>
      <c r="L1548" s="11" t="s">
        <v>4294</v>
      </c>
      <c r="M1548" s="1" t="s">
        <v>101</v>
      </c>
      <c r="N1548" s="112" t="s">
        <v>14</v>
      </c>
      <c r="O1548" s="104" t="s">
        <v>52</v>
      </c>
      <c r="P1548" s="104" t="s">
        <v>52</v>
      </c>
      <c r="Q1548" s="105"/>
      <c r="R1548" s="28" t="s">
        <v>483</v>
      </c>
      <c r="S1548" s="225">
        <f t="shared" si="24"/>
        <v>47757</v>
      </c>
      <c r="T1548" s="2" t="s">
        <v>7633</v>
      </c>
      <c r="U1548" s="7" t="s">
        <v>128</v>
      </c>
      <c r="V1548" s="162" t="str" cm="1">
        <f t="array" ref="V1548">_xlfn.IFS(C1548="","",COUNTIF(C1548,"ตำแหน่งว่าง*"),"ว่าง",COUNTIF(C1548,"&lt;&gt;ตำแหน่งว่าง*"),"คนครอง")</f>
        <v>คนครอง</v>
      </c>
      <c r="W1548" s="5" cm="1">
        <f t="array" ref="W1548">_xlfn.IFS(COUNTIF(F1548,"ผบ.หมู่*"),51,COUNTIF(F1548,"รอง สว.*"),43)</f>
        <v>43</v>
      </c>
      <c r="X1548" s="1" t="s">
        <v>4292</v>
      </c>
      <c r="Y1548" s="1" t="s">
        <v>52</v>
      </c>
    </row>
    <row r="1549" spans="1:25" s="9" customFormat="1" ht="21.3" customHeight="1">
      <c r="A1549" s="27" t="s">
        <v>157</v>
      </c>
      <c r="B1549" s="28" t="s">
        <v>21</v>
      </c>
      <c r="C1549" s="27" t="s">
        <v>4295</v>
      </c>
      <c r="D1549" s="27" t="s">
        <v>9632</v>
      </c>
      <c r="E1549" s="27" t="s">
        <v>9633</v>
      </c>
      <c r="F1549" s="27" t="s">
        <v>4267</v>
      </c>
      <c r="G1549" s="101" t="s">
        <v>4297</v>
      </c>
      <c r="H1549" s="75">
        <v>42940</v>
      </c>
      <c r="I1549" s="73">
        <v>35095</v>
      </c>
      <c r="J1549" s="73">
        <v>35095</v>
      </c>
      <c r="K1549" s="73">
        <v>27132</v>
      </c>
      <c r="L1549" s="11" t="s">
        <v>68</v>
      </c>
      <c r="M1549" s="1" t="s">
        <v>101</v>
      </c>
      <c r="N1549" s="112" t="s">
        <v>14</v>
      </c>
      <c r="O1549" s="104" t="s">
        <v>52</v>
      </c>
      <c r="P1549" s="104" t="s">
        <v>52</v>
      </c>
      <c r="Q1549" s="105"/>
      <c r="R1549" s="28" t="s">
        <v>4298</v>
      </c>
      <c r="S1549" s="225">
        <f t="shared" si="24"/>
        <v>49218</v>
      </c>
      <c r="T1549" s="2" t="s">
        <v>7633</v>
      </c>
      <c r="U1549" s="7" t="s">
        <v>128</v>
      </c>
      <c r="V1549" s="162" t="str" cm="1">
        <f t="array" ref="V1549">_xlfn.IFS(C1549="","",COUNTIF(C1549,"ตำแหน่งว่าง*"),"ว่าง",COUNTIF(C1549,"&lt;&gt;ตำแหน่งว่าง*"),"คนครอง")</f>
        <v>คนครอง</v>
      </c>
      <c r="W1549" s="6" cm="1">
        <f t="array" ref="W1549">_xlfn.IFS(COUNTIF(F1549,"ผบ.หมู่*"),51,COUNTIF(F1549,"รอง สว.*"),43)</f>
        <v>51</v>
      </c>
      <c r="X1549" s="1" t="s">
        <v>4296</v>
      </c>
      <c r="Y1549" s="1" t="s">
        <v>52</v>
      </c>
    </row>
    <row r="1550" spans="1:25" s="10" customFormat="1" ht="21.3" customHeight="1">
      <c r="A1550" s="27"/>
      <c r="B1550" s="30"/>
      <c r="C1550" s="30" t="s">
        <v>18</v>
      </c>
      <c r="D1550" s="27"/>
      <c r="E1550" s="27"/>
      <c r="F1550" s="68" t="s">
        <v>4267</v>
      </c>
      <c r="G1550" s="121" t="s">
        <v>4300</v>
      </c>
      <c r="H1550" s="91" t="s">
        <v>19</v>
      </c>
      <c r="I1550" s="73" t="s">
        <v>19</v>
      </c>
      <c r="J1550" s="73" t="s">
        <v>19</v>
      </c>
      <c r="K1550" s="73" t="s">
        <v>19</v>
      </c>
      <c r="L1550" s="11"/>
      <c r="M1550" s="1"/>
      <c r="N1550" s="113" t="s">
        <v>14</v>
      </c>
      <c r="O1550" s="122" t="s">
        <v>52</v>
      </c>
      <c r="P1550" s="122" t="s">
        <v>52</v>
      </c>
      <c r="Q1550" s="106"/>
      <c r="R1550" s="30"/>
      <c r="S1550" s="225" t="str">
        <f t="shared" si="24"/>
        <v/>
      </c>
      <c r="T1550" s="7" t="s">
        <v>7633</v>
      </c>
      <c r="U1550" s="7" t="s">
        <v>128</v>
      </c>
      <c r="V1550" s="171" t="str" cm="1">
        <f t="array" ref="V1550">_xlfn.IFS(C1550="","",COUNTIF(C1550,"ตำแหน่งว่าง*"),"ว่าง",COUNTIF(C1550,"&lt;&gt;ตำแหน่งว่าง*"),"คนครอง")</f>
        <v>ว่าง</v>
      </c>
      <c r="W1550" s="6" cm="1">
        <f t="array" ref="W1550">_xlfn.IFS(COUNTIF(F1550,"ผบ.หมู่*"),51,COUNTIF(F1550,"รอง สว.*"),43)</f>
        <v>51</v>
      </c>
      <c r="X1550" s="6" t="s">
        <v>4299</v>
      </c>
      <c r="Y1550" s="6" t="s">
        <v>52</v>
      </c>
    </row>
    <row r="1551" spans="1:25" s="9" customFormat="1" ht="21.3" customHeight="1">
      <c r="A1551" s="27" t="s">
        <v>157</v>
      </c>
      <c r="B1551" s="28" t="s">
        <v>12</v>
      </c>
      <c r="C1551" s="27" t="s">
        <v>4301</v>
      </c>
      <c r="D1551" s="27" t="s">
        <v>8355</v>
      </c>
      <c r="E1551" s="27" t="s">
        <v>9634</v>
      </c>
      <c r="F1551" s="27" t="s">
        <v>4267</v>
      </c>
      <c r="G1551" s="101" t="s">
        <v>4303</v>
      </c>
      <c r="H1551" s="75">
        <v>42501</v>
      </c>
      <c r="I1551" s="73">
        <v>35825</v>
      </c>
      <c r="J1551" s="73">
        <v>35825</v>
      </c>
      <c r="K1551" s="73">
        <v>27094</v>
      </c>
      <c r="L1551" s="11" t="s">
        <v>112</v>
      </c>
      <c r="M1551" s="1" t="s">
        <v>101</v>
      </c>
      <c r="N1551" s="112" t="s">
        <v>14</v>
      </c>
      <c r="O1551" s="104" t="s">
        <v>52</v>
      </c>
      <c r="P1551" s="104" t="s">
        <v>52</v>
      </c>
      <c r="Q1551" s="105"/>
      <c r="R1551" s="28" t="s">
        <v>110</v>
      </c>
      <c r="S1551" s="225">
        <f t="shared" si="24"/>
        <v>49218</v>
      </c>
      <c r="T1551" s="2" t="s">
        <v>7633</v>
      </c>
      <c r="U1551" s="7" t="s">
        <v>128</v>
      </c>
      <c r="V1551" s="162" t="str" cm="1">
        <f t="array" ref="V1551">_xlfn.IFS(C1551="","",COUNTIF(C1551,"ตำแหน่งว่าง*"),"ว่าง",COUNTIF(C1551,"&lt;&gt;ตำแหน่งว่าง*"),"คนครอง")</f>
        <v>คนครอง</v>
      </c>
      <c r="W1551" s="6" cm="1">
        <f t="array" ref="W1551">_xlfn.IFS(COUNTIF(F1551,"ผบ.หมู่*"),51,COUNTIF(F1551,"รอง สว.*"),43)</f>
        <v>51</v>
      </c>
      <c r="X1551" s="1" t="s">
        <v>4302</v>
      </c>
      <c r="Y1551" s="1" t="s">
        <v>52</v>
      </c>
    </row>
    <row r="1552" spans="1:25" s="9" customFormat="1" ht="21.3" customHeight="1">
      <c r="A1552" s="27" t="s">
        <v>157</v>
      </c>
      <c r="B1552" s="28" t="s">
        <v>21</v>
      </c>
      <c r="C1552" s="27" t="s">
        <v>4304</v>
      </c>
      <c r="D1552" s="27" t="s">
        <v>9501</v>
      </c>
      <c r="E1552" s="27" t="s">
        <v>9635</v>
      </c>
      <c r="F1552" s="27" t="s">
        <v>4267</v>
      </c>
      <c r="G1552" s="101" t="s">
        <v>4306</v>
      </c>
      <c r="H1552" s="75">
        <v>42501</v>
      </c>
      <c r="I1552" s="73">
        <v>35095</v>
      </c>
      <c r="J1552" s="73">
        <v>35095</v>
      </c>
      <c r="K1552" s="73">
        <v>26649</v>
      </c>
      <c r="L1552" s="11" t="s">
        <v>112</v>
      </c>
      <c r="M1552" s="1" t="s">
        <v>101</v>
      </c>
      <c r="N1552" s="112" t="s">
        <v>14</v>
      </c>
      <c r="O1552" s="104" t="s">
        <v>52</v>
      </c>
      <c r="P1552" s="104" t="s">
        <v>52</v>
      </c>
      <c r="Q1552" s="105"/>
      <c r="R1552" s="28" t="s">
        <v>110</v>
      </c>
      <c r="S1552" s="225">
        <f t="shared" si="24"/>
        <v>48853</v>
      </c>
      <c r="T1552" s="2" t="s">
        <v>7633</v>
      </c>
      <c r="U1552" s="7" t="s">
        <v>128</v>
      </c>
      <c r="V1552" s="162" t="str" cm="1">
        <f t="array" ref="V1552">_xlfn.IFS(C1552="","",COUNTIF(C1552,"ตำแหน่งว่าง*"),"ว่าง",COUNTIF(C1552,"&lt;&gt;ตำแหน่งว่าง*"),"คนครอง")</f>
        <v>คนครอง</v>
      </c>
      <c r="W1552" s="6" cm="1">
        <f t="array" ref="W1552">_xlfn.IFS(COUNTIF(F1552,"ผบ.หมู่*"),51,COUNTIF(F1552,"รอง สว.*"),43)</f>
        <v>51</v>
      </c>
      <c r="X1552" s="1" t="s">
        <v>4305</v>
      </c>
      <c r="Y1552" s="1" t="s">
        <v>52</v>
      </c>
    </row>
    <row r="1553" spans="1:25" s="9" customFormat="1" ht="21.3" customHeight="1">
      <c r="A1553" s="27" t="s">
        <v>157</v>
      </c>
      <c r="B1553" s="28" t="s">
        <v>21</v>
      </c>
      <c r="C1553" s="27" t="s">
        <v>4307</v>
      </c>
      <c r="D1553" s="27" t="s">
        <v>8009</v>
      </c>
      <c r="E1553" s="27" t="s">
        <v>9636</v>
      </c>
      <c r="F1553" s="27" t="s">
        <v>4267</v>
      </c>
      <c r="G1553" s="101" t="s">
        <v>4309</v>
      </c>
      <c r="H1553" s="75">
        <v>42501</v>
      </c>
      <c r="I1553" s="73">
        <v>34352</v>
      </c>
      <c r="J1553" s="73">
        <v>34352</v>
      </c>
      <c r="K1553" s="73">
        <v>26956</v>
      </c>
      <c r="L1553" s="11" t="s">
        <v>4310</v>
      </c>
      <c r="M1553" s="1" t="s">
        <v>101</v>
      </c>
      <c r="N1553" s="112" t="s">
        <v>14</v>
      </c>
      <c r="O1553" s="104" t="s">
        <v>52</v>
      </c>
      <c r="P1553" s="104" t="s">
        <v>52</v>
      </c>
      <c r="Q1553" s="105"/>
      <c r="R1553" s="28" t="s">
        <v>110</v>
      </c>
      <c r="S1553" s="225">
        <f t="shared" si="24"/>
        <v>49218</v>
      </c>
      <c r="T1553" s="2" t="s">
        <v>7633</v>
      </c>
      <c r="U1553" s="7" t="s">
        <v>128</v>
      </c>
      <c r="V1553" s="162" t="str" cm="1">
        <f t="array" ref="V1553">_xlfn.IFS(C1553="","",COUNTIF(C1553,"ตำแหน่งว่าง*"),"ว่าง",COUNTIF(C1553,"&lt;&gt;ตำแหน่งว่าง*"),"คนครอง")</f>
        <v>คนครอง</v>
      </c>
      <c r="W1553" s="6" cm="1">
        <f t="array" ref="W1553">_xlfn.IFS(COUNTIF(F1553,"ผบ.หมู่*"),51,COUNTIF(F1553,"รอง สว.*"),43)</f>
        <v>51</v>
      </c>
      <c r="X1553" s="1" t="s">
        <v>4308</v>
      </c>
      <c r="Y1553" s="1" t="s">
        <v>52</v>
      </c>
    </row>
    <row r="1554" spans="1:25" s="9" customFormat="1" ht="21.3" customHeight="1">
      <c r="A1554" s="27" t="s">
        <v>157</v>
      </c>
      <c r="B1554" s="28" t="s">
        <v>21</v>
      </c>
      <c r="C1554" s="27" t="s">
        <v>4311</v>
      </c>
      <c r="D1554" s="27" t="s">
        <v>9637</v>
      </c>
      <c r="E1554" s="27" t="s">
        <v>9638</v>
      </c>
      <c r="F1554" s="27" t="s">
        <v>4267</v>
      </c>
      <c r="G1554" s="101" t="s">
        <v>4313</v>
      </c>
      <c r="H1554" s="75">
        <v>42501</v>
      </c>
      <c r="I1554" s="73">
        <v>34729</v>
      </c>
      <c r="J1554" s="73">
        <v>34729</v>
      </c>
      <c r="K1554" s="73">
        <v>27368</v>
      </c>
      <c r="L1554" s="11" t="s">
        <v>162</v>
      </c>
      <c r="M1554" s="1" t="s">
        <v>101</v>
      </c>
      <c r="N1554" s="112" t="s">
        <v>14</v>
      </c>
      <c r="O1554" s="104" t="s">
        <v>52</v>
      </c>
      <c r="P1554" s="104" t="s">
        <v>52</v>
      </c>
      <c r="Q1554" s="105"/>
      <c r="R1554" s="28" t="s">
        <v>110</v>
      </c>
      <c r="S1554" s="225">
        <f t="shared" si="24"/>
        <v>49583</v>
      </c>
      <c r="T1554" s="2" t="s">
        <v>7633</v>
      </c>
      <c r="U1554" s="7" t="s">
        <v>128</v>
      </c>
      <c r="V1554" s="162" t="str" cm="1">
        <f t="array" ref="V1554">_xlfn.IFS(C1554="","",COUNTIF(C1554,"ตำแหน่งว่าง*"),"ว่าง",COUNTIF(C1554,"&lt;&gt;ตำแหน่งว่าง*"),"คนครอง")</f>
        <v>คนครอง</v>
      </c>
      <c r="W1554" s="6" cm="1">
        <f t="array" ref="W1554">_xlfn.IFS(COUNTIF(F1554,"ผบ.หมู่*"),51,COUNTIF(F1554,"รอง สว.*"),43)</f>
        <v>51</v>
      </c>
      <c r="X1554" s="1" t="s">
        <v>4312</v>
      </c>
      <c r="Y1554" s="1" t="s">
        <v>52</v>
      </c>
    </row>
    <row r="1555" spans="1:25" s="10" customFormat="1" ht="21.3" customHeight="1">
      <c r="A1555" s="27" t="s">
        <v>157</v>
      </c>
      <c r="B1555" s="28" t="s">
        <v>12</v>
      </c>
      <c r="C1555" s="27" t="s">
        <v>4371</v>
      </c>
      <c r="D1555" s="27" t="s">
        <v>8330</v>
      </c>
      <c r="E1555" s="27" t="s">
        <v>9639</v>
      </c>
      <c r="F1555" s="27" t="s">
        <v>4372</v>
      </c>
      <c r="G1555" s="101" t="s">
        <v>4374</v>
      </c>
      <c r="H1555" s="75">
        <v>44999</v>
      </c>
      <c r="I1555" s="82">
        <v>38018</v>
      </c>
      <c r="J1555" s="82">
        <v>38018</v>
      </c>
      <c r="K1555" s="82">
        <v>28242</v>
      </c>
      <c r="L1555" s="58" t="s">
        <v>7826</v>
      </c>
      <c r="M1555" s="56" t="s">
        <v>71</v>
      </c>
      <c r="N1555" s="112" t="s">
        <v>14</v>
      </c>
      <c r="O1555" s="104" t="s">
        <v>52</v>
      </c>
      <c r="P1555" s="104" t="s">
        <v>52</v>
      </c>
      <c r="Q1555" s="105"/>
      <c r="R1555" s="28" t="s">
        <v>74</v>
      </c>
      <c r="S1555" s="225">
        <f t="shared" si="24"/>
        <v>50314</v>
      </c>
      <c r="T1555" s="7" t="s">
        <v>7635</v>
      </c>
      <c r="U1555" s="7" t="s">
        <v>128</v>
      </c>
      <c r="V1555" s="162" t="str" cm="1">
        <f t="array" ref="V1555">_xlfn.IFS(C1555="","",COUNTIF(C1555,"ตำแหน่งว่าง*"),"ว่าง",COUNTIF(C1555,"&lt;&gt;ตำแหน่งว่าง*"),"คนครอง")</f>
        <v>คนครอง</v>
      </c>
      <c r="W1555" s="6" cm="1">
        <f t="array" ref="W1555">_xlfn.IFS(COUNTIF(F1555,"ผบ.หมู่*"),51,COUNTIF(F1555,"รอง สว.*"),43)</f>
        <v>51</v>
      </c>
      <c r="X1555" s="28" t="s">
        <v>4373</v>
      </c>
      <c r="Y1555" s="28" t="s">
        <v>52</v>
      </c>
    </row>
    <row r="1556" spans="1:25" s="9" customFormat="1" ht="21.3" customHeight="1">
      <c r="A1556" s="68"/>
      <c r="B1556" s="30"/>
      <c r="C1556" s="30" t="s">
        <v>18</v>
      </c>
      <c r="D1556" s="27"/>
      <c r="E1556" s="27"/>
      <c r="F1556" s="68" t="s">
        <v>4372</v>
      </c>
      <c r="G1556" s="121" t="s">
        <v>4376</v>
      </c>
      <c r="H1556" s="93" t="s">
        <v>19</v>
      </c>
      <c r="I1556" s="74" t="s">
        <v>19</v>
      </c>
      <c r="J1556" s="74" t="s">
        <v>19</v>
      </c>
      <c r="K1556" s="74" t="s">
        <v>19</v>
      </c>
      <c r="L1556" s="16"/>
      <c r="M1556" s="6"/>
      <c r="N1556" s="113" t="s">
        <v>14</v>
      </c>
      <c r="O1556" s="122" t="s">
        <v>52</v>
      </c>
      <c r="P1556" s="122" t="s">
        <v>52</v>
      </c>
      <c r="Q1556" s="106"/>
      <c r="R1556" s="30"/>
      <c r="S1556" s="225" t="str">
        <f t="shared" si="24"/>
        <v/>
      </c>
      <c r="T1556" s="2" t="s">
        <v>7635</v>
      </c>
      <c r="U1556" s="7" t="s">
        <v>128</v>
      </c>
      <c r="V1556" s="171" t="str" cm="1">
        <f t="array" ref="V1556">_xlfn.IFS(C1556="","",COUNTIF(C1556,"ตำแหน่งว่าง*"),"ว่าง",COUNTIF(C1556,"&lt;&gt;ตำแหน่งว่าง*"),"คนครอง")</f>
        <v>ว่าง</v>
      </c>
      <c r="W1556" s="6" cm="1">
        <f t="array" ref="W1556">_xlfn.IFS(COUNTIF(F1556,"ผบ.หมู่*"),51,COUNTIF(F1556,"รอง สว.*"),43)</f>
        <v>51</v>
      </c>
      <c r="X1556" s="6" t="s">
        <v>4375</v>
      </c>
      <c r="Y1556" s="6" t="s">
        <v>52</v>
      </c>
    </row>
    <row r="1557" spans="1:25" s="9" customFormat="1" ht="21.3" customHeight="1">
      <c r="A1557" s="132" t="s">
        <v>10753</v>
      </c>
      <c r="B1557" s="28" t="s">
        <v>12</v>
      </c>
      <c r="C1557" s="27" t="s">
        <v>4377</v>
      </c>
      <c r="D1557" s="27" t="s">
        <v>9640</v>
      </c>
      <c r="E1557" s="27" t="s">
        <v>9641</v>
      </c>
      <c r="F1557" s="27" t="s">
        <v>4382</v>
      </c>
      <c r="G1557" s="101" t="s">
        <v>4379</v>
      </c>
      <c r="H1557" s="91">
        <v>45382</v>
      </c>
      <c r="I1557" s="73">
        <v>45382</v>
      </c>
      <c r="J1557" s="73">
        <v>34366</v>
      </c>
      <c r="K1557" s="73">
        <v>26052</v>
      </c>
      <c r="L1557" s="11" t="s">
        <v>4380</v>
      </c>
      <c r="M1557" s="1" t="s">
        <v>71</v>
      </c>
      <c r="N1557" s="112" t="s">
        <v>14</v>
      </c>
      <c r="O1557" s="104" t="s">
        <v>52</v>
      </c>
      <c r="P1557" s="104" t="s">
        <v>52</v>
      </c>
      <c r="Q1557" s="105"/>
      <c r="R1557" s="33" t="s">
        <v>4018</v>
      </c>
      <c r="S1557" s="225">
        <f t="shared" si="24"/>
        <v>48122</v>
      </c>
      <c r="T1557" s="2" t="s">
        <v>7635</v>
      </c>
      <c r="U1557" s="7" t="s">
        <v>128</v>
      </c>
      <c r="V1557" s="162" t="str" cm="1">
        <f t="array" ref="V1557">_xlfn.IFS(C1557="","",COUNTIF(C1557,"ตำแหน่งว่าง*"),"ว่าง",COUNTIF(C1557,"&lt;&gt;ตำแหน่งว่าง*"),"คนครอง")</f>
        <v>คนครอง</v>
      </c>
      <c r="W1557" s="6" cm="1">
        <f t="array" ref="W1557">_xlfn.IFS(COUNTIF(F1557,"ผบ.หมู่*"),51,COUNTIF(F1557,"รอง สว.*"),43)</f>
        <v>43</v>
      </c>
      <c r="X1557" s="1" t="s">
        <v>4378</v>
      </c>
      <c r="Y1557" s="1" t="s">
        <v>52</v>
      </c>
    </row>
    <row r="1558" spans="1:25" s="12" customFormat="1" ht="21.3" customHeight="1">
      <c r="A1558" s="27" t="s">
        <v>44</v>
      </c>
      <c r="B1558" s="31" t="s">
        <v>12</v>
      </c>
      <c r="C1558" s="95" t="s">
        <v>4381</v>
      </c>
      <c r="D1558" s="27" t="s">
        <v>8170</v>
      </c>
      <c r="E1558" s="27" t="s">
        <v>9642</v>
      </c>
      <c r="F1558" s="95" t="s">
        <v>4382</v>
      </c>
      <c r="G1558" s="101" t="s">
        <v>4384</v>
      </c>
      <c r="H1558" s="92">
        <v>44651</v>
      </c>
      <c r="I1558" s="76">
        <v>44651</v>
      </c>
      <c r="J1558" s="76">
        <v>34731</v>
      </c>
      <c r="K1558" s="76">
        <v>25155</v>
      </c>
      <c r="L1558" s="17" t="s">
        <v>4385</v>
      </c>
      <c r="M1558" s="5" t="s">
        <v>71</v>
      </c>
      <c r="N1558" s="111" t="s">
        <v>14</v>
      </c>
      <c r="O1558" s="104" t="s">
        <v>52</v>
      </c>
      <c r="P1558" s="104" t="s">
        <v>52</v>
      </c>
      <c r="Q1558" s="108"/>
      <c r="R1558" s="31" t="s">
        <v>2856</v>
      </c>
      <c r="S1558" s="225">
        <f t="shared" si="24"/>
        <v>47392</v>
      </c>
      <c r="T1558" s="162" t="s">
        <v>7635</v>
      </c>
      <c r="U1558" s="7" t="s">
        <v>128</v>
      </c>
      <c r="V1558" s="162" t="str" cm="1">
        <f t="array" ref="V1558">_xlfn.IFS(C1558="","",COUNTIF(C1558,"ตำแหน่งว่าง*"),"ว่าง",COUNTIF(C1558,"&lt;&gt;ตำแหน่งว่าง*"),"คนครอง")</f>
        <v>คนครอง</v>
      </c>
      <c r="W1558" s="5" cm="1">
        <f t="array" ref="W1558">_xlfn.IFS(COUNTIF(F1558,"ผบ.หมู่*"),51,COUNTIF(F1558,"รอง สว.*"),43)</f>
        <v>43</v>
      </c>
      <c r="X1558" s="5" t="s">
        <v>4383</v>
      </c>
      <c r="Y1558" s="5" t="s">
        <v>52</v>
      </c>
    </row>
    <row r="1559" spans="1:25" s="10" customFormat="1" ht="21.3" customHeight="1">
      <c r="A1559" s="68"/>
      <c r="B1559" s="30"/>
      <c r="C1559" s="30" t="s">
        <v>18</v>
      </c>
      <c r="D1559" s="27"/>
      <c r="E1559" s="27"/>
      <c r="F1559" s="68" t="s">
        <v>4372</v>
      </c>
      <c r="G1559" s="121" t="s">
        <v>4387</v>
      </c>
      <c r="H1559" s="93" t="s">
        <v>19</v>
      </c>
      <c r="I1559" s="74" t="s">
        <v>19</v>
      </c>
      <c r="J1559" s="74" t="s">
        <v>19</v>
      </c>
      <c r="K1559" s="74" t="s">
        <v>19</v>
      </c>
      <c r="L1559" s="16"/>
      <c r="M1559" s="6"/>
      <c r="N1559" s="113" t="s">
        <v>14</v>
      </c>
      <c r="O1559" s="122" t="s">
        <v>52</v>
      </c>
      <c r="P1559" s="122" t="s">
        <v>52</v>
      </c>
      <c r="Q1559" s="106"/>
      <c r="R1559" s="30"/>
      <c r="S1559" s="225" t="str">
        <f t="shared" si="24"/>
        <v/>
      </c>
      <c r="T1559" s="7" t="s">
        <v>7635</v>
      </c>
      <c r="U1559" s="7" t="s">
        <v>128</v>
      </c>
      <c r="V1559" s="171" t="str" cm="1">
        <f t="array" ref="V1559">_xlfn.IFS(C1559="","",COUNTIF(C1559,"ตำแหน่งว่าง*"),"ว่าง",COUNTIF(C1559,"&lt;&gt;ตำแหน่งว่าง*"),"คนครอง")</f>
        <v>ว่าง</v>
      </c>
      <c r="W1559" s="6" cm="1">
        <f t="array" ref="W1559">_xlfn.IFS(COUNTIF(F1559,"ผบ.หมู่*"),51,COUNTIF(F1559,"รอง สว.*"),43)</f>
        <v>51</v>
      </c>
      <c r="X1559" s="6" t="s">
        <v>4386</v>
      </c>
      <c r="Y1559" s="6" t="s">
        <v>52</v>
      </c>
    </row>
    <row r="1560" spans="1:25" s="9" customFormat="1" ht="21.3" customHeight="1">
      <c r="A1560" s="27"/>
      <c r="B1560" s="28"/>
      <c r="C1560" s="95" t="s">
        <v>18</v>
      </c>
      <c r="D1560" s="27"/>
      <c r="E1560" s="27"/>
      <c r="F1560" s="68" t="s">
        <v>4372</v>
      </c>
      <c r="G1560" s="101" t="s">
        <v>4389</v>
      </c>
      <c r="H1560" s="91"/>
      <c r="I1560" s="73"/>
      <c r="J1560" s="73"/>
      <c r="K1560" s="73"/>
      <c r="L1560" s="11"/>
      <c r="M1560" s="1"/>
      <c r="N1560" s="112" t="s">
        <v>14</v>
      </c>
      <c r="O1560" s="104" t="s">
        <v>52</v>
      </c>
      <c r="P1560" s="104" t="s">
        <v>52</v>
      </c>
      <c r="Q1560" s="105"/>
      <c r="R1560" s="28"/>
      <c r="S1560" s="225" t="str">
        <f t="shared" si="24"/>
        <v/>
      </c>
      <c r="T1560" s="2" t="s">
        <v>7635</v>
      </c>
      <c r="U1560" s="7" t="s">
        <v>128</v>
      </c>
      <c r="V1560" s="162" t="str" cm="1">
        <f t="array" ref="V1560">_xlfn.IFS(C1560="","",COUNTIF(C1560,"ตำแหน่งว่าง*"),"ว่าง",COUNTIF(C1560,"&lt;&gt;ตำแหน่งว่าง*"),"คนครอง")</f>
        <v>ว่าง</v>
      </c>
      <c r="W1560" s="5" cm="1">
        <f t="array" ref="W1560">_xlfn.IFS(COUNTIF(F1560,"ผบ.หมู่*"),51,COUNTIF(F1560,"รอง สว.*"),43)</f>
        <v>51</v>
      </c>
      <c r="X1560" s="1" t="s">
        <v>4388</v>
      </c>
      <c r="Y1560" s="1" t="s">
        <v>52</v>
      </c>
    </row>
    <row r="1561" spans="1:25" s="10" customFormat="1" ht="21.3" customHeight="1">
      <c r="A1561" s="68"/>
      <c r="B1561" s="30"/>
      <c r="C1561" s="30" t="s">
        <v>18</v>
      </c>
      <c r="D1561" s="27"/>
      <c r="E1561" s="27"/>
      <c r="F1561" s="68" t="s">
        <v>4372</v>
      </c>
      <c r="G1561" s="121" t="s">
        <v>4392</v>
      </c>
      <c r="H1561" s="93" t="s">
        <v>19</v>
      </c>
      <c r="I1561" s="74" t="s">
        <v>19</v>
      </c>
      <c r="J1561" s="74" t="s">
        <v>19</v>
      </c>
      <c r="K1561" s="74" t="s">
        <v>19</v>
      </c>
      <c r="L1561" s="16"/>
      <c r="M1561" s="6"/>
      <c r="N1561" s="113" t="s">
        <v>14</v>
      </c>
      <c r="O1561" s="122" t="s">
        <v>52</v>
      </c>
      <c r="P1561" s="122" t="s">
        <v>52</v>
      </c>
      <c r="Q1561" s="106"/>
      <c r="R1561" s="30"/>
      <c r="S1561" s="225" t="str">
        <f t="shared" si="24"/>
        <v/>
      </c>
      <c r="T1561" s="7" t="s">
        <v>7635</v>
      </c>
      <c r="U1561" s="7" t="s">
        <v>128</v>
      </c>
      <c r="V1561" s="171" t="str" cm="1">
        <f t="array" ref="V1561">_xlfn.IFS(C1561="","",COUNTIF(C1561,"ตำแหน่งว่าง*"),"ว่าง",COUNTIF(C1561,"&lt;&gt;ตำแหน่งว่าง*"),"คนครอง")</f>
        <v>ว่าง</v>
      </c>
      <c r="W1561" s="6" cm="1">
        <f t="array" ref="W1561">_xlfn.IFS(COUNTIF(F1561,"ผบ.หมู่*"),51,COUNTIF(F1561,"รอง สว.*"),43)</f>
        <v>51</v>
      </c>
      <c r="X1561" s="6" t="s">
        <v>4391</v>
      </c>
      <c r="Y1561" s="6" t="s">
        <v>52</v>
      </c>
    </row>
    <row r="1562" spans="1:25" s="9" customFormat="1" ht="21.3" customHeight="1">
      <c r="A1562" s="27" t="s">
        <v>30</v>
      </c>
      <c r="B1562" s="28" t="s">
        <v>12</v>
      </c>
      <c r="C1562" s="27" t="s">
        <v>4393</v>
      </c>
      <c r="D1562" s="27" t="s">
        <v>8278</v>
      </c>
      <c r="E1562" s="27" t="s">
        <v>9643</v>
      </c>
      <c r="F1562" s="27" t="s">
        <v>4382</v>
      </c>
      <c r="G1562" s="101" t="s">
        <v>4395</v>
      </c>
      <c r="H1562" s="91">
        <v>43555</v>
      </c>
      <c r="I1562" s="73">
        <v>43555</v>
      </c>
      <c r="J1562" s="73">
        <v>34352</v>
      </c>
      <c r="K1562" s="73">
        <v>24123</v>
      </c>
      <c r="L1562" s="11" t="s">
        <v>112</v>
      </c>
      <c r="M1562" s="1" t="s">
        <v>71</v>
      </c>
      <c r="N1562" s="112" t="s">
        <v>14</v>
      </c>
      <c r="O1562" s="104" t="s">
        <v>52</v>
      </c>
      <c r="P1562" s="104" t="s">
        <v>52</v>
      </c>
      <c r="Q1562" s="105"/>
      <c r="R1562" s="28" t="s">
        <v>2892</v>
      </c>
      <c r="S1562" s="225">
        <f t="shared" si="24"/>
        <v>46296</v>
      </c>
      <c r="T1562" s="2" t="s">
        <v>7635</v>
      </c>
      <c r="U1562" s="7" t="s">
        <v>128</v>
      </c>
      <c r="V1562" s="162" t="str" cm="1">
        <f t="array" ref="V1562">_xlfn.IFS(C1562="","",COUNTIF(C1562,"ตำแหน่งว่าง*"),"ว่าง",COUNTIF(C1562,"&lt;&gt;ตำแหน่งว่าง*"),"คนครอง")</f>
        <v>คนครอง</v>
      </c>
      <c r="W1562" s="5" cm="1">
        <f t="array" ref="W1562">_xlfn.IFS(COUNTIF(F1562,"ผบ.หมู่*"),51,COUNTIF(F1562,"รอง สว.*"),43)</f>
        <v>43</v>
      </c>
      <c r="X1562" s="1" t="s">
        <v>4394</v>
      </c>
      <c r="Y1562" s="1" t="s">
        <v>52</v>
      </c>
    </row>
    <row r="1563" spans="1:25" s="10" customFormat="1" ht="21.3" customHeight="1">
      <c r="A1563" s="27" t="s">
        <v>157</v>
      </c>
      <c r="B1563" s="28" t="s">
        <v>12</v>
      </c>
      <c r="C1563" s="27" t="s">
        <v>4396</v>
      </c>
      <c r="D1563" s="27" t="s">
        <v>9644</v>
      </c>
      <c r="E1563" s="27" t="s">
        <v>9645</v>
      </c>
      <c r="F1563" s="27" t="s">
        <v>4372</v>
      </c>
      <c r="G1563" s="101" t="s">
        <v>4398</v>
      </c>
      <c r="H1563" s="91">
        <v>44599</v>
      </c>
      <c r="I1563" s="73">
        <v>39717</v>
      </c>
      <c r="J1563" s="73">
        <v>39717</v>
      </c>
      <c r="K1563" s="73">
        <v>28171</v>
      </c>
      <c r="L1563" s="11" t="s">
        <v>200</v>
      </c>
      <c r="M1563" s="1" t="s">
        <v>28</v>
      </c>
      <c r="N1563" s="112" t="s">
        <v>14</v>
      </c>
      <c r="O1563" s="104" t="s">
        <v>52</v>
      </c>
      <c r="P1563" s="104" t="s">
        <v>52</v>
      </c>
      <c r="Q1563" s="105"/>
      <c r="R1563" s="28" t="s">
        <v>607</v>
      </c>
      <c r="S1563" s="225">
        <f t="shared" si="24"/>
        <v>50314</v>
      </c>
      <c r="T1563" s="7" t="s">
        <v>7635</v>
      </c>
      <c r="U1563" s="7" t="s">
        <v>128</v>
      </c>
      <c r="V1563" s="162" t="str" cm="1">
        <f t="array" ref="V1563">_xlfn.IFS(C1563="","",COUNTIF(C1563,"ตำแหน่งว่าง*"),"ว่าง",COUNTIF(C1563,"&lt;&gt;ตำแหน่งว่าง*"),"คนครอง")</f>
        <v>คนครอง</v>
      </c>
      <c r="W1563" s="6" cm="1">
        <f t="array" ref="W1563">_xlfn.IFS(COUNTIF(F1563,"ผบ.หมู่*"),51,COUNTIF(F1563,"รอง สว.*"),43)</f>
        <v>51</v>
      </c>
      <c r="X1563" s="1" t="s">
        <v>4397</v>
      </c>
      <c r="Y1563" s="1" t="s">
        <v>52</v>
      </c>
    </row>
    <row r="1564" spans="1:25" s="9" customFormat="1" ht="21.3" customHeight="1">
      <c r="A1564" s="68"/>
      <c r="B1564" s="30"/>
      <c r="C1564" s="30" t="s">
        <v>18</v>
      </c>
      <c r="D1564" s="27"/>
      <c r="E1564" s="27"/>
      <c r="F1564" s="27" t="s">
        <v>4372</v>
      </c>
      <c r="G1564" s="121" t="s">
        <v>4400</v>
      </c>
      <c r="H1564" s="93"/>
      <c r="I1564" s="74"/>
      <c r="J1564" s="74"/>
      <c r="K1564" s="74"/>
      <c r="L1564" s="16"/>
      <c r="M1564" s="6"/>
      <c r="N1564" s="113" t="s">
        <v>14</v>
      </c>
      <c r="O1564" s="122" t="s">
        <v>52</v>
      </c>
      <c r="P1564" s="122" t="s">
        <v>52</v>
      </c>
      <c r="Q1564" s="106"/>
      <c r="R1564" s="30"/>
      <c r="S1564" s="225" t="str">
        <f t="shared" si="24"/>
        <v/>
      </c>
      <c r="T1564" s="2" t="s">
        <v>7635</v>
      </c>
      <c r="U1564" s="7" t="s">
        <v>128</v>
      </c>
      <c r="V1564" s="171" t="str" cm="1">
        <f t="array" ref="V1564">_xlfn.IFS(C1564="","",COUNTIF(C1564,"ตำแหน่งว่าง*"),"ว่าง",COUNTIF(C1564,"&lt;&gt;ตำแหน่งว่าง*"),"คนครอง")</f>
        <v>ว่าง</v>
      </c>
      <c r="W1564" s="5" cm="1">
        <f t="array" ref="W1564">_xlfn.IFS(COUNTIF(F1564,"ผบ.หมู่*"),51,COUNTIF(F1564,"รอง สว.*"),43)</f>
        <v>51</v>
      </c>
      <c r="X1564" s="1" t="s">
        <v>4399</v>
      </c>
      <c r="Y1564" s="1" t="s">
        <v>52</v>
      </c>
    </row>
    <row r="1565" spans="1:25" s="9" customFormat="1" ht="21.3" customHeight="1">
      <c r="A1565" s="27" t="s">
        <v>157</v>
      </c>
      <c r="B1565" s="28" t="s">
        <v>12</v>
      </c>
      <c r="C1565" s="27" t="s">
        <v>4401</v>
      </c>
      <c r="D1565" s="27" t="s">
        <v>9646</v>
      </c>
      <c r="E1565" s="27" t="s">
        <v>9647</v>
      </c>
      <c r="F1565" s="27" t="s">
        <v>4372</v>
      </c>
      <c r="G1565" s="101" t="s">
        <v>4403</v>
      </c>
      <c r="H1565" s="75">
        <v>42604</v>
      </c>
      <c r="I1565" s="73">
        <v>35096</v>
      </c>
      <c r="J1565" s="73">
        <v>35096</v>
      </c>
      <c r="K1565" s="73">
        <v>26142</v>
      </c>
      <c r="L1565" s="11" t="s">
        <v>4404</v>
      </c>
      <c r="M1565" s="1" t="s">
        <v>71</v>
      </c>
      <c r="N1565" s="112" t="s">
        <v>14</v>
      </c>
      <c r="O1565" s="104" t="s">
        <v>52</v>
      </c>
      <c r="P1565" s="104" t="s">
        <v>52</v>
      </c>
      <c r="Q1565" s="105"/>
      <c r="R1565" s="28" t="s">
        <v>76</v>
      </c>
      <c r="S1565" s="225">
        <f t="shared" si="24"/>
        <v>48122</v>
      </c>
      <c r="T1565" s="2" t="s">
        <v>7635</v>
      </c>
      <c r="U1565" s="7" t="s">
        <v>128</v>
      </c>
      <c r="V1565" s="162" t="str" cm="1">
        <f t="array" ref="V1565">_xlfn.IFS(C1565="","",COUNTIF(C1565,"ตำแหน่งว่าง*"),"ว่าง",COUNTIF(C1565,"&lt;&gt;ตำแหน่งว่าง*"),"คนครอง")</f>
        <v>คนครอง</v>
      </c>
      <c r="W1565" s="6" cm="1">
        <f t="array" ref="W1565">_xlfn.IFS(COUNTIF(F1565,"ผบ.หมู่*"),51,COUNTIF(F1565,"รอง สว.*"),43)</f>
        <v>51</v>
      </c>
      <c r="X1565" s="1" t="s">
        <v>4402</v>
      </c>
      <c r="Y1565" s="1" t="s">
        <v>52</v>
      </c>
    </row>
    <row r="1566" spans="1:25" s="9" customFormat="1" ht="21.3" customHeight="1">
      <c r="A1566" s="27" t="s">
        <v>10753</v>
      </c>
      <c r="B1566" s="28" t="s">
        <v>12</v>
      </c>
      <c r="C1566" s="27" t="s">
        <v>4405</v>
      </c>
      <c r="D1566" s="27" t="s">
        <v>9648</v>
      </c>
      <c r="E1566" s="27" t="s">
        <v>9649</v>
      </c>
      <c r="F1566" s="27" t="s">
        <v>4382</v>
      </c>
      <c r="G1566" s="101" t="s">
        <v>4407</v>
      </c>
      <c r="H1566" s="75">
        <v>45016</v>
      </c>
      <c r="I1566" s="73">
        <v>45016</v>
      </c>
      <c r="J1566" s="73">
        <v>35096</v>
      </c>
      <c r="K1566" s="73">
        <v>25776</v>
      </c>
      <c r="L1566" s="11" t="s">
        <v>69</v>
      </c>
      <c r="M1566" s="1" t="s">
        <v>71</v>
      </c>
      <c r="N1566" s="112" t="s">
        <v>14</v>
      </c>
      <c r="O1566" s="104" t="s">
        <v>52</v>
      </c>
      <c r="P1566" s="104" t="s">
        <v>52</v>
      </c>
      <c r="Q1566" s="105"/>
      <c r="R1566" s="28" t="s">
        <v>483</v>
      </c>
      <c r="S1566" s="225">
        <f t="shared" si="24"/>
        <v>47757</v>
      </c>
      <c r="T1566" s="2" t="s">
        <v>7635</v>
      </c>
      <c r="U1566" s="7" t="s">
        <v>128</v>
      </c>
      <c r="V1566" s="162" t="str" cm="1">
        <f t="array" ref="V1566">_xlfn.IFS(C1566="","",COUNTIF(C1566,"ตำแหน่งว่าง*"),"ว่าง",COUNTIF(C1566,"&lt;&gt;ตำแหน่งว่าง*"),"คนครอง")</f>
        <v>คนครอง</v>
      </c>
      <c r="W1566" s="5" cm="1">
        <f t="array" ref="W1566">_xlfn.IFS(COUNTIF(F1566,"ผบ.หมู่*"),51,COUNTIF(F1566,"รอง สว.*"),43)</f>
        <v>43</v>
      </c>
      <c r="X1566" s="1" t="s">
        <v>4406</v>
      </c>
      <c r="Y1566" s="1" t="s">
        <v>52</v>
      </c>
    </row>
    <row r="1567" spans="1:25" s="9" customFormat="1" ht="21.3" customHeight="1">
      <c r="A1567" s="27" t="s">
        <v>157</v>
      </c>
      <c r="B1567" s="28" t="s">
        <v>21</v>
      </c>
      <c r="C1567" s="27" t="s">
        <v>4408</v>
      </c>
      <c r="D1567" s="27" t="s">
        <v>9650</v>
      </c>
      <c r="E1567" s="27" t="s">
        <v>9651</v>
      </c>
      <c r="F1567" s="27" t="s">
        <v>4372</v>
      </c>
      <c r="G1567" s="101" t="s">
        <v>4410</v>
      </c>
      <c r="H1567" s="91">
        <v>43235</v>
      </c>
      <c r="I1567" s="73">
        <v>34352</v>
      </c>
      <c r="J1567" s="73">
        <v>34352</v>
      </c>
      <c r="K1567" s="73">
        <v>27266</v>
      </c>
      <c r="L1567" s="11" t="s">
        <v>4411</v>
      </c>
      <c r="M1567" s="1" t="s">
        <v>71</v>
      </c>
      <c r="N1567" s="112" t="s">
        <v>14</v>
      </c>
      <c r="O1567" s="104" t="s">
        <v>52</v>
      </c>
      <c r="P1567" s="104" t="s">
        <v>52</v>
      </c>
      <c r="Q1567" s="105"/>
      <c r="R1567" s="28" t="s">
        <v>3846</v>
      </c>
      <c r="S1567" s="225">
        <f t="shared" si="24"/>
        <v>49218</v>
      </c>
      <c r="T1567" s="2" t="s">
        <v>7635</v>
      </c>
      <c r="U1567" s="7" t="s">
        <v>128</v>
      </c>
      <c r="V1567" s="162" t="str" cm="1">
        <f t="array" ref="V1567">_xlfn.IFS(C1567="","",COUNTIF(C1567,"ตำแหน่งว่าง*"),"ว่าง",COUNTIF(C1567,"&lt;&gt;ตำแหน่งว่าง*"),"คนครอง")</f>
        <v>คนครอง</v>
      </c>
      <c r="W1567" s="6" cm="1">
        <f t="array" ref="W1567">_xlfn.IFS(COUNTIF(F1567,"ผบ.หมู่*"),51,COUNTIF(F1567,"รอง สว.*"),43)</f>
        <v>51</v>
      </c>
      <c r="X1567" s="1" t="s">
        <v>4409</v>
      </c>
      <c r="Y1567" s="1" t="s">
        <v>52</v>
      </c>
    </row>
    <row r="1568" spans="1:25" s="9" customFormat="1" ht="21.3" customHeight="1">
      <c r="A1568" s="27" t="s">
        <v>157</v>
      </c>
      <c r="B1568" s="28" t="s">
        <v>21</v>
      </c>
      <c r="C1568" s="27" t="s">
        <v>4412</v>
      </c>
      <c r="D1568" s="27" t="s">
        <v>9652</v>
      </c>
      <c r="E1568" s="27" t="s">
        <v>9653</v>
      </c>
      <c r="F1568" s="27" t="s">
        <v>4372</v>
      </c>
      <c r="G1568" s="101" t="s">
        <v>4414</v>
      </c>
      <c r="H1568" s="91">
        <v>43871</v>
      </c>
      <c r="I1568" s="73">
        <v>34352</v>
      </c>
      <c r="J1568" s="73">
        <v>34352</v>
      </c>
      <c r="K1568" s="73">
        <v>26819</v>
      </c>
      <c r="L1568" s="11" t="s">
        <v>7829</v>
      </c>
      <c r="M1568" s="1" t="s">
        <v>71</v>
      </c>
      <c r="N1568" s="112" t="s">
        <v>14</v>
      </c>
      <c r="O1568" s="104" t="s">
        <v>52</v>
      </c>
      <c r="P1568" s="104" t="s">
        <v>52</v>
      </c>
      <c r="Q1568" s="105"/>
      <c r="R1568" s="28" t="s">
        <v>688</v>
      </c>
      <c r="S1568" s="225">
        <f t="shared" si="24"/>
        <v>48853</v>
      </c>
      <c r="T1568" s="2" t="s">
        <v>7635</v>
      </c>
      <c r="U1568" s="7" t="s">
        <v>128</v>
      </c>
      <c r="V1568" s="162" t="str" cm="1">
        <f t="array" ref="V1568">_xlfn.IFS(C1568="","",COUNTIF(C1568,"ตำแหน่งว่าง*"),"ว่าง",COUNTIF(C1568,"&lt;&gt;ตำแหน่งว่าง*"),"คนครอง")</f>
        <v>คนครอง</v>
      </c>
      <c r="W1568" s="6" cm="1">
        <f t="array" ref="W1568">_xlfn.IFS(COUNTIF(F1568,"ผบ.หมู่*"),51,COUNTIF(F1568,"รอง สว.*"),43)</f>
        <v>51</v>
      </c>
      <c r="X1568" s="1" t="s">
        <v>4413</v>
      </c>
      <c r="Y1568" s="1" t="s">
        <v>52</v>
      </c>
    </row>
    <row r="1569" spans="1:25" s="12" customFormat="1" ht="21.3" customHeight="1">
      <c r="A1569" s="27" t="s">
        <v>612</v>
      </c>
      <c r="B1569" s="31" t="s">
        <v>12</v>
      </c>
      <c r="C1569" s="95" t="s">
        <v>4649</v>
      </c>
      <c r="D1569" s="27" t="s">
        <v>9654</v>
      </c>
      <c r="E1569" s="27" t="s">
        <v>9655</v>
      </c>
      <c r="F1569" s="95" t="s">
        <v>4650</v>
      </c>
      <c r="G1569" s="101" t="s">
        <v>4652</v>
      </c>
      <c r="H1569" s="92">
        <v>44599</v>
      </c>
      <c r="I1569" s="73">
        <v>42416</v>
      </c>
      <c r="J1569" s="73">
        <v>42416</v>
      </c>
      <c r="K1569" s="73">
        <v>30344</v>
      </c>
      <c r="L1569" s="11" t="s">
        <v>4653</v>
      </c>
      <c r="M1569" s="1" t="s">
        <v>108</v>
      </c>
      <c r="N1569" s="111" t="s">
        <v>14</v>
      </c>
      <c r="O1569" s="104" t="s">
        <v>52</v>
      </c>
      <c r="P1569" s="104" t="s">
        <v>52</v>
      </c>
      <c r="Q1569" s="105"/>
      <c r="R1569" s="31" t="s">
        <v>607</v>
      </c>
      <c r="S1569" s="225">
        <f t="shared" si="24"/>
        <v>52505</v>
      </c>
      <c r="T1569" s="162" t="s">
        <v>7641</v>
      </c>
      <c r="U1569" s="7" t="s">
        <v>128</v>
      </c>
      <c r="V1569" s="162" t="str" cm="1">
        <f t="array" ref="V1569">_xlfn.IFS(C1569="","",COUNTIF(C1569,"ตำแหน่งว่าง*"),"ว่าง",COUNTIF(C1569,"&lt;&gt;ตำแหน่งว่าง*"),"คนครอง")</f>
        <v>คนครอง</v>
      </c>
      <c r="W1569" s="6" cm="1">
        <f t="array" ref="W1569">_xlfn.IFS(COUNTIF(F1569,"ผบ.หมู่*"),51,COUNTIF(F1569,"รอง สว.*"),43)</f>
        <v>51</v>
      </c>
      <c r="X1569" s="5" t="s">
        <v>4651</v>
      </c>
      <c r="Y1569" s="5" t="s">
        <v>52</v>
      </c>
    </row>
    <row r="1570" spans="1:25" s="9" customFormat="1" ht="21.3" customHeight="1">
      <c r="A1570" s="27" t="s">
        <v>60</v>
      </c>
      <c r="B1570" s="28" t="s">
        <v>21</v>
      </c>
      <c r="C1570" s="27" t="s">
        <v>4654</v>
      </c>
      <c r="D1570" s="27" t="s">
        <v>8243</v>
      </c>
      <c r="E1570" s="27" t="s">
        <v>9656</v>
      </c>
      <c r="F1570" s="27" t="s">
        <v>4669</v>
      </c>
      <c r="G1570" s="101" t="s">
        <v>4656</v>
      </c>
      <c r="H1570" s="75">
        <v>42501</v>
      </c>
      <c r="I1570" s="73">
        <v>35095</v>
      </c>
      <c r="J1570" s="73">
        <v>35095</v>
      </c>
      <c r="K1570" s="73">
        <v>26537</v>
      </c>
      <c r="L1570" s="11" t="s">
        <v>261</v>
      </c>
      <c r="M1570" s="1" t="s">
        <v>81</v>
      </c>
      <c r="N1570" s="112" t="s">
        <v>14</v>
      </c>
      <c r="O1570" s="104" t="s">
        <v>52</v>
      </c>
      <c r="P1570" s="104" t="s">
        <v>52</v>
      </c>
      <c r="Q1570" s="105"/>
      <c r="R1570" s="28" t="s">
        <v>110</v>
      </c>
      <c r="S1570" s="225">
        <f t="shared" si="24"/>
        <v>48488</v>
      </c>
      <c r="T1570" s="2" t="s">
        <v>7641</v>
      </c>
      <c r="U1570" s="7" t="s">
        <v>128</v>
      </c>
      <c r="V1570" s="162" t="str" cm="1">
        <f t="array" ref="V1570">_xlfn.IFS(C1570="","",COUNTIF(C1570,"ตำแหน่งว่าง*"),"ว่าง",COUNTIF(C1570,"&lt;&gt;ตำแหน่งว่าง*"),"คนครอง")</f>
        <v>คนครอง</v>
      </c>
      <c r="W1570" s="6" cm="1">
        <f t="array" ref="W1570">_xlfn.IFS(COUNTIF(F1570,"ผบ.หมู่*"),51,COUNTIF(F1570,"รอง สว.*"),43)</f>
        <v>43</v>
      </c>
      <c r="X1570" s="1" t="s">
        <v>4655</v>
      </c>
      <c r="Y1570" s="1" t="s">
        <v>52</v>
      </c>
    </row>
    <row r="1571" spans="1:25" s="9" customFormat="1" ht="21.3" customHeight="1">
      <c r="A1571" s="132" t="s">
        <v>10753</v>
      </c>
      <c r="B1571" s="28" t="s">
        <v>21</v>
      </c>
      <c r="C1571" s="27" t="s">
        <v>4657</v>
      </c>
      <c r="D1571" s="27" t="s">
        <v>8396</v>
      </c>
      <c r="E1571" s="27" t="s">
        <v>9657</v>
      </c>
      <c r="F1571" s="27" t="s">
        <v>4669</v>
      </c>
      <c r="G1571" s="101" t="s">
        <v>4659</v>
      </c>
      <c r="H1571" s="91">
        <v>45382</v>
      </c>
      <c r="I1571" s="73">
        <v>45382</v>
      </c>
      <c r="J1571" s="73">
        <v>34352</v>
      </c>
      <c r="K1571" s="73">
        <v>26062</v>
      </c>
      <c r="L1571" s="11" t="s">
        <v>7807</v>
      </c>
      <c r="M1571" s="1" t="s">
        <v>81</v>
      </c>
      <c r="N1571" s="112" t="s">
        <v>14</v>
      </c>
      <c r="O1571" s="104" t="s">
        <v>52</v>
      </c>
      <c r="P1571" s="104" t="s">
        <v>52</v>
      </c>
      <c r="Q1571" s="105"/>
      <c r="R1571" s="33" t="s">
        <v>110</v>
      </c>
      <c r="S1571" s="225">
        <f t="shared" si="24"/>
        <v>48122</v>
      </c>
      <c r="T1571" s="2" t="s">
        <v>7641</v>
      </c>
      <c r="U1571" s="7" t="s">
        <v>128</v>
      </c>
      <c r="V1571" s="162" t="str" cm="1">
        <f t="array" ref="V1571">_xlfn.IFS(C1571="","",COUNTIF(C1571,"ตำแหน่งว่าง*"),"ว่าง",COUNTIF(C1571,"&lt;&gt;ตำแหน่งว่าง*"),"คนครอง")</f>
        <v>คนครอง</v>
      </c>
      <c r="W1571" s="6" cm="1">
        <f t="array" ref="W1571">_xlfn.IFS(COUNTIF(F1571,"ผบ.หมู่*"),51,COUNTIF(F1571,"รอง สว.*"),43)</f>
        <v>43</v>
      </c>
      <c r="X1571" s="1" t="s">
        <v>4658</v>
      </c>
      <c r="Y1571" s="1" t="s">
        <v>52</v>
      </c>
    </row>
    <row r="1572" spans="1:25" s="9" customFormat="1" ht="21.3" customHeight="1">
      <c r="A1572" s="27" t="s">
        <v>157</v>
      </c>
      <c r="B1572" s="28" t="s">
        <v>21</v>
      </c>
      <c r="C1572" s="27" t="s">
        <v>4660</v>
      </c>
      <c r="D1572" s="27" t="s">
        <v>9658</v>
      </c>
      <c r="E1572" s="27" t="s">
        <v>9659</v>
      </c>
      <c r="F1572" s="27" t="s">
        <v>4650</v>
      </c>
      <c r="G1572" s="101" t="s">
        <v>4662</v>
      </c>
      <c r="H1572" s="75">
        <v>42501</v>
      </c>
      <c r="I1572" s="73">
        <v>34729</v>
      </c>
      <c r="J1572" s="73">
        <v>34729</v>
      </c>
      <c r="K1572" s="73">
        <v>27343</v>
      </c>
      <c r="L1572" s="11" t="s">
        <v>4453</v>
      </c>
      <c r="M1572" s="1" t="s">
        <v>81</v>
      </c>
      <c r="N1572" s="112" t="s">
        <v>14</v>
      </c>
      <c r="O1572" s="104" t="s">
        <v>52</v>
      </c>
      <c r="P1572" s="104" t="s">
        <v>52</v>
      </c>
      <c r="Q1572" s="105"/>
      <c r="R1572" s="28" t="s">
        <v>110</v>
      </c>
      <c r="S1572" s="225">
        <f t="shared" si="24"/>
        <v>49583</v>
      </c>
      <c r="T1572" s="2" t="s">
        <v>7641</v>
      </c>
      <c r="U1572" s="7" t="s">
        <v>128</v>
      </c>
      <c r="V1572" s="162" t="str" cm="1">
        <f t="array" ref="V1572">_xlfn.IFS(C1572="","",COUNTIF(C1572,"ตำแหน่งว่าง*"),"ว่าง",COUNTIF(C1572,"&lt;&gt;ตำแหน่งว่าง*"),"คนครอง")</f>
        <v>คนครอง</v>
      </c>
      <c r="W1572" s="6" cm="1">
        <f t="array" ref="W1572">_xlfn.IFS(COUNTIF(F1572,"ผบ.หมู่*"),51,COUNTIF(F1572,"รอง สว.*"),43)</f>
        <v>51</v>
      </c>
      <c r="X1572" s="1" t="s">
        <v>4661</v>
      </c>
      <c r="Y1572" s="1" t="s">
        <v>52</v>
      </c>
    </row>
    <row r="1573" spans="1:25" s="9" customFormat="1" ht="21.3" customHeight="1">
      <c r="A1573" s="27" t="s">
        <v>612</v>
      </c>
      <c r="B1573" s="28" t="s">
        <v>12</v>
      </c>
      <c r="C1573" s="27" t="s">
        <v>7754</v>
      </c>
      <c r="D1573" s="27" t="s">
        <v>9660</v>
      </c>
      <c r="E1573" s="27" t="s">
        <v>9661</v>
      </c>
      <c r="F1573" s="27" t="s">
        <v>4650</v>
      </c>
      <c r="G1573" s="101" t="s">
        <v>4664</v>
      </c>
      <c r="H1573" s="75">
        <v>45322</v>
      </c>
      <c r="I1573" s="73">
        <v>42416</v>
      </c>
      <c r="J1573" s="73">
        <v>42416</v>
      </c>
      <c r="K1573" s="73">
        <v>33029</v>
      </c>
      <c r="L1573" s="11" t="s">
        <v>82</v>
      </c>
      <c r="M1573" s="1" t="s">
        <v>32</v>
      </c>
      <c r="N1573" s="112" t="s">
        <v>14</v>
      </c>
      <c r="O1573" s="104" t="s">
        <v>52</v>
      </c>
      <c r="P1573" s="104" t="s">
        <v>52</v>
      </c>
      <c r="Q1573" s="105"/>
      <c r="R1573" s="30" t="s">
        <v>7708</v>
      </c>
      <c r="S1573" s="225">
        <f t="shared" si="24"/>
        <v>55062</v>
      </c>
      <c r="T1573" s="2" t="s">
        <v>7641</v>
      </c>
      <c r="U1573" s="7" t="s">
        <v>128</v>
      </c>
      <c r="V1573" s="162" t="str" cm="1">
        <f t="array" ref="V1573">_xlfn.IFS(C1573="","",COUNTIF(C1573,"ตำแหน่งว่าง*"),"ว่าง",COUNTIF(C1573,"&lt;&gt;ตำแหน่งว่าง*"),"คนครอง")</f>
        <v>คนครอง</v>
      </c>
      <c r="W1573" s="6" cm="1">
        <f t="array" ref="W1573">_xlfn.IFS(COUNTIF(F1573,"ผบ.หมู่*"),51,COUNTIF(F1573,"รอง สว.*"),43)</f>
        <v>51</v>
      </c>
      <c r="X1573" s="1" t="s">
        <v>4663</v>
      </c>
      <c r="Y1573" s="1" t="s">
        <v>52</v>
      </c>
    </row>
    <row r="1574" spans="1:25" s="9" customFormat="1" ht="21.3" customHeight="1">
      <c r="A1574" s="27" t="s">
        <v>612</v>
      </c>
      <c r="B1574" s="28" t="s">
        <v>12</v>
      </c>
      <c r="C1574" s="27" t="s">
        <v>4665</v>
      </c>
      <c r="D1574" s="27" t="s">
        <v>8347</v>
      </c>
      <c r="E1574" s="27" t="s">
        <v>9662</v>
      </c>
      <c r="F1574" s="27" t="s">
        <v>4650</v>
      </c>
      <c r="G1574" s="101" t="s">
        <v>4667</v>
      </c>
      <c r="H1574" s="91">
        <v>44243</v>
      </c>
      <c r="I1574" s="73">
        <v>42416</v>
      </c>
      <c r="J1574" s="73">
        <v>42416</v>
      </c>
      <c r="K1574" s="73">
        <v>33880</v>
      </c>
      <c r="L1574" s="11" t="s">
        <v>1667</v>
      </c>
      <c r="M1574" s="1" t="s">
        <v>81</v>
      </c>
      <c r="N1574" s="112" t="s">
        <v>14</v>
      </c>
      <c r="O1574" s="104" t="s">
        <v>52</v>
      </c>
      <c r="P1574" s="104" t="s">
        <v>52</v>
      </c>
      <c r="Q1574" s="105"/>
      <c r="R1574" s="28" t="s">
        <v>617</v>
      </c>
      <c r="S1574" s="225">
        <f t="shared" si="24"/>
        <v>56158</v>
      </c>
      <c r="T1574" s="2" t="s">
        <v>7641</v>
      </c>
      <c r="U1574" s="7" t="s">
        <v>128</v>
      </c>
      <c r="V1574" s="162" t="str" cm="1">
        <f t="array" ref="V1574">_xlfn.IFS(C1574="","",COUNTIF(C1574,"ตำแหน่งว่าง*"),"ว่าง",COUNTIF(C1574,"&lt;&gt;ตำแหน่งว่าง*"),"คนครอง")</f>
        <v>คนครอง</v>
      </c>
      <c r="W1574" s="6" cm="1">
        <f t="array" ref="W1574">_xlfn.IFS(COUNTIF(F1574,"ผบ.หมู่*"),51,COUNTIF(F1574,"รอง สว.*"),43)</f>
        <v>51</v>
      </c>
      <c r="X1574" s="1" t="s">
        <v>4666</v>
      </c>
      <c r="Y1574" s="1" t="s">
        <v>52</v>
      </c>
    </row>
    <row r="1575" spans="1:25" s="9" customFormat="1" ht="21.3" customHeight="1">
      <c r="A1575" s="27" t="s">
        <v>26</v>
      </c>
      <c r="B1575" s="28" t="s">
        <v>12</v>
      </c>
      <c r="C1575" s="27" t="s">
        <v>4668</v>
      </c>
      <c r="D1575" s="27" t="s">
        <v>8225</v>
      </c>
      <c r="E1575" s="27" t="s">
        <v>9663</v>
      </c>
      <c r="F1575" s="27" t="s">
        <v>4669</v>
      </c>
      <c r="G1575" s="101" t="s">
        <v>4671</v>
      </c>
      <c r="H1575" s="91">
        <v>43921</v>
      </c>
      <c r="I1575" s="73">
        <v>43921</v>
      </c>
      <c r="J1575" s="73">
        <v>37316</v>
      </c>
      <c r="K1575" s="73">
        <v>24396</v>
      </c>
      <c r="L1575" s="11" t="s">
        <v>4545</v>
      </c>
      <c r="M1575" s="1" t="s">
        <v>81</v>
      </c>
      <c r="N1575" s="112" t="s">
        <v>14</v>
      </c>
      <c r="O1575" s="104" t="s">
        <v>52</v>
      </c>
      <c r="P1575" s="104" t="s">
        <v>52</v>
      </c>
      <c r="Q1575" s="105"/>
      <c r="R1575" s="28" t="s">
        <v>2700</v>
      </c>
      <c r="S1575" s="225">
        <f t="shared" si="24"/>
        <v>46661</v>
      </c>
      <c r="T1575" s="2" t="s">
        <v>7641</v>
      </c>
      <c r="U1575" s="7" t="s">
        <v>128</v>
      </c>
      <c r="V1575" s="162" t="str" cm="1">
        <f t="array" ref="V1575">_xlfn.IFS(C1575="","",COUNTIF(C1575,"ตำแหน่งว่าง*"),"ว่าง",COUNTIF(C1575,"&lt;&gt;ตำแหน่งว่าง*"),"คนครอง")</f>
        <v>คนครอง</v>
      </c>
      <c r="W1575" s="5" cm="1">
        <f t="array" ref="W1575">_xlfn.IFS(COUNTIF(F1575,"ผบ.หมู่*"),51,COUNTIF(F1575,"รอง สว.*"),43)</f>
        <v>43</v>
      </c>
      <c r="X1575" s="1" t="s">
        <v>4670</v>
      </c>
      <c r="Y1575" s="1" t="s">
        <v>52</v>
      </c>
    </row>
    <row r="1576" spans="1:25" s="10" customFormat="1" ht="21.3" customHeight="1">
      <c r="A1576" s="27" t="s">
        <v>612</v>
      </c>
      <c r="B1576" s="28" t="s">
        <v>12</v>
      </c>
      <c r="C1576" s="27" t="s">
        <v>4672</v>
      </c>
      <c r="D1576" s="27" t="s">
        <v>9011</v>
      </c>
      <c r="E1576" s="27" t="s">
        <v>9664</v>
      </c>
      <c r="F1576" s="27" t="s">
        <v>4650</v>
      </c>
      <c r="G1576" s="101" t="s">
        <v>4674</v>
      </c>
      <c r="H1576" s="75">
        <v>44999</v>
      </c>
      <c r="I1576" s="73">
        <v>42416</v>
      </c>
      <c r="J1576" s="73">
        <v>42416</v>
      </c>
      <c r="K1576" s="73">
        <v>34242</v>
      </c>
      <c r="L1576" s="19" t="s">
        <v>3508</v>
      </c>
      <c r="M1576" s="3" t="s">
        <v>32</v>
      </c>
      <c r="N1576" s="112" t="s">
        <v>14</v>
      </c>
      <c r="O1576" s="104" t="s">
        <v>52</v>
      </c>
      <c r="P1576" s="104" t="s">
        <v>52</v>
      </c>
      <c r="Q1576" s="105"/>
      <c r="R1576" s="28" t="s">
        <v>74</v>
      </c>
      <c r="S1576" s="225">
        <f t="shared" si="24"/>
        <v>56158</v>
      </c>
      <c r="T1576" s="7" t="s">
        <v>7641</v>
      </c>
      <c r="U1576" s="7" t="s">
        <v>128</v>
      </c>
      <c r="V1576" s="162" t="str" cm="1">
        <f t="array" ref="V1576">_xlfn.IFS(C1576="","",COUNTIF(C1576,"ตำแหน่งว่าง*"),"ว่าง",COUNTIF(C1576,"&lt;&gt;ตำแหน่งว่าง*"),"คนครอง")</f>
        <v>คนครอง</v>
      </c>
      <c r="W1576" s="6" cm="1">
        <f t="array" ref="W1576">_xlfn.IFS(COUNTIF(F1576,"ผบ.หมู่*"),51,COUNTIF(F1576,"รอง สว.*"),43)</f>
        <v>51</v>
      </c>
      <c r="X1576" s="1" t="s">
        <v>4673</v>
      </c>
      <c r="Y1576" s="1" t="s">
        <v>52</v>
      </c>
    </row>
    <row r="1577" spans="1:25" s="9" customFormat="1" ht="21.3" customHeight="1">
      <c r="A1577" s="27" t="s">
        <v>612</v>
      </c>
      <c r="B1577" s="28" t="s">
        <v>12</v>
      </c>
      <c r="C1577" s="27" t="s">
        <v>4675</v>
      </c>
      <c r="D1577" s="27" t="s">
        <v>9665</v>
      </c>
      <c r="E1577" s="27" t="s">
        <v>9666</v>
      </c>
      <c r="F1577" s="27" t="s">
        <v>4650</v>
      </c>
      <c r="G1577" s="101" t="s">
        <v>4677</v>
      </c>
      <c r="H1577" s="75">
        <v>44999</v>
      </c>
      <c r="I1577" s="73">
        <v>42416</v>
      </c>
      <c r="J1577" s="73">
        <v>42416</v>
      </c>
      <c r="K1577" s="73">
        <v>32037</v>
      </c>
      <c r="L1577" s="11" t="s">
        <v>4678</v>
      </c>
      <c r="M1577" s="1" t="s">
        <v>81</v>
      </c>
      <c r="N1577" s="112" t="s">
        <v>14</v>
      </c>
      <c r="O1577" s="104" t="s">
        <v>52</v>
      </c>
      <c r="P1577" s="104" t="s">
        <v>52</v>
      </c>
      <c r="Q1577" s="105"/>
      <c r="R1577" s="28" t="s">
        <v>74</v>
      </c>
      <c r="S1577" s="225">
        <f t="shared" si="24"/>
        <v>53966</v>
      </c>
      <c r="T1577" s="2" t="s">
        <v>7641</v>
      </c>
      <c r="U1577" s="7" t="s">
        <v>128</v>
      </c>
      <c r="V1577" s="162" t="str" cm="1">
        <f t="array" ref="V1577">_xlfn.IFS(C1577="","",COUNTIF(C1577,"ตำแหน่งว่าง*"),"ว่าง",COUNTIF(C1577,"&lt;&gt;ตำแหน่งว่าง*"),"คนครอง")</f>
        <v>คนครอง</v>
      </c>
      <c r="W1577" s="6" cm="1">
        <f t="array" ref="W1577">_xlfn.IFS(COUNTIF(F1577,"ผบ.หมู่*"),51,COUNTIF(F1577,"รอง สว.*"),43)</f>
        <v>51</v>
      </c>
      <c r="X1577" s="1" t="s">
        <v>4676</v>
      </c>
      <c r="Y1577" s="1" t="s">
        <v>52</v>
      </c>
    </row>
    <row r="1578" spans="1:25" s="12" customFormat="1" ht="21.3" customHeight="1">
      <c r="A1578" s="27" t="s">
        <v>44</v>
      </c>
      <c r="B1578" s="31" t="s">
        <v>12</v>
      </c>
      <c r="C1578" s="95" t="s">
        <v>4679</v>
      </c>
      <c r="D1578" s="27" t="s">
        <v>8287</v>
      </c>
      <c r="E1578" s="27" t="s">
        <v>9667</v>
      </c>
      <c r="F1578" s="95" t="s">
        <v>4669</v>
      </c>
      <c r="G1578" s="101" t="s">
        <v>4681</v>
      </c>
      <c r="H1578" s="88">
        <v>44651</v>
      </c>
      <c r="I1578" s="76">
        <v>44651</v>
      </c>
      <c r="J1578" s="76">
        <v>33270</v>
      </c>
      <c r="K1578" s="76">
        <v>25226</v>
      </c>
      <c r="L1578" s="17" t="s">
        <v>4682</v>
      </c>
      <c r="M1578" s="5" t="s">
        <v>81</v>
      </c>
      <c r="N1578" s="111" t="s">
        <v>14</v>
      </c>
      <c r="O1578" s="104" t="s">
        <v>52</v>
      </c>
      <c r="P1578" s="104" t="s">
        <v>52</v>
      </c>
      <c r="Q1578" s="108"/>
      <c r="R1578" s="31" t="s">
        <v>2856</v>
      </c>
      <c r="S1578" s="225">
        <f t="shared" si="24"/>
        <v>47392</v>
      </c>
      <c r="T1578" s="162" t="s">
        <v>7641</v>
      </c>
      <c r="U1578" s="7" t="s">
        <v>128</v>
      </c>
      <c r="V1578" s="162" t="str" cm="1">
        <f t="array" ref="V1578">_xlfn.IFS(C1578="","",COUNTIF(C1578,"ตำแหน่งว่าง*"),"ว่าง",COUNTIF(C1578,"&lt;&gt;ตำแหน่งว่าง*"),"คนครอง")</f>
        <v>คนครอง</v>
      </c>
      <c r="W1578" s="5" cm="1">
        <f t="array" ref="W1578">_xlfn.IFS(COUNTIF(F1578,"ผบ.หมู่*"),51,COUNTIF(F1578,"รอง สว.*"),43)</f>
        <v>43</v>
      </c>
      <c r="X1578" s="5" t="s">
        <v>4680</v>
      </c>
      <c r="Y1578" s="5" t="s">
        <v>52</v>
      </c>
    </row>
    <row r="1579" spans="1:25" s="10" customFormat="1" ht="21.3" customHeight="1">
      <c r="A1579" s="27" t="s">
        <v>612</v>
      </c>
      <c r="B1579" s="28" t="s">
        <v>21</v>
      </c>
      <c r="C1579" s="27" t="s">
        <v>4367</v>
      </c>
      <c r="D1579" s="27" t="s">
        <v>9597</v>
      </c>
      <c r="E1579" s="27" t="s">
        <v>9598</v>
      </c>
      <c r="F1579" s="27" t="s">
        <v>4650</v>
      </c>
      <c r="G1579" s="101" t="s">
        <v>4685</v>
      </c>
      <c r="H1579" s="91">
        <v>45768</v>
      </c>
      <c r="I1579" s="82">
        <v>42416</v>
      </c>
      <c r="J1579" s="82">
        <v>42416</v>
      </c>
      <c r="K1579" s="82">
        <v>33287</v>
      </c>
      <c r="L1579" s="58" t="s">
        <v>4370</v>
      </c>
      <c r="M1579" s="56" t="s">
        <v>81</v>
      </c>
      <c r="N1579" s="112" t="s">
        <v>14</v>
      </c>
      <c r="O1579" s="104" t="s">
        <v>52</v>
      </c>
      <c r="P1579" s="104" t="s">
        <v>52</v>
      </c>
      <c r="Q1579" s="105"/>
      <c r="R1579" s="28" t="s">
        <v>10711</v>
      </c>
      <c r="S1579" s="225">
        <f t="shared" si="24"/>
        <v>55427</v>
      </c>
      <c r="T1579" s="7" t="s">
        <v>7641</v>
      </c>
      <c r="U1579" s="7" t="s">
        <v>128</v>
      </c>
      <c r="V1579" s="162" t="str" cm="1">
        <f t="array" ref="V1579">_xlfn.IFS(C1579="","",COUNTIF(C1579,"ตำแหน่งว่าง*"),"ว่าง",COUNTIF(C1579,"&lt;&gt;ตำแหน่งว่าง*"),"คนครอง")</f>
        <v>คนครอง</v>
      </c>
      <c r="W1579" s="6" cm="1">
        <f t="array" ref="W1579">_xlfn.IFS(COUNTIF(F1579,"ผบ.หมู่*"),51,COUNTIF(F1579,"รอง สว.*"),43)</f>
        <v>51</v>
      </c>
      <c r="X1579" s="28" t="s">
        <v>4684</v>
      </c>
      <c r="Y1579" s="28" t="s">
        <v>52</v>
      </c>
    </row>
    <row r="1580" spans="1:25" s="9" customFormat="1" ht="21.3" customHeight="1">
      <c r="A1580" s="27" t="s">
        <v>157</v>
      </c>
      <c r="B1580" s="28" t="s">
        <v>21</v>
      </c>
      <c r="C1580" s="27" t="s">
        <v>4686</v>
      </c>
      <c r="D1580" s="27" t="s">
        <v>8060</v>
      </c>
      <c r="E1580" s="27" t="s">
        <v>9670</v>
      </c>
      <c r="F1580" s="27" t="s">
        <v>4650</v>
      </c>
      <c r="G1580" s="101" t="s">
        <v>4688</v>
      </c>
      <c r="H1580" s="75">
        <v>42940</v>
      </c>
      <c r="I1580" s="73">
        <v>41214</v>
      </c>
      <c r="J1580" s="73">
        <v>41214</v>
      </c>
      <c r="K1580" s="73">
        <v>30968</v>
      </c>
      <c r="L1580" s="11" t="s">
        <v>4689</v>
      </c>
      <c r="M1580" s="1" t="s">
        <v>81</v>
      </c>
      <c r="N1580" s="112" t="s">
        <v>14</v>
      </c>
      <c r="O1580" s="104" t="s">
        <v>52</v>
      </c>
      <c r="P1580" s="104" t="s">
        <v>52</v>
      </c>
      <c r="Q1580" s="105"/>
      <c r="R1580" s="28" t="s">
        <v>4298</v>
      </c>
      <c r="S1580" s="225">
        <f t="shared" si="24"/>
        <v>53236</v>
      </c>
      <c r="T1580" s="2" t="s">
        <v>7641</v>
      </c>
      <c r="U1580" s="7" t="s">
        <v>128</v>
      </c>
      <c r="V1580" s="162" t="str" cm="1">
        <f t="array" ref="V1580">_xlfn.IFS(C1580="","",COUNTIF(C1580,"ตำแหน่งว่าง*"),"ว่าง",COUNTIF(C1580,"&lt;&gt;ตำแหน่งว่าง*"),"คนครอง")</f>
        <v>คนครอง</v>
      </c>
      <c r="W1580" s="6" cm="1">
        <f t="array" ref="W1580">_xlfn.IFS(COUNTIF(F1580,"ผบ.หมู่*"),51,COUNTIF(F1580,"รอง สว.*"),43)</f>
        <v>51</v>
      </c>
      <c r="X1580" s="1" t="s">
        <v>4687</v>
      </c>
      <c r="Y1580" s="1" t="s">
        <v>52</v>
      </c>
    </row>
    <row r="1581" spans="1:25" s="9" customFormat="1" ht="21.3" customHeight="1">
      <c r="A1581" s="27" t="s">
        <v>157</v>
      </c>
      <c r="B1581" s="28" t="s">
        <v>21</v>
      </c>
      <c r="C1581" s="27" t="s">
        <v>4690</v>
      </c>
      <c r="D1581" s="27" t="s">
        <v>9671</v>
      </c>
      <c r="E1581" s="27" t="s">
        <v>9672</v>
      </c>
      <c r="F1581" s="27" t="s">
        <v>4650</v>
      </c>
      <c r="G1581" s="101" t="s">
        <v>4692</v>
      </c>
      <c r="H1581" s="75">
        <v>42501</v>
      </c>
      <c r="I1581" s="73">
        <v>37316</v>
      </c>
      <c r="J1581" s="73">
        <v>37316</v>
      </c>
      <c r="K1581" s="73">
        <v>28665</v>
      </c>
      <c r="L1581" s="11" t="s">
        <v>133</v>
      </c>
      <c r="M1581" s="1" t="s">
        <v>81</v>
      </c>
      <c r="N1581" s="112" t="s">
        <v>14</v>
      </c>
      <c r="O1581" s="104" t="s">
        <v>52</v>
      </c>
      <c r="P1581" s="104" t="s">
        <v>52</v>
      </c>
      <c r="Q1581" s="105"/>
      <c r="R1581" s="28" t="s">
        <v>110</v>
      </c>
      <c r="S1581" s="225">
        <f t="shared" si="24"/>
        <v>50679</v>
      </c>
      <c r="T1581" s="2" t="s">
        <v>7641</v>
      </c>
      <c r="U1581" s="7" t="s">
        <v>128</v>
      </c>
      <c r="V1581" s="162" t="str" cm="1">
        <f t="array" ref="V1581">_xlfn.IFS(C1581="","",COUNTIF(C1581,"ตำแหน่งว่าง*"),"ว่าง",COUNTIF(C1581,"&lt;&gt;ตำแหน่งว่าง*"),"คนครอง")</f>
        <v>คนครอง</v>
      </c>
      <c r="W1581" s="6" cm="1">
        <f t="array" ref="W1581">_xlfn.IFS(COUNTIF(F1581,"ผบ.หมู่*"),51,COUNTIF(F1581,"รอง สว.*"),43)</f>
        <v>51</v>
      </c>
      <c r="X1581" s="1" t="s">
        <v>4691</v>
      </c>
      <c r="Y1581" s="1" t="s">
        <v>52</v>
      </c>
    </row>
    <row r="1582" spans="1:25" s="9" customFormat="1" ht="21.3" customHeight="1">
      <c r="A1582" s="27" t="s">
        <v>60</v>
      </c>
      <c r="B1582" s="28" t="s">
        <v>21</v>
      </c>
      <c r="C1582" s="27" t="s">
        <v>7825</v>
      </c>
      <c r="D1582" s="27" t="s">
        <v>9673</v>
      </c>
      <c r="E1582" s="27" t="s">
        <v>9674</v>
      </c>
      <c r="F1582" s="27" t="s">
        <v>4669</v>
      </c>
      <c r="G1582" s="101" t="s">
        <v>4694</v>
      </c>
      <c r="H1582" s="75">
        <v>42501</v>
      </c>
      <c r="I1582" s="73">
        <v>35095</v>
      </c>
      <c r="J1582" s="73">
        <v>35095</v>
      </c>
      <c r="K1582" s="73">
        <v>26340</v>
      </c>
      <c r="L1582" s="11" t="s">
        <v>133</v>
      </c>
      <c r="M1582" s="1" t="s">
        <v>81</v>
      </c>
      <c r="N1582" s="112" t="s">
        <v>14</v>
      </c>
      <c r="O1582" s="104" t="s">
        <v>52</v>
      </c>
      <c r="P1582" s="104" t="s">
        <v>52</v>
      </c>
      <c r="Q1582" s="105"/>
      <c r="R1582" s="28" t="s">
        <v>110</v>
      </c>
      <c r="S1582" s="225">
        <f t="shared" si="24"/>
        <v>48488</v>
      </c>
      <c r="T1582" s="2" t="s">
        <v>7641</v>
      </c>
      <c r="U1582" s="7" t="s">
        <v>128</v>
      </c>
      <c r="V1582" s="162" t="str" cm="1">
        <f t="array" ref="V1582">_xlfn.IFS(C1582="","",COUNTIF(C1582,"ตำแหน่งว่าง*"),"ว่าง",COUNTIF(C1582,"&lt;&gt;ตำแหน่งว่าง*"),"คนครอง")</f>
        <v>คนครอง</v>
      </c>
      <c r="W1582" s="6" cm="1">
        <f t="array" ref="W1582">_xlfn.IFS(COUNTIF(F1582,"ผบ.หมู่*"),51,COUNTIF(F1582,"รอง สว.*"),43)</f>
        <v>43</v>
      </c>
      <c r="X1582" s="1" t="s">
        <v>4693</v>
      </c>
      <c r="Y1582" s="1" t="s">
        <v>52</v>
      </c>
    </row>
    <row r="1583" spans="1:25" s="9" customFormat="1" ht="21.3" customHeight="1">
      <c r="A1583" s="27" t="s">
        <v>10753</v>
      </c>
      <c r="B1583" s="28" t="s">
        <v>12</v>
      </c>
      <c r="C1583" s="27" t="s">
        <v>4695</v>
      </c>
      <c r="D1583" s="27" t="s">
        <v>8079</v>
      </c>
      <c r="E1583" s="27" t="s">
        <v>9675</v>
      </c>
      <c r="F1583" s="27" t="s">
        <v>4669</v>
      </c>
      <c r="G1583" s="101" t="s">
        <v>4697</v>
      </c>
      <c r="H1583" s="75">
        <v>45016</v>
      </c>
      <c r="I1583" s="73">
        <v>45016</v>
      </c>
      <c r="J1583" s="73">
        <v>34352</v>
      </c>
      <c r="K1583" s="73">
        <v>25687</v>
      </c>
      <c r="L1583" s="11" t="s">
        <v>4698</v>
      </c>
      <c r="M1583" s="1" t="s">
        <v>81</v>
      </c>
      <c r="N1583" s="112" t="s">
        <v>14</v>
      </c>
      <c r="O1583" s="104" t="s">
        <v>52</v>
      </c>
      <c r="P1583" s="104" t="s">
        <v>52</v>
      </c>
      <c r="Q1583" s="105"/>
      <c r="R1583" s="28" t="s">
        <v>483</v>
      </c>
      <c r="S1583" s="225">
        <f t="shared" si="24"/>
        <v>47757</v>
      </c>
      <c r="T1583" s="2" t="s">
        <v>7641</v>
      </c>
      <c r="U1583" s="7" t="s">
        <v>128</v>
      </c>
      <c r="V1583" s="162" t="str" cm="1">
        <f t="array" ref="V1583">_xlfn.IFS(C1583="","",COUNTIF(C1583,"ตำแหน่งว่าง*"),"ว่าง",COUNTIF(C1583,"&lt;&gt;ตำแหน่งว่าง*"),"คนครอง")</f>
        <v>คนครอง</v>
      </c>
      <c r="W1583" s="5" cm="1">
        <f t="array" ref="W1583">_xlfn.IFS(COUNTIF(F1583,"ผบ.หมู่*"),51,COUNTIF(F1583,"รอง สว.*"),43)</f>
        <v>43</v>
      </c>
      <c r="X1583" s="1" t="s">
        <v>4696</v>
      </c>
      <c r="Y1583" s="1" t="s">
        <v>52</v>
      </c>
    </row>
    <row r="1584" spans="1:25" s="9" customFormat="1" ht="21.3" customHeight="1">
      <c r="A1584" s="27" t="s">
        <v>157</v>
      </c>
      <c r="B1584" s="28" t="s">
        <v>21</v>
      </c>
      <c r="C1584" s="27" t="s">
        <v>4699</v>
      </c>
      <c r="D1584" s="27" t="s">
        <v>7981</v>
      </c>
      <c r="E1584" s="27" t="s">
        <v>9676</v>
      </c>
      <c r="F1584" s="27" t="s">
        <v>4650</v>
      </c>
      <c r="G1584" s="101" t="s">
        <v>4701</v>
      </c>
      <c r="H1584" s="75">
        <v>42501</v>
      </c>
      <c r="I1584" s="73">
        <v>39717</v>
      </c>
      <c r="J1584" s="73">
        <v>39717</v>
      </c>
      <c r="K1584" s="73">
        <v>28870</v>
      </c>
      <c r="L1584" s="11" t="s">
        <v>4102</v>
      </c>
      <c r="M1584" s="1" t="s">
        <v>81</v>
      </c>
      <c r="N1584" s="112" t="s">
        <v>14</v>
      </c>
      <c r="O1584" s="104" t="s">
        <v>52</v>
      </c>
      <c r="P1584" s="104" t="s">
        <v>52</v>
      </c>
      <c r="Q1584" s="105"/>
      <c r="R1584" s="28" t="s">
        <v>110</v>
      </c>
      <c r="S1584" s="225">
        <f t="shared" si="24"/>
        <v>51044</v>
      </c>
      <c r="T1584" s="2" t="s">
        <v>7641</v>
      </c>
      <c r="U1584" s="7" t="s">
        <v>128</v>
      </c>
      <c r="V1584" s="162" t="str" cm="1">
        <f t="array" ref="V1584">_xlfn.IFS(C1584="","",COUNTIF(C1584,"ตำแหน่งว่าง*"),"ว่าง",COUNTIF(C1584,"&lt;&gt;ตำแหน่งว่าง*"),"คนครอง")</f>
        <v>คนครอง</v>
      </c>
      <c r="W1584" s="6" cm="1">
        <f t="array" ref="W1584">_xlfn.IFS(COUNTIF(F1584,"ผบ.หมู่*"),51,COUNTIF(F1584,"รอง สว.*"),43)</f>
        <v>51</v>
      </c>
      <c r="X1584" s="1" t="s">
        <v>4700</v>
      </c>
      <c r="Y1584" s="1" t="s">
        <v>52</v>
      </c>
    </row>
    <row r="1585" spans="1:25" s="9" customFormat="1" ht="21.3" customHeight="1">
      <c r="A1585" s="27" t="s">
        <v>157</v>
      </c>
      <c r="B1585" s="28" t="s">
        <v>12</v>
      </c>
      <c r="C1585" s="27" t="s">
        <v>7784</v>
      </c>
      <c r="D1585" s="27" t="s">
        <v>8308</v>
      </c>
      <c r="E1585" s="27" t="s">
        <v>9677</v>
      </c>
      <c r="F1585" s="27" t="s">
        <v>4650</v>
      </c>
      <c r="G1585" s="101" t="s">
        <v>4703</v>
      </c>
      <c r="H1585" s="75">
        <v>45322</v>
      </c>
      <c r="I1585" s="73">
        <v>41214</v>
      </c>
      <c r="J1585" s="73">
        <v>41214</v>
      </c>
      <c r="K1585" s="73">
        <v>34219</v>
      </c>
      <c r="L1585" s="11" t="s">
        <v>82</v>
      </c>
      <c r="M1585" s="1" t="s">
        <v>36</v>
      </c>
      <c r="N1585" s="112" t="s">
        <v>14</v>
      </c>
      <c r="O1585" s="104" t="s">
        <v>52</v>
      </c>
      <c r="P1585" s="104" t="s">
        <v>52</v>
      </c>
      <c r="Q1585" s="105"/>
      <c r="R1585" s="30" t="s">
        <v>7780</v>
      </c>
      <c r="S1585" s="225">
        <f t="shared" si="24"/>
        <v>56158</v>
      </c>
      <c r="T1585" s="2" t="s">
        <v>7641</v>
      </c>
      <c r="U1585" s="7" t="s">
        <v>128</v>
      </c>
      <c r="V1585" s="162" t="str" cm="1">
        <f t="array" ref="V1585">_xlfn.IFS(C1585="","",COUNTIF(C1585,"ตำแหน่งว่าง*"),"ว่าง",COUNTIF(C1585,"&lt;&gt;ตำแหน่งว่าง*"),"คนครอง")</f>
        <v>คนครอง</v>
      </c>
      <c r="W1585" s="6" cm="1">
        <f t="array" ref="W1585">_xlfn.IFS(COUNTIF(F1585,"ผบ.หมู่*"),51,COUNTIF(F1585,"รอง สว.*"),43)</f>
        <v>51</v>
      </c>
      <c r="X1585" s="1" t="s">
        <v>4702</v>
      </c>
      <c r="Y1585" s="1" t="s">
        <v>52</v>
      </c>
    </row>
    <row r="1586" spans="1:25" s="9" customFormat="1" ht="21.3" customHeight="1">
      <c r="A1586" s="27" t="s">
        <v>157</v>
      </c>
      <c r="B1586" s="28" t="s">
        <v>21</v>
      </c>
      <c r="C1586" s="27" t="s">
        <v>613</v>
      </c>
      <c r="D1586" s="27" t="s">
        <v>9678</v>
      </c>
      <c r="E1586" s="27" t="s">
        <v>9679</v>
      </c>
      <c r="F1586" s="27" t="s">
        <v>4611</v>
      </c>
      <c r="G1586" s="101" t="s">
        <v>4613</v>
      </c>
      <c r="H1586" s="91">
        <v>45322</v>
      </c>
      <c r="I1586" s="73">
        <v>41214</v>
      </c>
      <c r="J1586" s="73">
        <v>41214</v>
      </c>
      <c r="K1586" s="73">
        <v>28362</v>
      </c>
      <c r="L1586" s="11" t="s">
        <v>616</v>
      </c>
      <c r="M1586" s="1" t="s">
        <v>73</v>
      </c>
      <c r="N1586" s="112" t="s">
        <v>14</v>
      </c>
      <c r="O1586" s="104" t="s">
        <v>52</v>
      </c>
      <c r="P1586" s="104" t="s">
        <v>52</v>
      </c>
      <c r="Q1586" s="105"/>
      <c r="R1586" s="30" t="s">
        <v>7708</v>
      </c>
      <c r="S1586" s="225">
        <f t="shared" si="24"/>
        <v>50314</v>
      </c>
      <c r="T1586" s="2" t="s">
        <v>7640</v>
      </c>
      <c r="U1586" s="7" t="s">
        <v>128</v>
      </c>
      <c r="V1586" s="162" t="str" cm="1">
        <f t="array" ref="V1586">_xlfn.IFS(C1586="","",COUNTIF(C1586,"ตำแหน่งว่าง*"),"ว่าง",COUNTIF(C1586,"&lt;&gt;ตำแหน่งว่าง*"),"คนครอง")</f>
        <v>คนครอง</v>
      </c>
      <c r="W1586" s="6" cm="1">
        <f t="array" ref="W1586">_xlfn.IFS(COUNTIF(F1586,"ผบ.หมู่*"),51,COUNTIF(F1586,"รอง สว.*"),43)</f>
        <v>51</v>
      </c>
      <c r="X1586" s="1" t="s">
        <v>4612</v>
      </c>
      <c r="Y1586" s="1" t="s">
        <v>52</v>
      </c>
    </row>
    <row r="1587" spans="1:25" s="9" customFormat="1" ht="21.3" customHeight="1">
      <c r="A1587" s="27" t="s">
        <v>157</v>
      </c>
      <c r="B1587" s="28" t="s">
        <v>21</v>
      </c>
      <c r="C1587" s="27" t="s">
        <v>4614</v>
      </c>
      <c r="D1587" s="27" t="s">
        <v>9680</v>
      </c>
      <c r="E1587" s="27" t="s">
        <v>9681</v>
      </c>
      <c r="F1587" s="27" t="s">
        <v>4611</v>
      </c>
      <c r="G1587" s="101" t="s">
        <v>4616</v>
      </c>
      <c r="H1587" s="91">
        <v>43871</v>
      </c>
      <c r="I1587" s="73">
        <v>35095</v>
      </c>
      <c r="J1587" s="73">
        <v>35095</v>
      </c>
      <c r="K1587" s="73">
        <v>26043</v>
      </c>
      <c r="L1587" s="11" t="s">
        <v>4042</v>
      </c>
      <c r="M1587" s="1" t="s">
        <v>127</v>
      </c>
      <c r="N1587" s="112" t="s">
        <v>14</v>
      </c>
      <c r="O1587" s="104" t="s">
        <v>52</v>
      </c>
      <c r="P1587" s="104" t="s">
        <v>52</v>
      </c>
      <c r="Q1587" s="105"/>
      <c r="R1587" s="28" t="s">
        <v>688</v>
      </c>
      <c r="S1587" s="225">
        <f t="shared" si="24"/>
        <v>48122</v>
      </c>
      <c r="T1587" s="2" t="s">
        <v>7640</v>
      </c>
      <c r="U1587" s="7" t="s">
        <v>128</v>
      </c>
      <c r="V1587" s="162" t="str" cm="1">
        <f t="array" ref="V1587">_xlfn.IFS(C1587="","",COUNTIF(C1587,"ตำแหน่งว่าง*"),"ว่าง",COUNTIF(C1587,"&lt;&gt;ตำแหน่งว่าง*"),"คนครอง")</f>
        <v>คนครอง</v>
      </c>
      <c r="W1587" s="6" cm="1">
        <f t="array" ref="W1587">_xlfn.IFS(COUNTIF(F1587,"ผบ.หมู่*"),51,COUNTIF(F1587,"รอง สว.*"),43)</f>
        <v>51</v>
      </c>
      <c r="X1587" s="1" t="s">
        <v>4615</v>
      </c>
      <c r="Y1587" s="1" t="s">
        <v>52</v>
      </c>
    </row>
    <row r="1588" spans="1:25" s="9" customFormat="1" ht="21.3" customHeight="1">
      <c r="A1588" s="27"/>
      <c r="B1588" s="28"/>
      <c r="C1588" s="30" t="s">
        <v>18</v>
      </c>
      <c r="D1588" s="27"/>
      <c r="E1588" s="27"/>
      <c r="F1588" s="27" t="s">
        <v>4611</v>
      </c>
      <c r="G1588" s="101" t="s">
        <v>4618</v>
      </c>
      <c r="H1588" s="91"/>
      <c r="I1588" s="73"/>
      <c r="J1588" s="73"/>
      <c r="K1588" s="73"/>
      <c r="L1588" s="11"/>
      <c r="M1588" s="1"/>
      <c r="N1588" s="112" t="s">
        <v>14</v>
      </c>
      <c r="O1588" s="104" t="s">
        <v>52</v>
      </c>
      <c r="P1588" s="104" t="s">
        <v>52</v>
      </c>
      <c r="Q1588" s="105"/>
      <c r="R1588" s="28"/>
      <c r="S1588" s="225" t="str">
        <f t="shared" si="24"/>
        <v/>
      </c>
      <c r="T1588" s="2" t="s">
        <v>7640</v>
      </c>
      <c r="U1588" s="7" t="s">
        <v>128</v>
      </c>
      <c r="V1588" s="162" t="str" cm="1">
        <f t="array" ref="V1588">_xlfn.IFS(C1588="","",COUNTIF(C1588,"ตำแหน่งว่าง*"),"ว่าง",COUNTIF(C1588,"&lt;&gt;ตำแหน่งว่าง*"),"คนครอง")</f>
        <v>ว่าง</v>
      </c>
      <c r="W1588" s="6" cm="1">
        <f t="array" ref="W1588">_xlfn.IFS(COUNTIF(F1588,"ผบ.หมู่*"),51,COUNTIF(F1588,"รอง สว.*"),43)</f>
        <v>51</v>
      </c>
      <c r="X1588" s="1" t="s">
        <v>4617</v>
      </c>
      <c r="Y1588" s="1" t="s">
        <v>52</v>
      </c>
    </row>
    <row r="1589" spans="1:25" s="9" customFormat="1" ht="21.3" customHeight="1">
      <c r="A1589" s="27" t="s">
        <v>157</v>
      </c>
      <c r="B1589" s="28" t="s">
        <v>12</v>
      </c>
      <c r="C1589" s="27" t="s">
        <v>7782</v>
      </c>
      <c r="D1589" s="27" t="s">
        <v>9682</v>
      </c>
      <c r="E1589" s="27" t="s">
        <v>9683</v>
      </c>
      <c r="F1589" s="27" t="s">
        <v>4611</v>
      </c>
      <c r="G1589" s="101" t="s">
        <v>4620</v>
      </c>
      <c r="H1589" s="75">
        <v>45322</v>
      </c>
      <c r="I1589" s="73">
        <v>36192</v>
      </c>
      <c r="J1589" s="73">
        <v>36192</v>
      </c>
      <c r="K1589" s="73">
        <v>26665</v>
      </c>
      <c r="L1589" s="11" t="s">
        <v>82</v>
      </c>
      <c r="M1589" s="1" t="s">
        <v>94</v>
      </c>
      <c r="N1589" s="112" t="s">
        <v>14</v>
      </c>
      <c r="O1589" s="104" t="s">
        <v>52</v>
      </c>
      <c r="P1589" s="104" t="s">
        <v>52</v>
      </c>
      <c r="Q1589" s="105"/>
      <c r="R1589" s="30" t="s">
        <v>7780</v>
      </c>
      <c r="S1589" s="225">
        <f t="shared" si="24"/>
        <v>48853</v>
      </c>
      <c r="T1589" s="2" t="s">
        <v>7640</v>
      </c>
      <c r="U1589" s="7" t="s">
        <v>128</v>
      </c>
      <c r="V1589" s="162" t="str" cm="1">
        <f t="array" ref="V1589">_xlfn.IFS(C1589="","",COUNTIF(C1589,"ตำแหน่งว่าง*"),"ว่าง",COUNTIF(C1589,"&lt;&gt;ตำแหน่งว่าง*"),"คนครอง")</f>
        <v>คนครอง</v>
      </c>
      <c r="W1589" s="6" cm="1">
        <f t="array" ref="W1589">_xlfn.IFS(COUNTIF(F1589,"ผบ.หมู่*"),51,COUNTIF(F1589,"รอง สว.*"),43)</f>
        <v>51</v>
      </c>
      <c r="X1589" s="1" t="s">
        <v>4619</v>
      </c>
      <c r="Y1589" s="1" t="s">
        <v>52</v>
      </c>
    </row>
    <row r="1590" spans="1:25" s="9" customFormat="1" ht="21.3" customHeight="1">
      <c r="A1590" s="27" t="s">
        <v>612</v>
      </c>
      <c r="B1590" s="28" t="s">
        <v>12</v>
      </c>
      <c r="C1590" s="27" t="s">
        <v>4621</v>
      </c>
      <c r="D1590" s="27" t="s">
        <v>9684</v>
      </c>
      <c r="E1590" s="27" t="s">
        <v>9685</v>
      </c>
      <c r="F1590" s="27" t="s">
        <v>4611</v>
      </c>
      <c r="G1590" s="101" t="s">
        <v>4623</v>
      </c>
      <c r="H1590" s="75">
        <v>44243</v>
      </c>
      <c r="I1590" s="73">
        <v>42416</v>
      </c>
      <c r="J1590" s="73">
        <v>42416</v>
      </c>
      <c r="K1590" s="73">
        <v>34582</v>
      </c>
      <c r="L1590" s="11" t="s">
        <v>3316</v>
      </c>
      <c r="M1590" s="1" t="s">
        <v>127</v>
      </c>
      <c r="N1590" s="112" t="s">
        <v>14</v>
      </c>
      <c r="O1590" s="104" t="s">
        <v>52</v>
      </c>
      <c r="P1590" s="104" t="s">
        <v>52</v>
      </c>
      <c r="Q1590" s="105"/>
      <c r="R1590" s="28" t="s">
        <v>617</v>
      </c>
      <c r="S1590" s="225">
        <f t="shared" si="24"/>
        <v>56523</v>
      </c>
      <c r="T1590" s="2" t="s">
        <v>7640</v>
      </c>
      <c r="U1590" s="7" t="s">
        <v>128</v>
      </c>
      <c r="V1590" s="162" t="str" cm="1">
        <f t="array" ref="V1590">_xlfn.IFS(C1590="","",COUNTIF(C1590,"ตำแหน่งว่าง*"),"ว่าง",COUNTIF(C1590,"&lt;&gt;ตำแหน่งว่าง*"),"คนครอง")</f>
        <v>คนครอง</v>
      </c>
      <c r="W1590" s="6" cm="1">
        <f t="array" ref="W1590">_xlfn.IFS(COUNTIF(F1590,"ผบ.หมู่*"),51,COUNTIF(F1590,"รอง สว.*"),43)</f>
        <v>51</v>
      </c>
      <c r="X1590" s="1" t="s">
        <v>4622</v>
      </c>
      <c r="Y1590" s="1" t="s">
        <v>52</v>
      </c>
    </row>
    <row r="1591" spans="1:25" s="10" customFormat="1" ht="21.3" customHeight="1">
      <c r="A1591" s="68"/>
      <c r="B1591" s="30"/>
      <c r="C1591" s="68" t="s">
        <v>18</v>
      </c>
      <c r="D1591" s="27"/>
      <c r="E1591" s="27"/>
      <c r="F1591" s="68" t="s">
        <v>4611</v>
      </c>
      <c r="G1591" s="121" t="s">
        <v>4625</v>
      </c>
      <c r="H1591" s="93"/>
      <c r="I1591" s="74" t="s">
        <v>19</v>
      </c>
      <c r="J1591" s="74" t="s">
        <v>19</v>
      </c>
      <c r="K1591" s="74" t="s">
        <v>19</v>
      </c>
      <c r="L1591" s="16"/>
      <c r="M1591" s="6"/>
      <c r="N1591" s="113" t="s">
        <v>14</v>
      </c>
      <c r="O1591" s="122" t="s">
        <v>52</v>
      </c>
      <c r="P1591" s="122" t="s">
        <v>52</v>
      </c>
      <c r="Q1591" s="106"/>
      <c r="R1591" s="30"/>
      <c r="S1591" s="225" t="str">
        <f t="shared" si="24"/>
        <v/>
      </c>
      <c r="T1591" s="7" t="s">
        <v>7640</v>
      </c>
      <c r="U1591" s="7" t="s">
        <v>128</v>
      </c>
      <c r="V1591" s="171" t="str" cm="1">
        <f t="array" ref="V1591">_xlfn.IFS(C1591="","",COUNTIF(C1591,"ตำแหน่งว่าง*"),"ว่าง",COUNTIF(C1591,"&lt;&gt;ตำแหน่งว่าง*"),"คนครอง")</f>
        <v>ว่าง</v>
      </c>
      <c r="W1591" s="6" cm="1">
        <f t="array" ref="W1591">_xlfn.IFS(COUNTIF(F1591,"ผบ.หมู่*"),51,COUNTIF(F1591,"รอง สว.*"),43)</f>
        <v>51</v>
      </c>
      <c r="X1591" s="6" t="s">
        <v>4624</v>
      </c>
      <c r="Y1591" s="6" t="s">
        <v>52</v>
      </c>
    </row>
    <row r="1592" spans="1:25" s="9" customFormat="1" ht="21.3" customHeight="1">
      <c r="A1592" s="27" t="s">
        <v>26</v>
      </c>
      <c r="B1592" s="28" t="s">
        <v>12</v>
      </c>
      <c r="C1592" s="27" t="s">
        <v>4626</v>
      </c>
      <c r="D1592" s="27" t="s">
        <v>8356</v>
      </c>
      <c r="E1592" s="27" t="s">
        <v>9686</v>
      </c>
      <c r="F1592" s="27" t="s">
        <v>4627</v>
      </c>
      <c r="G1592" s="101" t="s">
        <v>4629</v>
      </c>
      <c r="H1592" s="91">
        <v>43921</v>
      </c>
      <c r="I1592" s="73">
        <v>43921</v>
      </c>
      <c r="J1592" s="73">
        <v>34352</v>
      </c>
      <c r="K1592" s="73">
        <v>24689</v>
      </c>
      <c r="L1592" s="11" t="s">
        <v>4225</v>
      </c>
      <c r="M1592" s="1" t="s">
        <v>127</v>
      </c>
      <c r="N1592" s="112" t="s">
        <v>14</v>
      </c>
      <c r="O1592" s="104" t="s">
        <v>52</v>
      </c>
      <c r="P1592" s="104" t="s">
        <v>52</v>
      </c>
      <c r="Q1592" s="105"/>
      <c r="R1592" s="28" t="s">
        <v>2700</v>
      </c>
      <c r="S1592" s="225">
        <f t="shared" si="24"/>
        <v>46661</v>
      </c>
      <c r="T1592" s="2" t="s">
        <v>7640</v>
      </c>
      <c r="U1592" s="7" t="s">
        <v>128</v>
      </c>
      <c r="V1592" s="162" t="str" cm="1">
        <f t="array" ref="V1592">_xlfn.IFS(C1592="","",COUNTIF(C1592,"ตำแหน่งว่าง*"),"ว่าง",COUNTIF(C1592,"&lt;&gt;ตำแหน่งว่าง*"),"คนครอง")</f>
        <v>คนครอง</v>
      </c>
      <c r="W1592" s="5" cm="1">
        <f t="array" ref="W1592">_xlfn.IFS(COUNTIF(F1592,"ผบ.หมู่*"),51,COUNTIF(F1592,"รอง สว.*"),43)</f>
        <v>43</v>
      </c>
      <c r="X1592" s="1" t="s">
        <v>4628</v>
      </c>
      <c r="Y1592" s="1" t="s">
        <v>52</v>
      </c>
    </row>
    <row r="1593" spans="1:25" s="9" customFormat="1" ht="21.3" customHeight="1">
      <c r="A1593" s="27" t="s">
        <v>612</v>
      </c>
      <c r="B1593" s="28" t="s">
        <v>12</v>
      </c>
      <c r="C1593" s="27" t="s">
        <v>4630</v>
      </c>
      <c r="D1593" s="27" t="s">
        <v>8308</v>
      </c>
      <c r="E1593" s="27" t="s">
        <v>9687</v>
      </c>
      <c r="F1593" s="27" t="s">
        <v>4611</v>
      </c>
      <c r="G1593" s="101" t="s">
        <v>4632</v>
      </c>
      <c r="H1593" s="91">
        <v>42501</v>
      </c>
      <c r="I1593" s="73">
        <v>42416</v>
      </c>
      <c r="J1593" s="73">
        <v>42416</v>
      </c>
      <c r="K1593" s="73">
        <v>33389</v>
      </c>
      <c r="L1593" s="11" t="s">
        <v>3316</v>
      </c>
      <c r="M1593" s="1" t="s">
        <v>81</v>
      </c>
      <c r="N1593" s="112" t="s">
        <v>14</v>
      </c>
      <c r="O1593" s="104" t="s">
        <v>52</v>
      </c>
      <c r="P1593" s="104" t="s">
        <v>52</v>
      </c>
      <c r="Q1593" s="105"/>
      <c r="R1593" s="28" t="s">
        <v>110</v>
      </c>
      <c r="S1593" s="225">
        <f t="shared" si="24"/>
        <v>55427</v>
      </c>
      <c r="T1593" s="2" t="s">
        <v>7640</v>
      </c>
      <c r="U1593" s="7" t="s">
        <v>128</v>
      </c>
      <c r="V1593" s="162" t="str" cm="1">
        <f t="array" ref="V1593">_xlfn.IFS(C1593="","",COUNTIF(C1593,"ตำแหน่งว่าง*"),"ว่าง",COUNTIF(C1593,"&lt;&gt;ตำแหน่งว่าง*"),"คนครอง")</f>
        <v>คนครอง</v>
      </c>
      <c r="W1593" s="6" cm="1">
        <f t="array" ref="W1593">_xlfn.IFS(COUNTIF(F1593,"ผบ.หมู่*"),51,COUNTIF(F1593,"รอง สว.*"),43)</f>
        <v>51</v>
      </c>
      <c r="X1593" s="1" t="s">
        <v>4631</v>
      </c>
      <c r="Y1593" s="1" t="s">
        <v>52</v>
      </c>
    </row>
    <row r="1594" spans="1:25" s="9" customFormat="1" ht="21.3" customHeight="1">
      <c r="A1594" s="27" t="s">
        <v>157</v>
      </c>
      <c r="B1594" s="28" t="s">
        <v>21</v>
      </c>
      <c r="C1594" s="27" t="s">
        <v>4633</v>
      </c>
      <c r="D1594" s="27" t="s">
        <v>9688</v>
      </c>
      <c r="E1594" s="27" t="s">
        <v>9689</v>
      </c>
      <c r="F1594" s="27" t="s">
        <v>4611</v>
      </c>
      <c r="G1594" s="101" t="s">
        <v>4635</v>
      </c>
      <c r="H1594" s="91">
        <v>42501</v>
      </c>
      <c r="I1594" s="73">
        <v>37316</v>
      </c>
      <c r="J1594" s="73">
        <v>37316</v>
      </c>
      <c r="K1594" s="73">
        <v>28979</v>
      </c>
      <c r="L1594" s="11" t="s">
        <v>112</v>
      </c>
      <c r="M1594" s="1" t="s">
        <v>127</v>
      </c>
      <c r="N1594" s="112" t="s">
        <v>14</v>
      </c>
      <c r="O1594" s="104" t="s">
        <v>52</v>
      </c>
      <c r="P1594" s="104" t="s">
        <v>52</v>
      </c>
      <c r="Q1594" s="105"/>
      <c r="R1594" s="28" t="s">
        <v>110</v>
      </c>
      <c r="S1594" s="225">
        <f t="shared" si="24"/>
        <v>51044</v>
      </c>
      <c r="T1594" s="2" t="s">
        <v>7640</v>
      </c>
      <c r="U1594" s="7" t="s">
        <v>128</v>
      </c>
      <c r="V1594" s="162" t="str" cm="1">
        <f t="array" ref="V1594">_xlfn.IFS(C1594="","",COUNTIF(C1594,"ตำแหน่งว่าง*"),"ว่าง",COUNTIF(C1594,"&lt;&gt;ตำแหน่งว่าง*"),"คนครอง")</f>
        <v>คนครอง</v>
      </c>
      <c r="W1594" s="6" cm="1">
        <f t="array" ref="W1594">_xlfn.IFS(COUNTIF(F1594,"ผบ.หมู่*"),51,COUNTIF(F1594,"รอง สว.*"),43)</f>
        <v>51</v>
      </c>
      <c r="X1594" s="1" t="s">
        <v>4634</v>
      </c>
      <c r="Y1594" s="1" t="s">
        <v>52</v>
      </c>
    </row>
    <row r="1595" spans="1:25" s="12" customFormat="1" ht="21.3" customHeight="1">
      <c r="A1595" s="27" t="s">
        <v>182</v>
      </c>
      <c r="B1595" s="28" t="s">
        <v>12</v>
      </c>
      <c r="C1595" s="27" t="s">
        <v>10763</v>
      </c>
      <c r="D1595" s="27" t="s">
        <v>10764</v>
      </c>
      <c r="E1595" s="27" t="s">
        <v>10765</v>
      </c>
      <c r="F1595" s="27" t="s">
        <v>4611</v>
      </c>
      <c r="G1595" s="101" t="s">
        <v>4637</v>
      </c>
      <c r="H1595" s="75">
        <v>45768</v>
      </c>
      <c r="I1595" s="73" t="s">
        <v>7609</v>
      </c>
      <c r="J1595" s="73" t="s">
        <v>7609</v>
      </c>
      <c r="K1595" s="73">
        <v>34872</v>
      </c>
      <c r="L1595" s="11" t="s">
        <v>7609</v>
      </c>
      <c r="M1595" s="1" t="s">
        <v>7609</v>
      </c>
      <c r="N1595" s="112" t="s">
        <v>14</v>
      </c>
      <c r="O1595" s="104" t="s">
        <v>52</v>
      </c>
      <c r="P1595" s="104" t="s">
        <v>52</v>
      </c>
      <c r="Q1595" s="105"/>
      <c r="R1595" s="28" t="s">
        <v>10804</v>
      </c>
      <c r="S1595" s="174">
        <f t="shared" si="24"/>
        <v>56888</v>
      </c>
      <c r="T1595" s="2" t="s">
        <v>7640</v>
      </c>
      <c r="U1595" s="2" t="s">
        <v>128</v>
      </c>
      <c r="V1595" s="203" t="str" cm="1">
        <f t="array" ref="V1595">_xlfn.IFS(C1595="","",COUNTIF(C1595,"ตำแหน่งว่าง*"),"ว่าง",COUNTIF(C1595,"&lt;&gt;ตำแหน่งว่าง*"),"คนครอง")</f>
        <v>คนครอง</v>
      </c>
      <c r="W1595" s="1" cm="1">
        <f t="array" ref="W1595">_xlfn.IFS(COUNTIF(F1595,"ผบ.หมู่*"),51,COUNTIF(F1595,"รอง สว.*"),43)</f>
        <v>51</v>
      </c>
      <c r="X1595" s="1" t="s">
        <v>4636</v>
      </c>
      <c r="Y1595" s="1" t="s">
        <v>52</v>
      </c>
    </row>
    <row r="1596" spans="1:25" s="9" customFormat="1" ht="21.3" customHeight="1">
      <c r="A1596" s="27" t="s">
        <v>208</v>
      </c>
      <c r="B1596" s="28" t="s">
        <v>12</v>
      </c>
      <c r="C1596" s="27" t="s">
        <v>10792</v>
      </c>
      <c r="D1596" s="27" t="s">
        <v>10793</v>
      </c>
      <c r="E1596" s="27" t="s">
        <v>8090</v>
      </c>
      <c r="F1596" s="27" t="s">
        <v>4611</v>
      </c>
      <c r="G1596" s="101" t="s">
        <v>4640</v>
      </c>
      <c r="H1596" s="75">
        <v>45768</v>
      </c>
      <c r="I1596" s="73" t="s">
        <v>7609</v>
      </c>
      <c r="J1596" s="73" t="s">
        <v>7609</v>
      </c>
      <c r="K1596" s="73">
        <v>35935</v>
      </c>
      <c r="L1596" s="11" t="s">
        <v>7609</v>
      </c>
      <c r="M1596" s="1" t="s">
        <v>7609</v>
      </c>
      <c r="N1596" s="112" t="s">
        <v>14</v>
      </c>
      <c r="O1596" s="104" t="s">
        <v>52</v>
      </c>
      <c r="P1596" s="104" t="s">
        <v>52</v>
      </c>
      <c r="Q1596" s="105"/>
      <c r="R1596" s="28" t="s">
        <v>10804</v>
      </c>
      <c r="S1596" s="174">
        <f t="shared" si="24"/>
        <v>57984</v>
      </c>
      <c r="T1596" s="2" t="s">
        <v>7640</v>
      </c>
      <c r="U1596" s="2" t="s">
        <v>128</v>
      </c>
      <c r="V1596" s="203" t="str" cm="1">
        <f t="array" ref="V1596">_xlfn.IFS(C1596="","",COUNTIF(C1596,"ตำแหน่งว่าง*"),"ว่าง",COUNTIF(C1596,"&lt;&gt;ตำแหน่งว่าง*"),"คนครอง")</f>
        <v>คนครอง</v>
      </c>
      <c r="W1596" s="1" cm="1">
        <f t="array" ref="W1596">_xlfn.IFS(COUNTIF(F1596,"ผบ.หมู่*"),51,COUNTIF(F1596,"รอง สว.*"),43)</f>
        <v>51</v>
      </c>
      <c r="X1596" s="1" t="s">
        <v>4639</v>
      </c>
      <c r="Y1596" s="1" t="s">
        <v>52</v>
      </c>
    </row>
    <row r="1597" spans="1:25" s="9" customFormat="1" ht="21.3" customHeight="1">
      <c r="A1597" s="68"/>
      <c r="B1597" s="30"/>
      <c r="C1597" s="68" t="s">
        <v>18</v>
      </c>
      <c r="D1597" s="27"/>
      <c r="E1597" s="27"/>
      <c r="F1597" s="68" t="s">
        <v>4611</v>
      </c>
      <c r="G1597" s="121" t="s">
        <v>4643</v>
      </c>
      <c r="H1597" s="93" t="s">
        <v>19</v>
      </c>
      <c r="I1597" s="74" t="s">
        <v>19</v>
      </c>
      <c r="J1597" s="74" t="s">
        <v>19</v>
      </c>
      <c r="K1597" s="74" t="s">
        <v>19</v>
      </c>
      <c r="L1597" s="16"/>
      <c r="M1597" s="6"/>
      <c r="N1597" s="113" t="s">
        <v>14</v>
      </c>
      <c r="O1597" s="122" t="s">
        <v>52</v>
      </c>
      <c r="P1597" s="122" t="s">
        <v>52</v>
      </c>
      <c r="Q1597" s="106"/>
      <c r="R1597" s="30"/>
      <c r="S1597" s="225" t="str">
        <f t="shared" si="24"/>
        <v/>
      </c>
      <c r="T1597" s="2" t="s">
        <v>7640</v>
      </c>
      <c r="U1597" s="7" t="s">
        <v>128</v>
      </c>
      <c r="V1597" s="171" t="str" cm="1">
        <f t="array" ref="V1597">_xlfn.IFS(C1597="","",COUNTIF(C1597,"ตำแหน่งว่าง*"),"ว่าง",COUNTIF(C1597,"&lt;&gt;ตำแหน่งว่าง*"),"คนครอง")</f>
        <v>ว่าง</v>
      </c>
      <c r="W1597" s="6" cm="1">
        <f t="array" ref="W1597">_xlfn.IFS(COUNTIF(F1597,"ผบ.หมู่*"),51,COUNTIF(F1597,"รอง สว.*"),43)</f>
        <v>51</v>
      </c>
      <c r="X1597" s="6" t="s">
        <v>4642</v>
      </c>
      <c r="Y1597" s="6" t="s">
        <v>52</v>
      </c>
    </row>
    <row r="1598" spans="1:25" s="10" customFormat="1" ht="21.3" customHeight="1">
      <c r="A1598" s="27" t="s">
        <v>157</v>
      </c>
      <c r="B1598" s="28" t="s">
        <v>12</v>
      </c>
      <c r="C1598" s="27" t="s">
        <v>4644</v>
      </c>
      <c r="D1598" s="27" t="s">
        <v>8162</v>
      </c>
      <c r="E1598" s="27" t="s">
        <v>9690</v>
      </c>
      <c r="F1598" s="27" t="s">
        <v>4611</v>
      </c>
      <c r="G1598" s="101" t="s">
        <v>4646</v>
      </c>
      <c r="H1598" s="91">
        <v>44999</v>
      </c>
      <c r="I1598" s="73">
        <v>41954</v>
      </c>
      <c r="J1598" s="73">
        <v>41954</v>
      </c>
      <c r="K1598" s="73">
        <v>34342</v>
      </c>
      <c r="L1598" s="11" t="s">
        <v>82</v>
      </c>
      <c r="M1598" s="1" t="s">
        <v>127</v>
      </c>
      <c r="N1598" s="112" t="s">
        <v>14</v>
      </c>
      <c r="O1598" s="104" t="s">
        <v>52</v>
      </c>
      <c r="P1598" s="104" t="s">
        <v>52</v>
      </c>
      <c r="Q1598" s="105"/>
      <c r="R1598" s="28" t="s">
        <v>74</v>
      </c>
      <c r="S1598" s="225">
        <f t="shared" si="24"/>
        <v>56523</v>
      </c>
      <c r="T1598" s="7" t="s">
        <v>7640</v>
      </c>
      <c r="U1598" s="7" t="s">
        <v>128</v>
      </c>
      <c r="V1598" s="162" t="str" cm="1">
        <f t="array" ref="V1598">_xlfn.IFS(C1598="","",COUNTIF(C1598,"ตำแหน่งว่าง*"),"ว่าง",COUNTIF(C1598,"&lt;&gt;ตำแหน่งว่าง*"),"คนครอง")</f>
        <v>คนครอง</v>
      </c>
      <c r="W1598" s="6" cm="1">
        <f t="array" ref="W1598">_xlfn.IFS(COUNTIF(F1598,"ผบ.หมู่*"),51,COUNTIF(F1598,"รอง สว.*"),43)</f>
        <v>51</v>
      </c>
      <c r="X1598" s="1" t="s">
        <v>4645</v>
      </c>
      <c r="Y1598" s="1" t="s">
        <v>52</v>
      </c>
    </row>
    <row r="1599" spans="1:25" s="10" customFormat="1" ht="21.3" customHeight="1">
      <c r="A1599" s="27"/>
      <c r="B1599" s="28"/>
      <c r="C1599" s="30" t="s">
        <v>18</v>
      </c>
      <c r="D1599" s="27"/>
      <c r="E1599" s="27"/>
      <c r="F1599" s="68" t="s">
        <v>4611</v>
      </c>
      <c r="G1599" s="121" t="s">
        <v>4648</v>
      </c>
      <c r="H1599" s="91" t="s">
        <v>19</v>
      </c>
      <c r="I1599" s="73" t="s">
        <v>19</v>
      </c>
      <c r="J1599" s="73" t="s">
        <v>19</v>
      </c>
      <c r="K1599" s="73" t="s">
        <v>19</v>
      </c>
      <c r="L1599" s="11"/>
      <c r="M1599" s="1"/>
      <c r="N1599" s="113" t="s">
        <v>14</v>
      </c>
      <c r="O1599" s="122" t="s">
        <v>52</v>
      </c>
      <c r="P1599" s="122" t="s">
        <v>52</v>
      </c>
      <c r="Q1599" s="105"/>
      <c r="R1599" s="28"/>
      <c r="S1599" s="225" t="str">
        <f t="shared" si="24"/>
        <v/>
      </c>
      <c r="T1599" s="7" t="s">
        <v>7640</v>
      </c>
      <c r="U1599" s="7" t="s">
        <v>128</v>
      </c>
      <c r="V1599" s="171" t="str" cm="1">
        <f t="array" ref="V1599">_xlfn.IFS(C1599="","",COUNTIF(C1599,"ตำแหน่งว่าง*"),"ว่าง",COUNTIF(C1599,"&lt;&gt;ตำแหน่งว่าง*"),"คนครอง")</f>
        <v>ว่าง</v>
      </c>
      <c r="W1599" s="6" cm="1">
        <f t="array" ref="W1599">_xlfn.IFS(COUNTIF(F1599,"ผบ.หมู่*"),51,COUNTIF(F1599,"รอง สว.*"),43)</f>
        <v>51</v>
      </c>
      <c r="X1599" s="6" t="s">
        <v>4647</v>
      </c>
      <c r="Y1599" s="6" t="s">
        <v>52</v>
      </c>
    </row>
    <row r="1600" spans="1:25" s="9" customFormat="1" ht="21.3" customHeight="1">
      <c r="A1600" s="27" t="s">
        <v>60</v>
      </c>
      <c r="B1600" s="28" t="s">
        <v>21</v>
      </c>
      <c r="C1600" s="27" t="s">
        <v>7824</v>
      </c>
      <c r="D1600" s="27" t="s">
        <v>9691</v>
      </c>
      <c r="E1600" s="27" t="s">
        <v>9692</v>
      </c>
      <c r="F1600" s="27" t="s">
        <v>4425</v>
      </c>
      <c r="G1600" s="101" t="s">
        <v>4417</v>
      </c>
      <c r="H1600" s="91">
        <v>42501</v>
      </c>
      <c r="I1600" s="73">
        <v>35095</v>
      </c>
      <c r="J1600" s="73">
        <v>35095</v>
      </c>
      <c r="K1600" s="73">
        <v>26235</v>
      </c>
      <c r="L1600" s="11" t="s">
        <v>4418</v>
      </c>
      <c r="M1600" s="1" t="s">
        <v>124</v>
      </c>
      <c r="N1600" s="112" t="s">
        <v>14</v>
      </c>
      <c r="O1600" s="104" t="s">
        <v>52</v>
      </c>
      <c r="P1600" s="104" t="s">
        <v>52</v>
      </c>
      <c r="Q1600" s="105"/>
      <c r="R1600" s="28" t="s">
        <v>110</v>
      </c>
      <c r="S1600" s="225">
        <f t="shared" si="24"/>
        <v>48488</v>
      </c>
      <c r="T1600" s="2" t="s">
        <v>7636</v>
      </c>
      <c r="U1600" s="7" t="s">
        <v>128</v>
      </c>
      <c r="V1600" s="162" t="str" cm="1">
        <f t="array" ref="V1600">_xlfn.IFS(C1600="","",COUNTIF(C1600,"ตำแหน่งว่าง*"),"ว่าง",COUNTIF(C1600,"&lt;&gt;ตำแหน่งว่าง*"),"คนครอง")</f>
        <v>คนครอง</v>
      </c>
      <c r="W1600" s="6" cm="1">
        <f t="array" ref="W1600">_xlfn.IFS(COUNTIF(F1600,"ผบ.หมู่*"),51,COUNTIF(F1600,"รอง สว.*"),43)</f>
        <v>43</v>
      </c>
      <c r="X1600" s="1" t="s">
        <v>4416</v>
      </c>
      <c r="Y1600" s="1" t="s">
        <v>52</v>
      </c>
    </row>
    <row r="1601" spans="1:25" s="9" customFormat="1" ht="21.3" customHeight="1">
      <c r="A1601" s="192" t="s">
        <v>169</v>
      </c>
      <c r="B1601" s="193" t="s">
        <v>21</v>
      </c>
      <c r="C1601" s="192" t="s">
        <v>7933</v>
      </c>
      <c r="D1601" s="27" t="s">
        <v>9693</v>
      </c>
      <c r="E1601" s="27" t="s">
        <v>9694</v>
      </c>
      <c r="F1601" s="192" t="s">
        <v>4415</v>
      </c>
      <c r="G1601" s="101" t="s">
        <v>4420</v>
      </c>
      <c r="H1601" s="73">
        <v>45463</v>
      </c>
      <c r="I1601" s="73">
        <v>45463</v>
      </c>
      <c r="J1601" s="73">
        <v>45463</v>
      </c>
      <c r="K1601" s="73">
        <v>36408</v>
      </c>
      <c r="L1601" s="2" t="s">
        <v>82</v>
      </c>
      <c r="M1601" s="1"/>
      <c r="N1601" s="112" t="s">
        <v>14</v>
      </c>
      <c r="O1601" s="104" t="s">
        <v>52</v>
      </c>
      <c r="P1601" s="104" t="s">
        <v>52</v>
      </c>
      <c r="Q1601" s="105"/>
      <c r="R1601" s="28" t="s">
        <v>7961</v>
      </c>
      <c r="S1601" s="174">
        <f t="shared" si="24"/>
        <v>58349</v>
      </c>
      <c r="T1601" s="2" t="s">
        <v>7636</v>
      </c>
      <c r="U1601" s="2" t="s">
        <v>128</v>
      </c>
      <c r="V1601" s="162" t="str" cm="1">
        <f t="array" ref="V1601">_xlfn.IFS(C1601="","",COUNTIF(C1601,"ตำแหน่งว่าง*"),"ว่าง",COUNTIF(C1601,"&lt;&gt;ตำแหน่งว่าง*"),"คนครอง")</f>
        <v>คนครอง</v>
      </c>
      <c r="W1601" s="1" cm="1">
        <f t="array" ref="W1601">_xlfn.IFS(COUNTIF(F1601,"ผบ.หมู่*"),51,COUNTIF(F1601,"รอง สว.*"),43)</f>
        <v>51</v>
      </c>
      <c r="X1601" s="1" t="s">
        <v>4419</v>
      </c>
      <c r="Y1601" s="1" t="s">
        <v>52</v>
      </c>
    </row>
    <row r="1602" spans="1:25" s="9" customFormat="1" ht="21.3" customHeight="1">
      <c r="A1602" s="192" t="s">
        <v>169</v>
      </c>
      <c r="B1602" s="193" t="s">
        <v>21</v>
      </c>
      <c r="C1602" s="192" t="s">
        <v>7934</v>
      </c>
      <c r="D1602" s="27" t="s">
        <v>8182</v>
      </c>
      <c r="E1602" s="27" t="s">
        <v>9695</v>
      </c>
      <c r="F1602" s="192" t="s">
        <v>4415</v>
      </c>
      <c r="G1602" s="101" t="s">
        <v>4422</v>
      </c>
      <c r="H1602" s="73">
        <v>45463</v>
      </c>
      <c r="I1602" s="73">
        <v>45463</v>
      </c>
      <c r="J1602" s="73">
        <v>45463</v>
      </c>
      <c r="K1602" s="73">
        <v>35864</v>
      </c>
      <c r="L1602" s="2" t="s">
        <v>82</v>
      </c>
      <c r="M1602" s="1"/>
      <c r="N1602" s="112" t="s">
        <v>14</v>
      </c>
      <c r="O1602" s="104" t="s">
        <v>52</v>
      </c>
      <c r="P1602" s="104" t="s">
        <v>52</v>
      </c>
      <c r="Q1602" s="105"/>
      <c r="R1602" s="28" t="s">
        <v>7961</v>
      </c>
      <c r="S1602" s="174">
        <f t="shared" ref="S1602:S1665" si="25">IF(K1602&lt;&gt;"",DATE(YEAR(K1602)+60+(K1602&gt;=DATE(YEAR(K1602),10,2)),10,1),"")</f>
        <v>57984</v>
      </c>
      <c r="T1602" s="2" t="s">
        <v>7636</v>
      </c>
      <c r="U1602" s="2" t="s">
        <v>128</v>
      </c>
      <c r="V1602" s="162" t="str" cm="1">
        <f t="array" ref="V1602">_xlfn.IFS(C1602="","",COUNTIF(C1602,"ตำแหน่งว่าง*"),"ว่าง",COUNTIF(C1602,"&lt;&gt;ตำแหน่งว่าง*"),"คนครอง")</f>
        <v>คนครอง</v>
      </c>
      <c r="W1602" s="1" cm="1">
        <f t="array" ref="W1602">_xlfn.IFS(COUNTIF(F1602,"ผบ.หมู่*"),51,COUNTIF(F1602,"รอง สว.*"),43)</f>
        <v>51</v>
      </c>
      <c r="X1602" s="1" t="s">
        <v>4421</v>
      </c>
      <c r="Y1602" s="1" t="s">
        <v>52</v>
      </c>
    </row>
    <row r="1603" spans="1:25" s="22" customFormat="1" ht="21.3" customHeight="1">
      <c r="A1603" s="181"/>
      <c r="B1603" s="182"/>
      <c r="C1603" s="68" t="s">
        <v>18</v>
      </c>
      <c r="D1603" s="27"/>
      <c r="E1603" s="27"/>
      <c r="F1603" s="68" t="s">
        <v>4415</v>
      </c>
      <c r="G1603" s="121" t="s">
        <v>4424</v>
      </c>
      <c r="H1603" s="183"/>
      <c r="I1603" s="184"/>
      <c r="J1603" s="184"/>
      <c r="K1603" s="184"/>
      <c r="L1603" s="185"/>
      <c r="M1603" s="186"/>
      <c r="N1603" s="187" t="s">
        <v>14</v>
      </c>
      <c r="O1603" s="122" t="s">
        <v>52</v>
      </c>
      <c r="P1603" s="188" t="s">
        <v>52</v>
      </c>
      <c r="Q1603" s="189"/>
      <c r="R1603" s="182"/>
      <c r="S1603" s="225" t="str">
        <f t="shared" si="25"/>
        <v/>
      </c>
      <c r="T1603" s="167" t="s">
        <v>7636</v>
      </c>
      <c r="U1603" s="7" t="s">
        <v>128</v>
      </c>
      <c r="V1603" s="171" t="str" cm="1">
        <f t="array" ref="V1603">_xlfn.IFS(C1603="","",COUNTIF(C1603,"ตำแหน่งว่าง*"),"ว่าง",COUNTIF(C1603,"&lt;&gt;ตำแหน่งว่าง*"),"คนครอง")</f>
        <v>ว่าง</v>
      </c>
      <c r="W1603" s="6" cm="1">
        <f t="array" ref="W1603">_xlfn.IFS(COUNTIF(F1603,"ผบ.หมู่*"),51,COUNTIF(F1603,"รอง สว.*"),43)</f>
        <v>51</v>
      </c>
      <c r="X1603" s="21" t="s">
        <v>4423</v>
      </c>
      <c r="Y1603" s="21" t="s">
        <v>52</v>
      </c>
    </row>
    <row r="1604" spans="1:25" s="9" customFormat="1" ht="21.3" customHeight="1">
      <c r="A1604" s="27"/>
      <c r="B1604" s="28"/>
      <c r="C1604" s="95" t="s">
        <v>18</v>
      </c>
      <c r="D1604" s="27"/>
      <c r="E1604" s="27"/>
      <c r="F1604" s="68" t="s">
        <v>4415</v>
      </c>
      <c r="G1604" s="101" t="s">
        <v>4427</v>
      </c>
      <c r="H1604" s="91"/>
      <c r="I1604" s="73"/>
      <c r="J1604" s="73"/>
      <c r="K1604" s="73"/>
      <c r="L1604" s="11"/>
      <c r="M1604" s="1"/>
      <c r="N1604" s="112" t="s">
        <v>14</v>
      </c>
      <c r="O1604" s="104" t="s">
        <v>52</v>
      </c>
      <c r="P1604" s="104" t="s">
        <v>52</v>
      </c>
      <c r="Q1604" s="105"/>
      <c r="R1604" s="28"/>
      <c r="S1604" s="225" t="str">
        <f t="shared" si="25"/>
        <v/>
      </c>
      <c r="T1604" s="2" t="s">
        <v>7636</v>
      </c>
      <c r="U1604" s="7" t="s">
        <v>128</v>
      </c>
      <c r="V1604" s="162" t="str" cm="1">
        <f t="array" ref="V1604">_xlfn.IFS(C1604="","",COUNTIF(C1604,"ตำแหน่งว่าง*"),"ว่าง",COUNTIF(C1604,"&lt;&gt;ตำแหน่งว่าง*"),"คนครอง")</f>
        <v>ว่าง</v>
      </c>
      <c r="W1604" s="5" cm="1">
        <f t="array" ref="W1604">_xlfn.IFS(COUNTIF(F1604,"ผบ.หมู่*"),51,COUNTIF(F1604,"รอง สว.*"),43)</f>
        <v>51</v>
      </c>
      <c r="X1604" s="1" t="s">
        <v>4426</v>
      </c>
      <c r="Y1604" s="1" t="s">
        <v>52</v>
      </c>
    </row>
    <row r="1605" spans="1:25" s="9" customFormat="1" ht="21.3" customHeight="1">
      <c r="A1605" s="27" t="s">
        <v>182</v>
      </c>
      <c r="B1605" s="28" t="s">
        <v>12</v>
      </c>
      <c r="C1605" s="27" t="s">
        <v>4428</v>
      </c>
      <c r="D1605" s="27" t="s">
        <v>8080</v>
      </c>
      <c r="E1605" s="27" t="s">
        <v>9696</v>
      </c>
      <c r="F1605" s="27" t="s">
        <v>4415</v>
      </c>
      <c r="G1605" s="101" t="s">
        <v>4430</v>
      </c>
      <c r="H1605" s="91">
        <v>44043</v>
      </c>
      <c r="I1605" s="73">
        <v>44043</v>
      </c>
      <c r="J1605" s="73">
        <v>44043</v>
      </c>
      <c r="K1605" s="73">
        <v>35671</v>
      </c>
      <c r="L1605" s="11" t="s">
        <v>82</v>
      </c>
      <c r="M1605" s="1" t="s">
        <v>101</v>
      </c>
      <c r="N1605" s="112" t="s">
        <v>14</v>
      </c>
      <c r="O1605" s="104" t="s">
        <v>52</v>
      </c>
      <c r="P1605" s="104" t="s">
        <v>52</v>
      </c>
      <c r="Q1605" s="105"/>
      <c r="R1605" s="28" t="s">
        <v>2436</v>
      </c>
      <c r="S1605" s="225">
        <f t="shared" si="25"/>
        <v>57619</v>
      </c>
      <c r="T1605" s="2" t="s">
        <v>7636</v>
      </c>
      <c r="U1605" s="7" t="s">
        <v>128</v>
      </c>
      <c r="V1605" s="162" t="str" cm="1">
        <f t="array" ref="V1605">_xlfn.IFS(C1605="","",COUNTIF(C1605,"ตำแหน่งว่าง*"),"ว่าง",COUNTIF(C1605,"&lt;&gt;ตำแหน่งว่าง*"),"คนครอง")</f>
        <v>คนครอง</v>
      </c>
      <c r="W1605" s="6" cm="1">
        <f t="array" ref="W1605">_xlfn.IFS(COUNTIF(F1605,"ผบ.หมู่*"),51,COUNTIF(F1605,"รอง สว.*"),43)</f>
        <v>51</v>
      </c>
      <c r="X1605" s="1" t="s">
        <v>4429</v>
      </c>
      <c r="Y1605" s="1" t="s">
        <v>52</v>
      </c>
    </row>
    <row r="1606" spans="1:25" s="9" customFormat="1" ht="21.3" customHeight="1">
      <c r="A1606" s="27" t="s">
        <v>157</v>
      </c>
      <c r="B1606" s="28" t="s">
        <v>12</v>
      </c>
      <c r="C1606" s="27" t="s">
        <v>10739</v>
      </c>
      <c r="D1606" s="27" t="s">
        <v>10740</v>
      </c>
      <c r="E1606" s="27" t="s">
        <v>10741</v>
      </c>
      <c r="F1606" s="27" t="s">
        <v>4415</v>
      </c>
      <c r="G1606" s="101" t="s">
        <v>4432</v>
      </c>
      <c r="H1606" s="91">
        <v>45768</v>
      </c>
      <c r="I1606" s="73" t="s">
        <v>7609</v>
      </c>
      <c r="J1606" s="73" t="s">
        <v>7609</v>
      </c>
      <c r="K1606" s="73">
        <v>27628</v>
      </c>
      <c r="L1606" s="11" t="s">
        <v>7609</v>
      </c>
      <c r="M1606" s="1" t="s">
        <v>7609</v>
      </c>
      <c r="N1606" s="112" t="s">
        <v>14</v>
      </c>
      <c r="O1606" s="104" t="s">
        <v>52</v>
      </c>
      <c r="P1606" s="104" t="s">
        <v>52</v>
      </c>
      <c r="Q1606" s="105"/>
      <c r="R1606" s="28" t="s">
        <v>10804</v>
      </c>
      <c r="S1606" s="174">
        <f t="shared" si="25"/>
        <v>49583</v>
      </c>
      <c r="T1606" s="2" t="s">
        <v>7636</v>
      </c>
      <c r="U1606" s="2" t="s">
        <v>128</v>
      </c>
      <c r="V1606" s="203" t="str" cm="1">
        <f t="array" ref="V1606">_xlfn.IFS(C1606="","",COUNTIF(C1606,"ตำแหน่งว่าง*"),"ว่าง",COUNTIF(C1606,"&lt;&gt;ตำแหน่งว่าง*"),"คนครอง")</f>
        <v>คนครอง</v>
      </c>
      <c r="W1606" s="1" cm="1">
        <f t="array" ref="W1606">_xlfn.IFS(COUNTIF(F1606,"ผบ.หมู่*"),51,COUNTIF(F1606,"รอง สว.*"),43)</f>
        <v>51</v>
      </c>
      <c r="X1606" s="1" t="s">
        <v>4431</v>
      </c>
      <c r="Y1606" s="1" t="s">
        <v>52</v>
      </c>
    </row>
    <row r="1607" spans="1:25" s="9" customFormat="1" ht="21.3" customHeight="1">
      <c r="A1607" s="27" t="s">
        <v>157</v>
      </c>
      <c r="B1607" s="28" t="s">
        <v>12</v>
      </c>
      <c r="C1607" s="27" t="s">
        <v>4433</v>
      </c>
      <c r="D1607" s="27" t="s">
        <v>8002</v>
      </c>
      <c r="E1607" s="27" t="s">
        <v>9697</v>
      </c>
      <c r="F1607" s="27" t="s">
        <v>4415</v>
      </c>
      <c r="G1607" s="101" t="s">
        <v>4435</v>
      </c>
      <c r="H1607" s="91">
        <v>42501</v>
      </c>
      <c r="I1607" s="73">
        <v>37316</v>
      </c>
      <c r="J1607" s="73">
        <v>37316</v>
      </c>
      <c r="K1607" s="73">
        <v>26962</v>
      </c>
      <c r="L1607" s="11" t="s">
        <v>112</v>
      </c>
      <c r="M1607" s="1" t="s">
        <v>124</v>
      </c>
      <c r="N1607" s="112" t="s">
        <v>14</v>
      </c>
      <c r="O1607" s="104" t="s">
        <v>52</v>
      </c>
      <c r="P1607" s="104" t="s">
        <v>52</v>
      </c>
      <c r="Q1607" s="105"/>
      <c r="R1607" s="28" t="s">
        <v>110</v>
      </c>
      <c r="S1607" s="225">
        <f t="shared" si="25"/>
        <v>49218</v>
      </c>
      <c r="T1607" s="2" t="s">
        <v>7636</v>
      </c>
      <c r="U1607" s="7" t="s">
        <v>128</v>
      </c>
      <c r="V1607" s="162" t="str" cm="1">
        <f t="array" ref="V1607">_xlfn.IFS(C1607="","",COUNTIF(C1607,"ตำแหน่งว่าง*"),"ว่าง",COUNTIF(C1607,"&lt;&gt;ตำแหน่งว่าง*"),"คนครอง")</f>
        <v>คนครอง</v>
      </c>
      <c r="W1607" s="6" cm="1">
        <f t="array" ref="W1607">_xlfn.IFS(COUNTIF(F1607,"ผบ.หมู่*"),51,COUNTIF(F1607,"รอง สว.*"),43)</f>
        <v>51</v>
      </c>
      <c r="X1607" s="1" t="s">
        <v>4434</v>
      </c>
      <c r="Y1607" s="1" t="s">
        <v>52</v>
      </c>
    </row>
    <row r="1608" spans="1:25" s="9" customFormat="1" ht="21.3" customHeight="1">
      <c r="A1608" s="27" t="s">
        <v>612</v>
      </c>
      <c r="B1608" s="28" t="s">
        <v>12</v>
      </c>
      <c r="C1608" s="27" t="s">
        <v>4436</v>
      </c>
      <c r="D1608" s="27" t="s">
        <v>9698</v>
      </c>
      <c r="E1608" s="27" t="s">
        <v>9699</v>
      </c>
      <c r="F1608" s="27" t="s">
        <v>4415</v>
      </c>
      <c r="G1608" s="101" t="s">
        <v>4438</v>
      </c>
      <c r="H1608" s="91">
        <v>44243</v>
      </c>
      <c r="I1608" s="73">
        <v>42416</v>
      </c>
      <c r="J1608" s="73">
        <v>42416</v>
      </c>
      <c r="K1608" s="73">
        <v>33252</v>
      </c>
      <c r="L1608" s="11" t="s">
        <v>82</v>
      </c>
      <c r="M1608" s="1" t="s">
        <v>101</v>
      </c>
      <c r="N1608" s="112" t="s">
        <v>14</v>
      </c>
      <c r="O1608" s="104" t="s">
        <v>52</v>
      </c>
      <c r="P1608" s="104" t="s">
        <v>52</v>
      </c>
      <c r="Q1608" s="105"/>
      <c r="R1608" s="28" t="s">
        <v>617</v>
      </c>
      <c r="S1608" s="225">
        <f t="shared" si="25"/>
        <v>55427</v>
      </c>
      <c r="T1608" s="2" t="s">
        <v>7636</v>
      </c>
      <c r="U1608" s="7" t="s">
        <v>128</v>
      </c>
      <c r="V1608" s="162" t="str" cm="1">
        <f t="array" ref="V1608">_xlfn.IFS(C1608="","",COUNTIF(C1608,"ตำแหน่งว่าง*"),"ว่าง",COUNTIF(C1608,"&lt;&gt;ตำแหน่งว่าง*"),"คนครอง")</f>
        <v>คนครอง</v>
      </c>
      <c r="W1608" s="6" cm="1">
        <f t="array" ref="W1608">_xlfn.IFS(COUNTIF(F1608,"ผบ.หมู่*"),51,COUNTIF(F1608,"รอง สว.*"),43)</f>
        <v>51</v>
      </c>
      <c r="X1608" s="1" t="s">
        <v>4437</v>
      </c>
      <c r="Y1608" s="1" t="s">
        <v>52</v>
      </c>
    </row>
    <row r="1609" spans="1:25" s="9" customFormat="1" ht="21.3" customHeight="1">
      <c r="A1609" s="27"/>
      <c r="B1609" s="28"/>
      <c r="C1609" s="30" t="s">
        <v>18</v>
      </c>
      <c r="D1609" s="27"/>
      <c r="E1609" s="27"/>
      <c r="F1609" s="68" t="s">
        <v>4415</v>
      </c>
      <c r="G1609" s="121" t="s">
        <v>4440</v>
      </c>
      <c r="H1609" s="91" t="s">
        <v>19</v>
      </c>
      <c r="I1609" s="73" t="s">
        <v>19</v>
      </c>
      <c r="J1609" s="73" t="s">
        <v>19</v>
      </c>
      <c r="K1609" s="73" t="s">
        <v>19</v>
      </c>
      <c r="L1609" s="11"/>
      <c r="M1609" s="1"/>
      <c r="N1609" s="113" t="s">
        <v>14</v>
      </c>
      <c r="O1609" s="122" t="s">
        <v>52</v>
      </c>
      <c r="P1609" s="122" t="s">
        <v>52</v>
      </c>
      <c r="Q1609" s="105"/>
      <c r="R1609" s="28"/>
      <c r="S1609" s="225" t="str">
        <f t="shared" si="25"/>
        <v/>
      </c>
      <c r="T1609" s="2" t="s">
        <v>7636</v>
      </c>
      <c r="U1609" s="7" t="s">
        <v>128</v>
      </c>
      <c r="V1609" s="171" t="str" cm="1">
        <f t="array" ref="V1609">_xlfn.IFS(C1609="","",COUNTIF(C1609,"ตำแหน่งว่าง*"),"ว่าง",COUNTIF(C1609,"&lt;&gt;ตำแหน่งว่าง*"),"คนครอง")</f>
        <v>ว่าง</v>
      </c>
      <c r="W1609" s="6" cm="1">
        <f t="array" ref="W1609">_xlfn.IFS(COUNTIF(F1609,"ผบ.หมู่*"),51,COUNTIF(F1609,"รอง สว.*"),43)</f>
        <v>51</v>
      </c>
      <c r="X1609" s="6" t="s">
        <v>4439</v>
      </c>
      <c r="Y1609" s="6" t="s">
        <v>52</v>
      </c>
    </row>
    <row r="1610" spans="1:25" s="10" customFormat="1" ht="21.3" customHeight="1">
      <c r="A1610" s="27"/>
      <c r="B1610" s="28"/>
      <c r="C1610" s="30" t="s">
        <v>18</v>
      </c>
      <c r="D1610" s="27"/>
      <c r="E1610" s="27"/>
      <c r="F1610" s="68" t="s">
        <v>4415</v>
      </c>
      <c r="G1610" s="121" t="s">
        <v>4442</v>
      </c>
      <c r="H1610" s="91" t="s">
        <v>19</v>
      </c>
      <c r="I1610" s="73" t="s">
        <v>19</v>
      </c>
      <c r="J1610" s="73" t="s">
        <v>19</v>
      </c>
      <c r="K1610" s="73" t="s">
        <v>19</v>
      </c>
      <c r="L1610" s="11"/>
      <c r="M1610" s="1"/>
      <c r="N1610" s="113" t="s">
        <v>14</v>
      </c>
      <c r="O1610" s="122" t="s">
        <v>52</v>
      </c>
      <c r="P1610" s="122" t="s">
        <v>52</v>
      </c>
      <c r="Q1610" s="105"/>
      <c r="R1610" s="28"/>
      <c r="S1610" s="225" t="str">
        <f t="shared" si="25"/>
        <v/>
      </c>
      <c r="T1610" s="7" t="s">
        <v>7636</v>
      </c>
      <c r="U1610" s="7" t="s">
        <v>128</v>
      </c>
      <c r="V1610" s="171" t="str" cm="1">
        <f t="array" ref="V1610">_xlfn.IFS(C1610="","",COUNTIF(C1610,"ตำแหน่งว่าง*"),"ว่าง",COUNTIF(C1610,"&lt;&gt;ตำแหน่งว่าง*"),"คนครอง")</f>
        <v>ว่าง</v>
      </c>
      <c r="W1610" s="6" cm="1">
        <f t="array" ref="W1610">_xlfn.IFS(COUNTIF(F1610,"ผบ.หมู่*"),51,COUNTIF(F1610,"รอง สว.*"),43)</f>
        <v>51</v>
      </c>
      <c r="X1610" s="6" t="s">
        <v>4441</v>
      </c>
      <c r="Y1610" s="6" t="s">
        <v>52</v>
      </c>
    </row>
    <row r="1611" spans="1:25" s="10" customFormat="1" ht="21.3" customHeight="1">
      <c r="A1611" s="27"/>
      <c r="B1611" s="28"/>
      <c r="C1611" s="30" t="s">
        <v>18</v>
      </c>
      <c r="D1611" s="27"/>
      <c r="E1611" s="27"/>
      <c r="F1611" s="68" t="s">
        <v>4415</v>
      </c>
      <c r="G1611" s="121" t="s">
        <v>4444</v>
      </c>
      <c r="H1611" s="91" t="s">
        <v>19</v>
      </c>
      <c r="I1611" s="73" t="s">
        <v>19</v>
      </c>
      <c r="J1611" s="73" t="s">
        <v>19</v>
      </c>
      <c r="K1611" s="73" t="s">
        <v>19</v>
      </c>
      <c r="L1611" s="11"/>
      <c r="M1611" s="1"/>
      <c r="N1611" s="113" t="s">
        <v>14</v>
      </c>
      <c r="O1611" s="122" t="s">
        <v>52</v>
      </c>
      <c r="P1611" s="122" t="s">
        <v>52</v>
      </c>
      <c r="Q1611" s="105"/>
      <c r="R1611" s="28"/>
      <c r="S1611" s="225" t="str">
        <f t="shared" si="25"/>
        <v/>
      </c>
      <c r="T1611" s="7" t="s">
        <v>7636</v>
      </c>
      <c r="U1611" s="7" t="s">
        <v>128</v>
      </c>
      <c r="V1611" s="171" t="str" cm="1">
        <f t="array" ref="V1611">_xlfn.IFS(C1611="","",COUNTIF(C1611,"ตำแหน่งว่าง*"),"ว่าง",COUNTIF(C1611,"&lt;&gt;ตำแหน่งว่าง*"),"คนครอง")</f>
        <v>ว่าง</v>
      </c>
      <c r="W1611" s="6" cm="1">
        <f t="array" ref="W1611">_xlfn.IFS(COUNTIF(F1611,"ผบ.หมู่*"),51,COUNTIF(F1611,"รอง สว.*"),43)</f>
        <v>51</v>
      </c>
      <c r="X1611" s="6" t="s">
        <v>4443</v>
      </c>
      <c r="Y1611" s="6" t="s">
        <v>52</v>
      </c>
    </row>
    <row r="1612" spans="1:25" s="10" customFormat="1" ht="21.3" customHeight="1">
      <c r="A1612" s="27"/>
      <c r="B1612" s="28"/>
      <c r="C1612" s="30" t="s">
        <v>18</v>
      </c>
      <c r="D1612" s="27"/>
      <c r="E1612" s="27"/>
      <c r="F1612" s="68" t="s">
        <v>4415</v>
      </c>
      <c r="G1612" s="121" t="s">
        <v>4446</v>
      </c>
      <c r="H1612" s="91" t="s">
        <v>19</v>
      </c>
      <c r="I1612" s="73" t="s">
        <v>19</v>
      </c>
      <c r="J1612" s="73" t="s">
        <v>19</v>
      </c>
      <c r="K1612" s="73" t="s">
        <v>19</v>
      </c>
      <c r="L1612" s="11"/>
      <c r="M1612" s="1"/>
      <c r="N1612" s="113" t="s">
        <v>14</v>
      </c>
      <c r="O1612" s="122" t="s">
        <v>52</v>
      </c>
      <c r="P1612" s="122" t="s">
        <v>52</v>
      </c>
      <c r="Q1612" s="105"/>
      <c r="R1612" s="28"/>
      <c r="S1612" s="225" t="str">
        <f t="shared" si="25"/>
        <v/>
      </c>
      <c r="T1612" s="7" t="s">
        <v>7636</v>
      </c>
      <c r="U1612" s="7" t="s">
        <v>128</v>
      </c>
      <c r="V1612" s="171" t="str" cm="1">
        <f t="array" ref="V1612">_xlfn.IFS(C1612="","",COUNTIF(C1612,"ตำแหน่งว่าง*"),"ว่าง",COUNTIF(C1612,"&lt;&gt;ตำแหน่งว่าง*"),"คนครอง")</f>
        <v>ว่าง</v>
      </c>
      <c r="W1612" s="6" cm="1">
        <f t="array" ref="W1612">_xlfn.IFS(COUNTIF(F1612,"ผบ.หมู่*"),51,COUNTIF(F1612,"รอง สว.*"),43)</f>
        <v>51</v>
      </c>
      <c r="X1612" s="6" t="s">
        <v>4445</v>
      </c>
      <c r="Y1612" s="6" t="s">
        <v>52</v>
      </c>
    </row>
    <row r="1613" spans="1:25" s="10" customFormat="1" ht="21.3" customHeight="1">
      <c r="A1613" s="27"/>
      <c r="B1613" s="28"/>
      <c r="C1613" s="30" t="s">
        <v>18</v>
      </c>
      <c r="D1613" s="27"/>
      <c r="E1613" s="27"/>
      <c r="F1613" s="68" t="s">
        <v>4415</v>
      </c>
      <c r="G1613" s="121" t="s">
        <v>4448</v>
      </c>
      <c r="H1613" s="91" t="s">
        <v>19</v>
      </c>
      <c r="I1613" s="73" t="s">
        <v>19</v>
      </c>
      <c r="J1613" s="73" t="s">
        <v>19</v>
      </c>
      <c r="K1613" s="73" t="s">
        <v>19</v>
      </c>
      <c r="L1613" s="11"/>
      <c r="M1613" s="1"/>
      <c r="N1613" s="113" t="s">
        <v>14</v>
      </c>
      <c r="O1613" s="122" t="s">
        <v>52</v>
      </c>
      <c r="P1613" s="122" t="s">
        <v>52</v>
      </c>
      <c r="Q1613" s="105"/>
      <c r="R1613" s="28"/>
      <c r="S1613" s="225" t="str">
        <f t="shared" si="25"/>
        <v/>
      </c>
      <c r="T1613" s="7" t="s">
        <v>7636</v>
      </c>
      <c r="U1613" s="7" t="s">
        <v>128</v>
      </c>
      <c r="V1613" s="171" t="str" cm="1">
        <f t="array" ref="V1613">_xlfn.IFS(C1613="","",COUNTIF(C1613,"ตำแหน่งว่าง*"),"ว่าง",COUNTIF(C1613,"&lt;&gt;ตำแหน่งว่าง*"),"คนครอง")</f>
        <v>ว่าง</v>
      </c>
      <c r="W1613" s="6" cm="1">
        <f t="array" ref="W1613">_xlfn.IFS(COUNTIF(F1613,"ผบ.หมู่*"),51,COUNTIF(F1613,"รอง สว.*"),43)</f>
        <v>51</v>
      </c>
      <c r="X1613" s="6" t="s">
        <v>4447</v>
      </c>
      <c r="Y1613" s="6" t="s">
        <v>52</v>
      </c>
    </row>
    <row r="1614" spans="1:25" s="10" customFormat="1" ht="21.3" customHeight="1">
      <c r="A1614" s="27" t="s">
        <v>208</v>
      </c>
      <c r="B1614" s="28" t="s">
        <v>21</v>
      </c>
      <c r="C1614" s="27" t="s">
        <v>7767</v>
      </c>
      <c r="D1614" s="27" t="s">
        <v>9700</v>
      </c>
      <c r="E1614" s="27" t="s">
        <v>8097</v>
      </c>
      <c r="F1614" s="27" t="s">
        <v>4704</v>
      </c>
      <c r="G1614" s="101" t="s">
        <v>4706</v>
      </c>
      <c r="H1614" s="91">
        <v>45322</v>
      </c>
      <c r="I1614" s="73">
        <v>43693</v>
      </c>
      <c r="J1614" s="73">
        <v>43693</v>
      </c>
      <c r="K1614" s="73">
        <v>32752</v>
      </c>
      <c r="L1614" s="11" t="s">
        <v>82</v>
      </c>
      <c r="M1614" s="1" t="s">
        <v>124</v>
      </c>
      <c r="N1614" s="112" t="s">
        <v>14</v>
      </c>
      <c r="O1614" s="104" t="s">
        <v>52</v>
      </c>
      <c r="P1614" s="104" t="s">
        <v>52</v>
      </c>
      <c r="Q1614" s="105"/>
      <c r="R1614" s="30" t="s">
        <v>7708</v>
      </c>
      <c r="S1614" s="225">
        <f t="shared" si="25"/>
        <v>54697</v>
      </c>
      <c r="T1614" s="7" t="s">
        <v>7642</v>
      </c>
      <c r="U1614" s="7" t="s">
        <v>128</v>
      </c>
      <c r="V1614" s="162" t="str" cm="1">
        <f t="array" ref="V1614">_xlfn.IFS(C1614="","",COUNTIF(C1614,"ตำแหน่งว่าง*"),"ว่าง",COUNTIF(C1614,"&lt;&gt;ตำแหน่งว่าง*"),"คนครอง")</f>
        <v>คนครอง</v>
      </c>
      <c r="W1614" s="6" cm="1">
        <f t="array" ref="W1614">_xlfn.IFS(COUNTIF(F1614,"ผบ.หมู่*"),51,COUNTIF(F1614,"รอง สว.*"),43)</f>
        <v>51</v>
      </c>
      <c r="X1614" s="1" t="s">
        <v>4705</v>
      </c>
      <c r="Y1614" s="1" t="s">
        <v>52</v>
      </c>
    </row>
    <row r="1615" spans="1:25" s="9" customFormat="1" ht="21.3" customHeight="1">
      <c r="A1615" s="27"/>
      <c r="B1615" s="28"/>
      <c r="C1615" s="30" t="s">
        <v>18</v>
      </c>
      <c r="D1615" s="27"/>
      <c r="E1615" s="27"/>
      <c r="F1615" s="68" t="s">
        <v>4704</v>
      </c>
      <c r="G1615" s="121" t="s">
        <v>4708</v>
      </c>
      <c r="H1615" s="91" t="s">
        <v>19</v>
      </c>
      <c r="I1615" s="73" t="s">
        <v>19</v>
      </c>
      <c r="J1615" s="73" t="s">
        <v>19</v>
      </c>
      <c r="K1615" s="73" t="s">
        <v>19</v>
      </c>
      <c r="L1615" s="2"/>
      <c r="M1615" s="1"/>
      <c r="N1615" s="113" t="s">
        <v>14</v>
      </c>
      <c r="O1615" s="122" t="s">
        <v>52</v>
      </c>
      <c r="P1615" s="122" t="s">
        <v>52</v>
      </c>
      <c r="Q1615" s="105"/>
      <c r="R1615" s="28"/>
      <c r="S1615" s="225" t="str">
        <f t="shared" si="25"/>
        <v/>
      </c>
      <c r="T1615" s="2" t="s">
        <v>7642</v>
      </c>
      <c r="U1615" s="7" t="s">
        <v>128</v>
      </c>
      <c r="V1615" s="171" t="str" cm="1">
        <f t="array" ref="V1615">_xlfn.IFS(C1615="","",COUNTIF(C1615,"ตำแหน่งว่าง*"),"ว่าง",COUNTIF(C1615,"&lt;&gt;ตำแหน่งว่าง*"),"คนครอง")</f>
        <v>ว่าง</v>
      </c>
      <c r="W1615" s="6" cm="1">
        <f t="array" ref="W1615">_xlfn.IFS(COUNTIF(F1615,"ผบ.หมู่*"),51,COUNTIF(F1615,"รอง สว.*"),43)</f>
        <v>51</v>
      </c>
      <c r="X1615" s="6" t="s">
        <v>4707</v>
      </c>
      <c r="Y1615" s="6" t="s">
        <v>52</v>
      </c>
    </row>
    <row r="1616" spans="1:25" s="9" customFormat="1" ht="21.3" customHeight="1">
      <c r="A1616" s="27" t="s">
        <v>157</v>
      </c>
      <c r="B1616" s="28" t="s">
        <v>12</v>
      </c>
      <c r="C1616" s="27" t="s">
        <v>4709</v>
      </c>
      <c r="D1616" s="27" t="s">
        <v>9701</v>
      </c>
      <c r="E1616" s="27" t="s">
        <v>9702</v>
      </c>
      <c r="F1616" s="27" t="s">
        <v>4704</v>
      </c>
      <c r="G1616" s="101" t="s">
        <v>4711</v>
      </c>
      <c r="H1616" s="91">
        <v>43871</v>
      </c>
      <c r="I1616" s="73">
        <v>37316</v>
      </c>
      <c r="J1616" s="73">
        <v>37316</v>
      </c>
      <c r="K1616" s="73">
        <v>28820</v>
      </c>
      <c r="L1616" s="2" t="s">
        <v>4712</v>
      </c>
      <c r="M1616" s="1" t="s">
        <v>34</v>
      </c>
      <c r="N1616" s="112" t="s">
        <v>14</v>
      </c>
      <c r="O1616" s="104" t="s">
        <v>52</v>
      </c>
      <c r="P1616" s="104" t="s">
        <v>52</v>
      </c>
      <c r="Q1616" s="105"/>
      <c r="R1616" s="28" t="s">
        <v>688</v>
      </c>
      <c r="S1616" s="225">
        <f t="shared" si="25"/>
        <v>51044</v>
      </c>
      <c r="T1616" s="2" t="s">
        <v>7642</v>
      </c>
      <c r="U1616" s="7" t="s">
        <v>128</v>
      </c>
      <c r="V1616" s="162" t="str" cm="1">
        <f t="array" ref="V1616">_xlfn.IFS(C1616="","",COUNTIF(C1616,"ตำแหน่งว่าง*"),"ว่าง",COUNTIF(C1616,"&lt;&gt;ตำแหน่งว่าง*"),"คนครอง")</f>
        <v>คนครอง</v>
      </c>
      <c r="W1616" s="6" cm="1">
        <f t="array" ref="W1616">_xlfn.IFS(COUNTIF(F1616,"ผบ.หมู่*"),51,COUNTIF(F1616,"รอง สว.*"),43)</f>
        <v>51</v>
      </c>
      <c r="X1616" s="1" t="s">
        <v>4710</v>
      </c>
      <c r="Y1616" s="1" t="s">
        <v>52</v>
      </c>
    </row>
    <row r="1617" spans="1:25" s="9" customFormat="1" ht="21.3" customHeight="1">
      <c r="A1617" s="27" t="s">
        <v>10753</v>
      </c>
      <c r="B1617" s="28" t="s">
        <v>21</v>
      </c>
      <c r="C1617" s="27" t="s">
        <v>4713</v>
      </c>
      <c r="D1617" s="27" t="s">
        <v>8931</v>
      </c>
      <c r="E1617" s="27" t="s">
        <v>9703</v>
      </c>
      <c r="F1617" s="27" t="s">
        <v>4714</v>
      </c>
      <c r="G1617" s="101" t="s">
        <v>4716</v>
      </c>
      <c r="H1617" s="75">
        <v>45016</v>
      </c>
      <c r="I1617" s="73">
        <v>45016</v>
      </c>
      <c r="J1617" s="73">
        <v>34352</v>
      </c>
      <c r="K1617" s="73">
        <v>25692</v>
      </c>
      <c r="L1617" s="11" t="s">
        <v>4717</v>
      </c>
      <c r="M1617" s="1" t="s">
        <v>135</v>
      </c>
      <c r="N1617" s="112" t="s">
        <v>14</v>
      </c>
      <c r="O1617" s="104" t="s">
        <v>52</v>
      </c>
      <c r="P1617" s="104" t="s">
        <v>52</v>
      </c>
      <c r="Q1617" s="105"/>
      <c r="R1617" s="28" t="s">
        <v>483</v>
      </c>
      <c r="S1617" s="225">
        <f t="shared" si="25"/>
        <v>47757</v>
      </c>
      <c r="T1617" s="2" t="s">
        <v>7642</v>
      </c>
      <c r="U1617" s="7" t="s">
        <v>128</v>
      </c>
      <c r="V1617" s="162" t="str" cm="1">
        <f t="array" ref="V1617">_xlfn.IFS(C1617="","",COUNTIF(C1617,"ตำแหน่งว่าง*"),"ว่าง",COUNTIF(C1617,"&lt;&gt;ตำแหน่งว่าง*"),"คนครอง")</f>
        <v>คนครอง</v>
      </c>
      <c r="W1617" s="5" cm="1">
        <f t="array" ref="W1617">_xlfn.IFS(COUNTIF(F1617,"ผบ.หมู่*"),51,COUNTIF(F1617,"รอง สว.*"),43)</f>
        <v>43</v>
      </c>
      <c r="X1617" s="1" t="s">
        <v>4715</v>
      </c>
      <c r="Y1617" s="1" t="s">
        <v>52</v>
      </c>
    </row>
    <row r="1618" spans="1:25" s="10" customFormat="1" ht="21.3" customHeight="1">
      <c r="A1618" s="27"/>
      <c r="B1618" s="30"/>
      <c r="C1618" s="30" t="s">
        <v>18</v>
      </c>
      <c r="D1618" s="27"/>
      <c r="E1618" s="27"/>
      <c r="F1618" s="68" t="s">
        <v>4704</v>
      </c>
      <c r="G1618" s="121" t="s">
        <v>4719</v>
      </c>
      <c r="H1618" s="91" t="s">
        <v>19</v>
      </c>
      <c r="I1618" s="73" t="s">
        <v>19</v>
      </c>
      <c r="J1618" s="73" t="s">
        <v>19</v>
      </c>
      <c r="K1618" s="73" t="s">
        <v>19</v>
      </c>
      <c r="L1618" s="11"/>
      <c r="M1618" s="1"/>
      <c r="N1618" s="113" t="s">
        <v>14</v>
      </c>
      <c r="O1618" s="122" t="s">
        <v>52</v>
      </c>
      <c r="P1618" s="122" t="s">
        <v>52</v>
      </c>
      <c r="Q1618" s="106"/>
      <c r="R1618" s="30"/>
      <c r="S1618" s="225" t="str">
        <f t="shared" si="25"/>
        <v/>
      </c>
      <c r="T1618" s="7" t="s">
        <v>7642</v>
      </c>
      <c r="U1618" s="7" t="s">
        <v>128</v>
      </c>
      <c r="V1618" s="171" t="str" cm="1">
        <f t="array" ref="V1618">_xlfn.IFS(C1618="","",COUNTIF(C1618,"ตำแหน่งว่าง*"),"ว่าง",COUNTIF(C1618,"&lt;&gt;ตำแหน่งว่าง*"),"คนครอง")</f>
        <v>ว่าง</v>
      </c>
      <c r="W1618" s="6" cm="1">
        <f t="array" ref="W1618">_xlfn.IFS(COUNTIF(F1618,"ผบ.หมู่*"),51,COUNTIF(F1618,"รอง สว.*"),43)</f>
        <v>51</v>
      </c>
      <c r="X1618" s="6" t="s">
        <v>4718</v>
      </c>
      <c r="Y1618" s="6" t="s">
        <v>52</v>
      </c>
    </row>
    <row r="1619" spans="1:25" s="9" customFormat="1" ht="21.3" customHeight="1">
      <c r="A1619" s="27"/>
      <c r="B1619" s="28"/>
      <c r="C1619" s="27" t="s">
        <v>18</v>
      </c>
      <c r="D1619" s="27"/>
      <c r="E1619" s="27"/>
      <c r="F1619" s="27" t="s">
        <v>4704</v>
      </c>
      <c r="G1619" s="101" t="s">
        <v>4722</v>
      </c>
      <c r="H1619" s="91"/>
      <c r="I1619" s="73"/>
      <c r="J1619" s="73"/>
      <c r="K1619" s="73"/>
      <c r="L1619" s="11"/>
      <c r="M1619" s="1"/>
      <c r="N1619" s="112" t="s">
        <v>14</v>
      </c>
      <c r="O1619" s="104" t="s">
        <v>52</v>
      </c>
      <c r="P1619" s="104" t="s">
        <v>52</v>
      </c>
      <c r="Q1619" s="105"/>
      <c r="R1619" s="28"/>
      <c r="S1619" s="174" t="str">
        <f t="shared" si="25"/>
        <v/>
      </c>
      <c r="T1619" s="2" t="s">
        <v>7642</v>
      </c>
      <c r="U1619" s="2" t="s">
        <v>128</v>
      </c>
      <c r="V1619" s="2" t="str" cm="1">
        <f t="array" ref="V1619">_xlfn.IFS(C1619="","",COUNTIF(C1619,"ตำแหน่งว่าง*"),"ว่าง",COUNTIF(C1619,"&lt;&gt;ตำแหน่งว่าง*"),"คนครอง")</f>
        <v>ว่าง</v>
      </c>
      <c r="W1619" s="1" cm="1">
        <f t="array" ref="W1619">_xlfn.IFS(COUNTIF(F1619,"ผบ.หมู่*"),51,COUNTIF(F1619,"รอง สว.*"),43)</f>
        <v>51</v>
      </c>
      <c r="X1619" s="1" t="s">
        <v>4721</v>
      </c>
      <c r="Y1619" s="1" t="s">
        <v>52</v>
      </c>
    </row>
    <row r="1620" spans="1:25" s="9" customFormat="1" ht="21.3" customHeight="1">
      <c r="A1620" s="27" t="s">
        <v>612</v>
      </c>
      <c r="B1620" s="28" t="s">
        <v>12</v>
      </c>
      <c r="C1620" s="27" t="s">
        <v>4723</v>
      </c>
      <c r="D1620" s="27" t="s">
        <v>9706</v>
      </c>
      <c r="E1620" s="27" t="s">
        <v>9707</v>
      </c>
      <c r="F1620" s="27" t="s">
        <v>4704</v>
      </c>
      <c r="G1620" s="101" t="s">
        <v>4725</v>
      </c>
      <c r="H1620" s="75">
        <v>42501</v>
      </c>
      <c r="I1620" s="73">
        <v>41944</v>
      </c>
      <c r="J1620" s="73">
        <v>41944</v>
      </c>
      <c r="K1620" s="73">
        <v>32959</v>
      </c>
      <c r="L1620" s="11" t="s">
        <v>4726</v>
      </c>
      <c r="M1620" s="1" t="s">
        <v>78</v>
      </c>
      <c r="N1620" s="112" t="s">
        <v>14</v>
      </c>
      <c r="O1620" s="104" t="s">
        <v>52</v>
      </c>
      <c r="P1620" s="104" t="s">
        <v>52</v>
      </c>
      <c r="Q1620" s="105"/>
      <c r="R1620" s="28" t="s">
        <v>110</v>
      </c>
      <c r="S1620" s="225">
        <f t="shared" si="25"/>
        <v>55062</v>
      </c>
      <c r="T1620" s="2" t="s">
        <v>7642</v>
      </c>
      <c r="U1620" s="7" t="s">
        <v>128</v>
      </c>
      <c r="V1620" s="162" t="str" cm="1">
        <f t="array" ref="V1620">_xlfn.IFS(C1620="","",COUNTIF(C1620,"ตำแหน่งว่าง*"),"ว่าง",COUNTIF(C1620,"&lt;&gt;ตำแหน่งว่าง*"),"คนครอง")</f>
        <v>คนครอง</v>
      </c>
      <c r="W1620" s="6" cm="1">
        <f t="array" ref="W1620">_xlfn.IFS(COUNTIF(F1620,"ผบ.หมู่*"),51,COUNTIF(F1620,"รอง สว.*"),43)</f>
        <v>51</v>
      </c>
      <c r="X1620" s="1" t="s">
        <v>4724</v>
      </c>
      <c r="Y1620" s="1" t="s">
        <v>52</v>
      </c>
    </row>
    <row r="1621" spans="1:25" s="10" customFormat="1" ht="21.3" customHeight="1">
      <c r="A1621" s="27"/>
      <c r="B1621" s="28"/>
      <c r="C1621" s="30" t="s">
        <v>18</v>
      </c>
      <c r="D1621" s="27"/>
      <c r="E1621" s="27"/>
      <c r="F1621" s="68" t="s">
        <v>4704</v>
      </c>
      <c r="G1621" s="121" t="s">
        <v>4728</v>
      </c>
      <c r="H1621" s="91" t="s">
        <v>19</v>
      </c>
      <c r="I1621" s="73" t="s">
        <v>19</v>
      </c>
      <c r="J1621" s="73" t="s">
        <v>19</v>
      </c>
      <c r="K1621" s="73" t="s">
        <v>19</v>
      </c>
      <c r="L1621" s="11"/>
      <c r="M1621" s="1"/>
      <c r="N1621" s="113" t="s">
        <v>14</v>
      </c>
      <c r="O1621" s="122" t="s">
        <v>52</v>
      </c>
      <c r="P1621" s="122" t="s">
        <v>52</v>
      </c>
      <c r="Q1621" s="105"/>
      <c r="R1621" s="28"/>
      <c r="S1621" s="225" t="str">
        <f t="shared" si="25"/>
        <v/>
      </c>
      <c r="T1621" s="7" t="s">
        <v>7642</v>
      </c>
      <c r="U1621" s="7" t="s">
        <v>128</v>
      </c>
      <c r="V1621" s="171" t="str" cm="1">
        <f t="array" ref="V1621">_xlfn.IFS(C1621="","",COUNTIF(C1621,"ตำแหน่งว่าง*"),"ว่าง",COUNTIF(C1621,"&lt;&gt;ตำแหน่งว่าง*"),"คนครอง")</f>
        <v>ว่าง</v>
      </c>
      <c r="W1621" s="6" cm="1">
        <f t="array" ref="W1621">_xlfn.IFS(COUNTIF(F1621,"ผบ.หมู่*"),51,COUNTIF(F1621,"รอง สว.*"),43)</f>
        <v>51</v>
      </c>
      <c r="X1621" s="6" t="s">
        <v>4727</v>
      </c>
      <c r="Y1621" s="6" t="s">
        <v>52</v>
      </c>
    </row>
    <row r="1622" spans="1:25" s="10" customFormat="1" ht="21.3" customHeight="1">
      <c r="A1622" s="27"/>
      <c r="B1622" s="28"/>
      <c r="C1622" s="30" t="s">
        <v>18</v>
      </c>
      <c r="D1622" s="27"/>
      <c r="E1622" s="27"/>
      <c r="F1622" s="68" t="s">
        <v>4704</v>
      </c>
      <c r="G1622" s="121" t="s">
        <v>4730</v>
      </c>
      <c r="H1622" s="91" t="s">
        <v>19</v>
      </c>
      <c r="I1622" s="73" t="s">
        <v>19</v>
      </c>
      <c r="J1622" s="73" t="s">
        <v>19</v>
      </c>
      <c r="K1622" s="73" t="s">
        <v>19</v>
      </c>
      <c r="L1622" s="11"/>
      <c r="M1622" s="1"/>
      <c r="N1622" s="113" t="s">
        <v>14</v>
      </c>
      <c r="O1622" s="122" t="s">
        <v>52</v>
      </c>
      <c r="P1622" s="122" t="s">
        <v>52</v>
      </c>
      <c r="Q1622" s="105"/>
      <c r="R1622" s="28"/>
      <c r="S1622" s="225" t="str">
        <f t="shared" si="25"/>
        <v/>
      </c>
      <c r="T1622" s="7" t="s">
        <v>7642</v>
      </c>
      <c r="U1622" s="7" t="s">
        <v>128</v>
      </c>
      <c r="V1622" s="171" t="str" cm="1">
        <f t="array" ref="V1622">_xlfn.IFS(C1622="","",COUNTIF(C1622,"ตำแหน่งว่าง*"),"ว่าง",COUNTIF(C1622,"&lt;&gt;ตำแหน่งว่าง*"),"คนครอง")</f>
        <v>ว่าง</v>
      </c>
      <c r="W1622" s="6" cm="1">
        <f t="array" ref="W1622">_xlfn.IFS(COUNTIF(F1622,"ผบ.หมู่*"),51,COUNTIF(F1622,"รอง สว.*"),43)</f>
        <v>51</v>
      </c>
      <c r="X1622" s="6" t="s">
        <v>4729</v>
      </c>
      <c r="Y1622" s="6" t="s">
        <v>52</v>
      </c>
    </row>
    <row r="1623" spans="1:25" s="9" customFormat="1" ht="21.3" customHeight="1">
      <c r="A1623" s="68"/>
      <c r="B1623" s="30"/>
      <c r="C1623" s="30" t="s">
        <v>18</v>
      </c>
      <c r="D1623" s="27"/>
      <c r="E1623" s="27"/>
      <c r="F1623" s="68" t="s">
        <v>4704</v>
      </c>
      <c r="G1623" s="122" t="s">
        <v>4732</v>
      </c>
      <c r="H1623" s="93"/>
      <c r="I1623" s="74"/>
      <c r="J1623" s="74"/>
      <c r="K1623" s="74"/>
      <c r="L1623" s="16"/>
      <c r="M1623" s="6"/>
      <c r="N1623" s="122" t="s">
        <v>14</v>
      </c>
      <c r="O1623" s="122" t="s">
        <v>52</v>
      </c>
      <c r="P1623" s="122" t="s">
        <v>52</v>
      </c>
      <c r="Q1623" s="29"/>
      <c r="R1623" s="30"/>
      <c r="S1623" s="225" t="str">
        <f t="shared" si="25"/>
        <v/>
      </c>
      <c r="T1623" s="2" t="s">
        <v>7642</v>
      </c>
      <c r="U1623" s="7" t="s">
        <v>128</v>
      </c>
      <c r="V1623" s="171" t="str" cm="1">
        <f t="array" ref="V1623">_xlfn.IFS(C1623="","",COUNTIF(C1623,"ตำแหน่งว่าง*"),"ว่าง",COUNTIF(C1623,"&lt;&gt;ตำแหน่งว่าง*"),"คนครอง")</f>
        <v>ว่าง</v>
      </c>
      <c r="W1623" s="6" cm="1">
        <f t="array" ref="W1623">_xlfn.IFS(COUNTIF(F1623,"ผบ.หมู่*"),51,COUNTIF(F1623,"รอง สว.*"),43)</f>
        <v>51</v>
      </c>
      <c r="X1623" s="1" t="s">
        <v>4731</v>
      </c>
      <c r="Y1623" s="1" t="s">
        <v>52</v>
      </c>
    </row>
    <row r="1624" spans="1:25" s="9" customFormat="1" ht="21.3" customHeight="1">
      <c r="A1624" s="95" t="s">
        <v>208</v>
      </c>
      <c r="B1624" s="28" t="s">
        <v>12</v>
      </c>
      <c r="C1624" s="27" t="s">
        <v>4733</v>
      </c>
      <c r="D1624" s="27" t="s">
        <v>8714</v>
      </c>
      <c r="E1624" s="27" t="s">
        <v>9708</v>
      </c>
      <c r="F1624" s="27" t="s">
        <v>4704</v>
      </c>
      <c r="G1624" s="101" t="s">
        <v>4735</v>
      </c>
      <c r="H1624" s="91">
        <v>43693</v>
      </c>
      <c r="I1624" s="73">
        <v>43693</v>
      </c>
      <c r="J1624" s="73">
        <v>43693</v>
      </c>
      <c r="K1624" s="73">
        <v>33833</v>
      </c>
      <c r="L1624" s="11" t="s">
        <v>82</v>
      </c>
      <c r="M1624" s="1" t="s">
        <v>34</v>
      </c>
      <c r="N1624" s="112" t="s">
        <v>14</v>
      </c>
      <c r="O1624" s="104" t="s">
        <v>52</v>
      </c>
      <c r="P1624" s="104" t="s">
        <v>52</v>
      </c>
      <c r="Q1624" s="105"/>
      <c r="R1624" s="28" t="s">
        <v>645</v>
      </c>
      <c r="S1624" s="225">
        <f t="shared" si="25"/>
        <v>55793</v>
      </c>
      <c r="T1624" s="2" t="s">
        <v>7642</v>
      </c>
      <c r="U1624" s="7" t="s">
        <v>128</v>
      </c>
      <c r="V1624" s="162" t="str" cm="1">
        <f t="array" ref="V1624">_xlfn.IFS(C1624="","",COUNTIF(C1624,"ตำแหน่งว่าง*"),"ว่าง",COUNTIF(C1624,"&lt;&gt;ตำแหน่งว่าง*"),"คนครอง")</f>
        <v>คนครอง</v>
      </c>
      <c r="W1624" s="6" cm="1">
        <f t="array" ref="W1624">_xlfn.IFS(COUNTIF(F1624,"ผบ.หมู่*"),51,COUNTIF(F1624,"รอง สว.*"),43)</f>
        <v>51</v>
      </c>
      <c r="X1624" s="1" t="s">
        <v>4734</v>
      </c>
      <c r="Y1624" s="1" t="s">
        <v>52</v>
      </c>
    </row>
    <row r="1625" spans="1:25" s="10" customFormat="1" ht="21.3" customHeight="1">
      <c r="A1625" s="27"/>
      <c r="B1625" s="28"/>
      <c r="C1625" s="30" t="s">
        <v>18</v>
      </c>
      <c r="D1625" s="27"/>
      <c r="E1625" s="27"/>
      <c r="F1625" s="68" t="s">
        <v>4704</v>
      </c>
      <c r="G1625" s="121" t="s">
        <v>4737</v>
      </c>
      <c r="H1625" s="91" t="s">
        <v>19</v>
      </c>
      <c r="I1625" s="73" t="s">
        <v>19</v>
      </c>
      <c r="J1625" s="73" t="s">
        <v>19</v>
      </c>
      <c r="K1625" s="73" t="s">
        <v>19</v>
      </c>
      <c r="L1625" s="11"/>
      <c r="M1625" s="1"/>
      <c r="N1625" s="113" t="s">
        <v>14</v>
      </c>
      <c r="O1625" s="122" t="s">
        <v>52</v>
      </c>
      <c r="P1625" s="122" t="s">
        <v>52</v>
      </c>
      <c r="Q1625" s="105"/>
      <c r="R1625" s="28"/>
      <c r="S1625" s="225" t="str">
        <f t="shared" si="25"/>
        <v/>
      </c>
      <c r="T1625" s="7" t="s">
        <v>7642</v>
      </c>
      <c r="U1625" s="7" t="s">
        <v>128</v>
      </c>
      <c r="V1625" s="171" t="str" cm="1">
        <f t="array" ref="V1625">_xlfn.IFS(C1625="","",COUNTIF(C1625,"ตำแหน่งว่าง*"),"ว่าง",COUNTIF(C1625,"&lt;&gt;ตำแหน่งว่าง*"),"คนครอง")</f>
        <v>ว่าง</v>
      </c>
      <c r="W1625" s="6" cm="1">
        <f t="array" ref="W1625">_xlfn.IFS(COUNTIF(F1625,"ผบ.หมู่*"),51,COUNTIF(F1625,"รอง สว.*"),43)</f>
        <v>51</v>
      </c>
      <c r="X1625" s="6" t="s">
        <v>4736</v>
      </c>
      <c r="Y1625" s="6" t="s">
        <v>52</v>
      </c>
    </row>
    <row r="1626" spans="1:25" s="10" customFormat="1" ht="21.3" customHeight="1">
      <c r="A1626" s="27"/>
      <c r="B1626" s="28"/>
      <c r="C1626" s="30" t="s">
        <v>18</v>
      </c>
      <c r="D1626" s="27"/>
      <c r="E1626" s="27"/>
      <c r="F1626" s="68" t="s">
        <v>4704</v>
      </c>
      <c r="G1626" s="121" t="s">
        <v>4739</v>
      </c>
      <c r="H1626" s="91" t="s">
        <v>19</v>
      </c>
      <c r="I1626" s="73" t="s">
        <v>19</v>
      </c>
      <c r="J1626" s="73" t="s">
        <v>19</v>
      </c>
      <c r="K1626" s="73" t="s">
        <v>19</v>
      </c>
      <c r="L1626" s="11"/>
      <c r="M1626" s="1"/>
      <c r="N1626" s="113" t="s">
        <v>14</v>
      </c>
      <c r="O1626" s="122" t="s">
        <v>52</v>
      </c>
      <c r="P1626" s="122" t="s">
        <v>52</v>
      </c>
      <c r="Q1626" s="105"/>
      <c r="R1626" s="28"/>
      <c r="S1626" s="225" t="str">
        <f t="shared" si="25"/>
        <v/>
      </c>
      <c r="T1626" s="7" t="s">
        <v>7642</v>
      </c>
      <c r="U1626" s="7" t="s">
        <v>128</v>
      </c>
      <c r="V1626" s="171" t="str" cm="1">
        <f t="array" ref="V1626">_xlfn.IFS(C1626="","",COUNTIF(C1626,"ตำแหน่งว่าง*"),"ว่าง",COUNTIF(C1626,"&lt;&gt;ตำแหน่งว่าง*"),"คนครอง")</f>
        <v>ว่าง</v>
      </c>
      <c r="W1626" s="6" cm="1">
        <f t="array" ref="W1626">_xlfn.IFS(COUNTIF(F1626,"ผบ.หมู่*"),51,COUNTIF(F1626,"รอง สว.*"),43)</f>
        <v>51</v>
      </c>
      <c r="X1626" s="6" t="s">
        <v>4738</v>
      </c>
      <c r="Y1626" s="6" t="s">
        <v>52</v>
      </c>
    </row>
    <row r="1627" spans="1:25" s="10" customFormat="1" ht="21.3" customHeight="1">
      <c r="A1627" s="27"/>
      <c r="B1627" s="28"/>
      <c r="C1627" s="30" t="s">
        <v>18</v>
      </c>
      <c r="D1627" s="27"/>
      <c r="E1627" s="27"/>
      <c r="F1627" s="68" t="s">
        <v>4704</v>
      </c>
      <c r="G1627" s="121" t="s">
        <v>4741</v>
      </c>
      <c r="H1627" s="91" t="s">
        <v>19</v>
      </c>
      <c r="I1627" s="73" t="s">
        <v>19</v>
      </c>
      <c r="J1627" s="73" t="s">
        <v>19</v>
      </c>
      <c r="K1627" s="73" t="s">
        <v>19</v>
      </c>
      <c r="L1627" s="11"/>
      <c r="M1627" s="1"/>
      <c r="N1627" s="113" t="s">
        <v>14</v>
      </c>
      <c r="O1627" s="122" t="s">
        <v>52</v>
      </c>
      <c r="P1627" s="122" t="s">
        <v>52</v>
      </c>
      <c r="Q1627" s="105"/>
      <c r="R1627" s="28"/>
      <c r="S1627" s="225" t="str">
        <f t="shared" si="25"/>
        <v/>
      </c>
      <c r="T1627" s="7" t="s">
        <v>7642</v>
      </c>
      <c r="U1627" s="7" t="s">
        <v>128</v>
      </c>
      <c r="V1627" s="171" t="str" cm="1">
        <f t="array" ref="V1627">_xlfn.IFS(C1627="","",COUNTIF(C1627,"ตำแหน่งว่าง*"),"ว่าง",COUNTIF(C1627,"&lt;&gt;ตำแหน่งว่าง*"),"คนครอง")</f>
        <v>ว่าง</v>
      </c>
      <c r="W1627" s="6" cm="1">
        <f t="array" ref="W1627">_xlfn.IFS(COUNTIF(F1627,"ผบ.หมู่*"),51,COUNTIF(F1627,"รอง สว.*"),43)</f>
        <v>51</v>
      </c>
      <c r="X1627" s="6" t="s">
        <v>4740</v>
      </c>
      <c r="Y1627" s="6" t="s">
        <v>52</v>
      </c>
    </row>
    <row r="1628" spans="1:25" s="10" customFormat="1" ht="21.3" customHeight="1">
      <c r="A1628" s="152" t="s">
        <v>136</v>
      </c>
      <c r="B1628" s="153"/>
      <c r="C1628" s="125"/>
      <c r="D1628" s="27"/>
      <c r="E1628" s="158"/>
      <c r="F1628" s="158"/>
      <c r="G1628" s="125"/>
      <c r="H1628" s="154" t="s">
        <v>19</v>
      </c>
      <c r="I1628" s="126" t="s">
        <v>19</v>
      </c>
      <c r="J1628" s="126" t="s">
        <v>19</v>
      </c>
      <c r="K1628" s="126" t="s">
        <v>19</v>
      </c>
      <c r="L1628" s="127"/>
      <c r="M1628" s="128"/>
      <c r="N1628" s="125"/>
      <c r="O1628" s="125"/>
      <c r="P1628" s="125"/>
      <c r="Q1628" s="160"/>
      <c r="R1628" s="128"/>
      <c r="S1628" s="226" t="str">
        <f t="shared" si="25"/>
        <v/>
      </c>
      <c r="T1628" s="158"/>
      <c r="U1628" s="158"/>
      <c r="V1628" s="171" t="str" cm="1">
        <f t="array" ref="V1628">_xlfn.IFS(C1628="","",COUNTIF(C1628,"ตำแหน่งว่าง*"),"ว่าง",COUNTIF(C1628,"&lt;&gt;ตำแหน่งว่าง*"),"คนครอง")</f>
        <v/>
      </c>
      <c r="W1628" s="125"/>
      <c r="X1628" s="125"/>
      <c r="Y1628" s="125"/>
    </row>
    <row r="1629" spans="1:25" s="9" customFormat="1" ht="21.3" customHeight="1">
      <c r="A1629" s="27"/>
      <c r="B1629" s="28"/>
      <c r="C1629" s="95" t="s">
        <v>18</v>
      </c>
      <c r="D1629" s="27"/>
      <c r="E1629" s="27"/>
      <c r="F1629" s="27" t="s">
        <v>4742</v>
      </c>
      <c r="G1629" s="101" t="s">
        <v>4744</v>
      </c>
      <c r="H1629" s="91"/>
      <c r="I1629" s="73"/>
      <c r="J1629" s="73"/>
      <c r="K1629" s="73"/>
      <c r="L1629" s="11"/>
      <c r="M1629" s="1"/>
      <c r="N1629" s="112" t="s">
        <v>14</v>
      </c>
      <c r="O1629" s="104" t="s">
        <v>27</v>
      </c>
      <c r="P1629" s="104"/>
      <c r="Q1629" s="105"/>
      <c r="R1629" s="30"/>
      <c r="S1629" s="225" t="str">
        <f t="shared" si="25"/>
        <v/>
      </c>
      <c r="T1629" s="2" t="s">
        <v>136</v>
      </c>
      <c r="U1629" s="2" t="s">
        <v>136</v>
      </c>
      <c r="V1629" s="162" t="str" cm="1">
        <f t="array" ref="V1629">_xlfn.IFS(C1629="","",COUNTIF(C1629,"ตำแหน่งว่าง*"),"ว่าง",COUNTIF(C1629,"&lt;&gt;ตำแหน่งว่าง*"),"คนครอง")</f>
        <v>ว่าง</v>
      </c>
      <c r="W1629" s="6" cm="1">
        <f t="array" ref="W1629">_xlfn.IFS(COUNTIF(F1629,"ผบ.หมู่*"),51,COUNTIF(F1629,"รอง สว.*"),43)</f>
        <v>51</v>
      </c>
      <c r="X1629" s="1" t="s">
        <v>4743</v>
      </c>
      <c r="Y1629" s="1" t="s">
        <v>27</v>
      </c>
    </row>
    <row r="1630" spans="1:25" s="9" customFormat="1" ht="21.3" customHeight="1">
      <c r="A1630" s="27"/>
      <c r="B1630" s="28"/>
      <c r="C1630" s="30" t="s">
        <v>18</v>
      </c>
      <c r="D1630" s="27"/>
      <c r="E1630" s="27"/>
      <c r="F1630" s="27" t="s">
        <v>4742</v>
      </c>
      <c r="G1630" s="101" t="s">
        <v>4746</v>
      </c>
      <c r="H1630" s="91"/>
      <c r="I1630" s="73"/>
      <c r="J1630" s="73"/>
      <c r="K1630" s="73"/>
      <c r="L1630" s="11"/>
      <c r="M1630" s="1"/>
      <c r="N1630" s="112" t="s">
        <v>14</v>
      </c>
      <c r="O1630" s="104" t="s">
        <v>27</v>
      </c>
      <c r="P1630" s="104"/>
      <c r="Q1630" s="105"/>
      <c r="R1630" s="28"/>
      <c r="S1630" s="225" t="str">
        <f t="shared" si="25"/>
        <v/>
      </c>
      <c r="T1630" s="2" t="s">
        <v>136</v>
      </c>
      <c r="U1630" s="2" t="s">
        <v>136</v>
      </c>
      <c r="V1630" s="162" t="str" cm="1">
        <f t="array" ref="V1630">_xlfn.IFS(C1630="","",COUNTIF(C1630,"ตำแหน่งว่าง*"),"ว่าง",COUNTIF(C1630,"&lt;&gt;ตำแหน่งว่าง*"),"คนครอง")</f>
        <v>ว่าง</v>
      </c>
      <c r="W1630" s="5" cm="1">
        <f t="array" ref="W1630">_xlfn.IFS(COUNTIF(F1630,"ผบ.หมู่*"),51,COUNTIF(F1630,"รอง สว.*"),43)</f>
        <v>51</v>
      </c>
      <c r="X1630" s="1" t="s">
        <v>4745</v>
      </c>
      <c r="Y1630" s="1" t="s">
        <v>27</v>
      </c>
    </row>
    <row r="1631" spans="1:25" s="9" customFormat="1" ht="21.3" customHeight="1">
      <c r="A1631" s="27" t="s">
        <v>157</v>
      </c>
      <c r="B1631" s="28" t="s">
        <v>21</v>
      </c>
      <c r="C1631" s="27" t="s">
        <v>4747</v>
      </c>
      <c r="D1631" s="27" t="s">
        <v>8323</v>
      </c>
      <c r="E1631" s="27" t="s">
        <v>9709</v>
      </c>
      <c r="F1631" s="27" t="s">
        <v>4742</v>
      </c>
      <c r="G1631" s="101" t="s">
        <v>4749</v>
      </c>
      <c r="H1631" s="91">
        <v>43871</v>
      </c>
      <c r="I1631" s="73">
        <v>40814</v>
      </c>
      <c r="J1631" s="73">
        <v>40814</v>
      </c>
      <c r="K1631" s="73">
        <v>29594</v>
      </c>
      <c r="L1631" s="11" t="s">
        <v>45</v>
      </c>
      <c r="M1631" s="1" t="s">
        <v>56</v>
      </c>
      <c r="N1631" s="112" t="s">
        <v>14</v>
      </c>
      <c r="O1631" s="104" t="s">
        <v>27</v>
      </c>
      <c r="P1631" s="104"/>
      <c r="Q1631" s="105"/>
      <c r="R1631" s="28" t="s">
        <v>688</v>
      </c>
      <c r="S1631" s="225">
        <f t="shared" si="25"/>
        <v>51775</v>
      </c>
      <c r="T1631" s="2" t="s">
        <v>136</v>
      </c>
      <c r="U1631" s="2" t="s">
        <v>136</v>
      </c>
      <c r="V1631" s="162" t="str" cm="1">
        <f t="array" ref="V1631">_xlfn.IFS(C1631="","",COUNTIF(C1631,"ตำแหน่งว่าง*"),"ว่าง",COUNTIF(C1631,"&lt;&gt;ตำแหน่งว่าง*"),"คนครอง")</f>
        <v>คนครอง</v>
      </c>
      <c r="W1631" s="6" cm="1">
        <f t="array" ref="W1631">_xlfn.IFS(COUNTIF(F1631,"ผบ.หมู่*"),51,COUNTIF(F1631,"รอง สว.*"),43)</f>
        <v>51</v>
      </c>
      <c r="X1631" s="1" t="s">
        <v>4748</v>
      </c>
      <c r="Y1631" s="1" t="s">
        <v>27</v>
      </c>
    </row>
    <row r="1632" spans="1:25" s="9" customFormat="1" ht="21.3" customHeight="1">
      <c r="A1632" s="27" t="s">
        <v>157</v>
      </c>
      <c r="B1632" s="28" t="s">
        <v>21</v>
      </c>
      <c r="C1632" s="27" t="s">
        <v>4750</v>
      </c>
      <c r="D1632" s="27" t="s">
        <v>9710</v>
      </c>
      <c r="E1632" s="27" t="s">
        <v>9711</v>
      </c>
      <c r="F1632" s="27" t="s">
        <v>4751</v>
      </c>
      <c r="G1632" s="101" t="s">
        <v>4753</v>
      </c>
      <c r="H1632" s="91">
        <v>44999</v>
      </c>
      <c r="I1632" s="75">
        <v>40084</v>
      </c>
      <c r="J1632" s="75">
        <v>40084</v>
      </c>
      <c r="K1632" s="75">
        <v>30378</v>
      </c>
      <c r="L1632" s="34" t="s">
        <v>111</v>
      </c>
      <c r="M1632" s="28" t="s">
        <v>56</v>
      </c>
      <c r="N1632" s="112" t="s">
        <v>14</v>
      </c>
      <c r="O1632" s="104" t="s">
        <v>27</v>
      </c>
      <c r="P1632" s="104"/>
      <c r="Q1632" s="105"/>
      <c r="R1632" s="28" t="s">
        <v>74</v>
      </c>
      <c r="S1632" s="225">
        <f t="shared" si="25"/>
        <v>52505</v>
      </c>
      <c r="T1632" s="2" t="s">
        <v>7698</v>
      </c>
      <c r="U1632" s="2" t="s">
        <v>136</v>
      </c>
      <c r="V1632" s="162" t="str" cm="1">
        <f t="array" ref="V1632">_xlfn.IFS(C1632="","",COUNTIF(C1632,"ตำแหน่งว่าง*"),"ว่าง",COUNTIF(C1632,"&lt;&gt;ตำแหน่งว่าง*"),"คนครอง")</f>
        <v>คนครอง</v>
      </c>
      <c r="W1632" s="6" cm="1">
        <f t="array" ref="W1632">_xlfn.IFS(COUNTIF(F1632,"ผบ.หมู่*"),51,COUNTIF(F1632,"รอง สว.*"),43)</f>
        <v>51</v>
      </c>
      <c r="X1632" s="28" t="s">
        <v>4752</v>
      </c>
      <c r="Y1632" s="28" t="s">
        <v>27</v>
      </c>
    </row>
    <row r="1633" spans="1:25" s="10" customFormat="1" ht="21.3" customHeight="1">
      <c r="A1633" s="27" t="s">
        <v>208</v>
      </c>
      <c r="B1633" s="28" t="s">
        <v>21</v>
      </c>
      <c r="C1633" s="27" t="s">
        <v>7759</v>
      </c>
      <c r="D1633" s="27" t="s">
        <v>9712</v>
      </c>
      <c r="E1633" s="27" t="s">
        <v>9713</v>
      </c>
      <c r="F1633" s="27" t="s">
        <v>4751</v>
      </c>
      <c r="G1633" s="101" t="s">
        <v>4755</v>
      </c>
      <c r="H1633" s="91">
        <v>45322</v>
      </c>
      <c r="I1633" s="73">
        <v>43693</v>
      </c>
      <c r="J1633" s="73">
        <v>43693</v>
      </c>
      <c r="K1633" s="73">
        <v>34236</v>
      </c>
      <c r="L1633" s="11" t="s">
        <v>4052</v>
      </c>
      <c r="M1633" s="1" t="s">
        <v>56</v>
      </c>
      <c r="N1633" s="112" t="s">
        <v>14</v>
      </c>
      <c r="O1633" s="104" t="s">
        <v>27</v>
      </c>
      <c r="P1633" s="104"/>
      <c r="Q1633" s="105"/>
      <c r="R1633" s="30" t="s">
        <v>7708</v>
      </c>
      <c r="S1633" s="225">
        <f t="shared" si="25"/>
        <v>56158</v>
      </c>
      <c r="T1633" s="7" t="s">
        <v>7698</v>
      </c>
      <c r="U1633" s="2" t="s">
        <v>136</v>
      </c>
      <c r="V1633" s="162" t="str" cm="1">
        <f t="array" ref="V1633">_xlfn.IFS(C1633="","",COUNTIF(C1633,"ตำแหน่งว่าง*"),"ว่าง",COUNTIF(C1633,"&lt;&gt;ตำแหน่งว่าง*"),"คนครอง")</f>
        <v>คนครอง</v>
      </c>
      <c r="W1633" s="6" cm="1">
        <f t="array" ref="W1633">_xlfn.IFS(COUNTIF(F1633,"ผบ.หมู่*"),51,COUNTIF(F1633,"รอง สว.*"),43)</f>
        <v>51</v>
      </c>
      <c r="X1633" s="1" t="s">
        <v>4754</v>
      </c>
      <c r="Y1633" s="1" t="s">
        <v>27</v>
      </c>
    </row>
    <row r="1634" spans="1:25" s="9" customFormat="1" ht="21.3" customHeight="1">
      <c r="A1634" s="27" t="s">
        <v>157</v>
      </c>
      <c r="B1634" s="28" t="s">
        <v>21</v>
      </c>
      <c r="C1634" s="27" t="s">
        <v>4756</v>
      </c>
      <c r="D1634" s="27" t="s">
        <v>9714</v>
      </c>
      <c r="E1634" s="27" t="s">
        <v>9715</v>
      </c>
      <c r="F1634" s="27" t="s">
        <v>4751</v>
      </c>
      <c r="G1634" s="101" t="s">
        <v>4758</v>
      </c>
      <c r="H1634" s="91">
        <v>43871</v>
      </c>
      <c r="I1634" s="73">
        <v>34352</v>
      </c>
      <c r="J1634" s="73">
        <v>34352</v>
      </c>
      <c r="K1634" s="73">
        <v>27278</v>
      </c>
      <c r="L1634" s="11" t="s">
        <v>4759</v>
      </c>
      <c r="M1634" s="1" t="s">
        <v>56</v>
      </c>
      <c r="N1634" s="112" t="s">
        <v>14</v>
      </c>
      <c r="O1634" s="104" t="s">
        <v>27</v>
      </c>
      <c r="P1634" s="104"/>
      <c r="Q1634" s="105"/>
      <c r="R1634" s="28" t="s">
        <v>688</v>
      </c>
      <c r="S1634" s="225">
        <f t="shared" si="25"/>
        <v>49218</v>
      </c>
      <c r="T1634" s="2" t="s">
        <v>7698</v>
      </c>
      <c r="U1634" s="2" t="s">
        <v>136</v>
      </c>
      <c r="V1634" s="162" t="str" cm="1">
        <f t="array" ref="V1634">_xlfn.IFS(C1634="","",COUNTIF(C1634,"ตำแหน่งว่าง*"),"ว่าง",COUNTIF(C1634,"&lt;&gt;ตำแหน่งว่าง*"),"คนครอง")</f>
        <v>คนครอง</v>
      </c>
      <c r="W1634" s="6" cm="1">
        <f t="array" ref="W1634">_xlfn.IFS(COUNTIF(F1634,"ผบ.หมู่*"),51,COUNTIF(F1634,"รอง สว.*"),43)</f>
        <v>51</v>
      </c>
      <c r="X1634" s="1" t="s">
        <v>4757</v>
      </c>
      <c r="Y1634" s="1" t="s">
        <v>27</v>
      </c>
    </row>
    <row r="1635" spans="1:25" s="9" customFormat="1" ht="21.3" customHeight="1">
      <c r="A1635" s="27" t="s">
        <v>157</v>
      </c>
      <c r="B1635" s="28" t="s">
        <v>21</v>
      </c>
      <c r="C1635" s="27" t="s">
        <v>4760</v>
      </c>
      <c r="D1635" s="27" t="s">
        <v>9716</v>
      </c>
      <c r="E1635" s="27" t="s">
        <v>9717</v>
      </c>
      <c r="F1635" s="27" t="s">
        <v>4751</v>
      </c>
      <c r="G1635" s="101" t="s">
        <v>4762</v>
      </c>
      <c r="H1635" s="91">
        <v>43871</v>
      </c>
      <c r="I1635" s="73">
        <v>34352</v>
      </c>
      <c r="J1635" s="73">
        <v>34352</v>
      </c>
      <c r="K1635" s="73">
        <v>27479</v>
      </c>
      <c r="L1635" s="11" t="s">
        <v>112</v>
      </c>
      <c r="M1635" s="1" t="s">
        <v>56</v>
      </c>
      <c r="N1635" s="112" t="s">
        <v>14</v>
      </c>
      <c r="O1635" s="104" t="s">
        <v>27</v>
      </c>
      <c r="P1635" s="104"/>
      <c r="Q1635" s="105"/>
      <c r="R1635" s="28" t="s">
        <v>688</v>
      </c>
      <c r="S1635" s="225">
        <f t="shared" si="25"/>
        <v>49583</v>
      </c>
      <c r="T1635" s="2" t="s">
        <v>7698</v>
      </c>
      <c r="U1635" s="2" t="s">
        <v>136</v>
      </c>
      <c r="V1635" s="162" t="str" cm="1">
        <f t="array" ref="V1635">_xlfn.IFS(C1635="","",COUNTIF(C1635,"ตำแหน่งว่าง*"),"ว่าง",COUNTIF(C1635,"&lt;&gt;ตำแหน่งว่าง*"),"คนครอง")</f>
        <v>คนครอง</v>
      </c>
      <c r="W1635" s="6" cm="1">
        <f t="array" ref="W1635">_xlfn.IFS(COUNTIF(F1635,"ผบ.หมู่*"),51,COUNTIF(F1635,"รอง สว.*"),43)</f>
        <v>51</v>
      </c>
      <c r="X1635" s="1" t="s">
        <v>4761</v>
      </c>
      <c r="Y1635" s="1" t="s">
        <v>27</v>
      </c>
    </row>
    <row r="1636" spans="1:25" s="9" customFormat="1" ht="21.3" customHeight="1">
      <c r="A1636" s="27" t="s">
        <v>30</v>
      </c>
      <c r="B1636" s="28" t="s">
        <v>21</v>
      </c>
      <c r="C1636" s="27" t="s">
        <v>4763</v>
      </c>
      <c r="D1636" s="27" t="s">
        <v>8076</v>
      </c>
      <c r="E1636" s="27" t="s">
        <v>9718</v>
      </c>
      <c r="F1636" s="27" t="s">
        <v>4764</v>
      </c>
      <c r="G1636" s="101" t="s">
        <v>4766</v>
      </c>
      <c r="H1636" s="91">
        <v>43555</v>
      </c>
      <c r="I1636" s="73">
        <v>43555</v>
      </c>
      <c r="J1636" s="73">
        <v>34352</v>
      </c>
      <c r="K1636" s="73">
        <v>24062</v>
      </c>
      <c r="L1636" s="2" t="s">
        <v>112</v>
      </c>
      <c r="M1636" s="1" t="s">
        <v>56</v>
      </c>
      <c r="N1636" s="112" t="s">
        <v>14</v>
      </c>
      <c r="O1636" s="104" t="s">
        <v>27</v>
      </c>
      <c r="P1636" s="104"/>
      <c r="Q1636" s="105"/>
      <c r="R1636" s="28" t="s">
        <v>2892</v>
      </c>
      <c r="S1636" s="225">
        <f t="shared" si="25"/>
        <v>46296</v>
      </c>
      <c r="T1636" s="2" t="s">
        <v>7698</v>
      </c>
      <c r="U1636" s="2" t="s">
        <v>136</v>
      </c>
      <c r="V1636" s="162" t="str" cm="1">
        <f t="array" ref="V1636">_xlfn.IFS(C1636="","",COUNTIF(C1636,"ตำแหน่งว่าง*"),"ว่าง",COUNTIF(C1636,"&lt;&gt;ตำแหน่งว่าง*"),"คนครอง")</f>
        <v>คนครอง</v>
      </c>
      <c r="W1636" s="5" cm="1">
        <f t="array" ref="W1636">_xlfn.IFS(COUNTIF(F1636,"ผบ.หมู่*"),51,COUNTIF(F1636,"รอง สว.*"),43)</f>
        <v>43</v>
      </c>
      <c r="X1636" s="1" t="s">
        <v>4765</v>
      </c>
      <c r="Y1636" s="1" t="s">
        <v>27</v>
      </c>
    </row>
    <row r="1637" spans="1:25" s="9" customFormat="1" ht="21.3" customHeight="1">
      <c r="A1637" s="27" t="s">
        <v>157</v>
      </c>
      <c r="B1637" s="28" t="s">
        <v>21</v>
      </c>
      <c r="C1637" s="27" t="s">
        <v>4767</v>
      </c>
      <c r="D1637" s="27" t="s">
        <v>9057</v>
      </c>
      <c r="E1637" s="27" t="s">
        <v>8259</v>
      </c>
      <c r="F1637" s="27" t="s">
        <v>4751</v>
      </c>
      <c r="G1637" s="101" t="s">
        <v>4769</v>
      </c>
      <c r="H1637" s="91">
        <v>43235</v>
      </c>
      <c r="I1637" s="73">
        <v>40814</v>
      </c>
      <c r="J1637" s="73">
        <v>40814</v>
      </c>
      <c r="K1637" s="73">
        <v>28641</v>
      </c>
      <c r="L1637" s="11" t="s">
        <v>107</v>
      </c>
      <c r="M1637" s="1" t="s">
        <v>106</v>
      </c>
      <c r="N1637" s="112" t="s">
        <v>14</v>
      </c>
      <c r="O1637" s="104" t="s">
        <v>27</v>
      </c>
      <c r="P1637" s="104"/>
      <c r="Q1637" s="105"/>
      <c r="R1637" s="28" t="s">
        <v>4770</v>
      </c>
      <c r="S1637" s="225">
        <f t="shared" si="25"/>
        <v>50679</v>
      </c>
      <c r="T1637" s="2" t="s">
        <v>7698</v>
      </c>
      <c r="U1637" s="2" t="s">
        <v>136</v>
      </c>
      <c r="V1637" s="162" t="str" cm="1">
        <f t="array" ref="V1637">_xlfn.IFS(C1637="","",COUNTIF(C1637,"ตำแหน่งว่าง*"),"ว่าง",COUNTIF(C1637,"&lt;&gt;ตำแหน่งว่าง*"),"คนครอง")</f>
        <v>คนครอง</v>
      </c>
      <c r="W1637" s="6" cm="1">
        <f t="array" ref="W1637">_xlfn.IFS(COUNTIF(F1637,"ผบ.หมู่*"),51,COUNTIF(F1637,"รอง สว.*"),43)</f>
        <v>51</v>
      </c>
      <c r="X1637" s="1" t="s">
        <v>4768</v>
      </c>
      <c r="Y1637" s="1" t="s">
        <v>27</v>
      </c>
    </row>
    <row r="1638" spans="1:25" s="9" customFormat="1" ht="21.3" customHeight="1">
      <c r="A1638" s="27" t="s">
        <v>157</v>
      </c>
      <c r="B1638" s="28" t="s">
        <v>21</v>
      </c>
      <c r="C1638" s="27" t="s">
        <v>4771</v>
      </c>
      <c r="D1638" s="27" t="s">
        <v>8144</v>
      </c>
      <c r="E1638" s="27" t="s">
        <v>9719</v>
      </c>
      <c r="F1638" s="27" t="s">
        <v>4751</v>
      </c>
      <c r="G1638" s="101" t="s">
        <v>4773</v>
      </c>
      <c r="H1638" s="75">
        <v>43656</v>
      </c>
      <c r="I1638" s="73">
        <v>40339</v>
      </c>
      <c r="J1638" s="73">
        <v>40339</v>
      </c>
      <c r="K1638" s="73">
        <v>31572</v>
      </c>
      <c r="L1638" s="2" t="s">
        <v>45</v>
      </c>
      <c r="M1638" s="1" t="s">
        <v>56</v>
      </c>
      <c r="N1638" s="112" t="s">
        <v>14</v>
      </c>
      <c r="O1638" s="104" t="s">
        <v>27</v>
      </c>
      <c r="P1638" s="104"/>
      <c r="Q1638" s="105"/>
      <c r="R1638" s="28" t="s">
        <v>2794</v>
      </c>
      <c r="S1638" s="225">
        <f t="shared" si="25"/>
        <v>53601</v>
      </c>
      <c r="T1638" s="2" t="s">
        <v>7698</v>
      </c>
      <c r="U1638" s="2" t="s">
        <v>136</v>
      </c>
      <c r="V1638" s="162" t="str" cm="1">
        <f t="array" ref="V1638">_xlfn.IFS(C1638="","",COUNTIF(C1638,"ตำแหน่งว่าง*"),"ว่าง",COUNTIF(C1638,"&lt;&gt;ตำแหน่งว่าง*"),"คนครอง")</f>
        <v>คนครอง</v>
      </c>
      <c r="W1638" s="6" cm="1">
        <f t="array" ref="W1638">_xlfn.IFS(COUNTIF(F1638,"ผบ.หมู่*"),51,COUNTIF(F1638,"รอง สว.*"),43)</f>
        <v>51</v>
      </c>
      <c r="X1638" s="1" t="s">
        <v>4772</v>
      </c>
      <c r="Y1638" s="1" t="s">
        <v>27</v>
      </c>
    </row>
    <row r="1639" spans="1:25" s="9" customFormat="1" ht="21.3" customHeight="1">
      <c r="A1639" s="27" t="s">
        <v>208</v>
      </c>
      <c r="B1639" s="28" t="s">
        <v>21</v>
      </c>
      <c r="C1639" s="27" t="s">
        <v>7763</v>
      </c>
      <c r="D1639" s="27" t="s">
        <v>9720</v>
      </c>
      <c r="E1639" s="27" t="s">
        <v>9721</v>
      </c>
      <c r="F1639" s="27" t="s">
        <v>4751</v>
      </c>
      <c r="G1639" s="101" t="s">
        <v>4776</v>
      </c>
      <c r="H1639" s="75">
        <v>45322</v>
      </c>
      <c r="I1639" s="78">
        <v>43693</v>
      </c>
      <c r="J1639" s="73">
        <v>43693</v>
      </c>
      <c r="K1639" s="78">
        <v>33926</v>
      </c>
      <c r="L1639" s="2" t="s">
        <v>1856</v>
      </c>
      <c r="M1639" s="1" t="s">
        <v>56</v>
      </c>
      <c r="N1639" s="112" t="s">
        <v>14</v>
      </c>
      <c r="O1639" s="104" t="s">
        <v>27</v>
      </c>
      <c r="P1639" s="104"/>
      <c r="Q1639" s="105"/>
      <c r="R1639" s="28" t="s">
        <v>7708</v>
      </c>
      <c r="S1639" s="225">
        <f t="shared" si="25"/>
        <v>56158</v>
      </c>
      <c r="T1639" s="2" t="s">
        <v>7698</v>
      </c>
      <c r="U1639" s="2" t="s">
        <v>136</v>
      </c>
      <c r="V1639" s="162" t="str" cm="1">
        <f t="array" ref="V1639">_xlfn.IFS(C1639="","",COUNTIF(C1639,"ตำแหน่งว่าง*"),"ว่าง",COUNTIF(C1639,"&lt;&gt;ตำแหน่งว่าง*"),"คนครอง")</f>
        <v>คนครอง</v>
      </c>
      <c r="W1639" s="6" cm="1">
        <f t="array" ref="W1639">_xlfn.IFS(COUNTIF(F1639,"ผบ.หมู่*"),51,COUNTIF(F1639,"รอง สว.*"),43)</f>
        <v>51</v>
      </c>
      <c r="X1639" s="1" t="s">
        <v>4775</v>
      </c>
      <c r="Y1639" s="1" t="s">
        <v>27</v>
      </c>
    </row>
    <row r="1640" spans="1:25" s="12" customFormat="1" ht="21.3" customHeight="1">
      <c r="A1640" s="27" t="s">
        <v>157</v>
      </c>
      <c r="B1640" s="28" t="s">
        <v>21</v>
      </c>
      <c r="C1640" s="27" t="s">
        <v>4778</v>
      </c>
      <c r="D1640" s="27" t="s">
        <v>9722</v>
      </c>
      <c r="E1640" s="27" t="s">
        <v>9723</v>
      </c>
      <c r="F1640" s="27" t="s">
        <v>4751</v>
      </c>
      <c r="G1640" s="101" t="s">
        <v>4780</v>
      </c>
      <c r="H1640" s="91">
        <v>42604</v>
      </c>
      <c r="I1640" s="73">
        <v>40814</v>
      </c>
      <c r="J1640" s="73">
        <v>40814</v>
      </c>
      <c r="K1640" s="73">
        <v>29191</v>
      </c>
      <c r="L1640" s="11" t="s">
        <v>4781</v>
      </c>
      <c r="M1640" s="1" t="s">
        <v>56</v>
      </c>
      <c r="N1640" s="112" t="s">
        <v>14</v>
      </c>
      <c r="O1640" s="104" t="s">
        <v>27</v>
      </c>
      <c r="P1640" s="104"/>
      <c r="Q1640" s="105"/>
      <c r="R1640" s="28" t="s">
        <v>76</v>
      </c>
      <c r="S1640" s="225">
        <f t="shared" si="25"/>
        <v>51410</v>
      </c>
      <c r="T1640" s="162" t="s">
        <v>7698</v>
      </c>
      <c r="U1640" s="2" t="s">
        <v>136</v>
      </c>
      <c r="V1640" s="162" t="str" cm="1">
        <f t="array" ref="V1640">_xlfn.IFS(C1640="","",COUNTIF(C1640,"ตำแหน่งว่าง*"),"ว่าง",COUNTIF(C1640,"&lt;&gt;ตำแหน่งว่าง*"),"คนครอง")</f>
        <v>คนครอง</v>
      </c>
      <c r="W1640" s="6" cm="1">
        <f t="array" ref="W1640">_xlfn.IFS(COUNTIF(F1640,"ผบ.หมู่*"),51,COUNTIF(F1640,"รอง สว.*"),43)</f>
        <v>51</v>
      </c>
      <c r="X1640" s="1" t="s">
        <v>4779</v>
      </c>
      <c r="Y1640" s="1" t="s">
        <v>27</v>
      </c>
    </row>
    <row r="1641" spans="1:25" s="10" customFormat="1" ht="21.3" customHeight="1">
      <c r="A1641" s="68"/>
      <c r="B1641" s="30"/>
      <c r="C1641" s="68" t="s">
        <v>18</v>
      </c>
      <c r="D1641" s="27"/>
      <c r="E1641" s="27"/>
      <c r="F1641" s="68" t="s">
        <v>4751</v>
      </c>
      <c r="G1641" s="121" t="s">
        <v>4821</v>
      </c>
      <c r="H1641" s="93"/>
      <c r="I1641" s="74"/>
      <c r="J1641" s="74"/>
      <c r="K1641" s="74"/>
      <c r="L1641" s="7"/>
      <c r="M1641" s="6"/>
      <c r="N1641" s="113" t="s">
        <v>14</v>
      </c>
      <c r="O1641" s="122" t="s">
        <v>43</v>
      </c>
      <c r="P1641" s="122"/>
      <c r="Q1641" s="106"/>
      <c r="R1641" s="30"/>
      <c r="S1641" s="229" t="str">
        <f t="shared" si="25"/>
        <v/>
      </c>
      <c r="T1641" s="7" t="s">
        <v>7698</v>
      </c>
      <c r="U1641" s="7" t="s">
        <v>136</v>
      </c>
      <c r="V1641" s="171" t="str" cm="1">
        <f t="array" ref="V1641">_xlfn.IFS(C1641="","",COUNTIF(C1641,"ตำแหน่งว่าง*"),"ว่าง",COUNTIF(C1641,"&lt;&gt;ตำแหน่งว่าง*"),"คนครอง")</f>
        <v>ว่าง</v>
      </c>
      <c r="W1641" s="6" cm="1">
        <f t="array" ref="W1641">_xlfn.IFS(COUNTIF(F1641,"ผบ.หมู่*"),51,COUNTIF(F1641,"รอง สว.*"),43)</f>
        <v>51</v>
      </c>
      <c r="X1641" s="6" t="s">
        <v>4820</v>
      </c>
      <c r="Y1641" s="6" t="s">
        <v>48</v>
      </c>
    </row>
    <row r="1642" spans="1:25" s="12" customFormat="1" ht="21.3" customHeight="1">
      <c r="A1642" s="27" t="s">
        <v>157</v>
      </c>
      <c r="B1642" s="28" t="s">
        <v>21</v>
      </c>
      <c r="C1642" s="95" t="s">
        <v>4782</v>
      </c>
      <c r="D1642" s="27" t="s">
        <v>8126</v>
      </c>
      <c r="E1642" s="27" t="s">
        <v>9724</v>
      </c>
      <c r="F1642" s="95" t="s">
        <v>4751</v>
      </c>
      <c r="G1642" s="101" t="s">
        <v>4784</v>
      </c>
      <c r="H1642" s="75">
        <v>42501</v>
      </c>
      <c r="I1642" s="73">
        <v>34352</v>
      </c>
      <c r="J1642" s="73">
        <v>34352</v>
      </c>
      <c r="K1642" s="73">
        <v>26714</v>
      </c>
      <c r="L1642" s="2" t="s">
        <v>31</v>
      </c>
      <c r="M1642" s="1" t="s">
        <v>56</v>
      </c>
      <c r="N1642" s="111" t="s">
        <v>14</v>
      </c>
      <c r="O1642" s="104" t="s">
        <v>52</v>
      </c>
      <c r="P1642" s="104" t="s">
        <v>52</v>
      </c>
      <c r="Q1642" s="105"/>
      <c r="R1642" s="28" t="s">
        <v>110</v>
      </c>
      <c r="S1642" s="225">
        <f t="shared" si="25"/>
        <v>48853</v>
      </c>
      <c r="T1642" s="162" t="s">
        <v>7698</v>
      </c>
      <c r="U1642" s="2" t="s">
        <v>136</v>
      </c>
      <c r="V1642" s="162" t="str" cm="1">
        <f t="array" ref="V1642">_xlfn.IFS(C1642="","",COUNTIF(C1642,"ตำแหน่งว่าง*"),"ว่าง",COUNTIF(C1642,"&lt;&gt;ตำแหน่งว่าง*"),"คนครอง")</f>
        <v>คนครอง</v>
      </c>
      <c r="W1642" s="6" cm="1">
        <f t="array" ref="W1642">_xlfn.IFS(COUNTIF(F1642,"ผบ.หมู่*"),51,COUNTIF(F1642,"รอง สว.*"),43)</f>
        <v>51</v>
      </c>
      <c r="X1642" s="5" t="s">
        <v>4783</v>
      </c>
      <c r="Y1642" s="5" t="s">
        <v>52</v>
      </c>
    </row>
    <row r="1643" spans="1:25" s="12" customFormat="1" ht="21.3" customHeight="1">
      <c r="A1643" s="27" t="s">
        <v>60</v>
      </c>
      <c r="B1643" s="28" t="s">
        <v>12</v>
      </c>
      <c r="C1643" s="95" t="s">
        <v>4785</v>
      </c>
      <c r="D1643" s="27" t="s">
        <v>8229</v>
      </c>
      <c r="E1643" s="27" t="s">
        <v>9725</v>
      </c>
      <c r="F1643" s="95" t="s">
        <v>4764</v>
      </c>
      <c r="G1643" s="101" t="s">
        <v>4787</v>
      </c>
      <c r="H1643" s="75">
        <v>42501</v>
      </c>
      <c r="I1643" s="73">
        <v>37316</v>
      </c>
      <c r="J1643" s="73">
        <v>37316</v>
      </c>
      <c r="K1643" s="73">
        <v>26476</v>
      </c>
      <c r="L1643" s="11" t="s">
        <v>4788</v>
      </c>
      <c r="M1643" s="1" t="s">
        <v>56</v>
      </c>
      <c r="N1643" s="111" t="s">
        <v>14</v>
      </c>
      <c r="O1643" s="104" t="s">
        <v>52</v>
      </c>
      <c r="P1643" s="104" t="s">
        <v>52</v>
      </c>
      <c r="Q1643" s="105"/>
      <c r="R1643" s="28" t="s">
        <v>110</v>
      </c>
      <c r="S1643" s="225">
        <f t="shared" si="25"/>
        <v>48488</v>
      </c>
      <c r="T1643" s="162" t="s">
        <v>7698</v>
      </c>
      <c r="U1643" s="2" t="s">
        <v>136</v>
      </c>
      <c r="V1643" s="162" t="str" cm="1">
        <f t="array" ref="V1643">_xlfn.IFS(C1643="","",COUNTIF(C1643,"ตำแหน่งว่าง*"),"ว่าง",COUNTIF(C1643,"&lt;&gt;ตำแหน่งว่าง*"),"คนครอง")</f>
        <v>คนครอง</v>
      </c>
      <c r="W1643" s="6" cm="1">
        <f t="array" ref="W1643">_xlfn.IFS(COUNTIF(F1643,"ผบ.หมู่*"),51,COUNTIF(F1643,"รอง สว.*"),43)</f>
        <v>43</v>
      </c>
      <c r="X1643" s="5" t="s">
        <v>4786</v>
      </c>
      <c r="Y1643" s="5" t="s">
        <v>52</v>
      </c>
    </row>
    <row r="1644" spans="1:25" s="12" customFormat="1" ht="21.3" customHeight="1">
      <c r="A1644" s="27" t="s">
        <v>60</v>
      </c>
      <c r="B1644" s="28" t="s">
        <v>21</v>
      </c>
      <c r="C1644" s="95" t="s">
        <v>4789</v>
      </c>
      <c r="D1644" s="27" t="s">
        <v>9726</v>
      </c>
      <c r="E1644" s="27" t="s">
        <v>9727</v>
      </c>
      <c r="F1644" s="95" t="s">
        <v>4764</v>
      </c>
      <c r="G1644" s="101" t="s">
        <v>4791</v>
      </c>
      <c r="H1644" s="75">
        <v>42501</v>
      </c>
      <c r="I1644" s="73">
        <v>34352</v>
      </c>
      <c r="J1644" s="73">
        <v>34352</v>
      </c>
      <c r="K1644" s="73">
        <v>26527</v>
      </c>
      <c r="L1644" s="11" t="s">
        <v>4792</v>
      </c>
      <c r="M1644" s="1" t="s">
        <v>56</v>
      </c>
      <c r="N1644" s="111" t="s">
        <v>14</v>
      </c>
      <c r="O1644" s="104" t="s">
        <v>52</v>
      </c>
      <c r="P1644" s="104" t="s">
        <v>52</v>
      </c>
      <c r="Q1644" s="105"/>
      <c r="R1644" s="28" t="s">
        <v>110</v>
      </c>
      <c r="S1644" s="225">
        <f t="shared" si="25"/>
        <v>48488</v>
      </c>
      <c r="T1644" s="162" t="s">
        <v>7698</v>
      </c>
      <c r="U1644" s="2" t="s">
        <v>136</v>
      </c>
      <c r="V1644" s="162" t="str" cm="1">
        <f t="array" ref="V1644">_xlfn.IFS(C1644="","",COUNTIF(C1644,"ตำแหน่งว่าง*"),"ว่าง",COUNTIF(C1644,"&lt;&gt;ตำแหน่งว่าง*"),"คนครอง")</f>
        <v>คนครอง</v>
      </c>
      <c r="W1644" s="6" cm="1">
        <f t="array" ref="W1644">_xlfn.IFS(COUNTIF(F1644,"ผบ.หมู่*"),51,COUNTIF(F1644,"รอง สว.*"),43)</f>
        <v>43</v>
      </c>
      <c r="X1644" s="5" t="s">
        <v>4790</v>
      </c>
      <c r="Y1644" s="5" t="s">
        <v>52</v>
      </c>
    </row>
    <row r="1645" spans="1:25" s="9" customFormat="1" ht="21.3" customHeight="1">
      <c r="A1645" s="27" t="s">
        <v>612</v>
      </c>
      <c r="B1645" s="26" t="s">
        <v>21</v>
      </c>
      <c r="C1645" s="134" t="s">
        <v>4793</v>
      </c>
      <c r="D1645" s="27" t="s">
        <v>9728</v>
      </c>
      <c r="E1645" s="27" t="s">
        <v>8386</v>
      </c>
      <c r="F1645" s="27" t="s">
        <v>4751</v>
      </c>
      <c r="G1645" s="101" t="s">
        <v>4795</v>
      </c>
      <c r="H1645" s="75">
        <v>43656</v>
      </c>
      <c r="I1645" s="73">
        <v>41944</v>
      </c>
      <c r="J1645" s="73">
        <v>41944</v>
      </c>
      <c r="K1645" s="73">
        <v>29765</v>
      </c>
      <c r="L1645" s="19" t="s">
        <v>1592</v>
      </c>
      <c r="M1645" s="1" t="s">
        <v>56</v>
      </c>
      <c r="N1645" s="112" t="s">
        <v>14</v>
      </c>
      <c r="O1645" s="104" t="s">
        <v>52</v>
      </c>
      <c r="P1645" s="104" t="s">
        <v>52</v>
      </c>
      <c r="Q1645" s="105"/>
      <c r="R1645" s="26" t="s">
        <v>713</v>
      </c>
      <c r="S1645" s="225">
        <f t="shared" si="25"/>
        <v>51775</v>
      </c>
      <c r="T1645" s="2" t="s">
        <v>7698</v>
      </c>
      <c r="U1645" s="2" t="s">
        <v>136</v>
      </c>
      <c r="V1645" s="162" t="str" cm="1">
        <f t="array" ref="V1645">_xlfn.IFS(C1645="","",COUNTIF(C1645,"ตำแหน่งว่าง*"),"ว่าง",COUNTIF(C1645,"&lt;&gt;ตำแหน่งว่าง*"),"คนครอง")</f>
        <v>คนครอง</v>
      </c>
      <c r="W1645" s="6" cm="1">
        <f t="array" ref="W1645">_xlfn.IFS(COUNTIF(F1645,"ผบ.หมู่*"),51,COUNTIF(F1645,"รอง สว.*"),43)</f>
        <v>51</v>
      </c>
      <c r="X1645" s="1" t="s">
        <v>4794</v>
      </c>
      <c r="Y1645" s="1" t="s">
        <v>52</v>
      </c>
    </row>
    <row r="1646" spans="1:25" s="12" customFormat="1" ht="21.3" customHeight="1">
      <c r="A1646" s="27" t="s">
        <v>30</v>
      </c>
      <c r="B1646" s="28" t="s">
        <v>21</v>
      </c>
      <c r="C1646" s="95" t="s">
        <v>4796</v>
      </c>
      <c r="D1646" s="27" t="s">
        <v>9057</v>
      </c>
      <c r="E1646" s="27" t="s">
        <v>9729</v>
      </c>
      <c r="F1646" s="95" t="s">
        <v>4764</v>
      </c>
      <c r="G1646" s="101" t="s">
        <v>4798</v>
      </c>
      <c r="H1646" s="91">
        <v>43555</v>
      </c>
      <c r="I1646" s="73">
        <v>43555</v>
      </c>
      <c r="J1646" s="73">
        <v>32689</v>
      </c>
      <c r="K1646" s="73">
        <v>24131</v>
      </c>
      <c r="L1646" s="11" t="s">
        <v>4799</v>
      </c>
      <c r="M1646" s="1" t="s">
        <v>56</v>
      </c>
      <c r="N1646" s="111" t="s">
        <v>14</v>
      </c>
      <c r="O1646" s="104" t="s">
        <v>52</v>
      </c>
      <c r="P1646" s="104" t="s">
        <v>52</v>
      </c>
      <c r="Q1646" s="105"/>
      <c r="R1646" s="28" t="s">
        <v>4800</v>
      </c>
      <c r="S1646" s="225">
        <f t="shared" si="25"/>
        <v>46296</v>
      </c>
      <c r="T1646" s="162" t="s">
        <v>7698</v>
      </c>
      <c r="U1646" s="2" t="s">
        <v>136</v>
      </c>
      <c r="V1646" s="162" t="str" cm="1">
        <f t="array" ref="V1646">_xlfn.IFS(C1646="","",COUNTIF(C1646,"ตำแหน่งว่าง*"),"ว่าง",COUNTIF(C1646,"&lt;&gt;ตำแหน่งว่าง*"),"คนครอง")</f>
        <v>คนครอง</v>
      </c>
      <c r="W1646" s="5" cm="1">
        <f t="array" ref="W1646">_xlfn.IFS(COUNTIF(F1646,"ผบ.หมู่*"),51,COUNTIF(F1646,"รอง สว.*"),43)</f>
        <v>43</v>
      </c>
      <c r="X1646" s="5" t="s">
        <v>4797</v>
      </c>
      <c r="Y1646" s="5" t="s">
        <v>52</v>
      </c>
    </row>
    <row r="1647" spans="1:25" s="12" customFormat="1" ht="21.3" customHeight="1">
      <c r="A1647" s="27" t="s">
        <v>157</v>
      </c>
      <c r="B1647" s="28" t="s">
        <v>21</v>
      </c>
      <c r="C1647" s="95" t="s">
        <v>4801</v>
      </c>
      <c r="D1647" s="27" t="s">
        <v>8025</v>
      </c>
      <c r="E1647" s="27" t="s">
        <v>9730</v>
      </c>
      <c r="F1647" s="95" t="s">
        <v>4751</v>
      </c>
      <c r="G1647" s="101" t="s">
        <v>4803</v>
      </c>
      <c r="H1647" s="75">
        <v>42501</v>
      </c>
      <c r="I1647" s="73">
        <v>34352</v>
      </c>
      <c r="J1647" s="73">
        <v>34352</v>
      </c>
      <c r="K1647" s="73">
        <v>27469</v>
      </c>
      <c r="L1647" s="11" t="s">
        <v>4804</v>
      </c>
      <c r="M1647" s="1" t="s">
        <v>56</v>
      </c>
      <c r="N1647" s="111" t="s">
        <v>14</v>
      </c>
      <c r="O1647" s="104" t="s">
        <v>52</v>
      </c>
      <c r="P1647" s="104" t="s">
        <v>52</v>
      </c>
      <c r="Q1647" s="105"/>
      <c r="R1647" s="28" t="s">
        <v>110</v>
      </c>
      <c r="S1647" s="225">
        <f t="shared" si="25"/>
        <v>49583</v>
      </c>
      <c r="T1647" s="162" t="s">
        <v>7698</v>
      </c>
      <c r="U1647" s="2" t="s">
        <v>136</v>
      </c>
      <c r="V1647" s="162" t="str" cm="1">
        <f t="array" ref="V1647">_xlfn.IFS(C1647="","",COUNTIF(C1647,"ตำแหน่งว่าง*"),"ว่าง",COUNTIF(C1647,"&lt;&gt;ตำแหน่งว่าง*"),"คนครอง")</f>
        <v>คนครอง</v>
      </c>
      <c r="W1647" s="6" cm="1">
        <f t="array" ref="W1647">_xlfn.IFS(COUNTIF(F1647,"ผบ.หมู่*"),51,COUNTIF(F1647,"รอง สว.*"),43)</f>
        <v>51</v>
      </c>
      <c r="X1647" s="5" t="s">
        <v>4802</v>
      </c>
      <c r="Y1647" s="5" t="s">
        <v>52</v>
      </c>
    </row>
    <row r="1648" spans="1:25" s="12" customFormat="1" ht="21.3" customHeight="1">
      <c r="A1648" s="27" t="s">
        <v>157</v>
      </c>
      <c r="B1648" s="28" t="s">
        <v>12</v>
      </c>
      <c r="C1648" s="95" t="s">
        <v>4805</v>
      </c>
      <c r="D1648" s="27" t="s">
        <v>9731</v>
      </c>
      <c r="E1648" s="27" t="s">
        <v>9732</v>
      </c>
      <c r="F1648" s="95" t="s">
        <v>4751</v>
      </c>
      <c r="G1648" s="101" t="s">
        <v>4807</v>
      </c>
      <c r="H1648" s="75">
        <v>42501</v>
      </c>
      <c r="I1648" s="73">
        <v>34729</v>
      </c>
      <c r="J1648" s="73">
        <v>34729</v>
      </c>
      <c r="K1648" s="73">
        <v>26579</v>
      </c>
      <c r="L1648" s="11" t="s">
        <v>4808</v>
      </c>
      <c r="M1648" s="1" t="s">
        <v>56</v>
      </c>
      <c r="N1648" s="111" t="s">
        <v>14</v>
      </c>
      <c r="O1648" s="104" t="s">
        <v>52</v>
      </c>
      <c r="P1648" s="104" t="s">
        <v>52</v>
      </c>
      <c r="Q1648" s="105"/>
      <c r="R1648" s="28" t="s">
        <v>110</v>
      </c>
      <c r="S1648" s="225">
        <f t="shared" si="25"/>
        <v>48853</v>
      </c>
      <c r="T1648" s="162" t="s">
        <v>7698</v>
      </c>
      <c r="U1648" s="2" t="s">
        <v>136</v>
      </c>
      <c r="V1648" s="162" t="str" cm="1">
        <f t="array" ref="V1648">_xlfn.IFS(C1648="","",COUNTIF(C1648,"ตำแหน่งว่าง*"),"ว่าง",COUNTIF(C1648,"&lt;&gt;ตำแหน่งว่าง*"),"คนครอง")</f>
        <v>คนครอง</v>
      </c>
      <c r="W1648" s="6" cm="1">
        <f t="array" ref="W1648">_xlfn.IFS(COUNTIF(F1648,"ผบ.หมู่*"),51,COUNTIF(F1648,"รอง สว.*"),43)</f>
        <v>51</v>
      </c>
      <c r="X1648" s="5" t="s">
        <v>4806</v>
      </c>
      <c r="Y1648" s="5" t="s">
        <v>52</v>
      </c>
    </row>
    <row r="1649" spans="1:25" s="12" customFormat="1" ht="21.3" customHeight="1">
      <c r="A1649" s="27" t="s">
        <v>26</v>
      </c>
      <c r="B1649" s="28" t="s">
        <v>21</v>
      </c>
      <c r="C1649" s="95" t="s">
        <v>4809</v>
      </c>
      <c r="D1649" s="27" t="s">
        <v>7970</v>
      </c>
      <c r="E1649" s="27" t="s">
        <v>9733</v>
      </c>
      <c r="F1649" s="95" t="s">
        <v>4764</v>
      </c>
      <c r="G1649" s="101" t="s">
        <v>4811</v>
      </c>
      <c r="H1649" s="91">
        <v>43921</v>
      </c>
      <c r="I1649" s="73">
        <v>43921</v>
      </c>
      <c r="J1649" s="73">
        <v>32174</v>
      </c>
      <c r="K1649" s="73">
        <v>24665</v>
      </c>
      <c r="L1649" s="2" t="s">
        <v>4812</v>
      </c>
      <c r="M1649" s="1" t="s">
        <v>56</v>
      </c>
      <c r="N1649" s="111" t="s">
        <v>14</v>
      </c>
      <c r="O1649" s="104" t="s">
        <v>52</v>
      </c>
      <c r="P1649" s="104" t="s">
        <v>52</v>
      </c>
      <c r="Q1649" s="105"/>
      <c r="R1649" s="28" t="s">
        <v>2700</v>
      </c>
      <c r="S1649" s="225">
        <f t="shared" si="25"/>
        <v>46661</v>
      </c>
      <c r="T1649" s="162" t="s">
        <v>7698</v>
      </c>
      <c r="U1649" s="2" t="s">
        <v>136</v>
      </c>
      <c r="V1649" s="162" t="str" cm="1">
        <f t="array" ref="V1649">_xlfn.IFS(C1649="","",COUNTIF(C1649,"ตำแหน่งว่าง*"),"ว่าง",COUNTIF(C1649,"&lt;&gt;ตำแหน่งว่าง*"),"คนครอง")</f>
        <v>คนครอง</v>
      </c>
      <c r="W1649" s="5" cm="1">
        <f t="array" ref="W1649">_xlfn.IFS(COUNTIF(F1649,"ผบ.หมู่*"),51,COUNTIF(F1649,"รอง สว.*"),43)</f>
        <v>43</v>
      </c>
      <c r="X1649" s="5" t="s">
        <v>4810</v>
      </c>
      <c r="Y1649" s="5" t="s">
        <v>52</v>
      </c>
    </row>
    <row r="1650" spans="1:25" s="9" customFormat="1" ht="21.3" customHeight="1">
      <c r="A1650" s="27" t="s">
        <v>612</v>
      </c>
      <c r="B1650" s="26" t="s">
        <v>21</v>
      </c>
      <c r="C1650" s="134" t="s">
        <v>4813</v>
      </c>
      <c r="D1650" s="27" t="s">
        <v>8282</v>
      </c>
      <c r="E1650" s="27" t="s">
        <v>9734</v>
      </c>
      <c r="F1650" s="27" t="s">
        <v>4751</v>
      </c>
      <c r="G1650" s="101" t="s">
        <v>4815</v>
      </c>
      <c r="H1650" s="75">
        <v>43656</v>
      </c>
      <c r="I1650" s="73">
        <v>41944</v>
      </c>
      <c r="J1650" s="73">
        <v>41944</v>
      </c>
      <c r="K1650" s="73">
        <v>32466</v>
      </c>
      <c r="L1650" s="19" t="s">
        <v>4816</v>
      </c>
      <c r="M1650" s="1" t="s">
        <v>56</v>
      </c>
      <c r="N1650" s="112" t="s">
        <v>14</v>
      </c>
      <c r="O1650" s="104" t="s">
        <v>52</v>
      </c>
      <c r="P1650" s="104" t="s">
        <v>52</v>
      </c>
      <c r="Q1650" s="105"/>
      <c r="R1650" s="26" t="s">
        <v>713</v>
      </c>
      <c r="S1650" s="225">
        <f t="shared" si="25"/>
        <v>54697</v>
      </c>
      <c r="T1650" s="2" t="s">
        <v>7698</v>
      </c>
      <c r="U1650" s="2" t="s">
        <v>136</v>
      </c>
      <c r="V1650" s="162" t="str" cm="1">
        <f t="array" ref="V1650">_xlfn.IFS(C1650="","",COUNTIF(C1650,"ตำแหน่งว่าง*"),"ว่าง",COUNTIF(C1650,"&lt;&gt;ตำแหน่งว่าง*"),"คนครอง")</f>
        <v>คนครอง</v>
      </c>
      <c r="W1650" s="6" cm="1">
        <f t="array" ref="W1650">_xlfn.IFS(COUNTIF(F1650,"ผบ.หมู่*"),51,COUNTIF(F1650,"รอง สว.*"),43)</f>
        <v>51</v>
      </c>
      <c r="X1650" s="1" t="s">
        <v>4814</v>
      </c>
      <c r="Y1650" s="1" t="s">
        <v>52</v>
      </c>
    </row>
    <row r="1651" spans="1:25" s="12" customFormat="1" ht="21.3" customHeight="1">
      <c r="A1651" s="27" t="s">
        <v>182</v>
      </c>
      <c r="B1651" s="28" t="s">
        <v>12</v>
      </c>
      <c r="C1651" s="27" t="s">
        <v>6199</v>
      </c>
      <c r="D1651" s="27" t="s">
        <v>8312</v>
      </c>
      <c r="E1651" s="27" t="s">
        <v>8283</v>
      </c>
      <c r="F1651" s="27" t="s">
        <v>4751</v>
      </c>
      <c r="G1651" s="101" t="s">
        <v>4819</v>
      </c>
      <c r="H1651" s="75">
        <v>45768</v>
      </c>
      <c r="I1651" s="75">
        <v>44043</v>
      </c>
      <c r="J1651" s="75">
        <v>44043</v>
      </c>
      <c r="K1651" s="75">
        <v>34768</v>
      </c>
      <c r="L1651" s="34" t="s">
        <v>82</v>
      </c>
      <c r="M1651" s="28" t="s">
        <v>47</v>
      </c>
      <c r="N1651" s="112" t="s">
        <v>14</v>
      </c>
      <c r="O1651" s="104" t="s">
        <v>52</v>
      </c>
      <c r="P1651" s="104" t="s">
        <v>52</v>
      </c>
      <c r="Q1651" s="105"/>
      <c r="R1651" s="28" t="s">
        <v>10804</v>
      </c>
      <c r="S1651" s="174">
        <f t="shared" si="25"/>
        <v>56888</v>
      </c>
      <c r="T1651" s="2" t="s">
        <v>7698</v>
      </c>
      <c r="U1651" s="2" t="s">
        <v>136</v>
      </c>
      <c r="V1651" s="2" t="str" cm="1">
        <f t="array" ref="V1651">_xlfn.IFS(C1651="","",COUNTIF(C1651,"ตำแหน่งว่าง*"),"ว่าง",COUNTIF(C1651,"&lt;&gt;ตำแหน่งว่าง*"),"คนครอง")</f>
        <v>คนครอง</v>
      </c>
      <c r="W1651" s="1" cm="1">
        <f t="array" ref="W1651">_xlfn.IFS(COUNTIF(F1651,"ผบ.หมู่*"),51,COUNTIF(F1651,"รอง สว.*"),43)</f>
        <v>51</v>
      </c>
      <c r="X1651" s="28" t="s">
        <v>4818</v>
      </c>
      <c r="Y1651" s="28" t="s">
        <v>52</v>
      </c>
    </row>
    <row r="1652" spans="1:25" s="12" customFormat="1" ht="21.3" customHeight="1">
      <c r="A1652" s="27" t="s">
        <v>60</v>
      </c>
      <c r="B1652" s="28" t="s">
        <v>12</v>
      </c>
      <c r="C1652" s="95" t="s">
        <v>4822</v>
      </c>
      <c r="D1652" s="27" t="s">
        <v>9736</v>
      </c>
      <c r="E1652" s="27" t="s">
        <v>8338</v>
      </c>
      <c r="F1652" s="95" t="s">
        <v>4828</v>
      </c>
      <c r="G1652" s="101" t="s">
        <v>4825</v>
      </c>
      <c r="H1652" s="75">
        <v>42501</v>
      </c>
      <c r="I1652" s="73">
        <v>35096</v>
      </c>
      <c r="J1652" s="73">
        <v>35096</v>
      </c>
      <c r="K1652" s="73">
        <v>26512</v>
      </c>
      <c r="L1652" s="11" t="s">
        <v>4826</v>
      </c>
      <c r="M1652" s="1" t="s">
        <v>56</v>
      </c>
      <c r="N1652" s="111" t="s">
        <v>14</v>
      </c>
      <c r="O1652" s="104" t="s">
        <v>52</v>
      </c>
      <c r="P1652" s="104" t="s">
        <v>52</v>
      </c>
      <c r="Q1652" s="105"/>
      <c r="R1652" s="28" t="s">
        <v>110</v>
      </c>
      <c r="S1652" s="225">
        <f t="shared" si="25"/>
        <v>48488</v>
      </c>
      <c r="T1652" s="162" t="s">
        <v>7690</v>
      </c>
      <c r="U1652" s="2" t="s">
        <v>136</v>
      </c>
      <c r="V1652" s="162" t="str" cm="1">
        <f t="array" ref="V1652">_xlfn.IFS(C1652="","",COUNTIF(C1652,"ตำแหน่งว่าง*"),"ว่าง",COUNTIF(C1652,"&lt;&gt;ตำแหน่งว่าง*"),"คนครอง")</f>
        <v>คนครอง</v>
      </c>
      <c r="W1652" s="6" cm="1">
        <f t="array" ref="W1652">_xlfn.IFS(COUNTIF(F1652,"ผบ.หมู่*"),51,COUNTIF(F1652,"รอง สว.*"),43)</f>
        <v>43</v>
      </c>
      <c r="X1652" s="5" t="s">
        <v>4824</v>
      </c>
      <c r="Y1652" s="5" t="s">
        <v>52</v>
      </c>
    </row>
    <row r="1653" spans="1:25" s="12" customFormat="1" ht="21.3" customHeight="1">
      <c r="A1653" s="27" t="s">
        <v>10753</v>
      </c>
      <c r="B1653" s="28" t="s">
        <v>12</v>
      </c>
      <c r="C1653" s="95" t="s">
        <v>4827</v>
      </c>
      <c r="D1653" s="27" t="s">
        <v>9737</v>
      </c>
      <c r="E1653" s="27" t="s">
        <v>9738</v>
      </c>
      <c r="F1653" s="95" t="s">
        <v>4828</v>
      </c>
      <c r="G1653" s="101" t="s">
        <v>4830</v>
      </c>
      <c r="H1653" s="75">
        <v>45016</v>
      </c>
      <c r="I1653" s="73">
        <v>45016</v>
      </c>
      <c r="J1653" s="73">
        <v>34731</v>
      </c>
      <c r="K1653" s="73">
        <v>25619</v>
      </c>
      <c r="L1653" s="11" t="s">
        <v>4831</v>
      </c>
      <c r="M1653" s="1" t="s">
        <v>56</v>
      </c>
      <c r="N1653" s="111" t="s">
        <v>14</v>
      </c>
      <c r="O1653" s="104" t="s">
        <v>52</v>
      </c>
      <c r="P1653" s="104" t="s">
        <v>52</v>
      </c>
      <c r="Q1653" s="105"/>
      <c r="R1653" s="28" t="s">
        <v>483</v>
      </c>
      <c r="S1653" s="225">
        <f t="shared" si="25"/>
        <v>47757</v>
      </c>
      <c r="T1653" s="162" t="s">
        <v>7690</v>
      </c>
      <c r="U1653" s="2" t="s">
        <v>136</v>
      </c>
      <c r="V1653" s="162" t="str" cm="1">
        <f t="array" ref="V1653">_xlfn.IFS(C1653="","",COUNTIF(C1653,"ตำแหน่งว่าง*"),"ว่าง",COUNTIF(C1653,"&lt;&gt;ตำแหน่งว่าง*"),"คนครอง")</f>
        <v>คนครอง</v>
      </c>
      <c r="W1653" s="5" cm="1">
        <f t="array" ref="W1653">_xlfn.IFS(COUNTIF(F1653,"ผบ.หมู่*"),51,COUNTIF(F1653,"รอง สว.*"),43)</f>
        <v>43</v>
      </c>
      <c r="X1653" s="5" t="s">
        <v>4829</v>
      </c>
      <c r="Y1653" s="5" t="s">
        <v>52</v>
      </c>
    </row>
    <row r="1654" spans="1:25" s="12" customFormat="1" ht="21.3" customHeight="1">
      <c r="A1654" s="27" t="s">
        <v>157</v>
      </c>
      <c r="B1654" s="28" t="s">
        <v>21</v>
      </c>
      <c r="C1654" s="95" t="s">
        <v>4832</v>
      </c>
      <c r="D1654" s="27" t="s">
        <v>8158</v>
      </c>
      <c r="E1654" s="27" t="s">
        <v>9739</v>
      </c>
      <c r="F1654" s="95" t="s">
        <v>4823</v>
      </c>
      <c r="G1654" s="101" t="s">
        <v>4834</v>
      </c>
      <c r="H1654" s="75">
        <v>42940</v>
      </c>
      <c r="I1654" s="73">
        <v>41214</v>
      </c>
      <c r="J1654" s="73">
        <v>41214</v>
      </c>
      <c r="K1654" s="73">
        <v>28544</v>
      </c>
      <c r="L1654" s="11" t="s">
        <v>4835</v>
      </c>
      <c r="M1654" s="1" t="s">
        <v>56</v>
      </c>
      <c r="N1654" s="111" t="s">
        <v>14</v>
      </c>
      <c r="O1654" s="104" t="s">
        <v>52</v>
      </c>
      <c r="P1654" s="104" t="s">
        <v>52</v>
      </c>
      <c r="Q1654" s="105"/>
      <c r="R1654" s="28" t="s">
        <v>4058</v>
      </c>
      <c r="S1654" s="225">
        <f t="shared" si="25"/>
        <v>50679</v>
      </c>
      <c r="T1654" s="162" t="s">
        <v>7690</v>
      </c>
      <c r="U1654" s="2" t="s">
        <v>136</v>
      </c>
      <c r="V1654" s="162" t="str" cm="1">
        <f t="array" ref="V1654">_xlfn.IFS(C1654="","",COUNTIF(C1654,"ตำแหน่งว่าง*"),"ว่าง",COUNTIF(C1654,"&lt;&gt;ตำแหน่งว่าง*"),"คนครอง")</f>
        <v>คนครอง</v>
      </c>
      <c r="W1654" s="6" cm="1">
        <f t="array" ref="W1654">_xlfn.IFS(COUNTIF(F1654,"ผบ.หมู่*"),51,COUNTIF(F1654,"รอง สว.*"),43)</f>
        <v>51</v>
      </c>
      <c r="X1654" s="5" t="s">
        <v>4833</v>
      </c>
      <c r="Y1654" s="5" t="s">
        <v>52</v>
      </c>
    </row>
    <row r="1655" spans="1:25" s="9" customFormat="1" ht="21.3" customHeight="1">
      <c r="A1655" s="27" t="s">
        <v>157</v>
      </c>
      <c r="B1655" s="28" t="s">
        <v>21</v>
      </c>
      <c r="C1655" s="27" t="s">
        <v>4836</v>
      </c>
      <c r="D1655" s="27" t="s">
        <v>8044</v>
      </c>
      <c r="E1655" s="27" t="s">
        <v>9740</v>
      </c>
      <c r="F1655" s="27" t="s">
        <v>4823</v>
      </c>
      <c r="G1655" s="101" t="s">
        <v>4838</v>
      </c>
      <c r="H1655" s="91">
        <v>44243</v>
      </c>
      <c r="I1655" s="73">
        <v>40339</v>
      </c>
      <c r="J1655" s="73">
        <v>40339</v>
      </c>
      <c r="K1655" s="73">
        <v>30948</v>
      </c>
      <c r="L1655" s="11" t="s">
        <v>4839</v>
      </c>
      <c r="M1655" s="1" t="s">
        <v>56</v>
      </c>
      <c r="N1655" s="112" t="s">
        <v>14</v>
      </c>
      <c r="O1655" s="104" t="s">
        <v>52</v>
      </c>
      <c r="P1655" s="104" t="s">
        <v>52</v>
      </c>
      <c r="Q1655" s="105"/>
      <c r="R1655" s="28" t="s">
        <v>617</v>
      </c>
      <c r="S1655" s="225">
        <f t="shared" si="25"/>
        <v>52871</v>
      </c>
      <c r="T1655" s="2" t="s">
        <v>7690</v>
      </c>
      <c r="U1655" s="2" t="s">
        <v>136</v>
      </c>
      <c r="V1655" s="162" t="str" cm="1">
        <f t="array" ref="V1655">_xlfn.IFS(C1655="","",COUNTIF(C1655,"ตำแหน่งว่าง*"),"ว่าง",COUNTIF(C1655,"&lt;&gt;ตำแหน่งว่าง*"),"คนครอง")</f>
        <v>คนครอง</v>
      </c>
      <c r="W1655" s="6" cm="1">
        <f t="array" ref="W1655">_xlfn.IFS(COUNTIF(F1655,"ผบ.หมู่*"),51,COUNTIF(F1655,"รอง สว.*"),43)</f>
        <v>51</v>
      </c>
      <c r="X1655" s="1" t="s">
        <v>4837</v>
      </c>
      <c r="Y1655" s="1" t="s">
        <v>52</v>
      </c>
    </row>
    <row r="1656" spans="1:25" s="10" customFormat="1" ht="21.3" customHeight="1">
      <c r="A1656" s="27" t="s">
        <v>612</v>
      </c>
      <c r="B1656" s="28" t="s">
        <v>12</v>
      </c>
      <c r="C1656" s="27" t="s">
        <v>4774</v>
      </c>
      <c r="D1656" s="27" t="s">
        <v>9741</v>
      </c>
      <c r="E1656" s="27" t="s">
        <v>9742</v>
      </c>
      <c r="F1656" s="27" t="s">
        <v>4823</v>
      </c>
      <c r="G1656" s="101" t="s">
        <v>4841</v>
      </c>
      <c r="H1656" s="91">
        <v>45322</v>
      </c>
      <c r="I1656" s="73">
        <v>41944</v>
      </c>
      <c r="J1656" s="73">
        <v>41944</v>
      </c>
      <c r="K1656" s="73">
        <v>31841</v>
      </c>
      <c r="L1656" s="11" t="s">
        <v>4777</v>
      </c>
      <c r="M1656" s="1" t="s">
        <v>56</v>
      </c>
      <c r="N1656" s="112" t="s">
        <v>14</v>
      </c>
      <c r="O1656" s="104" t="s">
        <v>52</v>
      </c>
      <c r="P1656" s="104" t="s">
        <v>52</v>
      </c>
      <c r="Q1656" s="105"/>
      <c r="R1656" s="30" t="s">
        <v>7785</v>
      </c>
      <c r="S1656" s="225">
        <f t="shared" si="25"/>
        <v>53966</v>
      </c>
      <c r="T1656" s="7" t="s">
        <v>7690</v>
      </c>
      <c r="U1656" s="2" t="s">
        <v>136</v>
      </c>
      <c r="V1656" s="162" t="str" cm="1">
        <f t="array" ref="V1656">_xlfn.IFS(C1656="","",COUNTIF(C1656,"ตำแหน่งว่าง*"),"ว่าง",COUNTIF(C1656,"&lt;&gt;ตำแหน่งว่าง*"),"คนครอง")</f>
        <v>คนครอง</v>
      </c>
      <c r="W1656" s="6" cm="1">
        <f t="array" ref="W1656">_xlfn.IFS(COUNTIF(F1656,"ผบ.หมู่*"),51,COUNTIF(F1656,"รอง สว.*"),43)</f>
        <v>51</v>
      </c>
      <c r="X1656" s="1" t="s">
        <v>4840</v>
      </c>
      <c r="Y1656" s="1" t="s">
        <v>52</v>
      </c>
    </row>
    <row r="1657" spans="1:25" s="12" customFormat="1" ht="21.3" customHeight="1">
      <c r="A1657" s="27" t="s">
        <v>60</v>
      </c>
      <c r="B1657" s="28" t="s">
        <v>21</v>
      </c>
      <c r="C1657" s="95" t="s">
        <v>4842</v>
      </c>
      <c r="D1657" s="27" t="s">
        <v>8353</v>
      </c>
      <c r="E1657" s="27" t="s">
        <v>9743</v>
      </c>
      <c r="F1657" s="95" t="s">
        <v>4828</v>
      </c>
      <c r="G1657" s="101" t="s">
        <v>4844</v>
      </c>
      <c r="H1657" s="75">
        <v>42501</v>
      </c>
      <c r="I1657" s="73">
        <v>34352</v>
      </c>
      <c r="J1657" s="73">
        <v>34352</v>
      </c>
      <c r="K1657" s="73">
        <v>26390</v>
      </c>
      <c r="L1657" s="11" t="s">
        <v>4845</v>
      </c>
      <c r="M1657" s="1" t="s">
        <v>56</v>
      </c>
      <c r="N1657" s="111" t="s">
        <v>14</v>
      </c>
      <c r="O1657" s="104" t="s">
        <v>52</v>
      </c>
      <c r="P1657" s="104" t="s">
        <v>52</v>
      </c>
      <c r="Q1657" s="105"/>
      <c r="R1657" s="28" t="s">
        <v>110</v>
      </c>
      <c r="S1657" s="225">
        <f t="shared" si="25"/>
        <v>48488</v>
      </c>
      <c r="T1657" s="162" t="s">
        <v>7690</v>
      </c>
      <c r="U1657" s="2" t="s">
        <v>136</v>
      </c>
      <c r="V1657" s="162" t="str" cm="1">
        <f t="array" ref="V1657">_xlfn.IFS(C1657="","",COUNTIF(C1657,"ตำแหน่งว่าง*"),"ว่าง",COUNTIF(C1657,"&lt;&gt;ตำแหน่งว่าง*"),"คนครอง")</f>
        <v>คนครอง</v>
      </c>
      <c r="W1657" s="6" cm="1">
        <f t="array" ref="W1657">_xlfn.IFS(COUNTIF(F1657,"ผบ.หมู่*"),51,COUNTIF(F1657,"รอง สว.*"),43)</f>
        <v>43</v>
      </c>
      <c r="X1657" s="5" t="s">
        <v>4843</v>
      </c>
      <c r="Y1657" s="5" t="s">
        <v>52</v>
      </c>
    </row>
    <row r="1658" spans="1:25" s="12" customFormat="1" ht="21.3" customHeight="1">
      <c r="A1658" s="27" t="s">
        <v>157</v>
      </c>
      <c r="B1658" s="28" t="s">
        <v>12</v>
      </c>
      <c r="C1658" s="95" t="s">
        <v>4846</v>
      </c>
      <c r="D1658" s="27" t="s">
        <v>8318</v>
      </c>
      <c r="E1658" s="27" t="s">
        <v>9744</v>
      </c>
      <c r="F1658" s="95" t="s">
        <v>4823</v>
      </c>
      <c r="G1658" s="101" t="s">
        <v>4848</v>
      </c>
      <c r="H1658" s="75">
        <v>42501</v>
      </c>
      <c r="I1658" s="73">
        <v>37316</v>
      </c>
      <c r="J1658" s="73">
        <v>37316</v>
      </c>
      <c r="K1658" s="73">
        <v>27441</v>
      </c>
      <c r="L1658" s="11" t="s">
        <v>4073</v>
      </c>
      <c r="M1658" s="1" t="s">
        <v>56</v>
      </c>
      <c r="N1658" s="111" t="s">
        <v>14</v>
      </c>
      <c r="O1658" s="104" t="s">
        <v>52</v>
      </c>
      <c r="P1658" s="104" t="s">
        <v>52</v>
      </c>
      <c r="Q1658" s="105"/>
      <c r="R1658" s="28" t="s">
        <v>110</v>
      </c>
      <c r="S1658" s="225">
        <f t="shared" si="25"/>
        <v>49583</v>
      </c>
      <c r="T1658" s="162" t="s">
        <v>7690</v>
      </c>
      <c r="U1658" s="2" t="s">
        <v>136</v>
      </c>
      <c r="V1658" s="162" t="str" cm="1">
        <f t="array" ref="V1658">_xlfn.IFS(C1658="","",COUNTIF(C1658,"ตำแหน่งว่าง*"),"ว่าง",COUNTIF(C1658,"&lt;&gt;ตำแหน่งว่าง*"),"คนครอง")</f>
        <v>คนครอง</v>
      </c>
      <c r="W1658" s="6" cm="1">
        <f t="array" ref="W1658">_xlfn.IFS(COUNTIF(F1658,"ผบ.หมู่*"),51,COUNTIF(F1658,"รอง สว.*"),43)</f>
        <v>51</v>
      </c>
      <c r="X1658" s="5" t="s">
        <v>4847</v>
      </c>
      <c r="Y1658" s="5" t="s">
        <v>52</v>
      </c>
    </row>
    <row r="1659" spans="1:25" s="12" customFormat="1" ht="21.3" customHeight="1">
      <c r="A1659" s="27" t="s">
        <v>44</v>
      </c>
      <c r="B1659" s="31" t="s">
        <v>12</v>
      </c>
      <c r="C1659" s="95" t="s">
        <v>4849</v>
      </c>
      <c r="D1659" s="27" t="s">
        <v>9745</v>
      </c>
      <c r="E1659" s="27" t="s">
        <v>9746</v>
      </c>
      <c r="F1659" s="95" t="s">
        <v>4828</v>
      </c>
      <c r="G1659" s="101" t="s">
        <v>4851</v>
      </c>
      <c r="H1659" s="88">
        <v>44651</v>
      </c>
      <c r="I1659" s="76">
        <v>44651</v>
      </c>
      <c r="J1659" s="76">
        <v>34001</v>
      </c>
      <c r="K1659" s="76">
        <v>25442</v>
      </c>
      <c r="L1659" s="17" t="s">
        <v>4826</v>
      </c>
      <c r="M1659" s="5" t="s">
        <v>56</v>
      </c>
      <c r="N1659" s="111" t="s">
        <v>14</v>
      </c>
      <c r="O1659" s="104" t="s">
        <v>52</v>
      </c>
      <c r="P1659" s="104" t="s">
        <v>52</v>
      </c>
      <c r="Q1659" s="108"/>
      <c r="R1659" s="31" t="s">
        <v>2856</v>
      </c>
      <c r="S1659" s="225">
        <f t="shared" si="25"/>
        <v>47392</v>
      </c>
      <c r="T1659" s="162" t="s">
        <v>7690</v>
      </c>
      <c r="U1659" s="2" t="s">
        <v>136</v>
      </c>
      <c r="V1659" s="162" t="str" cm="1">
        <f t="array" ref="V1659">_xlfn.IFS(C1659="","",COUNTIF(C1659,"ตำแหน่งว่าง*"),"ว่าง",COUNTIF(C1659,"&lt;&gt;ตำแหน่งว่าง*"),"คนครอง")</f>
        <v>คนครอง</v>
      </c>
      <c r="W1659" s="5" cm="1">
        <f t="array" ref="W1659">_xlfn.IFS(COUNTIF(F1659,"ผบ.หมู่*"),51,COUNTIF(F1659,"รอง สว.*"),43)</f>
        <v>43</v>
      </c>
      <c r="X1659" s="5" t="s">
        <v>4850</v>
      </c>
      <c r="Y1659" s="5" t="s">
        <v>52</v>
      </c>
    </row>
    <row r="1660" spans="1:25" s="12" customFormat="1" ht="21.3" customHeight="1">
      <c r="A1660" s="27" t="s">
        <v>157</v>
      </c>
      <c r="B1660" s="28" t="s">
        <v>21</v>
      </c>
      <c r="C1660" s="95" t="s">
        <v>4852</v>
      </c>
      <c r="D1660" s="27" t="s">
        <v>9747</v>
      </c>
      <c r="E1660" s="27" t="s">
        <v>9748</v>
      </c>
      <c r="F1660" s="95" t="s">
        <v>4823</v>
      </c>
      <c r="G1660" s="101" t="s">
        <v>4854</v>
      </c>
      <c r="H1660" s="75">
        <v>43235</v>
      </c>
      <c r="I1660" s="73">
        <v>40084</v>
      </c>
      <c r="J1660" s="73">
        <v>40084</v>
      </c>
      <c r="K1660" s="73">
        <v>30045</v>
      </c>
      <c r="L1660" s="11" t="s">
        <v>4855</v>
      </c>
      <c r="M1660" s="1" t="s">
        <v>56</v>
      </c>
      <c r="N1660" s="111" t="s">
        <v>14</v>
      </c>
      <c r="O1660" s="104" t="s">
        <v>52</v>
      </c>
      <c r="P1660" s="104" t="s">
        <v>52</v>
      </c>
      <c r="Q1660" s="105"/>
      <c r="R1660" s="28" t="s">
        <v>924</v>
      </c>
      <c r="S1660" s="225">
        <f t="shared" si="25"/>
        <v>52140</v>
      </c>
      <c r="T1660" s="162" t="s">
        <v>7690</v>
      </c>
      <c r="U1660" s="2" t="s">
        <v>136</v>
      </c>
      <c r="V1660" s="162" t="str" cm="1">
        <f t="array" ref="V1660">_xlfn.IFS(C1660="","",COUNTIF(C1660,"ตำแหน่งว่าง*"),"ว่าง",COUNTIF(C1660,"&lt;&gt;ตำแหน่งว่าง*"),"คนครอง")</f>
        <v>คนครอง</v>
      </c>
      <c r="W1660" s="6" cm="1">
        <f t="array" ref="W1660">_xlfn.IFS(COUNTIF(F1660,"ผบ.หมู่*"),51,COUNTIF(F1660,"รอง สว.*"),43)</f>
        <v>51</v>
      </c>
      <c r="X1660" s="5" t="s">
        <v>4853</v>
      </c>
      <c r="Y1660" s="5" t="s">
        <v>52</v>
      </c>
    </row>
    <row r="1661" spans="1:25" s="12" customFormat="1" ht="21.3" customHeight="1">
      <c r="A1661" s="27" t="s">
        <v>157</v>
      </c>
      <c r="B1661" s="28" t="s">
        <v>12</v>
      </c>
      <c r="C1661" s="95" t="s">
        <v>4856</v>
      </c>
      <c r="D1661" s="27" t="s">
        <v>9749</v>
      </c>
      <c r="E1661" s="27" t="s">
        <v>9750</v>
      </c>
      <c r="F1661" s="95" t="s">
        <v>4823</v>
      </c>
      <c r="G1661" s="101" t="s">
        <v>4858</v>
      </c>
      <c r="H1661" s="75">
        <v>42501</v>
      </c>
      <c r="I1661" s="73">
        <v>39697</v>
      </c>
      <c r="J1661" s="73">
        <v>39717</v>
      </c>
      <c r="K1661" s="73">
        <v>28254</v>
      </c>
      <c r="L1661" s="11" t="s">
        <v>4859</v>
      </c>
      <c r="M1661" s="1" t="s">
        <v>77</v>
      </c>
      <c r="N1661" s="111" t="s">
        <v>14</v>
      </c>
      <c r="O1661" s="104" t="s">
        <v>52</v>
      </c>
      <c r="P1661" s="104" t="s">
        <v>52</v>
      </c>
      <c r="Q1661" s="105"/>
      <c r="R1661" s="28" t="s">
        <v>110</v>
      </c>
      <c r="S1661" s="225">
        <f t="shared" si="25"/>
        <v>50314</v>
      </c>
      <c r="T1661" s="162" t="s">
        <v>7690</v>
      </c>
      <c r="U1661" s="2" t="s">
        <v>136</v>
      </c>
      <c r="V1661" s="162" t="str" cm="1">
        <f t="array" ref="V1661">_xlfn.IFS(C1661="","",COUNTIF(C1661,"ตำแหน่งว่าง*"),"ว่าง",COUNTIF(C1661,"&lt;&gt;ตำแหน่งว่าง*"),"คนครอง")</f>
        <v>คนครอง</v>
      </c>
      <c r="W1661" s="6" cm="1">
        <f t="array" ref="W1661">_xlfn.IFS(COUNTIF(F1661,"ผบ.หมู่*"),51,COUNTIF(F1661,"รอง สว.*"),43)</f>
        <v>51</v>
      </c>
      <c r="X1661" s="5" t="s">
        <v>4857</v>
      </c>
      <c r="Y1661" s="5" t="s">
        <v>52</v>
      </c>
    </row>
    <row r="1662" spans="1:25" s="9" customFormat="1" ht="21.3" customHeight="1">
      <c r="A1662" s="27" t="s">
        <v>612</v>
      </c>
      <c r="B1662" s="28" t="s">
        <v>21</v>
      </c>
      <c r="C1662" s="27" t="s">
        <v>4860</v>
      </c>
      <c r="D1662" s="27" t="s">
        <v>8015</v>
      </c>
      <c r="E1662" s="27" t="s">
        <v>9751</v>
      </c>
      <c r="F1662" s="27" t="s">
        <v>4823</v>
      </c>
      <c r="G1662" s="101" t="s">
        <v>4862</v>
      </c>
      <c r="H1662" s="91">
        <v>43871</v>
      </c>
      <c r="I1662" s="73">
        <v>41944</v>
      </c>
      <c r="J1662" s="73">
        <v>41944</v>
      </c>
      <c r="K1662" s="73">
        <v>30709</v>
      </c>
      <c r="L1662" s="11" t="s">
        <v>4863</v>
      </c>
      <c r="M1662" s="1" t="s">
        <v>56</v>
      </c>
      <c r="N1662" s="112" t="s">
        <v>14</v>
      </c>
      <c r="O1662" s="104" t="s">
        <v>52</v>
      </c>
      <c r="P1662" s="104" t="s">
        <v>52</v>
      </c>
      <c r="Q1662" s="105"/>
      <c r="R1662" s="28" t="s">
        <v>688</v>
      </c>
      <c r="S1662" s="225">
        <f t="shared" si="25"/>
        <v>52871</v>
      </c>
      <c r="T1662" s="2" t="s">
        <v>7690</v>
      </c>
      <c r="U1662" s="2" t="s">
        <v>136</v>
      </c>
      <c r="V1662" s="162" t="str" cm="1">
        <f t="array" ref="V1662">_xlfn.IFS(C1662="","",COUNTIF(C1662,"ตำแหน่งว่าง*"),"ว่าง",COUNTIF(C1662,"&lt;&gt;ตำแหน่งว่าง*"),"คนครอง")</f>
        <v>คนครอง</v>
      </c>
      <c r="W1662" s="6" cm="1">
        <f t="array" ref="W1662">_xlfn.IFS(COUNTIF(F1662,"ผบ.หมู่*"),51,COUNTIF(F1662,"รอง สว.*"),43)</f>
        <v>51</v>
      </c>
      <c r="X1662" s="1" t="s">
        <v>4861</v>
      </c>
      <c r="Y1662" s="1" t="s">
        <v>52</v>
      </c>
    </row>
    <row r="1663" spans="1:25" s="12" customFormat="1" ht="21.3" customHeight="1">
      <c r="A1663" s="27" t="s">
        <v>30</v>
      </c>
      <c r="B1663" s="28" t="s">
        <v>21</v>
      </c>
      <c r="C1663" s="95" t="s">
        <v>4864</v>
      </c>
      <c r="D1663" s="27" t="s">
        <v>9752</v>
      </c>
      <c r="E1663" s="27" t="s">
        <v>9753</v>
      </c>
      <c r="F1663" s="95" t="s">
        <v>4865</v>
      </c>
      <c r="G1663" s="101" t="s">
        <v>4867</v>
      </c>
      <c r="H1663" s="91">
        <v>43555</v>
      </c>
      <c r="I1663" s="73">
        <v>43555</v>
      </c>
      <c r="J1663" s="73">
        <v>32174</v>
      </c>
      <c r="K1663" s="73">
        <v>24128</v>
      </c>
      <c r="L1663" s="11" t="s">
        <v>4868</v>
      </c>
      <c r="M1663" s="1" t="s">
        <v>56</v>
      </c>
      <c r="N1663" s="111" t="s">
        <v>14</v>
      </c>
      <c r="O1663" s="104" t="s">
        <v>52</v>
      </c>
      <c r="P1663" s="104" t="s">
        <v>52</v>
      </c>
      <c r="Q1663" s="105"/>
      <c r="R1663" s="28" t="s">
        <v>4869</v>
      </c>
      <c r="S1663" s="225">
        <f t="shared" si="25"/>
        <v>46296</v>
      </c>
      <c r="T1663" s="162" t="s">
        <v>115</v>
      </c>
      <c r="U1663" s="2" t="s">
        <v>136</v>
      </c>
      <c r="V1663" s="162" t="str" cm="1">
        <f t="array" ref="V1663">_xlfn.IFS(C1663="","",COUNTIF(C1663,"ตำแหน่งว่าง*"),"ว่าง",COUNTIF(C1663,"&lt;&gt;ตำแหน่งว่าง*"),"คนครอง")</f>
        <v>คนครอง</v>
      </c>
      <c r="W1663" s="5" cm="1">
        <f t="array" ref="W1663">_xlfn.IFS(COUNTIF(F1663,"ผบ.หมู่*"),51,COUNTIF(F1663,"รอง สว.*"),43)</f>
        <v>43</v>
      </c>
      <c r="X1663" s="5" t="s">
        <v>4866</v>
      </c>
      <c r="Y1663" s="5" t="s">
        <v>52</v>
      </c>
    </row>
    <row r="1664" spans="1:25" s="12" customFormat="1" ht="21.3" customHeight="1">
      <c r="A1664" s="27" t="s">
        <v>157</v>
      </c>
      <c r="B1664" s="28" t="s">
        <v>12</v>
      </c>
      <c r="C1664" s="95" t="s">
        <v>4870</v>
      </c>
      <c r="D1664" s="27" t="s">
        <v>8039</v>
      </c>
      <c r="E1664" s="27" t="s">
        <v>9754</v>
      </c>
      <c r="F1664" s="95" t="s">
        <v>4871</v>
      </c>
      <c r="G1664" s="101" t="s">
        <v>4873</v>
      </c>
      <c r="H1664" s="91">
        <v>42501</v>
      </c>
      <c r="I1664" s="73">
        <v>37484</v>
      </c>
      <c r="J1664" s="73">
        <v>37484</v>
      </c>
      <c r="K1664" s="73">
        <v>28239</v>
      </c>
      <c r="L1664" s="11" t="s">
        <v>31</v>
      </c>
      <c r="M1664" s="1" t="s">
        <v>56</v>
      </c>
      <c r="N1664" s="111" t="s">
        <v>14</v>
      </c>
      <c r="O1664" s="104" t="s">
        <v>52</v>
      </c>
      <c r="P1664" s="104" t="s">
        <v>52</v>
      </c>
      <c r="Q1664" s="105"/>
      <c r="R1664" s="28" t="s">
        <v>110</v>
      </c>
      <c r="S1664" s="225">
        <f t="shared" si="25"/>
        <v>50314</v>
      </c>
      <c r="T1664" s="162" t="s">
        <v>115</v>
      </c>
      <c r="U1664" s="2" t="s">
        <v>136</v>
      </c>
      <c r="V1664" s="162" t="str" cm="1">
        <f t="array" ref="V1664">_xlfn.IFS(C1664="","",COUNTIF(C1664,"ตำแหน่งว่าง*"),"ว่าง",COUNTIF(C1664,"&lt;&gt;ตำแหน่งว่าง*"),"คนครอง")</f>
        <v>คนครอง</v>
      </c>
      <c r="W1664" s="6" cm="1">
        <f t="array" ref="W1664">_xlfn.IFS(COUNTIF(F1664,"ผบ.หมู่*"),51,COUNTIF(F1664,"รอง สว.*"),43)</f>
        <v>51</v>
      </c>
      <c r="X1664" s="5" t="s">
        <v>4872</v>
      </c>
      <c r="Y1664" s="5" t="s">
        <v>52</v>
      </c>
    </row>
    <row r="1665" spans="1:25" s="12" customFormat="1" ht="21.3" customHeight="1">
      <c r="A1665" s="27" t="s">
        <v>26</v>
      </c>
      <c r="B1665" s="28" t="s">
        <v>21</v>
      </c>
      <c r="C1665" s="95" t="s">
        <v>4874</v>
      </c>
      <c r="D1665" s="27" t="s">
        <v>9755</v>
      </c>
      <c r="E1665" s="27" t="s">
        <v>9752</v>
      </c>
      <c r="F1665" s="95" t="s">
        <v>4865</v>
      </c>
      <c r="G1665" s="101" t="s">
        <v>4876</v>
      </c>
      <c r="H1665" s="91">
        <v>44286</v>
      </c>
      <c r="I1665" s="73">
        <v>44286</v>
      </c>
      <c r="J1665" s="73">
        <v>32174</v>
      </c>
      <c r="K1665" s="73">
        <v>25019</v>
      </c>
      <c r="L1665" s="11" t="s">
        <v>4877</v>
      </c>
      <c r="M1665" s="1" t="s">
        <v>56</v>
      </c>
      <c r="N1665" s="111" t="s">
        <v>14</v>
      </c>
      <c r="O1665" s="104" t="s">
        <v>52</v>
      </c>
      <c r="P1665" s="104" t="s">
        <v>52</v>
      </c>
      <c r="Q1665" s="105"/>
      <c r="R1665" s="28" t="s">
        <v>1313</v>
      </c>
      <c r="S1665" s="225">
        <f t="shared" si="25"/>
        <v>47027</v>
      </c>
      <c r="T1665" s="162" t="s">
        <v>115</v>
      </c>
      <c r="U1665" s="2" t="s">
        <v>136</v>
      </c>
      <c r="V1665" s="162" t="str" cm="1">
        <f t="array" ref="V1665">_xlfn.IFS(C1665="","",COUNTIF(C1665,"ตำแหน่งว่าง*"),"ว่าง",COUNTIF(C1665,"&lt;&gt;ตำแหน่งว่าง*"),"คนครอง")</f>
        <v>คนครอง</v>
      </c>
      <c r="W1665" s="5" cm="1">
        <f t="array" ref="W1665">_xlfn.IFS(COUNTIF(F1665,"ผบ.หมู่*"),51,COUNTIF(F1665,"รอง สว.*"),43)</f>
        <v>43</v>
      </c>
      <c r="X1665" s="5" t="s">
        <v>4875</v>
      </c>
      <c r="Y1665" s="5" t="s">
        <v>52</v>
      </c>
    </row>
    <row r="1666" spans="1:25" s="12" customFormat="1" ht="21.3" customHeight="1">
      <c r="A1666" s="27" t="s">
        <v>26</v>
      </c>
      <c r="B1666" s="28" t="s">
        <v>12</v>
      </c>
      <c r="C1666" s="95" t="s">
        <v>4878</v>
      </c>
      <c r="D1666" s="27" t="s">
        <v>9756</v>
      </c>
      <c r="E1666" s="27" t="s">
        <v>9757</v>
      </c>
      <c r="F1666" s="95" t="s">
        <v>4865</v>
      </c>
      <c r="G1666" s="101" t="s">
        <v>4880</v>
      </c>
      <c r="H1666" s="91">
        <v>44286</v>
      </c>
      <c r="I1666" s="73">
        <v>44286</v>
      </c>
      <c r="J1666" s="73">
        <v>35825</v>
      </c>
      <c r="K1666" s="73">
        <v>25103</v>
      </c>
      <c r="L1666" s="11" t="s">
        <v>4881</v>
      </c>
      <c r="M1666" s="1" t="s">
        <v>56</v>
      </c>
      <c r="N1666" s="111" t="s">
        <v>14</v>
      </c>
      <c r="O1666" s="104" t="s">
        <v>52</v>
      </c>
      <c r="P1666" s="104" t="s">
        <v>52</v>
      </c>
      <c r="Q1666" s="105"/>
      <c r="R1666" s="28" t="s">
        <v>1313</v>
      </c>
      <c r="S1666" s="225">
        <f t="shared" ref="S1666:S1729" si="26">IF(K1666&lt;&gt;"",DATE(YEAR(K1666)+60+(K1666&gt;=DATE(YEAR(K1666),10,2)),10,1),"")</f>
        <v>47027</v>
      </c>
      <c r="T1666" s="162" t="s">
        <v>115</v>
      </c>
      <c r="U1666" s="2" t="s">
        <v>136</v>
      </c>
      <c r="V1666" s="162" t="str" cm="1">
        <f t="array" ref="V1666">_xlfn.IFS(C1666="","",COUNTIF(C1666,"ตำแหน่งว่าง*"),"ว่าง",COUNTIF(C1666,"&lt;&gt;ตำแหน่งว่าง*"),"คนครอง")</f>
        <v>คนครอง</v>
      </c>
      <c r="W1666" s="5" cm="1">
        <f t="array" ref="W1666">_xlfn.IFS(COUNTIF(F1666,"ผบ.หมู่*"),51,COUNTIF(F1666,"รอง สว.*"),43)</f>
        <v>43</v>
      </c>
      <c r="X1666" s="5" t="s">
        <v>4879</v>
      </c>
      <c r="Y1666" s="5" t="s">
        <v>52</v>
      </c>
    </row>
    <row r="1667" spans="1:25" s="12" customFormat="1" ht="21.3" customHeight="1">
      <c r="A1667" s="27" t="s">
        <v>157</v>
      </c>
      <c r="B1667" s="28" t="s">
        <v>21</v>
      </c>
      <c r="C1667" s="95" t="s">
        <v>4882</v>
      </c>
      <c r="D1667" s="27" t="s">
        <v>8118</v>
      </c>
      <c r="E1667" s="27" t="s">
        <v>9758</v>
      </c>
      <c r="F1667" s="95" t="s">
        <v>4883</v>
      </c>
      <c r="G1667" s="101" t="s">
        <v>4885</v>
      </c>
      <c r="H1667" s="75">
        <v>42940</v>
      </c>
      <c r="I1667" s="73">
        <v>34729</v>
      </c>
      <c r="J1667" s="73">
        <v>34729</v>
      </c>
      <c r="K1667" s="73">
        <v>26725</v>
      </c>
      <c r="L1667" s="11" t="s">
        <v>2314</v>
      </c>
      <c r="M1667" s="1" t="s">
        <v>56</v>
      </c>
      <c r="N1667" s="111" t="s">
        <v>14</v>
      </c>
      <c r="O1667" s="104" t="s">
        <v>52</v>
      </c>
      <c r="P1667" s="104" t="s">
        <v>52</v>
      </c>
      <c r="Q1667" s="105"/>
      <c r="R1667" s="28" t="s">
        <v>1125</v>
      </c>
      <c r="S1667" s="225">
        <f t="shared" si="26"/>
        <v>48853</v>
      </c>
      <c r="T1667" s="162" t="s">
        <v>7691</v>
      </c>
      <c r="U1667" s="2" t="s">
        <v>136</v>
      </c>
      <c r="V1667" s="162" t="str" cm="1">
        <f t="array" ref="V1667">_xlfn.IFS(C1667="","",COUNTIF(C1667,"ตำแหน่งว่าง*"),"ว่าง",COUNTIF(C1667,"&lt;&gt;ตำแหน่งว่าง*"),"คนครอง")</f>
        <v>คนครอง</v>
      </c>
      <c r="W1667" s="6" cm="1">
        <f t="array" ref="W1667">_xlfn.IFS(COUNTIF(F1667,"ผบ.หมู่*"),51,COUNTIF(F1667,"รอง สว.*"),43)</f>
        <v>51</v>
      </c>
      <c r="X1667" s="5" t="s">
        <v>4884</v>
      </c>
      <c r="Y1667" s="5" t="s">
        <v>52</v>
      </c>
    </row>
    <row r="1668" spans="1:25" s="12" customFormat="1" ht="21.3" customHeight="1">
      <c r="A1668" s="27" t="s">
        <v>26</v>
      </c>
      <c r="B1668" s="28" t="s">
        <v>21</v>
      </c>
      <c r="C1668" s="95" t="s">
        <v>4886</v>
      </c>
      <c r="D1668" s="27" t="s">
        <v>8144</v>
      </c>
      <c r="E1668" s="27" t="s">
        <v>9759</v>
      </c>
      <c r="F1668" s="95" t="s">
        <v>4887</v>
      </c>
      <c r="G1668" s="101" t="s">
        <v>4889</v>
      </c>
      <c r="H1668" s="91">
        <v>43921</v>
      </c>
      <c r="I1668" s="73">
        <v>43921</v>
      </c>
      <c r="J1668" s="73">
        <v>32174</v>
      </c>
      <c r="K1668" s="73">
        <v>24685</v>
      </c>
      <c r="L1668" s="11" t="s">
        <v>31</v>
      </c>
      <c r="M1668" s="1" t="s">
        <v>56</v>
      </c>
      <c r="N1668" s="111" t="s">
        <v>14</v>
      </c>
      <c r="O1668" s="104" t="s">
        <v>52</v>
      </c>
      <c r="P1668" s="104" t="s">
        <v>52</v>
      </c>
      <c r="Q1668" s="105"/>
      <c r="R1668" s="28" t="s">
        <v>688</v>
      </c>
      <c r="S1668" s="225">
        <f t="shared" si="26"/>
        <v>46661</v>
      </c>
      <c r="T1668" s="162" t="s">
        <v>7691</v>
      </c>
      <c r="U1668" s="2" t="s">
        <v>136</v>
      </c>
      <c r="V1668" s="162" t="str" cm="1">
        <f t="array" ref="V1668">_xlfn.IFS(C1668="","",COUNTIF(C1668,"ตำแหน่งว่าง*"),"ว่าง",COUNTIF(C1668,"&lt;&gt;ตำแหน่งว่าง*"),"คนครอง")</f>
        <v>คนครอง</v>
      </c>
      <c r="W1668" s="5" cm="1">
        <f t="array" ref="W1668">_xlfn.IFS(COUNTIF(F1668,"ผบ.หมู่*"),51,COUNTIF(F1668,"รอง สว.*"),43)</f>
        <v>43</v>
      </c>
      <c r="X1668" s="5" t="s">
        <v>4888</v>
      </c>
      <c r="Y1668" s="5" t="s">
        <v>52</v>
      </c>
    </row>
    <row r="1669" spans="1:25" s="12" customFormat="1" ht="21.3" customHeight="1">
      <c r="A1669" s="95" t="s">
        <v>157</v>
      </c>
      <c r="B1669" s="31" t="s">
        <v>21</v>
      </c>
      <c r="C1669" s="95" t="s">
        <v>4890</v>
      </c>
      <c r="D1669" s="27" t="s">
        <v>9760</v>
      </c>
      <c r="E1669" s="27" t="s">
        <v>9761</v>
      </c>
      <c r="F1669" s="95" t="s">
        <v>4883</v>
      </c>
      <c r="G1669" s="101" t="s">
        <v>4892</v>
      </c>
      <c r="H1669" s="92">
        <v>44599</v>
      </c>
      <c r="I1669" s="75">
        <v>40814</v>
      </c>
      <c r="J1669" s="75">
        <v>40814</v>
      </c>
      <c r="K1669" s="75">
        <v>30693</v>
      </c>
      <c r="L1669" s="34" t="s">
        <v>4893</v>
      </c>
      <c r="M1669" s="28" t="s">
        <v>56</v>
      </c>
      <c r="N1669" s="111" t="s">
        <v>14</v>
      </c>
      <c r="O1669" s="104" t="s">
        <v>52</v>
      </c>
      <c r="P1669" s="104" t="s">
        <v>52</v>
      </c>
      <c r="Q1669" s="105"/>
      <c r="R1669" s="31" t="s">
        <v>607</v>
      </c>
      <c r="S1669" s="225">
        <f t="shared" si="26"/>
        <v>52871</v>
      </c>
      <c r="T1669" s="162" t="s">
        <v>7691</v>
      </c>
      <c r="U1669" s="2" t="s">
        <v>136</v>
      </c>
      <c r="V1669" s="162" t="str" cm="1">
        <f t="array" ref="V1669">_xlfn.IFS(C1669="","",COUNTIF(C1669,"ตำแหน่งว่าง*"),"ว่าง",COUNTIF(C1669,"&lt;&gt;ตำแหน่งว่าง*"),"คนครอง")</f>
        <v>คนครอง</v>
      </c>
      <c r="W1669" s="6" cm="1">
        <f t="array" ref="W1669">_xlfn.IFS(COUNTIF(F1669,"ผบ.หมู่*"),51,COUNTIF(F1669,"รอง สว.*"),43)</f>
        <v>51</v>
      </c>
      <c r="X1669" s="5" t="s">
        <v>4891</v>
      </c>
      <c r="Y1669" s="5" t="s">
        <v>52</v>
      </c>
    </row>
    <row r="1670" spans="1:25" s="12" customFormat="1" ht="21.3" customHeight="1">
      <c r="A1670" s="27" t="s">
        <v>157</v>
      </c>
      <c r="B1670" s="28" t="s">
        <v>12</v>
      </c>
      <c r="C1670" s="95" t="s">
        <v>4894</v>
      </c>
      <c r="D1670" s="27" t="s">
        <v>8024</v>
      </c>
      <c r="E1670" s="27" t="s">
        <v>9762</v>
      </c>
      <c r="F1670" s="95" t="s">
        <v>4883</v>
      </c>
      <c r="G1670" s="101" t="s">
        <v>4896</v>
      </c>
      <c r="H1670" s="91">
        <v>42501</v>
      </c>
      <c r="I1670" s="73">
        <v>37316</v>
      </c>
      <c r="J1670" s="73">
        <v>37316</v>
      </c>
      <c r="K1670" s="73">
        <v>29225</v>
      </c>
      <c r="L1670" s="11" t="s">
        <v>119</v>
      </c>
      <c r="M1670" s="1" t="s">
        <v>56</v>
      </c>
      <c r="N1670" s="111" t="s">
        <v>14</v>
      </c>
      <c r="O1670" s="104" t="s">
        <v>52</v>
      </c>
      <c r="P1670" s="104" t="s">
        <v>52</v>
      </c>
      <c r="Q1670" s="105"/>
      <c r="R1670" s="28" t="s">
        <v>110</v>
      </c>
      <c r="S1670" s="225">
        <f t="shared" si="26"/>
        <v>51410</v>
      </c>
      <c r="T1670" s="162" t="s">
        <v>7691</v>
      </c>
      <c r="U1670" s="2" t="s">
        <v>136</v>
      </c>
      <c r="V1670" s="162" t="str" cm="1">
        <f t="array" ref="V1670">_xlfn.IFS(C1670="","",COUNTIF(C1670,"ตำแหน่งว่าง*"),"ว่าง",COUNTIF(C1670,"&lt;&gt;ตำแหน่งว่าง*"),"คนครอง")</f>
        <v>คนครอง</v>
      </c>
      <c r="W1670" s="6" cm="1">
        <f t="array" ref="W1670">_xlfn.IFS(COUNTIF(F1670,"ผบ.หมู่*"),51,COUNTIF(F1670,"รอง สว.*"),43)</f>
        <v>51</v>
      </c>
      <c r="X1670" s="5" t="s">
        <v>4895</v>
      </c>
      <c r="Y1670" s="5" t="s">
        <v>52</v>
      </c>
    </row>
    <row r="1671" spans="1:25" s="9" customFormat="1" ht="21.3" customHeight="1">
      <c r="A1671" s="27" t="s">
        <v>157</v>
      </c>
      <c r="B1671" s="28" t="s">
        <v>21</v>
      </c>
      <c r="C1671" s="27" t="s">
        <v>4897</v>
      </c>
      <c r="D1671" s="27" t="s">
        <v>8336</v>
      </c>
      <c r="E1671" s="27" t="s">
        <v>9763</v>
      </c>
      <c r="F1671" s="27" t="s">
        <v>4883</v>
      </c>
      <c r="G1671" s="101" t="s">
        <v>4899</v>
      </c>
      <c r="H1671" s="91">
        <v>43871</v>
      </c>
      <c r="I1671" s="73">
        <v>37316</v>
      </c>
      <c r="J1671" s="73">
        <v>37316</v>
      </c>
      <c r="K1671" s="73">
        <v>26934</v>
      </c>
      <c r="L1671" s="11" t="s">
        <v>4900</v>
      </c>
      <c r="M1671" s="1" t="s">
        <v>56</v>
      </c>
      <c r="N1671" s="112" t="s">
        <v>14</v>
      </c>
      <c r="O1671" s="104" t="s">
        <v>52</v>
      </c>
      <c r="P1671" s="104" t="s">
        <v>52</v>
      </c>
      <c r="Q1671" s="105"/>
      <c r="R1671" s="28" t="s">
        <v>688</v>
      </c>
      <c r="S1671" s="225">
        <f t="shared" si="26"/>
        <v>48853</v>
      </c>
      <c r="T1671" s="2" t="s">
        <v>7691</v>
      </c>
      <c r="U1671" s="2" t="s">
        <v>136</v>
      </c>
      <c r="V1671" s="162" t="str" cm="1">
        <f t="array" ref="V1671">_xlfn.IFS(C1671="","",COUNTIF(C1671,"ตำแหน่งว่าง*"),"ว่าง",COUNTIF(C1671,"&lt;&gt;ตำแหน่งว่าง*"),"คนครอง")</f>
        <v>คนครอง</v>
      </c>
      <c r="W1671" s="6" cm="1">
        <f t="array" ref="W1671">_xlfn.IFS(COUNTIF(F1671,"ผบ.หมู่*"),51,COUNTIF(F1671,"รอง สว.*"),43)</f>
        <v>51</v>
      </c>
      <c r="X1671" s="1" t="s">
        <v>4898</v>
      </c>
      <c r="Y1671" s="1" t="s">
        <v>52</v>
      </c>
    </row>
    <row r="1672" spans="1:25" s="12" customFormat="1" ht="21.3" customHeight="1">
      <c r="A1672" s="27" t="s">
        <v>157</v>
      </c>
      <c r="B1672" s="28" t="s">
        <v>21</v>
      </c>
      <c r="C1672" s="95" t="s">
        <v>4901</v>
      </c>
      <c r="D1672" s="27" t="s">
        <v>9764</v>
      </c>
      <c r="E1672" s="27" t="s">
        <v>9765</v>
      </c>
      <c r="F1672" s="95" t="s">
        <v>4883</v>
      </c>
      <c r="G1672" s="101" t="s">
        <v>4903</v>
      </c>
      <c r="H1672" s="75">
        <v>42501</v>
      </c>
      <c r="I1672" s="73">
        <v>34352</v>
      </c>
      <c r="J1672" s="73">
        <v>34352</v>
      </c>
      <c r="K1672" s="73">
        <v>27089</v>
      </c>
      <c r="L1672" s="11" t="s">
        <v>31</v>
      </c>
      <c r="M1672" s="1" t="s">
        <v>56</v>
      </c>
      <c r="N1672" s="111" t="s">
        <v>14</v>
      </c>
      <c r="O1672" s="104" t="s">
        <v>52</v>
      </c>
      <c r="P1672" s="104" t="s">
        <v>52</v>
      </c>
      <c r="Q1672" s="105"/>
      <c r="R1672" s="28" t="s">
        <v>110</v>
      </c>
      <c r="S1672" s="225">
        <f t="shared" si="26"/>
        <v>49218</v>
      </c>
      <c r="T1672" s="162" t="s">
        <v>7691</v>
      </c>
      <c r="U1672" s="2" t="s">
        <v>136</v>
      </c>
      <c r="V1672" s="162" t="str" cm="1">
        <f t="array" ref="V1672">_xlfn.IFS(C1672="","",COUNTIF(C1672,"ตำแหน่งว่าง*"),"ว่าง",COUNTIF(C1672,"&lt;&gt;ตำแหน่งว่าง*"),"คนครอง")</f>
        <v>คนครอง</v>
      </c>
      <c r="W1672" s="6" cm="1">
        <f t="array" ref="W1672">_xlfn.IFS(COUNTIF(F1672,"ผบ.หมู่*"),51,COUNTIF(F1672,"รอง สว.*"),43)</f>
        <v>51</v>
      </c>
      <c r="X1672" s="5" t="s">
        <v>4902</v>
      </c>
      <c r="Y1672" s="5" t="s">
        <v>52</v>
      </c>
    </row>
    <row r="1673" spans="1:25" s="9" customFormat="1" ht="21.3" customHeight="1">
      <c r="A1673" s="27" t="s">
        <v>157</v>
      </c>
      <c r="B1673" s="28" t="s">
        <v>12</v>
      </c>
      <c r="C1673" s="27" t="s">
        <v>4904</v>
      </c>
      <c r="D1673" s="27" t="s">
        <v>8103</v>
      </c>
      <c r="E1673" s="27" t="s">
        <v>9766</v>
      </c>
      <c r="F1673" s="27" t="s">
        <v>4883</v>
      </c>
      <c r="G1673" s="101" t="s">
        <v>4906</v>
      </c>
      <c r="H1673" s="91">
        <v>43871</v>
      </c>
      <c r="I1673" s="73">
        <v>40603</v>
      </c>
      <c r="J1673" s="73">
        <v>40603</v>
      </c>
      <c r="K1673" s="73">
        <v>29030</v>
      </c>
      <c r="L1673" s="11" t="s">
        <v>4907</v>
      </c>
      <c r="M1673" s="1" t="s">
        <v>56</v>
      </c>
      <c r="N1673" s="112" t="s">
        <v>14</v>
      </c>
      <c r="O1673" s="104" t="s">
        <v>52</v>
      </c>
      <c r="P1673" s="104" t="s">
        <v>52</v>
      </c>
      <c r="Q1673" s="105"/>
      <c r="R1673" s="28" t="s">
        <v>688</v>
      </c>
      <c r="S1673" s="225">
        <f t="shared" si="26"/>
        <v>51044</v>
      </c>
      <c r="T1673" s="2" t="s">
        <v>7691</v>
      </c>
      <c r="U1673" s="2" t="s">
        <v>136</v>
      </c>
      <c r="V1673" s="162" t="str" cm="1">
        <f t="array" ref="V1673">_xlfn.IFS(C1673="","",COUNTIF(C1673,"ตำแหน่งว่าง*"),"ว่าง",COUNTIF(C1673,"&lt;&gt;ตำแหน่งว่าง*"),"คนครอง")</f>
        <v>คนครอง</v>
      </c>
      <c r="W1673" s="6" cm="1">
        <f t="array" ref="W1673">_xlfn.IFS(COUNTIF(F1673,"ผบ.หมู่*"),51,COUNTIF(F1673,"รอง สว.*"),43)</f>
        <v>51</v>
      </c>
      <c r="X1673" s="1" t="s">
        <v>4905</v>
      </c>
      <c r="Y1673" s="1" t="s">
        <v>52</v>
      </c>
    </row>
    <row r="1674" spans="1:25" s="12" customFormat="1" ht="23.25">
      <c r="A1674" s="27" t="s">
        <v>44</v>
      </c>
      <c r="B1674" s="31" t="s">
        <v>21</v>
      </c>
      <c r="C1674" s="95" t="s">
        <v>4908</v>
      </c>
      <c r="D1674" s="27" t="s">
        <v>8042</v>
      </c>
      <c r="E1674" s="27" t="s">
        <v>9767</v>
      </c>
      <c r="F1674" s="95" t="s">
        <v>4909</v>
      </c>
      <c r="G1674" s="101" t="s">
        <v>4911</v>
      </c>
      <c r="H1674" s="88">
        <v>45016</v>
      </c>
      <c r="I1674" s="76">
        <v>45016</v>
      </c>
      <c r="J1674" s="76">
        <v>34352</v>
      </c>
      <c r="K1674" s="76">
        <v>25427</v>
      </c>
      <c r="L1674" s="17" t="s">
        <v>4912</v>
      </c>
      <c r="M1674" s="5" t="s">
        <v>56</v>
      </c>
      <c r="N1674" s="111" t="s">
        <v>14</v>
      </c>
      <c r="O1674" s="104" t="s">
        <v>52</v>
      </c>
      <c r="P1674" s="104" t="s">
        <v>52</v>
      </c>
      <c r="Q1674" s="108"/>
      <c r="R1674" s="31" t="s">
        <v>483</v>
      </c>
      <c r="S1674" s="225">
        <f t="shared" si="26"/>
        <v>47392</v>
      </c>
      <c r="T1674" s="162" t="s">
        <v>7692</v>
      </c>
      <c r="U1674" s="2" t="s">
        <v>136</v>
      </c>
      <c r="V1674" s="162" t="str" cm="1">
        <f t="array" ref="V1674">_xlfn.IFS(C1674="","",COUNTIF(C1674,"ตำแหน่งว่าง*"),"ว่าง",COUNTIF(C1674,"&lt;&gt;ตำแหน่งว่าง*"),"คนครอง")</f>
        <v>คนครอง</v>
      </c>
      <c r="W1674" s="5" cm="1">
        <f t="array" ref="W1674">_xlfn.IFS(COUNTIF(F1674,"ผบ.หมู่*"),51,COUNTIF(F1674,"รอง สว.*"),43)</f>
        <v>43</v>
      </c>
      <c r="X1674" s="5" t="s">
        <v>4910</v>
      </c>
      <c r="Y1674" s="5" t="s">
        <v>52</v>
      </c>
    </row>
    <row r="1675" spans="1:25" s="12" customFormat="1" ht="21.3" customHeight="1">
      <c r="A1675" s="27" t="s">
        <v>612</v>
      </c>
      <c r="B1675" s="28" t="s">
        <v>12</v>
      </c>
      <c r="C1675" s="27" t="s">
        <v>10818</v>
      </c>
      <c r="D1675" s="27" t="s">
        <v>10722</v>
      </c>
      <c r="E1675" s="27" t="s">
        <v>10819</v>
      </c>
      <c r="F1675" s="27" t="s">
        <v>4915</v>
      </c>
      <c r="G1675" s="101" t="s">
        <v>4914</v>
      </c>
      <c r="H1675" s="91">
        <v>45768</v>
      </c>
      <c r="I1675" s="73">
        <v>41944</v>
      </c>
      <c r="J1675" s="73">
        <v>41944</v>
      </c>
      <c r="K1675" s="73">
        <v>31916</v>
      </c>
      <c r="L1675" s="11" t="s">
        <v>10820</v>
      </c>
      <c r="M1675" s="1" t="s">
        <v>7609</v>
      </c>
      <c r="N1675" s="112" t="s">
        <v>14</v>
      </c>
      <c r="O1675" s="104" t="s">
        <v>52</v>
      </c>
      <c r="P1675" s="104" t="s">
        <v>52</v>
      </c>
      <c r="Q1675" s="105"/>
      <c r="R1675" s="26" t="s">
        <v>10804</v>
      </c>
      <c r="S1675" s="174">
        <f t="shared" si="26"/>
        <v>53966</v>
      </c>
      <c r="T1675" s="2" t="s">
        <v>7692</v>
      </c>
      <c r="U1675" s="2" t="s">
        <v>136</v>
      </c>
      <c r="V1675" s="2" t="str" cm="1">
        <f t="array" ref="V1675">_xlfn.IFS(C1675="","",COUNTIF(C1675,"ตำแหน่งว่าง*"),"ว่าง",COUNTIF(C1675,"&lt;&gt;ตำแหน่งว่าง*"),"คนครอง")</f>
        <v>คนครอง</v>
      </c>
      <c r="W1675" s="1" cm="1">
        <f t="array" ref="W1675">_xlfn.IFS(COUNTIF(F1675,"ผบ.หมู่*"),51,COUNTIF(F1675,"รอง สว.*"),43)</f>
        <v>51</v>
      </c>
      <c r="X1675" s="1" t="s">
        <v>4913</v>
      </c>
      <c r="Y1675" s="1" t="s">
        <v>52</v>
      </c>
    </row>
    <row r="1676" spans="1:25" s="10" customFormat="1" ht="21.3" customHeight="1">
      <c r="A1676" s="27" t="s">
        <v>157</v>
      </c>
      <c r="B1676" s="28" t="s">
        <v>21</v>
      </c>
      <c r="C1676" s="27" t="s">
        <v>10752</v>
      </c>
      <c r="D1676" s="27" t="s">
        <v>8345</v>
      </c>
      <c r="E1676" s="27" t="s">
        <v>9428</v>
      </c>
      <c r="F1676" s="27" t="s">
        <v>4915</v>
      </c>
      <c r="G1676" s="101" t="s">
        <v>4917</v>
      </c>
      <c r="H1676" s="91">
        <v>45768</v>
      </c>
      <c r="I1676" s="73">
        <v>40339</v>
      </c>
      <c r="J1676" s="73">
        <v>40339</v>
      </c>
      <c r="K1676" s="73">
        <v>30999</v>
      </c>
      <c r="L1676" s="11" t="s">
        <v>10821</v>
      </c>
      <c r="M1676" s="1" t="s">
        <v>7609</v>
      </c>
      <c r="N1676" s="112" t="s">
        <v>14</v>
      </c>
      <c r="O1676" s="104" t="s">
        <v>52</v>
      </c>
      <c r="P1676" s="104" t="s">
        <v>52</v>
      </c>
      <c r="Q1676" s="105"/>
      <c r="R1676" s="28" t="s">
        <v>10804</v>
      </c>
      <c r="S1676" s="174">
        <f t="shared" si="26"/>
        <v>53236</v>
      </c>
      <c r="T1676" s="2" t="s">
        <v>7692</v>
      </c>
      <c r="U1676" s="2" t="s">
        <v>136</v>
      </c>
      <c r="V1676" s="203" t="str" cm="1">
        <f t="array" ref="V1676">_xlfn.IFS(C1676="","",COUNTIF(C1676,"ตำแหน่งว่าง*"),"ว่าง",COUNTIF(C1676,"&lt;&gt;ตำแหน่งว่าง*"),"คนครอง")</f>
        <v>คนครอง</v>
      </c>
      <c r="W1676" s="1" cm="1">
        <f t="array" ref="W1676">_xlfn.IFS(COUNTIF(F1676,"ผบ.หมู่*"),51,COUNTIF(F1676,"รอง สว.*"),43)</f>
        <v>51</v>
      </c>
      <c r="X1676" s="1" t="s">
        <v>4916</v>
      </c>
      <c r="Y1676" s="1" t="s">
        <v>52</v>
      </c>
    </row>
    <row r="1677" spans="1:25" s="9" customFormat="1" ht="21.3" customHeight="1">
      <c r="A1677" s="27" t="s">
        <v>612</v>
      </c>
      <c r="B1677" s="28" t="s">
        <v>12</v>
      </c>
      <c r="C1677" s="27" t="s">
        <v>4918</v>
      </c>
      <c r="D1677" s="27" t="s">
        <v>9768</v>
      </c>
      <c r="E1677" s="27" t="s">
        <v>8699</v>
      </c>
      <c r="F1677" s="27" t="s">
        <v>4915</v>
      </c>
      <c r="G1677" s="101" t="s">
        <v>4920</v>
      </c>
      <c r="H1677" s="91">
        <v>43656</v>
      </c>
      <c r="I1677" s="73">
        <v>41944</v>
      </c>
      <c r="J1677" s="73">
        <v>41944</v>
      </c>
      <c r="K1677" s="73">
        <v>32440</v>
      </c>
      <c r="L1677" s="11" t="s">
        <v>4921</v>
      </c>
      <c r="M1677" s="1" t="s">
        <v>56</v>
      </c>
      <c r="N1677" s="112" t="s">
        <v>14</v>
      </c>
      <c r="O1677" s="104" t="s">
        <v>52</v>
      </c>
      <c r="P1677" s="104" t="s">
        <v>52</v>
      </c>
      <c r="Q1677" s="105"/>
      <c r="R1677" s="28" t="s">
        <v>713</v>
      </c>
      <c r="S1677" s="225">
        <f t="shared" si="26"/>
        <v>54697</v>
      </c>
      <c r="T1677" s="2" t="s">
        <v>7692</v>
      </c>
      <c r="U1677" s="2" t="s">
        <v>136</v>
      </c>
      <c r="V1677" s="162" t="str" cm="1">
        <f t="array" ref="V1677">_xlfn.IFS(C1677="","",COUNTIF(C1677,"ตำแหน่งว่าง*"),"ว่าง",COUNTIF(C1677,"&lt;&gt;ตำแหน่งว่าง*"),"คนครอง")</f>
        <v>คนครอง</v>
      </c>
      <c r="W1677" s="6" cm="1">
        <f t="array" ref="W1677">_xlfn.IFS(COUNTIF(F1677,"ผบ.หมู่*"),51,COUNTIF(F1677,"รอง สว.*"),43)</f>
        <v>51</v>
      </c>
      <c r="X1677" s="1" t="s">
        <v>4919</v>
      </c>
      <c r="Y1677" s="1" t="s">
        <v>52</v>
      </c>
    </row>
    <row r="1678" spans="1:25" s="39" customFormat="1" ht="21.3" customHeight="1">
      <c r="A1678" s="27" t="s">
        <v>612</v>
      </c>
      <c r="B1678" s="28" t="s">
        <v>21</v>
      </c>
      <c r="C1678" s="27" t="s">
        <v>4922</v>
      </c>
      <c r="D1678" s="27" t="s">
        <v>7981</v>
      </c>
      <c r="E1678" s="27" t="s">
        <v>9769</v>
      </c>
      <c r="F1678" s="27" t="s">
        <v>4923</v>
      </c>
      <c r="G1678" s="101" t="s">
        <v>4925</v>
      </c>
      <c r="H1678" s="91">
        <v>44599</v>
      </c>
      <c r="I1678" s="75">
        <v>42416</v>
      </c>
      <c r="J1678" s="75">
        <v>42416</v>
      </c>
      <c r="K1678" s="75">
        <v>32692</v>
      </c>
      <c r="L1678" s="34" t="s">
        <v>4926</v>
      </c>
      <c r="M1678" s="28" t="s">
        <v>56</v>
      </c>
      <c r="N1678" s="112" t="s">
        <v>14</v>
      </c>
      <c r="O1678" s="104" t="s">
        <v>52</v>
      </c>
      <c r="P1678" s="104" t="s">
        <v>52</v>
      </c>
      <c r="Q1678" s="105"/>
      <c r="R1678" s="28" t="s">
        <v>607</v>
      </c>
      <c r="S1678" s="225">
        <f t="shared" si="26"/>
        <v>54697</v>
      </c>
      <c r="T1678" s="169" t="s">
        <v>7693</v>
      </c>
      <c r="U1678" s="2" t="s">
        <v>136</v>
      </c>
      <c r="V1678" s="162" t="str" cm="1">
        <f t="array" ref="V1678">_xlfn.IFS(C1678="","",COUNTIF(C1678,"ตำแหน่งว่าง*"),"ว่าง",COUNTIF(C1678,"&lt;&gt;ตำแหน่งว่าง*"),"คนครอง")</f>
        <v>คนครอง</v>
      </c>
      <c r="W1678" s="6" cm="1">
        <f t="array" ref="W1678">_xlfn.IFS(COUNTIF(F1678,"ผบ.หมู่*"),51,COUNTIF(F1678,"รอง สว.*"),43)</f>
        <v>51</v>
      </c>
      <c r="X1678" s="1" t="s">
        <v>4924</v>
      </c>
      <c r="Y1678" s="1" t="s">
        <v>52</v>
      </c>
    </row>
    <row r="1679" spans="1:25" s="12" customFormat="1" ht="21.3" customHeight="1">
      <c r="A1679" s="27" t="s">
        <v>157</v>
      </c>
      <c r="B1679" s="28" t="s">
        <v>21</v>
      </c>
      <c r="C1679" s="27" t="s">
        <v>4927</v>
      </c>
      <c r="D1679" s="27" t="s">
        <v>9770</v>
      </c>
      <c r="E1679" s="27" t="s">
        <v>7997</v>
      </c>
      <c r="F1679" s="27" t="s">
        <v>4923</v>
      </c>
      <c r="G1679" s="101" t="s">
        <v>4929</v>
      </c>
      <c r="H1679" s="91">
        <v>42501</v>
      </c>
      <c r="I1679" s="73">
        <v>37316</v>
      </c>
      <c r="J1679" s="73">
        <v>37316</v>
      </c>
      <c r="K1679" s="73">
        <v>28839</v>
      </c>
      <c r="L1679" s="11" t="s">
        <v>4930</v>
      </c>
      <c r="M1679" s="1" t="s">
        <v>56</v>
      </c>
      <c r="N1679" s="111" t="s">
        <v>14</v>
      </c>
      <c r="O1679" s="104" t="s">
        <v>52</v>
      </c>
      <c r="P1679" s="104" t="s">
        <v>52</v>
      </c>
      <c r="Q1679" s="105"/>
      <c r="R1679" s="28" t="s">
        <v>110</v>
      </c>
      <c r="S1679" s="225">
        <f t="shared" si="26"/>
        <v>51044</v>
      </c>
      <c r="T1679" s="162" t="s">
        <v>7693</v>
      </c>
      <c r="U1679" s="2" t="s">
        <v>136</v>
      </c>
      <c r="V1679" s="162" t="str" cm="1">
        <f t="array" ref="V1679">_xlfn.IFS(C1679="","",COUNTIF(C1679,"ตำแหน่งว่าง*"),"ว่าง",COUNTIF(C1679,"&lt;&gt;ตำแหน่งว่าง*"),"คนครอง")</f>
        <v>คนครอง</v>
      </c>
      <c r="W1679" s="6" cm="1">
        <f t="array" ref="W1679">_xlfn.IFS(COUNTIF(F1679,"ผบ.หมู่*"),51,COUNTIF(F1679,"รอง สว.*"),43)</f>
        <v>51</v>
      </c>
      <c r="X1679" s="1" t="s">
        <v>4928</v>
      </c>
      <c r="Y1679" s="5" t="s">
        <v>52</v>
      </c>
    </row>
    <row r="1680" spans="1:25" s="9" customFormat="1" ht="21.3" customHeight="1">
      <c r="A1680" s="27" t="s">
        <v>157</v>
      </c>
      <c r="B1680" s="28" t="s">
        <v>12</v>
      </c>
      <c r="C1680" s="27" t="s">
        <v>4931</v>
      </c>
      <c r="D1680" s="27" t="s">
        <v>8218</v>
      </c>
      <c r="E1680" s="27" t="s">
        <v>9771</v>
      </c>
      <c r="F1680" s="27" t="s">
        <v>4923</v>
      </c>
      <c r="G1680" s="101" t="s">
        <v>4933</v>
      </c>
      <c r="H1680" s="91">
        <v>44599</v>
      </c>
      <c r="I1680" s="73">
        <v>39717</v>
      </c>
      <c r="J1680" s="73">
        <v>39717</v>
      </c>
      <c r="K1680" s="73">
        <v>29183</v>
      </c>
      <c r="L1680" s="11" t="s">
        <v>4934</v>
      </c>
      <c r="M1680" s="1" t="s">
        <v>77</v>
      </c>
      <c r="N1680" s="112" t="s">
        <v>14</v>
      </c>
      <c r="O1680" s="104" t="s">
        <v>52</v>
      </c>
      <c r="P1680" s="104" t="s">
        <v>52</v>
      </c>
      <c r="Q1680" s="105"/>
      <c r="R1680" s="28" t="s">
        <v>607</v>
      </c>
      <c r="S1680" s="225">
        <f t="shared" si="26"/>
        <v>51410</v>
      </c>
      <c r="T1680" s="2" t="s">
        <v>7693</v>
      </c>
      <c r="U1680" s="2" t="s">
        <v>136</v>
      </c>
      <c r="V1680" s="162" t="str" cm="1">
        <f t="array" ref="V1680">_xlfn.IFS(C1680="","",COUNTIF(C1680,"ตำแหน่งว่าง*"),"ว่าง",COUNTIF(C1680,"&lt;&gt;ตำแหน่งว่าง*"),"คนครอง")</f>
        <v>คนครอง</v>
      </c>
      <c r="W1680" s="6" cm="1">
        <f t="array" ref="W1680">_xlfn.IFS(COUNTIF(F1680,"ผบ.หมู่*"),51,COUNTIF(F1680,"รอง สว.*"),43)</f>
        <v>51</v>
      </c>
      <c r="X1680" s="1" t="s">
        <v>4932</v>
      </c>
      <c r="Y1680" s="1" t="s">
        <v>52</v>
      </c>
    </row>
    <row r="1681" spans="1:25" s="9" customFormat="1" ht="21.3" customHeight="1">
      <c r="A1681" s="27" t="s">
        <v>157</v>
      </c>
      <c r="B1681" s="28" t="s">
        <v>12</v>
      </c>
      <c r="C1681" s="27" t="s">
        <v>4935</v>
      </c>
      <c r="D1681" s="27" t="s">
        <v>7982</v>
      </c>
      <c r="E1681" s="27" t="s">
        <v>7997</v>
      </c>
      <c r="F1681" s="27" t="s">
        <v>4923</v>
      </c>
      <c r="G1681" s="101" t="s">
        <v>4937</v>
      </c>
      <c r="H1681" s="75">
        <v>43235</v>
      </c>
      <c r="I1681" s="73">
        <v>37316</v>
      </c>
      <c r="J1681" s="73">
        <v>37316</v>
      </c>
      <c r="K1681" s="73">
        <v>28018</v>
      </c>
      <c r="L1681" s="11" t="s">
        <v>4938</v>
      </c>
      <c r="M1681" s="1" t="s">
        <v>56</v>
      </c>
      <c r="N1681" s="112" t="s">
        <v>14</v>
      </c>
      <c r="O1681" s="104" t="s">
        <v>52</v>
      </c>
      <c r="P1681" s="104" t="s">
        <v>52</v>
      </c>
      <c r="Q1681" s="105"/>
      <c r="R1681" s="28" t="s">
        <v>4018</v>
      </c>
      <c r="S1681" s="225">
        <f t="shared" si="26"/>
        <v>49949</v>
      </c>
      <c r="T1681" s="2" t="s">
        <v>7693</v>
      </c>
      <c r="U1681" s="2" t="s">
        <v>136</v>
      </c>
      <c r="V1681" s="162" t="str" cm="1">
        <f t="array" ref="V1681">_xlfn.IFS(C1681="","",COUNTIF(C1681,"ตำแหน่งว่าง*"),"ว่าง",COUNTIF(C1681,"&lt;&gt;ตำแหน่งว่าง*"),"คนครอง")</f>
        <v>คนครอง</v>
      </c>
      <c r="W1681" s="6" cm="1">
        <f t="array" ref="W1681">_xlfn.IFS(COUNTIF(F1681,"ผบ.หมู่*"),51,COUNTIF(F1681,"รอง สว.*"),43)</f>
        <v>51</v>
      </c>
      <c r="X1681" s="1" t="s">
        <v>4936</v>
      </c>
      <c r="Y1681" s="1" t="s">
        <v>52</v>
      </c>
    </row>
    <row r="1682" spans="1:25" s="12" customFormat="1" ht="21.3" customHeight="1">
      <c r="A1682" s="27" t="s">
        <v>157</v>
      </c>
      <c r="B1682" s="28" t="s">
        <v>12</v>
      </c>
      <c r="C1682" s="27" t="s">
        <v>4939</v>
      </c>
      <c r="D1682" s="27" t="s">
        <v>9772</v>
      </c>
      <c r="E1682" s="27" t="s">
        <v>8356</v>
      </c>
      <c r="F1682" s="27" t="s">
        <v>4940</v>
      </c>
      <c r="G1682" s="101" t="s">
        <v>4942</v>
      </c>
      <c r="H1682" s="75">
        <v>44999</v>
      </c>
      <c r="I1682" s="73">
        <v>41864</v>
      </c>
      <c r="J1682" s="73">
        <v>41864</v>
      </c>
      <c r="K1682" s="73">
        <v>33222</v>
      </c>
      <c r="L1682" s="11" t="s">
        <v>1024</v>
      </c>
      <c r="M1682" s="1" t="s">
        <v>90</v>
      </c>
      <c r="N1682" s="112" t="s">
        <v>14</v>
      </c>
      <c r="O1682" s="104" t="s">
        <v>52</v>
      </c>
      <c r="P1682" s="104" t="s">
        <v>52</v>
      </c>
      <c r="Q1682" s="105"/>
      <c r="R1682" s="26" t="s">
        <v>74</v>
      </c>
      <c r="S1682" s="225">
        <f t="shared" si="26"/>
        <v>55427</v>
      </c>
      <c r="T1682" s="162" t="s">
        <v>7694</v>
      </c>
      <c r="U1682" s="2" t="s">
        <v>136</v>
      </c>
      <c r="V1682" s="162" t="str" cm="1">
        <f t="array" ref="V1682">_xlfn.IFS(C1682="","",COUNTIF(C1682,"ตำแหน่งว่าง*"),"ว่าง",COUNTIF(C1682,"&lt;&gt;ตำแหน่งว่าง*"),"คนครอง")</f>
        <v>คนครอง</v>
      </c>
      <c r="W1682" s="6" cm="1">
        <f t="array" ref="W1682">_xlfn.IFS(COUNTIF(F1682,"ผบ.หมู่*"),51,COUNTIF(F1682,"รอง สว.*"),43)</f>
        <v>51</v>
      </c>
      <c r="X1682" s="1" t="s">
        <v>4941</v>
      </c>
      <c r="Y1682" s="1" t="s">
        <v>52</v>
      </c>
    </row>
    <row r="1683" spans="1:25" s="12" customFormat="1" ht="21.3" customHeight="1">
      <c r="A1683" s="27" t="s">
        <v>44</v>
      </c>
      <c r="B1683" s="31" t="s">
        <v>21</v>
      </c>
      <c r="C1683" s="95" t="s">
        <v>4943</v>
      </c>
      <c r="D1683" s="27" t="s">
        <v>9773</v>
      </c>
      <c r="E1683" s="27" t="s">
        <v>9774</v>
      </c>
      <c r="F1683" s="95" t="s">
        <v>4944</v>
      </c>
      <c r="G1683" s="101" t="s">
        <v>4946</v>
      </c>
      <c r="H1683" s="88">
        <v>44651</v>
      </c>
      <c r="I1683" s="76">
        <v>44651</v>
      </c>
      <c r="J1683" s="76">
        <v>34352</v>
      </c>
      <c r="K1683" s="76">
        <v>25242</v>
      </c>
      <c r="L1683" s="17" t="s">
        <v>4947</v>
      </c>
      <c r="M1683" s="5" t="s">
        <v>56</v>
      </c>
      <c r="N1683" s="111" t="s">
        <v>14</v>
      </c>
      <c r="O1683" s="104" t="s">
        <v>52</v>
      </c>
      <c r="P1683" s="104" t="s">
        <v>52</v>
      </c>
      <c r="Q1683" s="108"/>
      <c r="R1683" s="31" t="s">
        <v>2856</v>
      </c>
      <c r="S1683" s="225">
        <f t="shared" si="26"/>
        <v>47392</v>
      </c>
      <c r="T1683" s="162" t="s">
        <v>7694</v>
      </c>
      <c r="U1683" s="2" t="s">
        <v>136</v>
      </c>
      <c r="V1683" s="162" t="str" cm="1">
        <f t="array" ref="V1683">_xlfn.IFS(C1683="","",COUNTIF(C1683,"ตำแหน่งว่าง*"),"ว่าง",COUNTIF(C1683,"&lt;&gt;ตำแหน่งว่าง*"),"คนครอง")</f>
        <v>คนครอง</v>
      </c>
      <c r="W1683" s="5" cm="1">
        <f t="array" ref="W1683">_xlfn.IFS(COUNTIF(F1683,"ผบ.หมู่*"),51,COUNTIF(F1683,"รอง สว.*"),43)</f>
        <v>43</v>
      </c>
      <c r="X1683" s="5" t="s">
        <v>4945</v>
      </c>
      <c r="Y1683" s="5" t="s">
        <v>52</v>
      </c>
    </row>
    <row r="1684" spans="1:25" s="9" customFormat="1" ht="21.3" customHeight="1">
      <c r="A1684" s="27" t="s">
        <v>612</v>
      </c>
      <c r="B1684" s="28" t="s">
        <v>21</v>
      </c>
      <c r="C1684" s="27" t="s">
        <v>209</v>
      </c>
      <c r="D1684" s="27" t="s">
        <v>9775</v>
      </c>
      <c r="E1684" s="27" t="s">
        <v>9776</v>
      </c>
      <c r="F1684" s="27" t="s">
        <v>4940</v>
      </c>
      <c r="G1684" s="101" t="s">
        <v>4949</v>
      </c>
      <c r="H1684" s="91">
        <v>45322</v>
      </c>
      <c r="I1684" s="73">
        <v>42416</v>
      </c>
      <c r="J1684" s="73">
        <v>42416</v>
      </c>
      <c r="K1684" s="73">
        <v>34626</v>
      </c>
      <c r="L1684" s="11" t="s">
        <v>82</v>
      </c>
      <c r="M1684" s="1" t="s">
        <v>56</v>
      </c>
      <c r="N1684" s="112" t="s">
        <v>14</v>
      </c>
      <c r="O1684" s="104" t="s">
        <v>52</v>
      </c>
      <c r="P1684" s="104" t="s">
        <v>52</v>
      </c>
      <c r="Q1684" s="105"/>
      <c r="R1684" s="28" t="s">
        <v>7708</v>
      </c>
      <c r="S1684" s="225">
        <f t="shared" si="26"/>
        <v>56888</v>
      </c>
      <c r="T1684" s="2" t="s">
        <v>7694</v>
      </c>
      <c r="U1684" s="2" t="s">
        <v>136</v>
      </c>
      <c r="V1684" s="162" t="str" cm="1">
        <f t="array" ref="V1684">_xlfn.IFS(C1684="","",COUNTIF(C1684,"ตำแหน่งว่าง*"),"ว่าง",COUNTIF(C1684,"&lt;&gt;ตำแหน่งว่าง*"),"คนครอง")</f>
        <v>คนครอง</v>
      </c>
      <c r="W1684" s="5" cm="1">
        <f t="array" ref="W1684">_xlfn.IFS(COUNTIF(F1684,"ผบ.หมู่*"),51,COUNTIF(F1684,"รอง สว.*"),43)</f>
        <v>51</v>
      </c>
      <c r="X1684" s="1" t="s">
        <v>4948</v>
      </c>
      <c r="Y1684" s="1" t="s">
        <v>52</v>
      </c>
    </row>
    <row r="1685" spans="1:25" s="12" customFormat="1" ht="21.3" customHeight="1">
      <c r="A1685" s="27" t="s">
        <v>157</v>
      </c>
      <c r="B1685" s="28" t="s">
        <v>21</v>
      </c>
      <c r="C1685" s="95" t="s">
        <v>4950</v>
      </c>
      <c r="D1685" s="27" t="s">
        <v>7965</v>
      </c>
      <c r="E1685" s="27" t="s">
        <v>9777</v>
      </c>
      <c r="F1685" s="95" t="s">
        <v>4940</v>
      </c>
      <c r="G1685" s="101" t="s">
        <v>4952</v>
      </c>
      <c r="H1685" s="91">
        <v>42501</v>
      </c>
      <c r="I1685" s="73">
        <v>35095</v>
      </c>
      <c r="J1685" s="73">
        <v>35095</v>
      </c>
      <c r="K1685" s="73">
        <v>27529</v>
      </c>
      <c r="L1685" s="11" t="s">
        <v>4953</v>
      </c>
      <c r="M1685" s="1" t="s">
        <v>56</v>
      </c>
      <c r="N1685" s="111" t="s">
        <v>14</v>
      </c>
      <c r="O1685" s="104" t="s">
        <v>52</v>
      </c>
      <c r="P1685" s="104" t="s">
        <v>52</v>
      </c>
      <c r="Q1685" s="105"/>
      <c r="R1685" s="28" t="s">
        <v>110</v>
      </c>
      <c r="S1685" s="225">
        <f t="shared" si="26"/>
        <v>49583</v>
      </c>
      <c r="T1685" s="162" t="s">
        <v>7694</v>
      </c>
      <c r="U1685" s="2" t="s">
        <v>136</v>
      </c>
      <c r="V1685" s="162" t="str" cm="1">
        <f t="array" ref="V1685">_xlfn.IFS(C1685="","",COUNTIF(C1685,"ตำแหน่งว่าง*"),"ว่าง",COUNTIF(C1685,"&lt;&gt;ตำแหน่งว่าง*"),"คนครอง")</f>
        <v>คนครอง</v>
      </c>
      <c r="W1685" s="6" cm="1">
        <f t="array" ref="W1685">_xlfn.IFS(COUNTIF(F1685,"ผบ.หมู่*"),51,COUNTIF(F1685,"รอง สว.*"),43)</f>
        <v>51</v>
      </c>
      <c r="X1685" s="5" t="s">
        <v>4951</v>
      </c>
      <c r="Y1685" s="5" t="s">
        <v>52</v>
      </c>
    </row>
    <row r="1686" spans="1:25" s="12" customFormat="1" ht="21.3" customHeight="1">
      <c r="A1686" s="27" t="s">
        <v>157</v>
      </c>
      <c r="B1686" s="28" t="s">
        <v>21</v>
      </c>
      <c r="C1686" s="95" t="s">
        <v>4954</v>
      </c>
      <c r="D1686" s="27" t="s">
        <v>8248</v>
      </c>
      <c r="E1686" s="27" t="s">
        <v>9778</v>
      </c>
      <c r="F1686" s="95" t="s">
        <v>4940</v>
      </c>
      <c r="G1686" s="101" t="s">
        <v>4956</v>
      </c>
      <c r="H1686" s="91">
        <v>42501</v>
      </c>
      <c r="I1686" s="73">
        <v>37316</v>
      </c>
      <c r="J1686" s="73">
        <v>37316</v>
      </c>
      <c r="K1686" s="73">
        <v>27523</v>
      </c>
      <c r="L1686" s="11" t="s">
        <v>4957</v>
      </c>
      <c r="M1686" s="1" t="s">
        <v>56</v>
      </c>
      <c r="N1686" s="111" t="s">
        <v>14</v>
      </c>
      <c r="O1686" s="104" t="s">
        <v>52</v>
      </c>
      <c r="P1686" s="104" t="s">
        <v>52</v>
      </c>
      <c r="Q1686" s="105"/>
      <c r="R1686" s="28" t="s">
        <v>110</v>
      </c>
      <c r="S1686" s="225">
        <f t="shared" si="26"/>
        <v>49583</v>
      </c>
      <c r="T1686" s="162" t="s">
        <v>7694</v>
      </c>
      <c r="U1686" s="2" t="s">
        <v>136</v>
      </c>
      <c r="V1686" s="162" t="str" cm="1">
        <f t="array" ref="V1686">_xlfn.IFS(C1686="","",COUNTIF(C1686,"ตำแหน่งว่าง*"),"ว่าง",COUNTIF(C1686,"&lt;&gt;ตำแหน่งว่าง*"),"คนครอง")</f>
        <v>คนครอง</v>
      </c>
      <c r="W1686" s="6" cm="1">
        <f t="array" ref="W1686">_xlfn.IFS(COUNTIF(F1686,"ผบ.หมู่*"),51,COUNTIF(F1686,"รอง สว.*"),43)</f>
        <v>51</v>
      </c>
      <c r="X1686" s="5" t="s">
        <v>4955</v>
      </c>
      <c r="Y1686" s="5" t="s">
        <v>52</v>
      </c>
    </row>
    <row r="1687" spans="1:25" s="9" customFormat="1" ht="21.3" customHeight="1">
      <c r="A1687" s="27" t="s">
        <v>612</v>
      </c>
      <c r="B1687" s="28" t="s">
        <v>21</v>
      </c>
      <c r="C1687" s="27" t="s">
        <v>3098</v>
      </c>
      <c r="D1687" s="27" t="s">
        <v>9779</v>
      </c>
      <c r="E1687" s="27" t="s">
        <v>9780</v>
      </c>
      <c r="F1687" s="27" t="s">
        <v>4958</v>
      </c>
      <c r="G1687" s="101" t="s">
        <v>4960</v>
      </c>
      <c r="H1687" s="91">
        <v>45322</v>
      </c>
      <c r="I1687" s="73">
        <v>41944</v>
      </c>
      <c r="J1687" s="73">
        <v>41944</v>
      </c>
      <c r="K1687" s="73">
        <v>34345</v>
      </c>
      <c r="L1687" s="11" t="s">
        <v>1592</v>
      </c>
      <c r="M1687" s="1" t="s">
        <v>56</v>
      </c>
      <c r="N1687" s="112" t="s">
        <v>14</v>
      </c>
      <c r="O1687" s="104" t="s">
        <v>52</v>
      </c>
      <c r="P1687" s="104" t="s">
        <v>52</v>
      </c>
      <c r="Q1687" s="105"/>
      <c r="R1687" s="30" t="s">
        <v>7708</v>
      </c>
      <c r="S1687" s="225">
        <f t="shared" si="26"/>
        <v>56523</v>
      </c>
      <c r="T1687" s="2" t="s">
        <v>7695</v>
      </c>
      <c r="U1687" s="2" t="s">
        <v>136</v>
      </c>
      <c r="V1687" s="162" t="str" cm="1">
        <f t="array" ref="V1687">_xlfn.IFS(C1687="","",COUNTIF(C1687,"ตำแหน่งว่าง*"),"ว่าง",COUNTIF(C1687,"&lt;&gt;ตำแหน่งว่าง*"),"คนครอง")</f>
        <v>คนครอง</v>
      </c>
      <c r="W1687" s="6" cm="1">
        <f t="array" ref="W1687">_xlfn.IFS(COUNTIF(F1687,"ผบ.หมู่*"),51,COUNTIF(F1687,"รอง สว.*"),43)</f>
        <v>51</v>
      </c>
      <c r="X1687" s="1" t="s">
        <v>4959</v>
      </c>
      <c r="Y1687" s="1" t="s">
        <v>52</v>
      </c>
    </row>
    <row r="1688" spans="1:25" s="9" customFormat="1" ht="21.3" customHeight="1">
      <c r="A1688" s="27" t="s">
        <v>612</v>
      </c>
      <c r="B1688" s="28" t="s">
        <v>12</v>
      </c>
      <c r="C1688" s="27" t="s">
        <v>4961</v>
      </c>
      <c r="D1688" s="27" t="s">
        <v>9781</v>
      </c>
      <c r="E1688" s="27" t="s">
        <v>9733</v>
      </c>
      <c r="F1688" s="27" t="s">
        <v>4958</v>
      </c>
      <c r="G1688" s="101" t="s">
        <v>4963</v>
      </c>
      <c r="H1688" s="91">
        <v>43871</v>
      </c>
      <c r="I1688" s="73">
        <v>42309</v>
      </c>
      <c r="J1688" s="73">
        <v>42309</v>
      </c>
      <c r="K1688" s="73">
        <v>35469</v>
      </c>
      <c r="L1688" s="11" t="s">
        <v>82</v>
      </c>
      <c r="M1688" s="1" t="s">
        <v>56</v>
      </c>
      <c r="N1688" s="112" t="s">
        <v>14</v>
      </c>
      <c r="O1688" s="104" t="s">
        <v>52</v>
      </c>
      <c r="P1688" s="104" t="s">
        <v>52</v>
      </c>
      <c r="Q1688" s="105"/>
      <c r="R1688" s="28" t="s">
        <v>688</v>
      </c>
      <c r="S1688" s="225">
        <f t="shared" si="26"/>
        <v>57619</v>
      </c>
      <c r="T1688" s="2" t="s">
        <v>7695</v>
      </c>
      <c r="U1688" s="2" t="s">
        <v>136</v>
      </c>
      <c r="V1688" s="162" t="str" cm="1">
        <f t="array" ref="V1688">_xlfn.IFS(C1688="","",COUNTIF(C1688,"ตำแหน่งว่าง*"),"ว่าง",COUNTIF(C1688,"&lt;&gt;ตำแหน่งว่าง*"),"คนครอง")</f>
        <v>คนครอง</v>
      </c>
      <c r="W1688" s="6" cm="1">
        <f t="array" ref="W1688">_xlfn.IFS(COUNTIF(F1688,"ผบ.หมู่*"),51,COUNTIF(F1688,"รอง สว.*"),43)</f>
        <v>51</v>
      </c>
      <c r="X1688" s="1" t="s">
        <v>4962</v>
      </c>
      <c r="Y1688" s="1" t="s">
        <v>52</v>
      </c>
    </row>
    <row r="1689" spans="1:25" s="12" customFormat="1" ht="21.3" customHeight="1">
      <c r="A1689" s="132" t="s">
        <v>10753</v>
      </c>
      <c r="B1689" s="28" t="s">
        <v>21</v>
      </c>
      <c r="C1689" s="95" t="s">
        <v>4964</v>
      </c>
      <c r="D1689" s="27" t="s">
        <v>9782</v>
      </c>
      <c r="E1689" s="27" t="s">
        <v>9783</v>
      </c>
      <c r="F1689" s="95" t="s">
        <v>4969</v>
      </c>
      <c r="G1689" s="101" t="s">
        <v>4966</v>
      </c>
      <c r="H1689" s="91">
        <v>45382</v>
      </c>
      <c r="I1689" s="73">
        <v>45382</v>
      </c>
      <c r="J1689" s="73">
        <v>34352</v>
      </c>
      <c r="K1689" s="73">
        <v>25944</v>
      </c>
      <c r="L1689" s="11" t="s">
        <v>4967</v>
      </c>
      <c r="M1689" s="1" t="s">
        <v>56</v>
      </c>
      <c r="N1689" s="111" t="s">
        <v>14</v>
      </c>
      <c r="O1689" s="104" t="s">
        <v>52</v>
      </c>
      <c r="P1689" s="104" t="s">
        <v>52</v>
      </c>
      <c r="Q1689" s="105"/>
      <c r="R1689" s="33" t="s">
        <v>7801</v>
      </c>
      <c r="S1689" s="225">
        <f t="shared" si="26"/>
        <v>48122</v>
      </c>
      <c r="T1689" s="162" t="s">
        <v>7695</v>
      </c>
      <c r="U1689" s="2" t="s">
        <v>136</v>
      </c>
      <c r="V1689" s="162" t="str" cm="1">
        <f t="array" ref="V1689">_xlfn.IFS(C1689="","",COUNTIF(C1689,"ตำแหน่งว่าง*"),"ว่าง",COUNTIF(C1689,"&lt;&gt;ตำแหน่งว่าง*"),"คนครอง")</f>
        <v>คนครอง</v>
      </c>
      <c r="W1689" s="6" cm="1">
        <f t="array" ref="W1689">_xlfn.IFS(COUNTIF(F1689,"ผบ.หมู่*"),51,COUNTIF(F1689,"รอง สว.*"),43)</f>
        <v>43</v>
      </c>
      <c r="X1689" s="5" t="s">
        <v>4965</v>
      </c>
      <c r="Y1689" s="5" t="s">
        <v>52</v>
      </c>
    </row>
    <row r="1690" spans="1:25" s="12" customFormat="1" ht="21.3" customHeight="1">
      <c r="A1690" s="27" t="s">
        <v>26</v>
      </c>
      <c r="B1690" s="28" t="s">
        <v>12</v>
      </c>
      <c r="C1690" s="95" t="s">
        <v>4968</v>
      </c>
      <c r="D1690" s="27" t="s">
        <v>9784</v>
      </c>
      <c r="E1690" s="27" t="s">
        <v>9785</v>
      </c>
      <c r="F1690" s="95" t="s">
        <v>4969</v>
      </c>
      <c r="G1690" s="101" t="s">
        <v>4971</v>
      </c>
      <c r="H1690" s="91">
        <v>43921</v>
      </c>
      <c r="I1690" s="73">
        <v>43921</v>
      </c>
      <c r="J1690" s="73">
        <v>32905</v>
      </c>
      <c r="K1690" s="73">
        <v>24588</v>
      </c>
      <c r="L1690" s="11" t="s">
        <v>4972</v>
      </c>
      <c r="M1690" s="1" t="s">
        <v>56</v>
      </c>
      <c r="N1690" s="111" t="s">
        <v>14</v>
      </c>
      <c r="O1690" s="104" t="s">
        <v>52</v>
      </c>
      <c r="P1690" s="104" t="s">
        <v>52</v>
      </c>
      <c r="Q1690" s="105"/>
      <c r="R1690" s="28" t="s">
        <v>2700</v>
      </c>
      <c r="S1690" s="225">
        <f t="shared" si="26"/>
        <v>46661</v>
      </c>
      <c r="T1690" s="162" t="s">
        <v>7695</v>
      </c>
      <c r="U1690" s="2" t="s">
        <v>136</v>
      </c>
      <c r="V1690" s="162" t="str" cm="1">
        <f t="array" ref="V1690">_xlfn.IFS(C1690="","",COUNTIF(C1690,"ตำแหน่งว่าง*"),"ว่าง",COUNTIF(C1690,"&lt;&gt;ตำแหน่งว่าง*"),"คนครอง")</f>
        <v>คนครอง</v>
      </c>
      <c r="W1690" s="5" cm="1">
        <f t="array" ref="W1690">_xlfn.IFS(COUNTIF(F1690,"ผบ.หมู่*"),51,COUNTIF(F1690,"รอง สว.*"),43)</f>
        <v>43</v>
      </c>
      <c r="X1690" s="5" t="s">
        <v>4970</v>
      </c>
      <c r="Y1690" s="5" t="s">
        <v>52</v>
      </c>
    </row>
    <row r="1691" spans="1:25" s="12" customFormat="1" ht="21.3" customHeight="1">
      <c r="A1691" s="27"/>
      <c r="B1691" s="28"/>
      <c r="C1691" s="95" t="s">
        <v>18</v>
      </c>
      <c r="D1691" s="27"/>
      <c r="E1691" s="27"/>
      <c r="F1691" s="27" t="s">
        <v>4976</v>
      </c>
      <c r="G1691" s="101" t="s">
        <v>4974</v>
      </c>
      <c r="H1691" s="91"/>
      <c r="I1691" s="73"/>
      <c r="J1691" s="73"/>
      <c r="K1691" s="73"/>
      <c r="L1691" s="11"/>
      <c r="M1691" s="1"/>
      <c r="N1691" s="111" t="s">
        <v>14</v>
      </c>
      <c r="O1691" s="104" t="s">
        <v>52</v>
      </c>
      <c r="P1691" s="104" t="s">
        <v>52</v>
      </c>
      <c r="Q1691" s="105"/>
      <c r="R1691" s="28"/>
      <c r="S1691" s="225" t="str">
        <f t="shared" si="26"/>
        <v/>
      </c>
      <c r="T1691" s="162" t="s">
        <v>7696</v>
      </c>
      <c r="U1691" s="2" t="s">
        <v>136</v>
      </c>
      <c r="V1691" s="162" t="str" cm="1">
        <f t="array" ref="V1691">_xlfn.IFS(C1691="","",COUNTIF(C1691,"ตำแหน่งว่าง*"),"ว่าง",COUNTIF(C1691,"&lt;&gt;ตำแหน่งว่าง*"),"คนครอง")</f>
        <v>ว่าง</v>
      </c>
      <c r="W1691" s="5" cm="1">
        <f t="array" ref="W1691">_xlfn.IFS(COUNTIF(F1691,"ผบ.หมู่*"),51,COUNTIF(F1691,"รอง สว.*"),43)</f>
        <v>51</v>
      </c>
      <c r="X1691" s="5" t="s">
        <v>4973</v>
      </c>
      <c r="Y1691" s="5" t="s">
        <v>52</v>
      </c>
    </row>
    <row r="1692" spans="1:25" s="9" customFormat="1" ht="21.3" customHeight="1">
      <c r="A1692" s="27" t="s">
        <v>157</v>
      </c>
      <c r="B1692" s="28" t="s">
        <v>21</v>
      </c>
      <c r="C1692" s="27" t="s">
        <v>4975</v>
      </c>
      <c r="D1692" s="27" t="s">
        <v>8348</v>
      </c>
      <c r="E1692" s="27" t="s">
        <v>9786</v>
      </c>
      <c r="F1692" s="27" t="s">
        <v>4976</v>
      </c>
      <c r="G1692" s="101" t="s">
        <v>4978</v>
      </c>
      <c r="H1692" s="91">
        <v>43871</v>
      </c>
      <c r="I1692" s="73">
        <v>40814</v>
      </c>
      <c r="J1692" s="73">
        <v>40814</v>
      </c>
      <c r="K1692" s="73">
        <v>30926</v>
      </c>
      <c r="L1692" s="11" t="s">
        <v>31</v>
      </c>
      <c r="M1692" s="1" t="s">
        <v>56</v>
      </c>
      <c r="N1692" s="112" t="s">
        <v>14</v>
      </c>
      <c r="O1692" s="104" t="s">
        <v>52</v>
      </c>
      <c r="P1692" s="104" t="s">
        <v>52</v>
      </c>
      <c r="Q1692" s="105"/>
      <c r="R1692" s="28" t="s">
        <v>688</v>
      </c>
      <c r="S1692" s="225">
        <f t="shared" si="26"/>
        <v>52871</v>
      </c>
      <c r="T1692" s="2" t="s">
        <v>7696</v>
      </c>
      <c r="U1692" s="2" t="s">
        <v>136</v>
      </c>
      <c r="V1692" s="162" t="str" cm="1">
        <f t="array" ref="V1692">_xlfn.IFS(C1692="","",COUNTIF(C1692,"ตำแหน่งว่าง*"),"ว่าง",COUNTIF(C1692,"&lt;&gt;ตำแหน่งว่าง*"),"คนครอง")</f>
        <v>คนครอง</v>
      </c>
      <c r="W1692" s="6" cm="1">
        <f t="array" ref="W1692">_xlfn.IFS(COUNTIF(F1692,"ผบ.หมู่*"),51,COUNTIF(F1692,"รอง สว.*"),43)</f>
        <v>51</v>
      </c>
      <c r="X1692" s="1" t="s">
        <v>4977</v>
      </c>
      <c r="Y1692" s="1" t="s">
        <v>52</v>
      </c>
    </row>
    <row r="1693" spans="1:25" s="12" customFormat="1" ht="21.3" customHeight="1">
      <c r="A1693" s="27" t="s">
        <v>157</v>
      </c>
      <c r="B1693" s="28" t="s">
        <v>21</v>
      </c>
      <c r="C1693" s="95" t="s">
        <v>4979</v>
      </c>
      <c r="D1693" s="27" t="s">
        <v>7966</v>
      </c>
      <c r="E1693" s="27" t="s">
        <v>9787</v>
      </c>
      <c r="F1693" s="95" t="s">
        <v>4976</v>
      </c>
      <c r="G1693" s="101" t="s">
        <v>4981</v>
      </c>
      <c r="H1693" s="75">
        <v>42501</v>
      </c>
      <c r="I1693" s="73">
        <v>35095</v>
      </c>
      <c r="J1693" s="73">
        <v>35095</v>
      </c>
      <c r="K1693" s="73">
        <v>27589</v>
      </c>
      <c r="L1693" s="2" t="s">
        <v>4759</v>
      </c>
      <c r="M1693" s="1" t="s">
        <v>56</v>
      </c>
      <c r="N1693" s="111" t="s">
        <v>14</v>
      </c>
      <c r="O1693" s="104" t="s">
        <v>52</v>
      </c>
      <c r="P1693" s="104" t="s">
        <v>52</v>
      </c>
      <c r="Q1693" s="105"/>
      <c r="R1693" s="28" t="s">
        <v>110</v>
      </c>
      <c r="S1693" s="225">
        <f t="shared" si="26"/>
        <v>49583</v>
      </c>
      <c r="T1693" s="162" t="s">
        <v>7696</v>
      </c>
      <c r="U1693" s="2" t="s">
        <v>136</v>
      </c>
      <c r="V1693" s="162" t="str" cm="1">
        <f t="array" ref="V1693">_xlfn.IFS(C1693="","",COUNTIF(C1693,"ตำแหน่งว่าง*"),"ว่าง",COUNTIF(C1693,"&lt;&gt;ตำแหน่งว่าง*"),"คนครอง")</f>
        <v>คนครอง</v>
      </c>
      <c r="W1693" s="6" cm="1">
        <f t="array" ref="W1693">_xlfn.IFS(COUNTIF(F1693,"ผบ.หมู่*"),51,COUNTIF(F1693,"รอง สว.*"),43)</f>
        <v>51</v>
      </c>
      <c r="X1693" s="5" t="s">
        <v>4980</v>
      </c>
      <c r="Y1693" s="5" t="s">
        <v>52</v>
      </c>
    </row>
    <row r="1694" spans="1:25" s="12" customFormat="1" ht="21.3" customHeight="1">
      <c r="A1694" s="27"/>
      <c r="B1694" s="28"/>
      <c r="C1694" s="95" t="s">
        <v>18</v>
      </c>
      <c r="D1694" s="27"/>
      <c r="E1694" s="27"/>
      <c r="F1694" s="95" t="s">
        <v>4976</v>
      </c>
      <c r="G1694" s="101" t="s">
        <v>4983</v>
      </c>
      <c r="H1694" s="91"/>
      <c r="I1694" s="73"/>
      <c r="J1694" s="73"/>
      <c r="K1694" s="73"/>
      <c r="L1694" s="11"/>
      <c r="M1694" s="1"/>
      <c r="N1694" s="111" t="s">
        <v>14</v>
      </c>
      <c r="O1694" s="104" t="s">
        <v>52</v>
      </c>
      <c r="P1694" s="104" t="s">
        <v>52</v>
      </c>
      <c r="Q1694" s="105"/>
      <c r="R1694" s="28"/>
      <c r="S1694" s="225" t="str">
        <f t="shared" si="26"/>
        <v/>
      </c>
      <c r="T1694" s="162" t="s">
        <v>7696</v>
      </c>
      <c r="U1694" s="2" t="s">
        <v>136</v>
      </c>
      <c r="V1694" s="162" t="str" cm="1">
        <f t="array" ref="V1694">_xlfn.IFS(C1694="","",COUNTIF(C1694,"ตำแหน่งว่าง*"),"ว่าง",COUNTIF(C1694,"&lt;&gt;ตำแหน่งว่าง*"),"คนครอง")</f>
        <v>ว่าง</v>
      </c>
      <c r="W1694" s="5" cm="1">
        <f t="array" ref="W1694">_xlfn.IFS(COUNTIF(F1694,"ผบ.หมู่*"),51,COUNTIF(F1694,"รอง สว.*"),43)</f>
        <v>51</v>
      </c>
      <c r="X1694" s="5" t="s">
        <v>4982</v>
      </c>
      <c r="Y1694" s="5" t="s">
        <v>52</v>
      </c>
    </row>
    <row r="1695" spans="1:25" s="9" customFormat="1" ht="21.3" customHeight="1">
      <c r="A1695" s="27" t="s">
        <v>30</v>
      </c>
      <c r="B1695" s="28" t="s">
        <v>12</v>
      </c>
      <c r="C1695" s="27" t="s">
        <v>4984</v>
      </c>
      <c r="D1695" s="27" t="s">
        <v>9788</v>
      </c>
      <c r="E1695" s="27" t="s">
        <v>9789</v>
      </c>
      <c r="F1695" s="27" t="s">
        <v>4985</v>
      </c>
      <c r="G1695" s="101" t="s">
        <v>4987</v>
      </c>
      <c r="H1695" s="91">
        <v>43871</v>
      </c>
      <c r="I1695" s="73">
        <v>43555</v>
      </c>
      <c r="J1695" s="73">
        <v>34352</v>
      </c>
      <c r="K1695" s="73">
        <v>24058</v>
      </c>
      <c r="L1695" s="11" t="s">
        <v>4988</v>
      </c>
      <c r="M1695" s="1" t="s">
        <v>56</v>
      </c>
      <c r="N1695" s="112" t="s">
        <v>14</v>
      </c>
      <c r="O1695" s="104" t="s">
        <v>52</v>
      </c>
      <c r="P1695" s="104" t="s">
        <v>52</v>
      </c>
      <c r="Q1695" s="105"/>
      <c r="R1695" s="28" t="s">
        <v>688</v>
      </c>
      <c r="S1695" s="225">
        <f t="shared" si="26"/>
        <v>46296</v>
      </c>
      <c r="T1695" s="2" t="s">
        <v>7697</v>
      </c>
      <c r="U1695" s="2" t="s">
        <v>136</v>
      </c>
      <c r="V1695" s="162" t="str" cm="1">
        <f t="array" ref="V1695">_xlfn.IFS(C1695="","",COUNTIF(C1695,"ตำแหน่งว่าง*"),"ว่าง",COUNTIF(C1695,"&lt;&gt;ตำแหน่งว่าง*"),"คนครอง")</f>
        <v>คนครอง</v>
      </c>
      <c r="W1695" s="5" cm="1">
        <f t="array" ref="W1695">_xlfn.IFS(COUNTIF(F1695,"ผบ.หมู่*"),51,COUNTIF(F1695,"รอง สว.*"),43)</f>
        <v>43</v>
      </c>
      <c r="X1695" s="1" t="s">
        <v>4986</v>
      </c>
      <c r="Y1695" s="1" t="s">
        <v>52</v>
      </c>
    </row>
    <row r="1696" spans="1:25" s="12" customFormat="1" ht="21.3" customHeight="1">
      <c r="A1696" s="27" t="s">
        <v>157</v>
      </c>
      <c r="B1696" s="28" t="s">
        <v>12</v>
      </c>
      <c r="C1696" s="95" t="s">
        <v>4989</v>
      </c>
      <c r="D1696" s="27" t="s">
        <v>9790</v>
      </c>
      <c r="E1696" s="27" t="s">
        <v>9791</v>
      </c>
      <c r="F1696" s="95" t="s">
        <v>4990</v>
      </c>
      <c r="G1696" s="101" t="s">
        <v>4992</v>
      </c>
      <c r="H1696" s="91">
        <v>42501</v>
      </c>
      <c r="I1696" s="73">
        <v>37316</v>
      </c>
      <c r="J1696" s="73">
        <v>37316</v>
      </c>
      <c r="K1696" s="73">
        <v>28211</v>
      </c>
      <c r="L1696" s="11" t="s">
        <v>4993</v>
      </c>
      <c r="M1696" s="1" t="s">
        <v>79</v>
      </c>
      <c r="N1696" s="111" t="s">
        <v>14</v>
      </c>
      <c r="O1696" s="104" t="s">
        <v>52</v>
      </c>
      <c r="P1696" s="104" t="s">
        <v>52</v>
      </c>
      <c r="Q1696" s="105"/>
      <c r="R1696" s="28" t="s">
        <v>110</v>
      </c>
      <c r="S1696" s="225">
        <f t="shared" si="26"/>
        <v>50314</v>
      </c>
      <c r="T1696" s="162" t="s">
        <v>7643</v>
      </c>
      <c r="U1696" s="2" t="s">
        <v>136</v>
      </c>
      <c r="V1696" s="162" t="str" cm="1">
        <f t="array" ref="V1696">_xlfn.IFS(C1696="","",COUNTIF(C1696,"ตำแหน่งว่าง*"),"ว่าง",COUNTIF(C1696,"&lt;&gt;ตำแหน่งว่าง*"),"คนครอง")</f>
        <v>คนครอง</v>
      </c>
      <c r="W1696" s="6" cm="1">
        <f t="array" ref="W1696">_xlfn.IFS(COUNTIF(F1696,"ผบ.หมู่*"),51,COUNTIF(F1696,"รอง สว.*"),43)</f>
        <v>51</v>
      </c>
      <c r="X1696" s="5" t="s">
        <v>4991</v>
      </c>
      <c r="Y1696" s="5" t="s">
        <v>52</v>
      </c>
    </row>
    <row r="1697" spans="1:25" s="9" customFormat="1" ht="21.3" customHeight="1">
      <c r="A1697" s="27" t="s">
        <v>157</v>
      </c>
      <c r="B1697" s="28" t="s">
        <v>12</v>
      </c>
      <c r="C1697" s="27" t="s">
        <v>4994</v>
      </c>
      <c r="D1697" s="27" t="s">
        <v>9792</v>
      </c>
      <c r="E1697" s="27" t="s">
        <v>9793</v>
      </c>
      <c r="F1697" s="27" t="s">
        <v>4990</v>
      </c>
      <c r="G1697" s="101" t="s">
        <v>4996</v>
      </c>
      <c r="H1697" s="91">
        <v>43871</v>
      </c>
      <c r="I1697" s="73">
        <v>41214</v>
      </c>
      <c r="J1697" s="73">
        <v>41214</v>
      </c>
      <c r="K1697" s="73">
        <v>31704</v>
      </c>
      <c r="L1697" s="11" t="s">
        <v>4997</v>
      </c>
      <c r="M1697" s="1" t="s">
        <v>79</v>
      </c>
      <c r="N1697" s="112" t="s">
        <v>14</v>
      </c>
      <c r="O1697" s="104" t="s">
        <v>52</v>
      </c>
      <c r="P1697" s="104" t="s">
        <v>52</v>
      </c>
      <c r="Q1697" s="105"/>
      <c r="R1697" s="28" t="s">
        <v>688</v>
      </c>
      <c r="S1697" s="225">
        <f t="shared" si="26"/>
        <v>53966</v>
      </c>
      <c r="T1697" s="2" t="s">
        <v>7643</v>
      </c>
      <c r="U1697" s="2" t="s">
        <v>136</v>
      </c>
      <c r="V1697" s="162" t="str" cm="1">
        <f t="array" ref="V1697">_xlfn.IFS(C1697="","",COUNTIF(C1697,"ตำแหน่งว่าง*"),"ว่าง",COUNTIF(C1697,"&lt;&gt;ตำแหน่งว่าง*"),"คนครอง")</f>
        <v>คนครอง</v>
      </c>
      <c r="W1697" s="6" cm="1">
        <f t="array" ref="W1697">_xlfn.IFS(COUNTIF(F1697,"ผบ.หมู่*"),51,COUNTIF(F1697,"รอง สว.*"),43)</f>
        <v>51</v>
      </c>
      <c r="X1697" s="1" t="s">
        <v>4995</v>
      </c>
      <c r="Y1697" s="1" t="s">
        <v>52</v>
      </c>
    </row>
    <row r="1698" spans="1:25" s="12" customFormat="1" ht="21.3" customHeight="1">
      <c r="A1698" s="95" t="s">
        <v>208</v>
      </c>
      <c r="B1698" s="31" t="s">
        <v>21</v>
      </c>
      <c r="C1698" s="95" t="s">
        <v>4998</v>
      </c>
      <c r="D1698" s="27" t="s">
        <v>9449</v>
      </c>
      <c r="E1698" s="27" t="s">
        <v>9794</v>
      </c>
      <c r="F1698" s="95" t="s">
        <v>4990</v>
      </c>
      <c r="G1698" s="101" t="s">
        <v>5000</v>
      </c>
      <c r="H1698" s="92">
        <v>44599</v>
      </c>
      <c r="I1698" s="76">
        <v>43132</v>
      </c>
      <c r="J1698" s="76">
        <v>43132</v>
      </c>
      <c r="K1698" s="76">
        <v>31280</v>
      </c>
      <c r="L1698" s="17" t="s">
        <v>82</v>
      </c>
      <c r="M1698" s="5" t="s">
        <v>79</v>
      </c>
      <c r="N1698" s="111" t="s">
        <v>14</v>
      </c>
      <c r="O1698" s="104" t="s">
        <v>52</v>
      </c>
      <c r="P1698" s="104" t="s">
        <v>52</v>
      </c>
      <c r="Q1698" s="108"/>
      <c r="R1698" s="31" t="s">
        <v>607</v>
      </c>
      <c r="S1698" s="225">
        <f t="shared" si="26"/>
        <v>53236</v>
      </c>
      <c r="T1698" s="162" t="s">
        <v>7643</v>
      </c>
      <c r="U1698" s="2" t="s">
        <v>136</v>
      </c>
      <c r="V1698" s="162" t="str" cm="1">
        <f t="array" ref="V1698">_xlfn.IFS(C1698="","",COUNTIF(C1698,"ตำแหน่งว่าง*"),"ว่าง",COUNTIF(C1698,"&lt;&gt;ตำแหน่งว่าง*"),"คนครอง")</f>
        <v>คนครอง</v>
      </c>
      <c r="W1698" s="6" cm="1">
        <f t="array" ref="W1698">_xlfn.IFS(COUNTIF(F1698,"ผบ.หมู่*"),51,COUNTIF(F1698,"รอง สว.*"),43)</f>
        <v>51</v>
      </c>
      <c r="X1698" s="5" t="s">
        <v>4999</v>
      </c>
      <c r="Y1698" s="5" t="s">
        <v>52</v>
      </c>
    </row>
    <row r="1699" spans="1:25" s="9" customFormat="1" ht="21.3" customHeight="1">
      <c r="A1699" s="27" t="s">
        <v>157</v>
      </c>
      <c r="B1699" s="28" t="s">
        <v>12</v>
      </c>
      <c r="C1699" s="27" t="s">
        <v>5001</v>
      </c>
      <c r="D1699" s="27" t="s">
        <v>8043</v>
      </c>
      <c r="E1699" s="27" t="s">
        <v>8268</v>
      </c>
      <c r="F1699" s="27" t="s">
        <v>4990</v>
      </c>
      <c r="G1699" s="101" t="s">
        <v>5003</v>
      </c>
      <c r="H1699" s="91">
        <v>43871</v>
      </c>
      <c r="I1699" s="73">
        <v>40814</v>
      </c>
      <c r="J1699" s="73">
        <v>40814</v>
      </c>
      <c r="K1699" s="73">
        <v>30593</v>
      </c>
      <c r="L1699" s="11" t="s">
        <v>45</v>
      </c>
      <c r="M1699" s="1" t="s">
        <v>57</v>
      </c>
      <c r="N1699" s="112" t="s">
        <v>14</v>
      </c>
      <c r="O1699" s="104" t="s">
        <v>52</v>
      </c>
      <c r="P1699" s="104" t="s">
        <v>52</v>
      </c>
      <c r="Q1699" s="105"/>
      <c r="R1699" s="28" t="s">
        <v>688</v>
      </c>
      <c r="S1699" s="225">
        <f t="shared" si="26"/>
        <v>52871</v>
      </c>
      <c r="T1699" s="2" t="s">
        <v>7643</v>
      </c>
      <c r="U1699" s="2" t="s">
        <v>136</v>
      </c>
      <c r="V1699" s="162" t="str" cm="1">
        <f t="array" ref="V1699">_xlfn.IFS(C1699="","",COUNTIF(C1699,"ตำแหน่งว่าง*"),"ว่าง",COUNTIF(C1699,"&lt;&gt;ตำแหน่งว่าง*"),"คนครอง")</f>
        <v>คนครอง</v>
      </c>
      <c r="W1699" s="6" cm="1">
        <f t="array" ref="W1699">_xlfn.IFS(COUNTIF(F1699,"ผบ.หมู่*"),51,COUNTIF(F1699,"รอง สว.*"),43)</f>
        <v>51</v>
      </c>
      <c r="X1699" s="1" t="s">
        <v>5002</v>
      </c>
      <c r="Y1699" s="1" t="s">
        <v>52</v>
      </c>
    </row>
    <row r="1700" spans="1:25" s="10" customFormat="1" ht="21.3" customHeight="1">
      <c r="A1700" s="27" t="s">
        <v>157</v>
      </c>
      <c r="B1700" s="28" t="s">
        <v>21</v>
      </c>
      <c r="C1700" s="27" t="s">
        <v>5004</v>
      </c>
      <c r="D1700" s="27" t="s">
        <v>8017</v>
      </c>
      <c r="E1700" s="27" t="s">
        <v>9795</v>
      </c>
      <c r="F1700" s="27" t="s">
        <v>5005</v>
      </c>
      <c r="G1700" s="101" t="s">
        <v>5007</v>
      </c>
      <c r="H1700" s="91">
        <v>44999</v>
      </c>
      <c r="I1700" s="73">
        <v>40339</v>
      </c>
      <c r="J1700" s="73">
        <v>40339</v>
      </c>
      <c r="K1700" s="73">
        <v>31027</v>
      </c>
      <c r="L1700" s="11" t="s">
        <v>4240</v>
      </c>
      <c r="M1700" s="1" t="s">
        <v>79</v>
      </c>
      <c r="N1700" s="112" t="s">
        <v>14</v>
      </c>
      <c r="O1700" s="104" t="s">
        <v>52</v>
      </c>
      <c r="P1700" s="104" t="s">
        <v>52</v>
      </c>
      <c r="Q1700" s="105"/>
      <c r="R1700" s="28" t="s">
        <v>74</v>
      </c>
      <c r="S1700" s="225">
        <f t="shared" si="26"/>
        <v>53236</v>
      </c>
      <c r="T1700" s="7" t="s">
        <v>7643</v>
      </c>
      <c r="U1700" s="2" t="s">
        <v>136</v>
      </c>
      <c r="V1700" s="162" t="str" cm="1">
        <f t="array" ref="V1700">_xlfn.IFS(C1700="","",COUNTIF(C1700,"ตำแหน่งว่าง*"),"ว่าง",COUNTIF(C1700,"&lt;&gt;ตำแหน่งว่าง*"),"คนครอง")</f>
        <v>คนครอง</v>
      </c>
      <c r="W1700" s="6" cm="1">
        <f t="array" ref="W1700">_xlfn.IFS(COUNTIF(F1700,"ผบ.หมู่*"),51,COUNTIF(F1700,"รอง สว.*"),43)</f>
        <v>51</v>
      </c>
      <c r="X1700" s="1" t="s">
        <v>5006</v>
      </c>
      <c r="Y1700" s="1" t="s">
        <v>52</v>
      </c>
    </row>
    <row r="1701" spans="1:25" s="12" customFormat="1" ht="21.3" customHeight="1">
      <c r="A1701" s="27" t="s">
        <v>10753</v>
      </c>
      <c r="B1701" s="28" t="s">
        <v>21</v>
      </c>
      <c r="C1701" s="95" t="s">
        <v>5008</v>
      </c>
      <c r="D1701" s="27" t="s">
        <v>8133</v>
      </c>
      <c r="E1701" s="27" t="s">
        <v>9796</v>
      </c>
      <c r="F1701" s="95" t="s">
        <v>5009</v>
      </c>
      <c r="G1701" s="101" t="s">
        <v>5011</v>
      </c>
      <c r="H1701" s="75">
        <v>45016</v>
      </c>
      <c r="I1701" s="73">
        <v>45016</v>
      </c>
      <c r="J1701" s="73">
        <v>34729</v>
      </c>
      <c r="K1701" s="73">
        <v>25514</v>
      </c>
      <c r="L1701" s="11" t="s">
        <v>5012</v>
      </c>
      <c r="M1701" s="1" t="s">
        <v>79</v>
      </c>
      <c r="N1701" s="111" t="s">
        <v>14</v>
      </c>
      <c r="O1701" s="104" t="s">
        <v>52</v>
      </c>
      <c r="P1701" s="104" t="s">
        <v>52</v>
      </c>
      <c r="Q1701" s="105"/>
      <c r="R1701" s="28" t="s">
        <v>483</v>
      </c>
      <c r="S1701" s="225">
        <f t="shared" si="26"/>
        <v>47757</v>
      </c>
      <c r="T1701" s="162" t="s">
        <v>7643</v>
      </c>
      <c r="U1701" s="2" t="s">
        <v>136</v>
      </c>
      <c r="V1701" s="162" t="str" cm="1">
        <f t="array" ref="V1701">_xlfn.IFS(C1701="","",COUNTIF(C1701,"ตำแหน่งว่าง*"),"ว่าง",COUNTIF(C1701,"&lt;&gt;ตำแหน่งว่าง*"),"คนครอง")</f>
        <v>คนครอง</v>
      </c>
      <c r="W1701" s="5" cm="1">
        <f t="array" ref="W1701">_xlfn.IFS(COUNTIF(F1701,"ผบ.หมู่*"),51,COUNTIF(F1701,"รอง สว.*"),43)</f>
        <v>43</v>
      </c>
      <c r="X1701" s="5" t="s">
        <v>5010</v>
      </c>
      <c r="Y1701" s="5" t="s">
        <v>52</v>
      </c>
    </row>
    <row r="1702" spans="1:25" s="12" customFormat="1" ht="21.3" customHeight="1">
      <c r="A1702" s="95" t="s">
        <v>208</v>
      </c>
      <c r="B1702" s="31" t="s">
        <v>12</v>
      </c>
      <c r="C1702" s="95" t="s">
        <v>5013</v>
      </c>
      <c r="D1702" s="27" t="s">
        <v>9797</v>
      </c>
      <c r="E1702" s="27" t="s">
        <v>9798</v>
      </c>
      <c r="F1702" s="95" t="s">
        <v>4990</v>
      </c>
      <c r="G1702" s="101" t="s">
        <v>5015</v>
      </c>
      <c r="H1702" s="92">
        <v>44599</v>
      </c>
      <c r="I1702" s="75">
        <v>42767</v>
      </c>
      <c r="J1702" s="75">
        <v>42767</v>
      </c>
      <c r="K1702" s="75">
        <v>34052</v>
      </c>
      <c r="L1702" s="34" t="s">
        <v>82</v>
      </c>
      <c r="M1702" s="28" t="s">
        <v>79</v>
      </c>
      <c r="N1702" s="111" t="s">
        <v>14</v>
      </c>
      <c r="O1702" s="104" t="s">
        <v>52</v>
      </c>
      <c r="P1702" s="104" t="s">
        <v>52</v>
      </c>
      <c r="Q1702" s="105"/>
      <c r="R1702" s="31" t="s">
        <v>607</v>
      </c>
      <c r="S1702" s="225">
        <f t="shared" si="26"/>
        <v>56158</v>
      </c>
      <c r="T1702" s="162" t="s">
        <v>7643</v>
      </c>
      <c r="U1702" s="2" t="s">
        <v>136</v>
      </c>
      <c r="V1702" s="162" t="str" cm="1">
        <f t="array" ref="V1702">_xlfn.IFS(C1702="","",COUNTIF(C1702,"ตำแหน่งว่าง*"),"ว่าง",COUNTIF(C1702,"&lt;&gt;ตำแหน่งว่าง*"),"คนครอง")</f>
        <v>คนครอง</v>
      </c>
      <c r="W1702" s="6" cm="1">
        <f t="array" ref="W1702">_xlfn.IFS(COUNTIF(F1702,"ผบ.หมู่*"),51,COUNTIF(F1702,"รอง สว.*"),43)</f>
        <v>51</v>
      </c>
      <c r="X1702" s="5" t="s">
        <v>5014</v>
      </c>
      <c r="Y1702" s="5" t="s">
        <v>52</v>
      </c>
    </row>
    <row r="1703" spans="1:25" s="12" customFormat="1" ht="21.3" customHeight="1">
      <c r="A1703" s="27" t="s">
        <v>612</v>
      </c>
      <c r="B1703" s="28" t="s">
        <v>21</v>
      </c>
      <c r="C1703" s="27" t="s">
        <v>7745</v>
      </c>
      <c r="D1703" s="27" t="s">
        <v>9799</v>
      </c>
      <c r="E1703" s="27" t="s">
        <v>9800</v>
      </c>
      <c r="F1703" s="27" t="s">
        <v>4990</v>
      </c>
      <c r="G1703" s="101" t="s">
        <v>5017</v>
      </c>
      <c r="H1703" s="91">
        <v>45322</v>
      </c>
      <c r="I1703" s="73">
        <v>42416</v>
      </c>
      <c r="J1703" s="73">
        <v>42416</v>
      </c>
      <c r="K1703" s="73">
        <v>31761</v>
      </c>
      <c r="L1703" s="11" t="s">
        <v>7746</v>
      </c>
      <c r="M1703" s="1" t="s">
        <v>79</v>
      </c>
      <c r="N1703" s="112" t="s">
        <v>14</v>
      </c>
      <c r="O1703" s="104" t="s">
        <v>52</v>
      </c>
      <c r="P1703" s="104" t="s">
        <v>52</v>
      </c>
      <c r="Q1703" s="105"/>
      <c r="R1703" s="30" t="s">
        <v>7708</v>
      </c>
      <c r="S1703" s="225">
        <f t="shared" si="26"/>
        <v>53966</v>
      </c>
      <c r="T1703" s="162" t="s">
        <v>7643</v>
      </c>
      <c r="U1703" s="2" t="s">
        <v>136</v>
      </c>
      <c r="V1703" s="162" t="str" cm="1">
        <f t="array" ref="V1703">_xlfn.IFS(C1703="","",COUNTIF(C1703,"ตำแหน่งว่าง*"),"ว่าง",COUNTIF(C1703,"&lt;&gt;ตำแหน่งว่าง*"),"คนครอง")</f>
        <v>คนครอง</v>
      </c>
      <c r="W1703" s="6" cm="1">
        <f t="array" ref="W1703">_xlfn.IFS(COUNTIF(F1703,"ผบ.หมู่*"),51,COUNTIF(F1703,"รอง สว.*"),43)</f>
        <v>51</v>
      </c>
      <c r="X1703" s="1" t="s">
        <v>5016</v>
      </c>
      <c r="Y1703" s="1" t="s">
        <v>52</v>
      </c>
    </row>
    <row r="1704" spans="1:25" s="12" customFormat="1" ht="21.3" customHeight="1">
      <c r="A1704" s="27" t="s">
        <v>208</v>
      </c>
      <c r="B1704" s="28" t="s">
        <v>21</v>
      </c>
      <c r="C1704" s="27" t="s">
        <v>755</v>
      </c>
      <c r="D1704" s="27" t="s">
        <v>8362</v>
      </c>
      <c r="E1704" s="27" t="s">
        <v>8625</v>
      </c>
      <c r="F1704" s="27" t="s">
        <v>4990</v>
      </c>
      <c r="G1704" s="101" t="s">
        <v>5019</v>
      </c>
      <c r="H1704" s="91">
        <v>45768</v>
      </c>
      <c r="I1704" s="73">
        <v>42810</v>
      </c>
      <c r="J1704" s="73">
        <v>42810</v>
      </c>
      <c r="K1704" s="73">
        <v>34598</v>
      </c>
      <c r="L1704" s="11" t="s">
        <v>82</v>
      </c>
      <c r="M1704" s="1" t="s">
        <v>79</v>
      </c>
      <c r="N1704" s="112" t="s">
        <v>14</v>
      </c>
      <c r="O1704" s="104" t="s">
        <v>52</v>
      </c>
      <c r="P1704" s="104" t="s">
        <v>52</v>
      </c>
      <c r="Q1704" s="105"/>
      <c r="R1704" s="28" t="s">
        <v>10804</v>
      </c>
      <c r="S1704" s="174">
        <f t="shared" si="26"/>
        <v>56523</v>
      </c>
      <c r="T1704" s="2" t="s">
        <v>7643</v>
      </c>
      <c r="U1704" s="2" t="s">
        <v>136</v>
      </c>
      <c r="V1704" s="2" t="str" cm="1">
        <f t="array" ref="V1704">_xlfn.IFS(C1704="","",COUNTIF(C1704,"ตำแหน่งว่าง*"),"ว่าง",COUNTIF(C1704,"&lt;&gt;ตำแหน่งว่าง*"),"คนครอง")</f>
        <v>คนครอง</v>
      </c>
      <c r="W1704" s="1" cm="1">
        <f t="array" ref="W1704">_xlfn.IFS(COUNTIF(F1704,"ผบ.หมู่*"),51,COUNTIF(F1704,"รอง สว.*"),43)</f>
        <v>51</v>
      </c>
      <c r="X1704" s="1" t="s">
        <v>5018</v>
      </c>
      <c r="Y1704" s="1" t="s">
        <v>52</v>
      </c>
    </row>
    <row r="1705" spans="1:25" s="9" customFormat="1" ht="21.3" customHeight="1">
      <c r="A1705" s="27" t="s">
        <v>208</v>
      </c>
      <c r="B1705" s="28" t="s">
        <v>21</v>
      </c>
      <c r="C1705" s="27" t="s">
        <v>5020</v>
      </c>
      <c r="D1705" s="27" t="s">
        <v>9801</v>
      </c>
      <c r="E1705" s="27" t="s">
        <v>9802</v>
      </c>
      <c r="F1705" s="27" t="s">
        <v>4990</v>
      </c>
      <c r="G1705" s="101" t="s">
        <v>5022</v>
      </c>
      <c r="H1705" s="91">
        <v>44999</v>
      </c>
      <c r="I1705" s="75">
        <v>43132</v>
      </c>
      <c r="J1705" s="75">
        <v>43132</v>
      </c>
      <c r="K1705" s="75">
        <v>34021</v>
      </c>
      <c r="L1705" s="34" t="s">
        <v>5023</v>
      </c>
      <c r="M1705" s="28" t="s">
        <v>79</v>
      </c>
      <c r="N1705" s="112" t="s">
        <v>14</v>
      </c>
      <c r="O1705" s="104" t="s">
        <v>52</v>
      </c>
      <c r="P1705" s="104" t="s">
        <v>52</v>
      </c>
      <c r="Q1705" s="105"/>
      <c r="R1705" s="28" t="s">
        <v>74</v>
      </c>
      <c r="S1705" s="225">
        <f t="shared" si="26"/>
        <v>56158</v>
      </c>
      <c r="T1705" s="2" t="s">
        <v>7643</v>
      </c>
      <c r="U1705" s="2" t="s">
        <v>136</v>
      </c>
      <c r="V1705" s="162" t="str" cm="1">
        <f t="array" ref="V1705">_xlfn.IFS(C1705="","",COUNTIF(C1705,"ตำแหน่งว่าง*"),"ว่าง",COUNTIF(C1705,"&lt;&gt;ตำแหน่งว่าง*"),"คนครอง")</f>
        <v>คนครอง</v>
      </c>
      <c r="W1705" s="6" cm="1">
        <f t="array" ref="W1705">_xlfn.IFS(COUNTIF(F1705,"ผบ.หมู่*"),51,COUNTIF(F1705,"รอง สว.*"),43)</f>
        <v>51</v>
      </c>
      <c r="X1705" s="1" t="s">
        <v>5021</v>
      </c>
      <c r="Y1705" s="1" t="s">
        <v>52</v>
      </c>
    </row>
    <row r="1706" spans="1:25" s="12" customFormat="1" ht="21.3" customHeight="1">
      <c r="A1706" s="27" t="s">
        <v>60</v>
      </c>
      <c r="B1706" s="28" t="s">
        <v>12</v>
      </c>
      <c r="C1706" s="95" t="s">
        <v>5024</v>
      </c>
      <c r="D1706" s="27" t="s">
        <v>9803</v>
      </c>
      <c r="E1706" s="27" t="s">
        <v>9804</v>
      </c>
      <c r="F1706" s="95" t="s">
        <v>5009</v>
      </c>
      <c r="G1706" s="101" t="s">
        <v>5026</v>
      </c>
      <c r="H1706" s="75">
        <v>42501</v>
      </c>
      <c r="I1706" s="73">
        <v>34352</v>
      </c>
      <c r="J1706" s="73">
        <v>34352</v>
      </c>
      <c r="K1706" s="73">
        <v>27320</v>
      </c>
      <c r="L1706" s="11" t="s">
        <v>4993</v>
      </c>
      <c r="M1706" s="1" t="s">
        <v>79</v>
      </c>
      <c r="N1706" s="111" t="s">
        <v>14</v>
      </c>
      <c r="O1706" s="104" t="s">
        <v>52</v>
      </c>
      <c r="P1706" s="104" t="s">
        <v>52</v>
      </c>
      <c r="Q1706" s="105"/>
      <c r="R1706" s="28" t="s">
        <v>110</v>
      </c>
      <c r="S1706" s="225">
        <f t="shared" si="26"/>
        <v>49583</v>
      </c>
      <c r="T1706" s="162" t="s">
        <v>7643</v>
      </c>
      <c r="U1706" s="2" t="s">
        <v>136</v>
      </c>
      <c r="V1706" s="162" t="str" cm="1">
        <f t="array" ref="V1706">_xlfn.IFS(C1706="","",COUNTIF(C1706,"ตำแหน่งว่าง*"),"ว่าง",COUNTIF(C1706,"&lt;&gt;ตำแหน่งว่าง*"),"คนครอง")</f>
        <v>คนครอง</v>
      </c>
      <c r="W1706" s="6" cm="1">
        <f t="array" ref="W1706">_xlfn.IFS(COUNTIF(F1706,"ผบ.หมู่*"),51,COUNTIF(F1706,"รอง สว.*"),43)</f>
        <v>43</v>
      </c>
      <c r="X1706" s="5" t="s">
        <v>5025</v>
      </c>
      <c r="Y1706" s="5" t="s">
        <v>52</v>
      </c>
    </row>
    <row r="1707" spans="1:25" s="12" customFormat="1" ht="21.3" customHeight="1">
      <c r="A1707" s="27"/>
      <c r="B1707" s="28"/>
      <c r="C1707" s="95" t="s">
        <v>18</v>
      </c>
      <c r="D1707" s="27"/>
      <c r="E1707" s="27"/>
      <c r="F1707" s="95" t="s">
        <v>4990</v>
      </c>
      <c r="G1707" s="101" t="s">
        <v>5028</v>
      </c>
      <c r="H1707" s="75"/>
      <c r="I1707" s="73"/>
      <c r="J1707" s="73"/>
      <c r="K1707" s="73"/>
      <c r="L1707" s="11"/>
      <c r="M1707" s="1"/>
      <c r="N1707" s="111" t="s">
        <v>14</v>
      </c>
      <c r="O1707" s="104" t="s">
        <v>52</v>
      </c>
      <c r="P1707" s="104" t="s">
        <v>52</v>
      </c>
      <c r="Q1707" s="105"/>
      <c r="R1707" s="28"/>
      <c r="S1707" s="225" t="str">
        <f t="shared" si="26"/>
        <v/>
      </c>
      <c r="T1707" s="162" t="s">
        <v>7643</v>
      </c>
      <c r="U1707" s="2" t="s">
        <v>136</v>
      </c>
      <c r="V1707" s="162" t="str" cm="1">
        <f t="array" ref="V1707">_xlfn.IFS(C1707="","",COUNTIF(C1707,"ตำแหน่งว่าง*"),"ว่าง",COUNTIF(C1707,"&lt;&gt;ตำแหน่งว่าง*"),"คนครอง")</f>
        <v>ว่าง</v>
      </c>
      <c r="W1707" s="5" cm="1">
        <f t="array" ref="W1707">_xlfn.IFS(COUNTIF(F1707,"ผบ.หมู่*"),51,COUNTIF(F1707,"รอง สว.*"),43)</f>
        <v>51</v>
      </c>
      <c r="X1707" s="5" t="s">
        <v>5027</v>
      </c>
      <c r="Y1707" s="5" t="s">
        <v>52</v>
      </c>
    </row>
    <row r="1708" spans="1:25" s="12" customFormat="1" ht="21.3" customHeight="1">
      <c r="A1708" s="27" t="s">
        <v>157</v>
      </c>
      <c r="B1708" s="28" t="s">
        <v>12</v>
      </c>
      <c r="C1708" s="95" t="s">
        <v>5029</v>
      </c>
      <c r="D1708" s="27" t="s">
        <v>8106</v>
      </c>
      <c r="E1708" s="27" t="s">
        <v>9805</v>
      </c>
      <c r="F1708" s="95" t="s">
        <v>4990</v>
      </c>
      <c r="G1708" s="101" t="s">
        <v>5031</v>
      </c>
      <c r="H1708" s="75">
        <v>42501</v>
      </c>
      <c r="I1708" s="73">
        <v>37316</v>
      </c>
      <c r="J1708" s="73">
        <v>37316</v>
      </c>
      <c r="K1708" s="73">
        <v>28529</v>
      </c>
      <c r="L1708" s="11" t="s">
        <v>2314</v>
      </c>
      <c r="M1708" s="1" t="s">
        <v>79</v>
      </c>
      <c r="N1708" s="111" t="s">
        <v>14</v>
      </c>
      <c r="O1708" s="104" t="s">
        <v>52</v>
      </c>
      <c r="P1708" s="104" t="s">
        <v>52</v>
      </c>
      <c r="Q1708" s="105"/>
      <c r="R1708" s="28" t="s">
        <v>110</v>
      </c>
      <c r="S1708" s="225">
        <f t="shared" si="26"/>
        <v>50679</v>
      </c>
      <c r="T1708" s="162" t="s">
        <v>7643</v>
      </c>
      <c r="U1708" s="2" t="s">
        <v>136</v>
      </c>
      <c r="V1708" s="162" t="str" cm="1">
        <f t="array" ref="V1708">_xlfn.IFS(C1708="","",COUNTIF(C1708,"ตำแหน่งว่าง*"),"ว่าง",COUNTIF(C1708,"&lt;&gt;ตำแหน่งว่าง*"),"คนครอง")</f>
        <v>คนครอง</v>
      </c>
      <c r="W1708" s="6" cm="1">
        <f t="array" ref="W1708">_xlfn.IFS(COUNTIF(F1708,"ผบ.หมู่*"),51,COUNTIF(F1708,"รอง สว.*"),43)</f>
        <v>51</v>
      </c>
      <c r="X1708" s="5" t="s">
        <v>5030</v>
      </c>
      <c r="Y1708" s="5" t="s">
        <v>52</v>
      </c>
    </row>
    <row r="1709" spans="1:25" s="12" customFormat="1" ht="21.3" customHeight="1">
      <c r="A1709" s="27" t="s">
        <v>208</v>
      </c>
      <c r="B1709" s="28" t="s">
        <v>12</v>
      </c>
      <c r="C1709" s="95" t="s">
        <v>5032</v>
      </c>
      <c r="D1709" s="27" t="s">
        <v>8050</v>
      </c>
      <c r="E1709" s="27" t="s">
        <v>9806</v>
      </c>
      <c r="F1709" s="95" t="s">
        <v>4990</v>
      </c>
      <c r="G1709" s="101" t="s">
        <v>5034</v>
      </c>
      <c r="H1709" s="91">
        <v>44243</v>
      </c>
      <c r="I1709" s="73">
        <v>42767</v>
      </c>
      <c r="J1709" s="73">
        <v>42767</v>
      </c>
      <c r="K1709" s="73">
        <v>34007</v>
      </c>
      <c r="L1709" s="11" t="s">
        <v>5035</v>
      </c>
      <c r="M1709" s="1" t="s">
        <v>79</v>
      </c>
      <c r="N1709" s="111" t="s">
        <v>14</v>
      </c>
      <c r="O1709" s="104" t="s">
        <v>52</v>
      </c>
      <c r="P1709" s="104" t="s">
        <v>52</v>
      </c>
      <c r="Q1709" s="105"/>
      <c r="R1709" s="28" t="s">
        <v>617</v>
      </c>
      <c r="S1709" s="225">
        <f t="shared" si="26"/>
        <v>56158</v>
      </c>
      <c r="T1709" s="162" t="s">
        <v>7643</v>
      </c>
      <c r="U1709" s="2" t="s">
        <v>136</v>
      </c>
      <c r="V1709" s="162" t="str" cm="1">
        <f t="array" ref="V1709">_xlfn.IFS(C1709="","",COUNTIF(C1709,"ตำแหน่งว่าง*"),"ว่าง",COUNTIF(C1709,"&lt;&gt;ตำแหน่งว่าง*"),"คนครอง")</f>
        <v>คนครอง</v>
      </c>
      <c r="W1709" s="6" cm="1">
        <f t="array" ref="W1709">_xlfn.IFS(COUNTIF(F1709,"ผบ.หมู่*"),51,COUNTIF(F1709,"รอง สว.*"),43)</f>
        <v>51</v>
      </c>
      <c r="X1709" s="5" t="s">
        <v>5033</v>
      </c>
      <c r="Y1709" s="5" t="s">
        <v>52</v>
      </c>
    </row>
    <row r="1710" spans="1:25" s="9" customFormat="1" ht="21.3" customHeight="1">
      <c r="A1710" s="27" t="s">
        <v>208</v>
      </c>
      <c r="B1710" s="28" t="s">
        <v>12</v>
      </c>
      <c r="C1710" s="27" t="s">
        <v>2477</v>
      </c>
      <c r="D1710" s="27" t="s">
        <v>8974</v>
      </c>
      <c r="E1710" s="27" t="s">
        <v>8975</v>
      </c>
      <c r="F1710" s="27" t="s">
        <v>5255</v>
      </c>
      <c r="G1710" s="101" t="s">
        <v>5257</v>
      </c>
      <c r="H1710" s="91">
        <v>45768</v>
      </c>
      <c r="I1710" s="73">
        <v>43693</v>
      </c>
      <c r="J1710" s="73">
        <v>43693</v>
      </c>
      <c r="K1710" s="73">
        <v>36840</v>
      </c>
      <c r="L1710" s="27" t="s">
        <v>82</v>
      </c>
      <c r="M1710" s="28" t="s">
        <v>35</v>
      </c>
      <c r="N1710" s="112" t="s">
        <v>14</v>
      </c>
      <c r="O1710" s="104" t="s">
        <v>52</v>
      </c>
      <c r="P1710" s="104" t="s">
        <v>52</v>
      </c>
      <c r="Q1710" s="105"/>
      <c r="R1710" s="28" t="s">
        <v>10804</v>
      </c>
      <c r="S1710" s="174">
        <f t="shared" si="26"/>
        <v>59080</v>
      </c>
      <c r="T1710" s="2" t="s">
        <v>7648</v>
      </c>
      <c r="U1710" s="2" t="s">
        <v>136</v>
      </c>
      <c r="V1710" s="2" t="str" cm="1">
        <f t="array" ref="V1710">_xlfn.IFS(C1710="","",COUNTIF(C1710,"ตำแหน่งว่าง*"),"ว่าง",COUNTIF(C1710,"&lt;&gt;ตำแหน่งว่าง*"),"คนครอง")</f>
        <v>คนครอง</v>
      </c>
      <c r="W1710" s="1" cm="1">
        <f t="array" ref="W1710">_xlfn.IFS(COUNTIF(F1710,"ผบ.หมู่*"),51,COUNTIF(F1710,"รอง สว.*"),43)</f>
        <v>51</v>
      </c>
      <c r="X1710" s="1" t="s">
        <v>5256</v>
      </c>
      <c r="Y1710" s="1" t="s">
        <v>52</v>
      </c>
    </row>
    <row r="1711" spans="1:25" s="9" customFormat="1" ht="21.3" customHeight="1">
      <c r="A1711" s="27" t="s">
        <v>612</v>
      </c>
      <c r="B1711" s="26" t="s">
        <v>12</v>
      </c>
      <c r="C1711" s="134" t="s">
        <v>5258</v>
      </c>
      <c r="D1711" s="27" t="s">
        <v>9807</v>
      </c>
      <c r="E1711" s="27" t="s">
        <v>9808</v>
      </c>
      <c r="F1711" s="27" t="s">
        <v>5255</v>
      </c>
      <c r="G1711" s="101" t="s">
        <v>5260</v>
      </c>
      <c r="H1711" s="75">
        <v>43871</v>
      </c>
      <c r="I1711" s="73">
        <v>41944</v>
      </c>
      <c r="J1711" s="73">
        <v>41944</v>
      </c>
      <c r="K1711" s="73">
        <v>32098</v>
      </c>
      <c r="L1711" s="42" t="s">
        <v>1093</v>
      </c>
      <c r="M1711" s="26" t="s">
        <v>47</v>
      </c>
      <c r="N1711" s="112" t="s">
        <v>14</v>
      </c>
      <c r="O1711" s="104" t="s">
        <v>52</v>
      </c>
      <c r="P1711" s="104" t="s">
        <v>52</v>
      </c>
      <c r="Q1711" s="105"/>
      <c r="R1711" s="26" t="s">
        <v>688</v>
      </c>
      <c r="S1711" s="225">
        <f t="shared" si="26"/>
        <v>54332</v>
      </c>
      <c r="T1711" s="2" t="s">
        <v>7648</v>
      </c>
      <c r="U1711" s="2" t="s">
        <v>136</v>
      </c>
      <c r="V1711" s="162" t="str" cm="1">
        <f t="array" ref="V1711">_xlfn.IFS(C1711="","",COUNTIF(C1711,"ตำแหน่งว่าง*"),"ว่าง",COUNTIF(C1711,"&lt;&gt;ตำแหน่งว่าง*"),"คนครอง")</f>
        <v>คนครอง</v>
      </c>
      <c r="W1711" s="6" cm="1">
        <f t="array" ref="W1711">_xlfn.IFS(COUNTIF(F1711,"ผบ.หมู่*"),51,COUNTIF(F1711,"รอง สว.*"),43)</f>
        <v>51</v>
      </c>
      <c r="X1711" s="1" t="s">
        <v>5259</v>
      </c>
      <c r="Y1711" s="1" t="s">
        <v>52</v>
      </c>
    </row>
    <row r="1712" spans="1:25" s="9" customFormat="1" ht="21.3" customHeight="1">
      <c r="A1712" s="27" t="s">
        <v>612</v>
      </c>
      <c r="B1712" s="28" t="s">
        <v>21</v>
      </c>
      <c r="C1712" s="27" t="s">
        <v>5261</v>
      </c>
      <c r="D1712" s="27" t="s">
        <v>9809</v>
      </c>
      <c r="E1712" s="27" t="s">
        <v>9810</v>
      </c>
      <c r="F1712" s="27" t="s">
        <v>5255</v>
      </c>
      <c r="G1712" s="101" t="s">
        <v>5263</v>
      </c>
      <c r="H1712" s="75">
        <v>43656</v>
      </c>
      <c r="I1712" s="73">
        <v>41944</v>
      </c>
      <c r="J1712" s="73">
        <v>41944</v>
      </c>
      <c r="K1712" s="73">
        <v>32681</v>
      </c>
      <c r="L1712" s="34" t="s">
        <v>5264</v>
      </c>
      <c r="M1712" s="28" t="s">
        <v>47</v>
      </c>
      <c r="N1712" s="112" t="s">
        <v>14</v>
      </c>
      <c r="O1712" s="104" t="s">
        <v>52</v>
      </c>
      <c r="P1712" s="104" t="s">
        <v>52</v>
      </c>
      <c r="Q1712" s="105"/>
      <c r="R1712" s="28" t="s">
        <v>713</v>
      </c>
      <c r="S1712" s="225">
        <f t="shared" si="26"/>
        <v>54697</v>
      </c>
      <c r="T1712" s="2" t="s">
        <v>7648</v>
      </c>
      <c r="U1712" s="2" t="s">
        <v>136</v>
      </c>
      <c r="V1712" s="162" t="str" cm="1">
        <f t="array" ref="V1712">_xlfn.IFS(C1712="","",COUNTIF(C1712,"ตำแหน่งว่าง*"),"ว่าง",COUNTIF(C1712,"&lt;&gt;ตำแหน่งว่าง*"),"คนครอง")</f>
        <v>คนครอง</v>
      </c>
      <c r="W1712" s="6" cm="1">
        <f t="array" ref="W1712">_xlfn.IFS(COUNTIF(F1712,"ผบ.หมู่*"),51,COUNTIF(F1712,"รอง สว.*"),43)</f>
        <v>51</v>
      </c>
      <c r="X1712" s="1" t="s">
        <v>5262</v>
      </c>
      <c r="Y1712" s="1" t="s">
        <v>52</v>
      </c>
    </row>
    <row r="1713" spans="1:25" s="12" customFormat="1" ht="21.3" customHeight="1">
      <c r="A1713" s="27"/>
      <c r="B1713" s="28"/>
      <c r="C1713" s="95" t="s">
        <v>18</v>
      </c>
      <c r="D1713" s="27"/>
      <c r="E1713" s="27"/>
      <c r="F1713" s="27" t="s">
        <v>5255</v>
      </c>
      <c r="G1713" s="101" t="s">
        <v>5267</v>
      </c>
      <c r="H1713" s="75"/>
      <c r="I1713" s="73"/>
      <c r="J1713" s="73"/>
      <c r="K1713" s="73"/>
      <c r="L1713" s="34"/>
      <c r="M1713" s="28"/>
      <c r="N1713" s="111" t="s">
        <v>14</v>
      </c>
      <c r="O1713" s="104" t="s">
        <v>52</v>
      </c>
      <c r="P1713" s="104" t="s">
        <v>52</v>
      </c>
      <c r="Q1713" s="105"/>
      <c r="R1713" s="28"/>
      <c r="S1713" s="225" t="str">
        <f t="shared" si="26"/>
        <v/>
      </c>
      <c r="T1713" s="162" t="s">
        <v>7648</v>
      </c>
      <c r="U1713" s="2" t="s">
        <v>136</v>
      </c>
      <c r="V1713" s="162" t="str" cm="1">
        <f t="array" ref="V1713">_xlfn.IFS(C1713="","",COUNTIF(C1713,"ตำแหน่งว่าง*"),"ว่าง",COUNTIF(C1713,"&lt;&gt;ตำแหน่งว่าง*"),"คนครอง")</f>
        <v>ว่าง</v>
      </c>
      <c r="W1713" s="5" cm="1">
        <f t="array" ref="W1713">_xlfn.IFS(COUNTIF(F1713,"ผบ.หมู่*"),51,COUNTIF(F1713,"รอง สว.*"),43)</f>
        <v>51</v>
      </c>
      <c r="X1713" s="5" t="s">
        <v>5266</v>
      </c>
      <c r="Y1713" s="5" t="s">
        <v>52</v>
      </c>
    </row>
    <row r="1714" spans="1:25" s="12" customFormat="1" ht="21.3" customHeight="1">
      <c r="A1714" s="27" t="s">
        <v>30</v>
      </c>
      <c r="B1714" s="28" t="s">
        <v>12</v>
      </c>
      <c r="C1714" s="95" t="s">
        <v>5268</v>
      </c>
      <c r="D1714" s="27" t="s">
        <v>9811</v>
      </c>
      <c r="E1714" s="27" t="s">
        <v>9812</v>
      </c>
      <c r="F1714" s="95" t="s">
        <v>5265</v>
      </c>
      <c r="G1714" s="101" t="s">
        <v>5270</v>
      </c>
      <c r="H1714" s="75">
        <v>43555</v>
      </c>
      <c r="I1714" s="73">
        <v>43555</v>
      </c>
      <c r="J1714" s="73">
        <v>32540</v>
      </c>
      <c r="K1714" s="73">
        <v>24273</v>
      </c>
      <c r="L1714" s="34" t="s">
        <v>5271</v>
      </c>
      <c r="M1714" s="28" t="s">
        <v>123</v>
      </c>
      <c r="N1714" s="111" t="s">
        <v>14</v>
      </c>
      <c r="O1714" s="104" t="s">
        <v>52</v>
      </c>
      <c r="P1714" s="104" t="s">
        <v>52</v>
      </c>
      <c r="Q1714" s="105"/>
      <c r="R1714" s="28" t="s">
        <v>2892</v>
      </c>
      <c r="S1714" s="225">
        <f t="shared" si="26"/>
        <v>46296</v>
      </c>
      <c r="T1714" s="162" t="s">
        <v>7648</v>
      </c>
      <c r="U1714" s="2" t="s">
        <v>136</v>
      </c>
      <c r="V1714" s="162" t="str" cm="1">
        <f t="array" ref="V1714">_xlfn.IFS(C1714="","",COUNTIF(C1714,"ตำแหน่งว่าง*"),"ว่าง",COUNTIF(C1714,"&lt;&gt;ตำแหน่งว่าง*"),"คนครอง")</f>
        <v>คนครอง</v>
      </c>
      <c r="W1714" s="5" cm="1">
        <f t="array" ref="W1714">_xlfn.IFS(COUNTIF(F1714,"ผบ.หมู่*"),51,COUNTIF(F1714,"รอง สว.*"),43)</f>
        <v>43</v>
      </c>
      <c r="X1714" s="5" t="s">
        <v>5269</v>
      </c>
      <c r="Y1714" s="5" t="s">
        <v>52</v>
      </c>
    </row>
    <row r="1715" spans="1:25" s="12" customFormat="1" ht="21.3" customHeight="1">
      <c r="A1715" s="27"/>
      <c r="B1715" s="28"/>
      <c r="C1715" s="30" t="s">
        <v>18</v>
      </c>
      <c r="D1715" s="27"/>
      <c r="E1715" s="27"/>
      <c r="F1715" s="95" t="s">
        <v>5255</v>
      </c>
      <c r="G1715" s="101" t="s">
        <v>5273</v>
      </c>
      <c r="H1715" s="75"/>
      <c r="I1715" s="73"/>
      <c r="J1715" s="73"/>
      <c r="K1715" s="73"/>
      <c r="L1715" s="34"/>
      <c r="M1715" s="28"/>
      <c r="N1715" s="111" t="s">
        <v>14</v>
      </c>
      <c r="O1715" s="104" t="s">
        <v>52</v>
      </c>
      <c r="P1715" s="104" t="s">
        <v>52</v>
      </c>
      <c r="Q1715" s="105"/>
      <c r="R1715" s="28"/>
      <c r="S1715" s="225" t="str">
        <f t="shared" si="26"/>
        <v/>
      </c>
      <c r="T1715" s="162" t="s">
        <v>7648</v>
      </c>
      <c r="U1715" s="2" t="s">
        <v>136</v>
      </c>
      <c r="V1715" s="162" t="str" cm="1">
        <f t="array" ref="V1715">_xlfn.IFS(C1715="","",COUNTIF(C1715,"ตำแหน่งว่าง*"),"ว่าง",COUNTIF(C1715,"&lt;&gt;ตำแหน่งว่าง*"),"คนครอง")</f>
        <v>ว่าง</v>
      </c>
      <c r="W1715" s="6" cm="1">
        <f t="array" ref="W1715">_xlfn.IFS(COUNTIF(F1715,"ผบ.หมู่*"),51,COUNTIF(F1715,"รอง สว.*"),43)</f>
        <v>51</v>
      </c>
      <c r="X1715" s="5" t="s">
        <v>5272</v>
      </c>
      <c r="Y1715" s="5" t="s">
        <v>52</v>
      </c>
    </row>
    <row r="1716" spans="1:25" s="10" customFormat="1" ht="21.3" customHeight="1">
      <c r="A1716" s="68" t="s">
        <v>157</v>
      </c>
      <c r="B1716" s="30" t="s">
        <v>21</v>
      </c>
      <c r="C1716" s="68" t="s">
        <v>4817</v>
      </c>
      <c r="D1716" s="27" t="s">
        <v>8299</v>
      </c>
      <c r="E1716" s="27" t="s">
        <v>9735</v>
      </c>
      <c r="F1716" s="68" t="s">
        <v>5255</v>
      </c>
      <c r="G1716" s="121" t="s">
        <v>5275</v>
      </c>
      <c r="H1716" s="93">
        <v>45768</v>
      </c>
      <c r="I1716" s="80">
        <v>41219</v>
      </c>
      <c r="J1716" s="80">
        <v>41219</v>
      </c>
      <c r="K1716" s="80">
        <v>32707</v>
      </c>
      <c r="L1716" s="45" t="s">
        <v>82</v>
      </c>
      <c r="M1716" s="30" t="s">
        <v>123</v>
      </c>
      <c r="N1716" s="113" t="s">
        <v>14</v>
      </c>
      <c r="O1716" s="122" t="s">
        <v>52</v>
      </c>
      <c r="P1716" s="122" t="s">
        <v>52</v>
      </c>
      <c r="Q1716" s="106"/>
      <c r="R1716" s="30" t="s">
        <v>10712</v>
      </c>
      <c r="S1716" s="225">
        <f t="shared" si="26"/>
        <v>54697</v>
      </c>
      <c r="T1716" s="7" t="s">
        <v>7648</v>
      </c>
      <c r="U1716" s="2" t="s">
        <v>136</v>
      </c>
      <c r="V1716" s="171" t="str" cm="1">
        <f t="array" ref="V1716">_xlfn.IFS(C1716="","",COUNTIF(C1716,"ตำแหน่งว่าง*"),"ว่าง",COUNTIF(C1716,"&lt;&gt;ตำแหน่งว่าง*"),"คนครอง")</f>
        <v>คนครอง</v>
      </c>
      <c r="W1716" s="6" cm="1">
        <f t="array" ref="W1716">_xlfn.IFS(COUNTIF(F1716,"ผบ.หมู่*"),51,COUNTIF(F1716,"รอง สว.*"),43)</f>
        <v>51</v>
      </c>
      <c r="X1716" s="5" t="s">
        <v>5274</v>
      </c>
      <c r="Y1716" s="5" t="s">
        <v>52</v>
      </c>
    </row>
    <row r="1717" spans="1:25" s="12" customFormat="1" ht="21.3" customHeight="1">
      <c r="A1717" s="27" t="s">
        <v>44</v>
      </c>
      <c r="B1717" s="31" t="s">
        <v>12</v>
      </c>
      <c r="C1717" s="95" t="s">
        <v>5276</v>
      </c>
      <c r="D1717" s="27" t="s">
        <v>9813</v>
      </c>
      <c r="E1717" s="27" t="s">
        <v>9814</v>
      </c>
      <c r="F1717" s="95" t="s">
        <v>5265</v>
      </c>
      <c r="G1717" s="101" t="s">
        <v>5278</v>
      </c>
      <c r="H1717" s="88">
        <v>44651</v>
      </c>
      <c r="I1717" s="76">
        <v>44651</v>
      </c>
      <c r="J1717" s="76">
        <v>32905</v>
      </c>
      <c r="K1717" s="76">
        <v>25139</v>
      </c>
      <c r="L1717" s="51" t="s">
        <v>5279</v>
      </c>
      <c r="M1717" s="31" t="s">
        <v>123</v>
      </c>
      <c r="N1717" s="111" t="s">
        <v>14</v>
      </c>
      <c r="O1717" s="104" t="s">
        <v>52</v>
      </c>
      <c r="P1717" s="104" t="s">
        <v>52</v>
      </c>
      <c r="Q1717" s="108"/>
      <c r="R1717" s="31" t="s">
        <v>2856</v>
      </c>
      <c r="S1717" s="225">
        <f t="shared" si="26"/>
        <v>47392</v>
      </c>
      <c r="T1717" s="162" t="s">
        <v>7648</v>
      </c>
      <c r="U1717" s="2" t="s">
        <v>136</v>
      </c>
      <c r="V1717" s="162" t="str" cm="1">
        <f t="array" ref="V1717">_xlfn.IFS(C1717="","",COUNTIF(C1717,"ตำแหน่งว่าง*"),"ว่าง",COUNTIF(C1717,"&lt;&gt;ตำแหน่งว่าง*"),"คนครอง")</f>
        <v>คนครอง</v>
      </c>
      <c r="W1717" s="5" cm="1">
        <f t="array" ref="W1717">_xlfn.IFS(COUNTIF(F1717,"ผบ.หมู่*"),51,COUNTIF(F1717,"รอง สว.*"),43)</f>
        <v>43</v>
      </c>
      <c r="X1717" s="5" t="s">
        <v>5277</v>
      </c>
      <c r="Y1717" s="5" t="s">
        <v>52</v>
      </c>
    </row>
    <row r="1718" spans="1:25" s="12" customFormat="1" ht="21.3" customHeight="1">
      <c r="A1718" s="27" t="s">
        <v>612</v>
      </c>
      <c r="B1718" s="28" t="s">
        <v>12</v>
      </c>
      <c r="C1718" s="95" t="s">
        <v>5280</v>
      </c>
      <c r="D1718" s="27" t="s">
        <v>9815</v>
      </c>
      <c r="E1718" s="27" t="s">
        <v>9816</v>
      </c>
      <c r="F1718" s="95" t="s">
        <v>5255</v>
      </c>
      <c r="G1718" s="101" t="s">
        <v>5282</v>
      </c>
      <c r="H1718" s="75">
        <v>44243</v>
      </c>
      <c r="I1718" s="73">
        <v>42416</v>
      </c>
      <c r="J1718" s="73">
        <v>42416</v>
      </c>
      <c r="K1718" s="73">
        <v>35340</v>
      </c>
      <c r="L1718" s="34" t="s">
        <v>3316</v>
      </c>
      <c r="M1718" s="28" t="s">
        <v>123</v>
      </c>
      <c r="N1718" s="111" t="s">
        <v>14</v>
      </c>
      <c r="O1718" s="104" t="s">
        <v>52</v>
      </c>
      <c r="P1718" s="104" t="s">
        <v>52</v>
      </c>
      <c r="Q1718" s="105"/>
      <c r="R1718" s="28" t="s">
        <v>617</v>
      </c>
      <c r="S1718" s="225">
        <f t="shared" si="26"/>
        <v>57619</v>
      </c>
      <c r="T1718" s="162" t="s">
        <v>7648</v>
      </c>
      <c r="U1718" s="2" t="s">
        <v>136</v>
      </c>
      <c r="V1718" s="162" t="str" cm="1">
        <f t="array" ref="V1718">_xlfn.IFS(C1718="","",COUNTIF(C1718,"ตำแหน่งว่าง*"),"ว่าง",COUNTIF(C1718,"&lt;&gt;ตำแหน่งว่าง*"),"คนครอง")</f>
        <v>คนครอง</v>
      </c>
      <c r="W1718" s="6" cm="1">
        <f t="array" ref="W1718">_xlfn.IFS(COUNTIF(F1718,"ผบ.หมู่*"),51,COUNTIF(F1718,"รอง สว.*"),43)</f>
        <v>51</v>
      </c>
      <c r="X1718" s="5" t="s">
        <v>5281</v>
      </c>
      <c r="Y1718" s="5" t="s">
        <v>52</v>
      </c>
    </row>
    <row r="1719" spans="1:25" s="9" customFormat="1" ht="21.3" customHeight="1">
      <c r="A1719" s="27" t="s">
        <v>157</v>
      </c>
      <c r="B1719" s="28" t="s">
        <v>12</v>
      </c>
      <c r="C1719" s="27" t="s">
        <v>5283</v>
      </c>
      <c r="D1719" s="27" t="s">
        <v>8889</v>
      </c>
      <c r="E1719" s="27" t="s">
        <v>9817</v>
      </c>
      <c r="F1719" s="27" t="s">
        <v>5255</v>
      </c>
      <c r="G1719" s="101" t="s">
        <v>5285</v>
      </c>
      <c r="H1719" s="75">
        <v>44243</v>
      </c>
      <c r="I1719" s="73">
        <v>40814</v>
      </c>
      <c r="J1719" s="73">
        <v>40814</v>
      </c>
      <c r="K1719" s="73">
        <v>29287</v>
      </c>
      <c r="L1719" s="34" t="s">
        <v>5286</v>
      </c>
      <c r="M1719" s="28" t="s">
        <v>123</v>
      </c>
      <c r="N1719" s="112" t="s">
        <v>14</v>
      </c>
      <c r="O1719" s="104" t="s">
        <v>52</v>
      </c>
      <c r="P1719" s="104" t="s">
        <v>52</v>
      </c>
      <c r="Q1719" s="105"/>
      <c r="R1719" s="28" t="s">
        <v>617</v>
      </c>
      <c r="S1719" s="225">
        <f t="shared" si="26"/>
        <v>51410</v>
      </c>
      <c r="T1719" s="2" t="s">
        <v>7648</v>
      </c>
      <c r="U1719" s="2" t="s">
        <v>136</v>
      </c>
      <c r="V1719" s="162" t="str" cm="1">
        <f t="array" ref="V1719">_xlfn.IFS(C1719="","",COUNTIF(C1719,"ตำแหน่งว่าง*"),"ว่าง",COUNTIF(C1719,"&lt;&gt;ตำแหน่งว่าง*"),"คนครอง")</f>
        <v>คนครอง</v>
      </c>
      <c r="W1719" s="6" cm="1">
        <f t="array" ref="W1719">_xlfn.IFS(COUNTIF(F1719,"ผบ.หมู่*"),51,COUNTIF(F1719,"รอง สว.*"),43)</f>
        <v>51</v>
      </c>
      <c r="X1719" s="1" t="s">
        <v>5284</v>
      </c>
      <c r="Y1719" s="1" t="s">
        <v>52</v>
      </c>
    </row>
    <row r="1720" spans="1:25" s="12" customFormat="1" ht="21.3" customHeight="1">
      <c r="A1720" s="27" t="s">
        <v>157</v>
      </c>
      <c r="B1720" s="28" t="s">
        <v>12</v>
      </c>
      <c r="C1720" s="95" t="s">
        <v>5287</v>
      </c>
      <c r="D1720" s="27" t="s">
        <v>9818</v>
      </c>
      <c r="E1720" s="27" t="s">
        <v>9819</v>
      </c>
      <c r="F1720" s="95" t="s">
        <v>5255</v>
      </c>
      <c r="G1720" s="101" t="s">
        <v>5289</v>
      </c>
      <c r="H1720" s="75">
        <v>42940</v>
      </c>
      <c r="I1720" s="73">
        <v>34001</v>
      </c>
      <c r="J1720" s="73">
        <v>34001</v>
      </c>
      <c r="K1720" s="73">
        <v>25873</v>
      </c>
      <c r="L1720" s="34" t="s">
        <v>5290</v>
      </c>
      <c r="M1720" s="28" t="s">
        <v>123</v>
      </c>
      <c r="N1720" s="111" t="s">
        <v>14</v>
      </c>
      <c r="O1720" s="104" t="s">
        <v>52</v>
      </c>
      <c r="P1720" s="104" t="s">
        <v>52</v>
      </c>
      <c r="Q1720" s="105"/>
      <c r="R1720" s="28" t="s">
        <v>2771</v>
      </c>
      <c r="S1720" s="225">
        <f t="shared" si="26"/>
        <v>48122</v>
      </c>
      <c r="T1720" s="162" t="s">
        <v>7648</v>
      </c>
      <c r="U1720" s="2" t="s">
        <v>136</v>
      </c>
      <c r="V1720" s="162" t="str" cm="1">
        <f t="array" ref="V1720">_xlfn.IFS(C1720="","",COUNTIF(C1720,"ตำแหน่งว่าง*"),"ว่าง",COUNTIF(C1720,"&lt;&gt;ตำแหน่งว่าง*"),"คนครอง")</f>
        <v>คนครอง</v>
      </c>
      <c r="W1720" s="6" cm="1">
        <f t="array" ref="W1720">_xlfn.IFS(COUNTIF(F1720,"ผบ.หมู่*"),51,COUNTIF(F1720,"รอง สว.*"),43)</f>
        <v>51</v>
      </c>
      <c r="X1720" s="5" t="s">
        <v>5288</v>
      </c>
      <c r="Y1720" s="5" t="s">
        <v>52</v>
      </c>
    </row>
    <row r="1721" spans="1:25" s="9" customFormat="1" ht="21.3" customHeight="1">
      <c r="A1721" s="27" t="s">
        <v>612</v>
      </c>
      <c r="B1721" s="28" t="s">
        <v>21</v>
      </c>
      <c r="C1721" s="27" t="s">
        <v>5291</v>
      </c>
      <c r="D1721" s="27" t="s">
        <v>9820</v>
      </c>
      <c r="E1721" s="27" t="s">
        <v>9821</v>
      </c>
      <c r="F1721" s="27" t="s">
        <v>5255</v>
      </c>
      <c r="G1721" s="101" t="s">
        <v>5293</v>
      </c>
      <c r="H1721" s="91">
        <v>44243</v>
      </c>
      <c r="I1721" s="73">
        <v>41944</v>
      </c>
      <c r="J1721" s="73">
        <v>41944</v>
      </c>
      <c r="K1721" s="73">
        <v>32114</v>
      </c>
      <c r="L1721" s="34" t="s">
        <v>5294</v>
      </c>
      <c r="M1721" s="28" t="s">
        <v>24</v>
      </c>
      <c r="N1721" s="112" t="s">
        <v>14</v>
      </c>
      <c r="O1721" s="104" t="s">
        <v>52</v>
      </c>
      <c r="P1721" s="104" t="s">
        <v>52</v>
      </c>
      <c r="Q1721" s="105"/>
      <c r="R1721" s="28" t="s">
        <v>617</v>
      </c>
      <c r="S1721" s="225">
        <f t="shared" si="26"/>
        <v>54332</v>
      </c>
      <c r="T1721" s="2" t="s">
        <v>7648</v>
      </c>
      <c r="U1721" s="2" t="s">
        <v>136</v>
      </c>
      <c r="V1721" s="162" t="str" cm="1">
        <f t="array" ref="V1721">_xlfn.IFS(C1721="","",COUNTIF(C1721,"ตำแหน่งว่าง*"),"ว่าง",COUNTIF(C1721,"&lt;&gt;ตำแหน่งว่าง*"),"คนครอง")</f>
        <v>คนครอง</v>
      </c>
      <c r="W1721" s="6" cm="1">
        <f t="array" ref="W1721">_xlfn.IFS(COUNTIF(F1721,"ผบ.หมู่*"),51,COUNTIF(F1721,"รอง สว.*"),43)</f>
        <v>51</v>
      </c>
      <c r="X1721" s="1" t="s">
        <v>5292</v>
      </c>
      <c r="Y1721" s="1" t="s">
        <v>52</v>
      </c>
    </row>
    <row r="1722" spans="1:25" s="9" customFormat="1" ht="21.3" customHeight="1">
      <c r="A1722" s="27" t="s">
        <v>157</v>
      </c>
      <c r="B1722" s="28" t="s">
        <v>12</v>
      </c>
      <c r="C1722" s="27" t="s">
        <v>5295</v>
      </c>
      <c r="D1722" s="27" t="s">
        <v>8714</v>
      </c>
      <c r="E1722" s="27" t="s">
        <v>9822</v>
      </c>
      <c r="F1722" s="27" t="s">
        <v>5255</v>
      </c>
      <c r="G1722" s="101" t="s">
        <v>5297</v>
      </c>
      <c r="H1722" s="91">
        <v>44243</v>
      </c>
      <c r="I1722" s="73">
        <v>38473</v>
      </c>
      <c r="J1722" s="73">
        <v>38473</v>
      </c>
      <c r="K1722" s="73">
        <v>28818</v>
      </c>
      <c r="L1722" s="34" t="s">
        <v>5298</v>
      </c>
      <c r="M1722" s="28" t="s">
        <v>123</v>
      </c>
      <c r="N1722" s="112" t="s">
        <v>14</v>
      </c>
      <c r="O1722" s="104" t="s">
        <v>52</v>
      </c>
      <c r="P1722" s="104" t="s">
        <v>52</v>
      </c>
      <c r="Q1722" s="105"/>
      <c r="R1722" s="28" t="s">
        <v>617</v>
      </c>
      <c r="S1722" s="225">
        <f t="shared" si="26"/>
        <v>51044</v>
      </c>
      <c r="T1722" s="2" t="s">
        <v>7648</v>
      </c>
      <c r="U1722" s="2" t="s">
        <v>136</v>
      </c>
      <c r="V1722" s="162" t="str" cm="1">
        <f t="array" ref="V1722">_xlfn.IFS(C1722="","",COUNTIF(C1722,"ตำแหน่งว่าง*"),"ว่าง",COUNTIF(C1722,"&lt;&gt;ตำแหน่งว่าง*"),"คนครอง")</f>
        <v>คนครอง</v>
      </c>
      <c r="W1722" s="6" cm="1">
        <f t="array" ref="W1722">_xlfn.IFS(COUNTIF(F1722,"ผบ.หมู่*"),51,COUNTIF(F1722,"รอง สว.*"),43)</f>
        <v>51</v>
      </c>
      <c r="X1722" s="1" t="s">
        <v>5296</v>
      </c>
      <c r="Y1722" s="1" t="s">
        <v>52</v>
      </c>
    </row>
    <row r="1723" spans="1:25" s="10" customFormat="1" ht="21.3" customHeight="1">
      <c r="A1723" s="27" t="s">
        <v>157</v>
      </c>
      <c r="B1723" s="28" t="s">
        <v>12</v>
      </c>
      <c r="C1723" s="27" t="s">
        <v>5299</v>
      </c>
      <c r="D1723" s="27" t="s">
        <v>9823</v>
      </c>
      <c r="E1723" s="27" t="s">
        <v>9824</v>
      </c>
      <c r="F1723" s="27" t="s">
        <v>5255</v>
      </c>
      <c r="G1723" s="101" t="s">
        <v>5301</v>
      </c>
      <c r="H1723" s="91">
        <v>44599</v>
      </c>
      <c r="I1723" s="75">
        <v>40814</v>
      </c>
      <c r="J1723" s="75">
        <v>40814</v>
      </c>
      <c r="K1723" s="75">
        <v>31770</v>
      </c>
      <c r="L1723" s="27" t="s">
        <v>69</v>
      </c>
      <c r="M1723" s="28" t="s">
        <v>123</v>
      </c>
      <c r="N1723" s="112" t="s">
        <v>14</v>
      </c>
      <c r="O1723" s="104" t="s">
        <v>52</v>
      </c>
      <c r="P1723" s="104" t="s">
        <v>52</v>
      </c>
      <c r="Q1723" s="105"/>
      <c r="R1723" s="28" t="s">
        <v>607</v>
      </c>
      <c r="S1723" s="225">
        <f t="shared" si="26"/>
        <v>53966</v>
      </c>
      <c r="T1723" s="7" t="s">
        <v>7648</v>
      </c>
      <c r="U1723" s="2" t="s">
        <v>136</v>
      </c>
      <c r="V1723" s="162" t="str" cm="1">
        <f t="array" ref="V1723">_xlfn.IFS(C1723="","",COUNTIF(C1723,"ตำแหน่งว่าง*"),"ว่าง",COUNTIF(C1723,"&lt;&gt;ตำแหน่งว่าง*"),"คนครอง")</f>
        <v>คนครอง</v>
      </c>
      <c r="W1723" s="6" cm="1">
        <f t="array" ref="W1723">_xlfn.IFS(COUNTIF(F1723,"ผบ.หมู่*"),51,COUNTIF(F1723,"รอง สว.*"),43)</f>
        <v>51</v>
      </c>
      <c r="X1723" s="1" t="s">
        <v>5300</v>
      </c>
      <c r="Y1723" s="1" t="s">
        <v>52</v>
      </c>
    </row>
    <row r="1724" spans="1:25" s="12" customFormat="1" ht="21.3" customHeight="1">
      <c r="A1724" s="27" t="s">
        <v>157</v>
      </c>
      <c r="B1724" s="28" t="s">
        <v>12</v>
      </c>
      <c r="C1724" s="95" t="s">
        <v>5196</v>
      </c>
      <c r="D1724" s="27" t="s">
        <v>9825</v>
      </c>
      <c r="E1724" s="27" t="s">
        <v>9826</v>
      </c>
      <c r="F1724" s="95" t="s">
        <v>5197</v>
      </c>
      <c r="G1724" s="101" t="s">
        <v>5199</v>
      </c>
      <c r="H1724" s="91">
        <v>42940</v>
      </c>
      <c r="I1724" s="73">
        <v>35825</v>
      </c>
      <c r="J1724" s="73">
        <v>35825</v>
      </c>
      <c r="K1724" s="73">
        <v>28197</v>
      </c>
      <c r="L1724" s="11" t="s">
        <v>5200</v>
      </c>
      <c r="M1724" s="1" t="s">
        <v>24</v>
      </c>
      <c r="N1724" s="111" t="s">
        <v>14</v>
      </c>
      <c r="O1724" s="104" t="s">
        <v>52</v>
      </c>
      <c r="P1724" s="104" t="s">
        <v>52</v>
      </c>
      <c r="Q1724" s="105"/>
      <c r="R1724" s="28" t="s">
        <v>726</v>
      </c>
      <c r="S1724" s="225">
        <f t="shared" si="26"/>
        <v>50314</v>
      </c>
      <c r="T1724" s="162" t="s">
        <v>7647</v>
      </c>
      <c r="U1724" s="2" t="s">
        <v>136</v>
      </c>
      <c r="V1724" s="162" t="str" cm="1">
        <f t="array" ref="V1724">_xlfn.IFS(C1724="","",COUNTIF(C1724,"ตำแหน่งว่าง*"),"ว่าง",COUNTIF(C1724,"&lt;&gt;ตำแหน่งว่าง*"),"คนครอง")</f>
        <v>คนครอง</v>
      </c>
      <c r="W1724" s="6" cm="1">
        <f t="array" ref="W1724">_xlfn.IFS(COUNTIF(F1724,"ผบ.หมู่*"),51,COUNTIF(F1724,"รอง สว.*"),43)</f>
        <v>51</v>
      </c>
      <c r="X1724" s="5" t="s">
        <v>5198</v>
      </c>
      <c r="Y1724" s="5" t="s">
        <v>52</v>
      </c>
    </row>
    <row r="1725" spans="1:25" s="9" customFormat="1" ht="21.3" customHeight="1">
      <c r="A1725" s="27" t="s">
        <v>182</v>
      </c>
      <c r="B1725" s="28" t="s">
        <v>21</v>
      </c>
      <c r="C1725" s="27" t="s">
        <v>10770</v>
      </c>
      <c r="D1725" s="27" t="s">
        <v>8035</v>
      </c>
      <c r="E1725" s="27" t="s">
        <v>8917</v>
      </c>
      <c r="F1725" s="27" t="s">
        <v>5197</v>
      </c>
      <c r="G1725" s="101" t="s">
        <v>5203</v>
      </c>
      <c r="H1725" s="91">
        <v>45768</v>
      </c>
      <c r="I1725" s="73">
        <v>43868</v>
      </c>
      <c r="J1725" s="73">
        <v>43868</v>
      </c>
      <c r="K1725" s="73">
        <v>34943</v>
      </c>
      <c r="L1725" s="11" t="s">
        <v>37</v>
      </c>
      <c r="M1725" s="1" t="s">
        <v>24</v>
      </c>
      <c r="N1725" s="112" t="s">
        <v>14</v>
      </c>
      <c r="O1725" s="104" t="s">
        <v>52</v>
      </c>
      <c r="P1725" s="104" t="s">
        <v>52</v>
      </c>
      <c r="Q1725" s="105"/>
      <c r="R1725" s="28" t="s">
        <v>10804</v>
      </c>
      <c r="S1725" s="174">
        <f t="shared" si="26"/>
        <v>56888</v>
      </c>
      <c r="T1725" s="2" t="s">
        <v>7647</v>
      </c>
      <c r="U1725" s="2" t="s">
        <v>136</v>
      </c>
      <c r="V1725" s="2" t="str" cm="1">
        <f t="array" ref="V1725">_xlfn.IFS(C1725="","",COUNTIF(C1725,"ตำแหน่งว่าง*"),"ว่าง",COUNTIF(C1725,"&lt;&gt;ตำแหน่งว่าง*"),"คนครอง")</f>
        <v>คนครอง</v>
      </c>
      <c r="W1725" s="1" cm="1">
        <f t="array" ref="W1725">_xlfn.IFS(COUNTIF(F1725,"ผบ.หมู่*"),51,COUNTIF(F1725,"รอง สว.*"),43)</f>
        <v>51</v>
      </c>
      <c r="X1725" s="1" t="s">
        <v>5202</v>
      </c>
      <c r="Y1725" s="1" t="s">
        <v>52</v>
      </c>
    </row>
    <row r="1726" spans="1:25" s="12" customFormat="1" ht="21.3" customHeight="1">
      <c r="A1726" s="27" t="s">
        <v>44</v>
      </c>
      <c r="B1726" s="31" t="s">
        <v>12</v>
      </c>
      <c r="C1726" s="95" t="s">
        <v>5205</v>
      </c>
      <c r="D1726" s="27" t="s">
        <v>9829</v>
      </c>
      <c r="E1726" s="27" t="s">
        <v>9830</v>
      </c>
      <c r="F1726" s="95" t="s">
        <v>5206</v>
      </c>
      <c r="G1726" s="101" t="s">
        <v>5208</v>
      </c>
      <c r="H1726" s="88">
        <v>44651</v>
      </c>
      <c r="I1726" s="76">
        <v>44651</v>
      </c>
      <c r="J1726" s="76">
        <v>32174</v>
      </c>
      <c r="K1726" s="76">
        <v>25278</v>
      </c>
      <c r="L1726" s="17" t="s">
        <v>5209</v>
      </c>
      <c r="M1726" s="5" t="s">
        <v>24</v>
      </c>
      <c r="N1726" s="111" t="s">
        <v>14</v>
      </c>
      <c r="O1726" s="104" t="s">
        <v>52</v>
      </c>
      <c r="P1726" s="104" t="s">
        <v>52</v>
      </c>
      <c r="Q1726" s="108"/>
      <c r="R1726" s="31" t="s">
        <v>2856</v>
      </c>
      <c r="S1726" s="225">
        <f t="shared" si="26"/>
        <v>47392</v>
      </c>
      <c r="T1726" s="162" t="s">
        <v>7647</v>
      </c>
      <c r="U1726" s="2" t="s">
        <v>136</v>
      </c>
      <c r="V1726" s="162" t="str" cm="1">
        <f t="array" ref="V1726">_xlfn.IFS(C1726="","",COUNTIF(C1726,"ตำแหน่งว่าง*"),"ว่าง",COUNTIF(C1726,"&lt;&gt;ตำแหน่งว่าง*"),"คนครอง")</f>
        <v>คนครอง</v>
      </c>
      <c r="W1726" s="5" cm="1">
        <f t="array" ref="W1726">_xlfn.IFS(COUNTIF(F1726,"ผบ.หมู่*"),51,COUNTIF(F1726,"รอง สว.*"),43)</f>
        <v>43</v>
      </c>
      <c r="X1726" s="5" t="s">
        <v>5207</v>
      </c>
      <c r="Y1726" s="5" t="s">
        <v>52</v>
      </c>
    </row>
    <row r="1727" spans="1:25" s="9" customFormat="1" ht="21.3" customHeight="1">
      <c r="A1727" s="27"/>
      <c r="B1727" s="28"/>
      <c r="C1727" s="95" t="s">
        <v>18</v>
      </c>
      <c r="D1727" s="27"/>
      <c r="E1727" s="27"/>
      <c r="F1727" s="95" t="s">
        <v>5197</v>
      </c>
      <c r="G1727" s="101" t="s">
        <v>5211</v>
      </c>
      <c r="H1727" s="91"/>
      <c r="I1727" s="73"/>
      <c r="J1727" s="73"/>
      <c r="K1727" s="73"/>
      <c r="L1727" s="11"/>
      <c r="M1727" s="1"/>
      <c r="N1727" s="112" t="s">
        <v>14</v>
      </c>
      <c r="O1727" s="104" t="s">
        <v>52</v>
      </c>
      <c r="P1727" s="104" t="s">
        <v>52</v>
      </c>
      <c r="Q1727" s="105"/>
      <c r="R1727" s="28"/>
      <c r="S1727" s="225" t="str">
        <f t="shared" si="26"/>
        <v/>
      </c>
      <c r="T1727" s="2" t="s">
        <v>7647</v>
      </c>
      <c r="U1727" s="2" t="s">
        <v>136</v>
      </c>
      <c r="V1727" s="162" t="str" cm="1">
        <f t="array" ref="V1727">_xlfn.IFS(C1727="","",COUNTIF(C1727,"ตำแหน่งว่าง*"),"ว่าง",COUNTIF(C1727,"&lt;&gt;ตำแหน่งว่าง*"),"คนครอง")</f>
        <v>ว่าง</v>
      </c>
      <c r="W1727" s="5" cm="1">
        <f t="array" ref="W1727">_xlfn.IFS(COUNTIF(F1727,"ผบ.หมู่*"),51,COUNTIF(F1727,"รอง สว.*"),43)</f>
        <v>51</v>
      </c>
      <c r="X1727" s="1" t="s">
        <v>5210</v>
      </c>
      <c r="Y1727" s="1" t="s">
        <v>52</v>
      </c>
    </row>
    <row r="1728" spans="1:25" s="12" customFormat="1" ht="21.3" customHeight="1">
      <c r="A1728" s="27" t="s">
        <v>612</v>
      </c>
      <c r="B1728" s="28" t="s">
        <v>21</v>
      </c>
      <c r="C1728" s="95" t="s">
        <v>5212</v>
      </c>
      <c r="D1728" s="27" t="s">
        <v>9831</v>
      </c>
      <c r="E1728" s="27" t="s">
        <v>9832</v>
      </c>
      <c r="F1728" s="95" t="s">
        <v>5197</v>
      </c>
      <c r="G1728" s="101" t="s">
        <v>5214</v>
      </c>
      <c r="H1728" s="91">
        <v>44243</v>
      </c>
      <c r="I1728" s="73">
        <v>42416</v>
      </c>
      <c r="J1728" s="73">
        <v>42416</v>
      </c>
      <c r="K1728" s="73">
        <v>31661</v>
      </c>
      <c r="L1728" s="11" t="s">
        <v>5215</v>
      </c>
      <c r="M1728" s="1" t="s">
        <v>77</v>
      </c>
      <c r="N1728" s="111" t="s">
        <v>14</v>
      </c>
      <c r="O1728" s="104" t="s">
        <v>52</v>
      </c>
      <c r="P1728" s="104" t="s">
        <v>52</v>
      </c>
      <c r="Q1728" s="105"/>
      <c r="R1728" s="28" t="s">
        <v>617</v>
      </c>
      <c r="S1728" s="225">
        <f t="shared" si="26"/>
        <v>53601</v>
      </c>
      <c r="T1728" s="162" t="s">
        <v>7647</v>
      </c>
      <c r="U1728" s="2" t="s">
        <v>136</v>
      </c>
      <c r="V1728" s="162" t="str" cm="1">
        <f t="array" ref="V1728">_xlfn.IFS(C1728="","",COUNTIF(C1728,"ตำแหน่งว่าง*"),"ว่าง",COUNTIF(C1728,"&lt;&gt;ตำแหน่งว่าง*"),"คนครอง")</f>
        <v>คนครอง</v>
      </c>
      <c r="W1728" s="6" cm="1">
        <f t="array" ref="W1728">_xlfn.IFS(COUNTIF(F1728,"ผบ.หมู่*"),51,COUNTIF(F1728,"รอง สว.*"),43)</f>
        <v>51</v>
      </c>
      <c r="X1728" s="5" t="s">
        <v>5213</v>
      </c>
      <c r="Y1728" s="5" t="s">
        <v>52</v>
      </c>
    </row>
    <row r="1729" spans="1:25" s="9" customFormat="1" ht="21.3" customHeight="1">
      <c r="A1729" s="134" t="s">
        <v>612</v>
      </c>
      <c r="B1729" s="26" t="s">
        <v>21</v>
      </c>
      <c r="C1729" s="134" t="s">
        <v>5216</v>
      </c>
      <c r="D1729" s="27" t="s">
        <v>8054</v>
      </c>
      <c r="E1729" s="27" t="s">
        <v>9833</v>
      </c>
      <c r="F1729" s="27" t="s">
        <v>5197</v>
      </c>
      <c r="G1729" s="101" t="s">
        <v>5218</v>
      </c>
      <c r="H1729" s="75">
        <v>44999</v>
      </c>
      <c r="I1729" s="73">
        <v>41944</v>
      </c>
      <c r="J1729" s="73">
        <v>41944</v>
      </c>
      <c r="K1729" s="73">
        <v>31166</v>
      </c>
      <c r="L1729" s="19" t="s">
        <v>1592</v>
      </c>
      <c r="M1729" s="3" t="s">
        <v>24</v>
      </c>
      <c r="N1729" s="112" t="s">
        <v>14</v>
      </c>
      <c r="O1729" s="104" t="s">
        <v>52</v>
      </c>
      <c r="P1729" s="104" t="s">
        <v>52</v>
      </c>
      <c r="Q1729" s="105"/>
      <c r="R1729" s="28" t="s">
        <v>74</v>
      </c>
      <c r="S1729" s="225">
        <f t="shared" si="26"/>
        <v>53236</v>
      </c>
      <c r="T1729" s="2" t="s">
        <v>7647</v>
      </c>
      <c r="U1729" s="2" t="s">
        <v>136</v>
      </c>
      <c r="V1729" s="162" t="str" cm="1">
        <f t="array" ref="V1729">_xlfn.IFS(C1729="","",COUNTIF(C1729,"ตำแหน่งว่าง*"),"ว่าง",COUNTIF(C1729,"&lt;&gt;ตำแหน่งว่าง*"),"คนครอง")</f>
        <v>คนครอง</v>
      </c>
      <c r="W1729" s="6" cm="1">
        <f t="array" ref="W1729">_xlfn.IFS(COUNTIF(F1729,"ผบ.หมู่*"),51,COUNTIF(F1729,"รอง สว.*"),43)</f>
        <v>51</v>
      </c>
      <c r="X1729" s="1" t="s">
        <v>5217</v>
      </c>
      <c r="Y1729" s="1" t="s">
        <v>52</v>
      </c>
    </row>
    <row r="1730" spans="1:25" s="12" customFormat="1" ht="21.3" customHeight="1">
      <c r="A1730" s="27" t="s">
        <v>157</v>
      </c>
      <c r="B1730" s="28" t="s">
        <v>21</v>
      </c>
      <c r="C1730" s="95" t="s">
        <v>5219</v>
      </c>
      <c r="D1730" s="27" t="s">
        <v>9834</v>
      </c>
      <c r="E1730" s="27" t="s">
        <v>9826</v>
      </c>
      <c r="F1730" s="95" t="s">
        <v>5197</v>
      </c>
      <c r="G1730" s="101" t="s">
        <v>5221</v>
      </c>
      <c r="H1730" s="75">
        <v>42940</v>
      </c>
      <c r="I1730" s="73">
        <v>41214</v>
      </c>
      <c r="J1730" s="73">
        <v>41214</v>
      </c>
      <c r="K1730" s="73">
        <v>31660</v>
      </c>
      <c r="L1730" s="11" t="s">
        <v>5222</v>
      </c>
      <c r="M1730" s="1" t="s">
        <v>24</v>
      </c>
      <c r="N1730" s="111" t="s">
        <v>14</v>
      </c>
      <c r="O1730" s="104" t="s">
        <v>52</v>
      </c>
      <c r="P1730" s="104" t="s">
        <v>52</v>
      </c>
      <c r="Q1730" s="105"/>
      <c r="R1730" s="28" t="s">
        <v>1125</v>
      </c>
      <c r="S1730" s="225">
        <f t="shared" ref="S1730:S1793" si="27">IF(K1730&lt;&gt;"",DATE(YEAR(K1730)+60+(K1730&gt;=DATE(YEAR(K1730),10,2)),10,1),"")</f>
        <v>53601</v>
      </c>
      <c r="T1730" s="162" t="s">
        <v>7647</v>
      </c>
      <c r="U1730" s="2" t="s">
        <v>136</v>
      </c>
      <c r="V1730" s="162" t="str" cm="1">
        <f t="array" ref="V1730">_xlfn.IFS(C1730="","",COUNTIF(C1730,"ตำแหน่งว่าง*"),"ว่าง",COUNTIF(C1730,"&lt;&gt;ตำแหน่งว่าง*"),"คนครอง")</f>
        <v>คนครอง</v>
      </c>
      <c r="W1730" s="6" cm="1">
        <f t="array" ref="W1730">_xlfn.IFS(COUNTIF(F1730,"ผบ.หมู่*"),51,COUNTIF(F1730,"รอง สว.*"),43)</f>
        <v>51</v>
      </c>
      <c r="X1730" s="5" t="s">
        <v>5220</v>
      </c>
      <c r="Y1730" s="5" t="s">
        <v>52</v>
      </c>
    </row>
    <row r="1731" spans="1:25" s="12" customFormat="1" ht="21.3" customHeight="1">
      <c r="A1731" s="27" t="s">
        <v>10753</v>
      </c>
      <c r="B1731" s="28" t="s">
        <v>12</v>
      </c>
      <c r="C1731" s="95" t="s">
        <v>5223</v>
      </c>
      <c r="D1731" s="27" t="s">
        <v>9835</v>
      </c>
      <c r="E1731" s="27" t="s">
        <v>9836</v>
      </c>
      <c r="F1731" s="95" t="s">
        <v>5206</v>
      </c>
      <c r="G1731" s="101" t="s">
        <v>5225</v>
      </c>
      <c r="H1731" s="75">
        <v>45016</v>
      </c>
      <c r="I1731" s="73">
        <v>45016</v>
      </c>
      <c r="J1731" s="73">
        <v>33270</v>
      </c>
      <c r="K1731" s="73">
        <v>25830</v>
      </c>
      <c r="L1731" s="11" t="s">
        <v>5084</v>
      </c>
      <c r="M1731" s="1" t="s">
        <v>24</v>
      </c>
      <c r="N1731" s="111" t="s">
        <v>14</v>
      </c>
      <c r="O1731" s="104" t="s">
        <v>52</v>
      </c>
      <c r="P1731" s="104" t="s">
        <v>52</v>
      </c>
      <c r="Q1731" s="105"/>
      <c r="R1731" s="28" t="s">
        <v>483</v>
      </c>
      <c r="S1731" s="225">
        <f t="shared" si="27"/>
        <v>47757</v>
      </c>
      <c r="T1731" s="162" t="s">
        <v>7647</v>
      </c>
      <c r="U1731" s="2" t="s">
        <v>136</v>
      </c>
      <c r="V1731" s="162" t="str" cm="1">
        <f t="array" ref="V1731">_xlfn.IFS(C1731="","",COUNTIF(C1731,"ตำแหน่งว่าง*"),"ว่าง",COUNTIF(C1731,"&lt;&gt;ตำแหน่งว่าง*"),"คนครอง")</f>
        <v>คนครอง</v>
      </c>
      <c r="W1731" s="5" cm="1">
        <f t="array" ref="W1731">_xlfn.IFS(COUNTIF(F1731,"ผบ.หมู่*"),51,COUNTIF(F1731,"รอง สว.*"),43)</f>
        <v>43</v>
      </c>
      <c r="X1731" s="5" t="s">
        <v>5224</v>
      </c>
      <c r="Y1731" s="5" t="s">
        <v>52</v>
      </c>
    </row>
    <row r="1732" spans="1:25" s="12" customFormat="1" ht="21.3" customHeight="1">
      <c r="A1732" s="27" t="s">
        <v>44</v>
      </c>
      <c r="B1732" s="31" t="s">
        <v>12</v>
      </c>
      <c r="C1732" s="95" t="s">
        <v>5226</v>
      </c>
      <c r="D1732" s="27" t="s">
        <v>8275</v>
      </c>
      <c r="E1732" s="27" t="s">
        <v>9837</v>
      </c>
      <c r="F1732" s="95" t="s">
        <v>5206</v>
      </c>
      <c r="G1732" s="101" t="s">
        <v>5228</v>
      </c>
      <c r="H1732" s="88">
        <v>44651</v>
      </c>
      <c r="I1732" s="76">
        <v>44651</v>
      </c>
      <c r="J1732" s="76">
        <v>32540</v>
      </c>
      <c r="K1732" s="76">
        <v>25361</v>
      </c>
      <c r="L1732" s="17" t="s">
        <v>5148</v>
      </c>
      <c r="M1732" s="5" t="s">
        <v>24</v>
      </c>
      <c r="N1732" s="111" t="s">
        <v>14</v>
      </c>
      <c r="O1732" s="104" t="s">
        <v>52</v>
      </c>
      <c r="P1732" s="104" t="s">
        <v>52</v>
      </c>
      <c r="Q1732" s="108"/>
      <c r="R1732" s="31" t="s">
        <v>2856</v>
      </c>
      <c r="S1732" s="225">
        <f t="shared" si="27"/>
        <v>47392</v>
      </c>
      <c r="T1732" s="162" t="s">
        <v>7647</v>
      </c>
      <c r="U1732" s="2" t="s">
        <v>136</v>
      </c>
      <c r="V1732" s="162" t="str" cm="1">
        <f t="array" ref="V1732">_xlfn.IFS(C1732="","",COUNTIF(C1732,"ตำแหน่งว่าง*"),"ว่าง",COUNTIF(C1732,"&lt;&gt;ตำแหน่งว่าง*"),"คนครอง")</f>
        <v>คนครอง</v>
      </c>
      <c r="W1732" s="5" cm="1">
        <f t="array" ref="W1732">_xlfn.IFS(COUNTIF(F1732,"ผบ.หมู่*"),51,COUNTIF(F1732,"รอง สว.*"),43)</f>
        <v>43</v>
      </c>
      <c r="X1732" s="5" t="s">
        <v>5227</v>
      </c>
      <c r="Y1732" s="5" t="s">
        <v>52</v>
      </c>
    </row>
    <row r="1733" spans="1:25" s="12" customFormat="1" ht="21.3" customHeight="1">
      <c r="A1733" s="27" t="s">
        <v>26</v>
      </c>
      <c r="B1733" s="28" t="s">
        <v>12</v>
      </c>
      <c r="C1733" s="95" t="s">
        <v>5229</v>
      </c>
      <c r="D1733" s="27" t="s">
        <v>9838</v>
      </c>
      <c r="E1733" s="27" t="s">
        <v>9839</v>
      </c>
      <c r="F1733" s="95" t="s">
        <v>5206</v>
      </c>
      <c r="G1733" s="101" t="s">
        <v>5231</v>
      </c>
      <c r="H1733" s="91">
        <v>43921</v>
      </c>
      <c r="I1733" s="73">
        <v>43921</v>
      </c>
      <c r="J1733" s="73">
        <v>31809</v>
      </c>
      <c r="K1733" s="73">
        <v>24490</v>
      </c>
      <c r="L1733" s="11" t="s">
        <v>5084</v>
      </c>
      <c r="M1733" s="1" t="s">
        <v>24</v>
      </c>
      <c r="N1733" s="111" t="s">
        <v>14</v>
      </c>
      <c r="O1733" s="104" t="s">
        <v>52</v>
      </c>
      <c r="P1733" s="104" t="s">
        <v>52</v>
      </c>
      <c r="Q1733" s="105"/>
      <c r="R1733" s="28" t="s">
        <v>110</v>
      </c>
      <c r="S1733" s="225">
        <f t="shared" si="27"/>
        <v>46661</v>
      </c>
      <c r="T1733" s="162" t="s">
        <v>7647</v>
      </c>
      <c r="U1733" s="2" t="s">
        <v>136</v>
      </c>
      <c r="V1733" s="162" t="str" cm="1">
        <f t="array" ref="V1733">_xlfn.IFS(C1733="","",COUNTIF(C1733,"ตำแหน่งว่าง*"),"ว่าง",COUNTIF(C1733,"&lt;&gt;ตำแหน่งว่าง*"),"คนครอง")</f>
        <v>คนครอง</v>
      </c>
      <c r="W1733" s="5" cm="1">
        <f t="array" ref="W1733">_xlfn.IFS(COUNTIF(F1733,"ผบ.หมู่*"),51,COUNTIF(F1733,"รอง สว.*"),43)</f>
        <v>43</v>
      </c>
      <c r="X1733" s="5" t="s">
        <v>5230</v>
      </c>
      <c r="Y1733" s="5" t="s">
        <v>52</v>
      </c>
    </row>
    <row r="1734" spans="1:25" s="12" customFormat="1" ht="21.3" customHeight="1">
      <c r="A1734" s="27" t="s">
        <v>30</v>
      </c>
      <c r="B1734" s="28" t="s">
        <v>21</v>
      </c>
      <c r="C1734" s="95" t="s">
        <v>5232</v>
      </c>
      <c r="D1734" s="27" t="s">
        <v>9840</v>
      </c>
      <c r="E1734" s="27" t="s">
        <v>9841</v>
      </c>
      <c r="F1734" s="95" t="s">
        <v>5206</v>
      </c>
      <c r="G1734" s="101" t="s">
        <v>5234</v>
      </c>
      <c r="H1734" s="91">
        <v>43555</v>
      </c>
      <c r="I1734" s="73">
        <v>43555</v>
      </c>
      <c r="J1734" s="73">
        <v>34729</v>
      </c>
      <c r="K1734" s="73">
        <v>24340</v>
      </c>
      <c r="L1734" s="11" t="s">
        <v>2314</v>
      </c>
      <c r="M1734" s="28" t="s">
        <v>24</v>
      </c>
      <c r="N1734" s="111" t="s">
        <v>14</v>
      </c>
      <c r="O1734" s="104" t="s">
        <v>52</v>
      </c>
      <c r="P1734" s="104" t="s">
        <v>52</v>
      </c>
      <c r="Q1734" s="105"/>
      <c r="R1734" s="28" t="s">
        <v>110</v>
      </c>
      <c r="S1734" s="225">
        <f t="shared" si="27"/>
        <v>46296</v>
      </c>
      <c r="T1734" s="162" t="s">
        <v>7647</v>
      </c>
      <c r="U1734" s="2" t="s">
        <v>136</v>
      </c>
      <c r="V1734" s="162" t="str" cm="1">
        <f t="array" ref="V1734">_xlfn.IFS(C1734="","",COUNTIF(C1734,"ตำแหน่งว่าง*"),"ว่าง",COUNTIF(C1734,"&lt;&gt;ตำแหน่งว่าง*"),"คนครอง")</f>
        <v>คนครอง</v>
      </c>
      <c r="W1734" s="5" cm="1">
        <f t="array" ref="W1734">_xlfn.IFS(COUNTIF(F1734,"ผบ.หมู่*"),51,COUNTIF(F1734,"รอง สว.*"),43)</f>
        <v>43</v>
      </c>
      <c r="X1734" s="5" t="s">
        <v>5233</v>
      </c>
      <c r="Y1734" s="5" t="s">
        <v>52</v>
      </c>
    </row>
    <row r="1735" spans="1:25" s="9" customFormat="1" ht="21.3" customHeight="1">
      <c r="A1735" s="27" t="s">
        <v>157</v>
      </c>
      <c r="B1735" s="28" t="s">
        <v>12</v>
      </c>
      <c r="C1735" s="27" t="s">
        <v>5235</v>
      </c>
      <c r="D1735" s="27" t="s">
        <v>9842</v>
      </c>
      <c r="E1735" s="27" t="s">
        <v>9843</v>
      </c>
      <c r="F1735" s="27" t="s">
        <v>5197</v>
      </c>
      <c r="G1735" s="101" t="s">
        <v>5237</v>
      </c>
      <c r="H1735" s="91">
        <v>44243</v>
      </c>
      <c r="I1735" s="73">
        <v>35096</v>
      </c>
      <c r="J1735" s="73">
        <v>35096</v>
      </c>
      <c r="K1735" s="73">
        <v>27365</v>
      </c>
      <c r="L1735" s="11" t="s">
        <v>5238</v>
      </c>
      <c r="M1735" s="28" t="s">
        <v>77</v>
      </c>
      <c r="N1735" s="112" t="s">
        <v>14</v>
      </c>
      <c r="O1735" s="104" t="s">
        <v>52</v>
      </c>
      <c r="P1735" s="104" t="s">
        <v>52</v>
      </c>
      <c r="Q1735" s="105"/>
      <c r="R1735" s="28" t="s">
        <v>617</v>
      </c>
      <c r="S1735" s="225">
        <f t="shared" si="27"/>
        <v>49583</v>
      </c>
      <c r="T1735" s="2" t="s">
        <v>7647</v>
      </c>
      <c r="U1735" s="2" t="s">
        <v>136</v>
      </c>
      <c r="V1735" s="162" t="str" cm="1">
        <f t="array" ref="V1735">_xlfn.IFS(C1735="","",COUNTIF(C1735,"ตำแหน่งว่าง*"),"ว่าง",COUNTIF(C1735,"&lt;&gt;ตำแหน่งว่าง*"),"คนครอง")</f>
        <v>คนครอง</v>
      </c>
      <c r="W1735" s="6" cm="1">
        <f t="array" ref="W1735">_xlfn.IFS(COUNTIF(F1735,"ผบ.หมู่*"),51,COUNTIF(F1735,"รอง สว.*"),43)</f>
        <v>51</v>
      </c>
      <c r="X1735" s="1" t="s">
        <v>5236</v>
      </c>
      <c r="Y1735" s="1" t="s">
        <v>52</v>
      </c>
    </row>
    <row r="1736" spans="1:25" s="10" customFormat="1" ht="21.3" customHeight="1">
      <c r="A1736" s="27" t="s">
        <v>157</v>
      </c>
      <c r="B1736" s="28" t="s">
        <v>12</v>
      </c>
      <c r="C1736" s="27" t="s">
        <v>5239</v>
      </c>
      <c r="D1736" s="27" t="s">
        <v>8312</v>
      </c>
      <c r="E1736" s="27" t="s">
        <v>9844</v>
      </c>
      <c r="F1736" s="27" t="s">
        <v>5197</v>
      </c>
      <c r="G1736" s="101" t="s">
        <v>5241</v>
      </c>
      <c r="H1736" s="91">
        <v>44599</v>
      </c>
      <c r="I1736" s="75">
        <v>40814</v>
      </c>
      <c r="J1736" s="75">
        <v>40814</v>
      </c>
      <c r="K1736" s="75">
        <v>28307</v>
      </c>
      <c r="L1736" s="34" t="s">
        <v>68</v>
      </c>
      <c r="M1736" s="28" t="s">
        <v>24</v>
      </c>
      <c r="N1736" s="112" t="s">
        <v>14</v>
      </c>
      <c r="O1736" s="104" t="s">
        <v>52</v>
      </c>
      <c r="P1736" s="104" t="s">
        <v>52</v>
      </c>
      <c r="Q1736" s="105"/>
      <c r="R1736" s="28" t="s">
        <v>2883</v>
      </c>
      <c r="S1736" s="225">
        <f t="shared" si="27"/>
        <v>50314</v>
      </c>
      <c r="T1736" s="7" t="s">
        <v>7647</v>
      </c>
      <c r="U1736" s="2" t="s">
        <v>136</v>
      </c>
      <c r="V1736" s="162" t="str" cm="1">
        <f t="array" ref="V1736">_xlfn.IFS(C1736="","",COUNTIF(C1736,"ตำแหน่งว่าง*"),"ว่าง",COUNTIF(C1736,"&lt;&gt;ตำแหน่งว่าง*"),"คนครอง")</f>
        <v>คนครอง</v>
      </c>
      <c r="W1736" s="6" cm="1">
        <f t="array" ref="W1736">_xlfn.IFS(COUNTIF(F1736,"ผบ.หมู่*"),51,COUNTIF(F1736,"รอง สว.*"),43)</f>
        <v>51</v>
      </c>
      <c r="X1736" s="1" t="s">
        <v>5240</v>
      </c>
      <c r="Y1736" s="1" t="s">
        <v>52</v>
      </c>
    </row>
    <row r="1737" spans="1:25" s="12" customFormat="1" ht="21.3" customHeight="1">
      <c r="A1737" s="27" t="s">
        <v>612</v>
      </c>
      <c r="B1737" s="28" t="s">
        <v>12</v>
      </c>
      <c r="C1737" s="95" t="s">
        <v>5242</v>
      </c>
      <c r="D1737" s="27" t="s">
        <v>9845</v>
      </c>
      <c r="E1737" s="27" t="s">
        <v>9846</v>
      </c>
      <c r="F1737" s="95" t="s">
        <v>5197</v>
      </c>
      <c r="G1737" s="101" t="s">
        <v>5244</v>
      </c>
      <c r="H1737" s="75">
        <v>42501</v>
      </c>
      <c r="I1737" s="73">
        <v>42416</v>
      </c>
      <c r="J1737" s="73">
        <v>42416</v>
      </c>
      <c r="K1737" s="73">
        <v>33467</v>
      </c>
      <c r="L1737" s="11" t="s">
        <v>5245</v>
      </c>
      <c r="M1737" s="28" t="s">
        <v>24</v>
      </c>
      <c r="N1737" s="111" t="s">
        <v>14</v>
      </c>
      <c r="O1737" s="104" t="s">
        <v>52</v>
      </c>
      <c r="P1737" s="104" t="s">
        <v>52</v>
      </c>
      <c r="Q1737" s="105"/>
      <c r="R1737" s="28" t="s">
        <v>110</v>
      </c>
      <c r="S1737" s="225">
        <f t="shared" si="27"/>
        <v>55427</v>
      </c>
      <c r="T1737" s="162" t="s">
        <v>7647</v>
      </c>
      <c r="U1737" s="2" t="s">
        <v>136</v>
      </c>
      <c r="V1737" s="162" t="str" cm="1">
        <f t="array" ref="V1737">_xlfn.IFS(C1737="","",COUNTIF(C1737,"ตำแหน่งว่าง*"),"ว่าง",COUNTIF(C1737,"&lt;&gt;ตำแหน่งว่าง*"),"คนครอง")</f>
        <v>คนครอง</v>
      </c>
      <c r="W1737" s="6" cm="1">
        <f t="array" ref="W1737">_xlfn.IFS(COUNTIF(F1737,"ผบ.หมู่*"),51,COUNTIF(F1737,"รอง สว.*"),43)</f>
        <v>51</v>
      </c>
      <c r="X1737" s="5" t="s">
        <v>5243</v>
      </c>
      <c r="Y1737" s="5" t="s">
        <v>52</v>
      </c>
    </row>
    <row r="1738" spans="1:25" s="12" customFormat="1" ht="21.3" customHeight="1">
      <c r="A1738" s="27" t="s">
        <v>157</v>
      </c>
      <c r="B1738" s="28" t="s">
        <v>21</v>
      </c>
      <c r="C1738" s="95" t="s">
        <v>5246</v>
      </c>
      <c r="D1738" s="27" t="s">
        <v>8118</v>
      </c>
      <c r="E1738" s="27" t="s">
        <v>9847</v>
      </c>
      <c r="F1738" s="95" t="s">
        <v>5197</v>
      </c>
      <c r="G1738" s="101" t="s">
        <v>5248</v>
      </c>
      <c r="H1738" s="91">
        <v>42940</v>
      </c>
      <c r="I1738" s="73">
        <v>40814</v>
      </c>
      <c r="J1738" s="73">
        <v>40814</v>
      </c>
      <c r="K1738" s="73">
        <v>29574</v>
      </c>
      <c r="L1738" s="11" t="s">
        <v>2314</v>
      </c>
      <c r="M1738" s="1" t="s">
        <v>24</v>
      </c>
      <c r="N1738" s="111" t="s">
        <v>14</v>
      </c>
      <c r="O1738" s="104" t="s">
        <v>52</v>
      </c>
      <c r="P1738" s="104" t="s">
        <v>52</v>
      </c>
      <c r="Q1738" s="105"/>
      <c r="R1738" s="28" t="s">
        <v>1125</v>
      </c>
      <c r="S1738" s="225">
        <f t="shared" si="27"/>
        <v>51775</v>
      </c>
      <c r="T1738" s="162" t="s">
        <v>7647</v>
      </c>
      <c r="U1738" s="2" t="s">
        <v>136</v>
      </c>
      <c r="V1738" s="162" t="str" cm="1">
        <f t="array" ref="V1738">_xlfn.IFS(C1738="","",COUNTIF(C1738,"ตำแหน่งว่าง*"),"ว่าง",COUNTIF(C1738,"&lt;&gt;ตำแหน่งว่าง*"),"คนครอง")</f>
        <v>คนครอง</v>
      </c>
      <c r="W1738" s="6" cm="1">
        <f t="array" ref="W1738">_xlfn.IFS(COUNTIF(F1738,"ผบ.หมู่*"),51,COUNTIF(F1738,"รอง สว.*"),43)</f>
        <v>51</v>
      </c>
      <c r="X1738" s="5" t="s">
        <v>5247</v>
      </c>
      <c r="Y1738" s="5" t="s">
        <v>52</v>
      </c>
    </row>
    <row r="1739" spans="1:25" s="12" customFormat="1" ht="21.3" customHeight="1">
      <c r="A1739" s="27"/>
      <c r="B1739" s="28"/>
      <c r="C1739" s="95" t="s">
        <v>18</v>
      </c>
      <c r="D1739" s="27"/>
      <c r="E1739" s="27"/>
      <c r="F1739" s="95" t="s">
        <v>5197</v>
      </c>
      <c r="G1739" s="101" t="s">
        <v>5250</v>
      </c>
      <c r="H1739" s="75"/>
      <c r="I1739" s="73"/>
      <c r="J1739" s="73"/>
      <c r="K1739" s="73"/>
      <c r="L1739" s="11"/>
      <c r="M1739" s="1"/>
      <c r="N1739" s="111" t="s">
        <v>14</v>
      </c>
      <c r="O1739" s="104" t="s">
        <v>52</v>
      </c>
      <c r="P1739" s="104" t="s">
        <v>52</v>
      </c>
      <c r="Q1739" s="105"/>
      <c r="R1739" s="28"/>
      <c r="S1739" s="225" t="str">
        <f t="shared" si="27"/>
        <v/>
      </c>
      <c r="T1739" s="162" t="s">
        <v>7647</v>
      </c>
      <c r="U1739" s="2" t="s">
        <v>136</v>
      </c>
      <c r="V1739" s="162" t="str" cm="1">
        <f t="array" ref="V1739">_xlfn.IFS(C1739="","",COUNTIF(C1739,"ตำแหน่งว่าง*"),"ว่าง",COUNTIF(C1739,"&lt;&gt;ตำแหน่งว่าง*"),"คนครอง")</f>
        <v>ว่าง</v>
      </c>
      <c r="W1739" s="6" cm="1">
        <f t="array" ref="W1739">_xlfn.IFS(COUNTIF(F1739,"ผบ.หมู่*"),51,COUNTIF(F1739,"รอง สว.*"),43)</f>
        <v>51</v>
      </c>
      <c r="X1739" s="5" t="s">
        <v>5249</v>
      </c>
      <c r="Y1739" s="5" t="s">
        <v>52</v>
      </c>
    </row>
    <row r="1740" spans="1:25" s="9" customFormat="1" ht="21.3" customHeight="1">
      <c r="A1740" s="27" t="s">
        <v>612</v>
      </c>
      <c r="B1740" s="28" t="s">
        <v>12</v>
      </c>
      <c r="C1740" s="27" t="s">
        <v>5251</v>
      </c>
      <c r="D1740" s="27" t="s">
        <v>9848</v>
      </c>
      <c r="E1740" s="27" t="s">
        <v>9849</v>
      </c>
      <c r="F1740" s="27" t="s">
        <v>5197</v>
      </c>
      <c r="G1740" s="101" t="s">
        <v>5253</v>
      </c>
      <c r="H1740" s="91">
        <v>44243</v>
      </c>
      <c r="I1740" s="73">
        <v>41944</v>
      </c>
      <c r="J1740" s="73">
        <v>41944</v>
      </c>
      <c r="K1740" s="73">
        <v>33194</v>
      </c>
      <c r="L1740" s="11" t="s">
        <v>5254</v>
      </c>
      <c r="M1740" s="1" t="s">
        <v>24</v>
      </c>
      <c r="N1740" s="112" t="s">
        <v>14</v>
      </c>
      <c r="O1740" s="104" t="s">
        <v>52</v>
      </c>
      <c r="P1740" s="104" t="s">
        <v>52</v>
      </c>
      <c r="Q1740" s="105"/>
      <c r="R1740" s="28" t="s">
        <v>617</v>
      </c>
      <c r="S1740" s="225">
        <f t="shared" si="27"/>
        <v>55427</v>
      </c>
      <c r="T1740" s="2" t="s">
        <v>7647</v>
      </c>
      <c r="U1740" s="2" t="s">
        <v>136</v>
      </c>
      <c r="V1740" s="162" t="str" cm="1">
        <f t="array" ref="V1740">_xlfn.IFS(C1740="","",COUNTIF(C1740,"ตำแหน่งว่าง*"),"ว่าง",COUNTIF(C1740,"&lt;&gt;ตำแหน่งว่าง*"),"คนครอง")</f>
        <v>คนครอง</v>
      </c>
      <c r="W1740" s="6" cm="1">
        <f t="array" ref="W1740">_xlfn.IFS(COUNTIF(F1740,"ผบ.หมู่*"),51,COUNTIF(F1740,"รอง สว.*"),43)</f>
        <v>51</v>
      </c>
      <c r="X1740" s="1" t="s">
        <v>5252</v>
      </c>
      <c r="Y1740" s="1" t="s">
        <v>52</v>
      </c>
    </row>
    <row r="1741" spans="1:25" s="9" customFormat="1" ht="21.3" customHeight="1">
      <c r="A1741" s="27" t="s">
        <v>26</v>
      </c>
      <c r="B1741" s="28" t="s">
        <v>12</v>
      </c>
      <c r="C1741" s="27" t="s">
        <v>5036</v>
      </c>
      <c r="D1741" s="27" t="s">
        <v>8242</v>
      </c>
      <c r="E1741" s="27" t="s">
        <v>9850</v>
      </c>
      <c r="F1741" s="27" t="s">
        <v>5037</v>
      </c>
      <c r="G1741" s="101" t="s">
        <v>5039</v>
      </c>
      <c r="H1741" s="91">
        <v>44286</v>
      </c>
      <c r="I1741" s="73">
        <v>44286</v>
      </c>
      <c r="J1741" s="73">
        <v>35825</v>
      </c>
      <c r="K1741" s="73">
        <v>24764</v>
      </c>
      <c r="L1741" s="11" t="s">
        <v>5040</v>
      </c>
      <c r="M1741" s="1" t="s">
        <v>77</v>
      </c>
      <c r="N1741" s="112" t="s">
        <v>14</v>
      </c>
      <c r="O1741" s="104" t="s">
        <v>52</v>
      </c>
      <c r="P1741" s="104" t="s">
        <v>52</v>
      </c>
      <c r="Q1741" s="105"/>
      <c r="R1741" s="28" t="s">
        <v>1313</v>
      </c>
      <c r="S1741" s="225">
        <f t="shared" si="27"/>
        <v>47027</v>
      </c>
      <c r="T1741" s="2" t="s">
        <v>7644</v>
      </c>
      <c r="U1741" s="2" t="s">
        <v>136</v>
      </c>
      <c r="V1741" s="162" t="str" cm="1">
        <f t="array" ref="V1741">_xlfn.IFS(C1741="","",COUNTIF(C1741,"ตำแหน่งว่าง*"),"ว่าง",COUNTIF(C1741,"&lt;&gt;ตำแหน่งว่าง*"),"คนครอง")</f>
        <v>คนครอง</v>
      </c>
      <c r="W1741" s="5" cm="1">
        <f t="array" ref="W1741">_xlfn.IFS(COUNTIF(F1741,"ผบ.หมู่*"),51,COUNTIF(F1741,"รอง สว.*"),43)</f>
        <v>43</v>
      </c>
      <c r="X1741" s="1" t="s">
        <v>5038</v>
      </c>
      <c r="Y1741" s="1" t="s">
        <v>52</v>
      </c>
    </row>
    <row r="1742" spans="1:25" s="9" customFormat="1" ht="21.3" customHeight="1">
      <c r="A1742" s="27" t="s">
        <v>157</v>
      </c>
      <c r="B1742" s="28" t="s">
        <v>21</v>
      </c>
      <c r="C1742" s="27" t="s">
        <v>5041</v>
      </c>
      <c r="D1742" s="27" t="s">
        <v>9851</v>
      </c>
      <c r="E1742" s="27" t="s">
        <v>9852</v>
      </c>
      <c r="F1742" s="27" t="s">
        <v>5042</v>
      </c>
      <c r="G1742" s="101" t="s">
        <v>5044</v>
      </c>
      <c r="H1742" s="91">
        <v>43871</v>
      </c>
      <c r="I1742" s="73">
        <v>39717</v>
      </c>
      <c r="J1742" s="73">
        <v>39717</v>
      </c>
      <c r="K1742" s="73">
        <v>30916</v>
      </c>
      <c r="L1742" s="11" t="s">
        <v>5045</v>
      </c>
      <c r="M1742" s="1" t="s">
        <v>77</v>
      </c>
      <c r="N1742" s="112" t="s">
        <v>14</v>
      </c>
      <c r="O1742" s="104" t="s">
        <v>52</v>
      </c>
      <c r="P1742" s="104" t="s">
        <v>52</v>
      </c>
      <c r="Q1742" s="105"/>
      <c r="R1742" s="28" t="s">
        <v>688</v>
      </c>
      <c r="S1742" s="225">
        <f t="shared" si="27"/>
        <v>52871</v>
      </c>
      <c r="T1742" s="2" t="s">
        <v>7644</v>
      </c>
      <c r="U1742" s="2" t="s">
        <v>136</v>
      </c>
      <c r="V1742" s="162" t="str" cm="1">
        <f t="array" ref="V1742">_xlfn.IFS(C1742="","",COUNTIF(C1742,"ตำแหน่งว่าง*"),"ว่าง",COUNTIF(C1742,"&lt;&gt;ตำแหน่งว่าง*"),"คนครอง")</f>
        <v>คนครอง</v>
      </c>
      <c r="W1742" s="6" cm="1">
        <f t="array" ref="W1742">_xlfn.IFS(COUNTIF(F1742,"ผบ.หมู่*"),51,COUNTIF(F1742,"รอง สว.*"),43)</f>
        <v>51</v>
      </c>
      <c r="X1742" s="1" t="s">
        <v>5043</v>
      </c>
      <c r="Y1742" s="1" t="s">
        <v>52</v>
      </c>
    </row>
    <row r="1743" spans="1:25" s="9" customFormat="1" ht="21.3" customHeight="1">
      <c r="A1743" s="27" t="s">
        <v>10753</v>
      </c>
      <c r="B1743" s="28" t="s">
        <v>12</v>
      </c>
      <c r="C1743" s="27" t="s">
        <v>5046</v>
      </c>
      <c r="D1743" s="27" t="s">
        <v>9288</v>
      </c>
      <c r="E1743" s="27" t="s">
        <v>9853</v>
      </c>
      <c r="F1743" s="27" t="s">
        <v>5037</v>
      </c>
      <c r="G1743" s="101" t="s">
        <v>5048</v>
      </c>
      <c r="H1743" s="91">
        <v>45016</v>
      </c>
      <c r="I1743" s="73">
        <v>45016</v>
      </c>
      <c r="J1743" s="73">
        <v>34731</v>
      </c>
      <c r="K1743" s="73">
        <v>25507</v>
      </c>
      <c r="L1743" s="11" t="s">
        <v>82</v>
      </c>
      <c r="M1743" s="1" t="s">
        <v>77</v>
      </c>
      <c r="N1743" s="112" t="s">
        <v>14</v>
      </c>
      <c r="O1743" s="104" t="s">
        <v>52</v>
      </c>
      <c r="P1743" s="104" t="s">
        <v>52</v>
      </c>
      <c r="Q1743" s="105"/>
      <c r="R1743" s="28" t="s">
        <v>483</v>
      </c>
      <c r="S1743" s="225">
        <f t="shared" si="27"/>
        <v>47757</v>
      </c>
      <c r="T1743" s="2" t="s">
        <v>7644</v>
      </c>
      <c r="U1743" s="2" t="s">
        <v>136</v>
      </c>
      <c r="V1743" s="162" t="str" cm="1">
        <f t="array" ref="V1743">_xlfn.IFS(C1743="","",COUNTIF(C1743,"ตำแหน่งว่าง*"),"ว่าง",COUNTIF(C1743,"&lt;&gt;ตำแหน่งว่าง*"),"คนครอง")</f>
        <v>คนครอง</v>
      </c>
      <c r="W1743" s="5" cm="1">
        <f t="array" ref="W1743">_xlfn.IFS(COUNTIF(F1743,"ผบ.หมู่*"),51,COUNTIF(F1743,"รอง สว.*"),43)</f>
        <v>43</v>
      </c>
      <c r="X1743" s="1" t="s">
        <v>5047</v>
      </c>
      <c r="Y1743" s="1" t="s">
        <v>52</v>
      </c>
    </row>
    <row r="1744" spans="1:25" s="12" customFormat="1" ht="21.3" customHeight="1">
      <c r="A1744" s="27" t="s">
        <v>30</v>
      </c>
      <c r="B1744" s="28" t="s">
        <v>12</v>
      </c>
      <c r="C1744" s="95" t="s">
        <v>5049</v>
      </c>
      <c r="D1744" s="27" t="s">
        <v>9854</v>
      </c>
      <c r="E1744" s="27" t="s">
        <v>9855</v>
      </c>
      <c r="F1744" s="95" t="s">
        <v>5037</v>
      </c>
      <c r="G1744" s="101" t="s">
        <v>5051</v>
      </c>
      <c r="H1744" s="91">
        <v>43555</v>
      </c>
      <c r="I1744" s="73">
        <v>43555</v>
      </c>
      <c r="J1744" s="73">
        <v>32905</v>
      </c>
      <c r="K1744" s="73">
        <v>24239</v>
      </c>
      <c r="L1744" s="11" t="s">
        <v>5052</v>
      </c>
      <c r="M1744" s="1" t="s">
        <v>77</v>
      </c>
      <c r="N1744" s="111" t="s">
        <v>14</v>
      </c>
      <c r="O1744" s="104" t="s">
        <v>52</v>
      </c>
      <c r="P1744" s="104" t="s">
        <v>52</v>
      </c>
      <c r="Q1744" s="105"/>
      <c r="R1744" s="26" t="s">
        <v>2892</v>
      </c>
      <c r="S1744" s="225">
        <f t="shared" si="27"/>
        <v>46296</v>
      </c>
      <c r="T1744" s="162" t="s">
        <v>7644</v>
      </c>
      <c r="U1744" s="2" t="s">
        <v>136</v>
      </c>
      <c r="V1744" s="162" t="str" cm="1">
        <f t="array" ref="V1744">_xlfn.IFS(C1744="","",COUNTIF(C1744,"ตำแหน่งว่าง*"),"ว่าง",COUNTIF(C1744,"&lt;&gt;ตำแหน่งว่าง*"),"คนครอง")</f>
        <v>คนครอง</v>
      </c>
      <c r="W1744" s="5" cm="1">
        <f t="array" ref="W1744">_xlfn.IFS(COUNTIF(F1744,"ผบ.หมู่*"),51,COUNTIF(F1744,"รอง สว.*"),43)</f>
        <v>43</v>
      </c>
      <c r="X1744" s="5" t="s">
        <v>5050</v>
      </c>
      <c r="Y1744" s="5" t="s">
        <v>52</v>
      </c>
    </row>
    <row r="1745" spans="1:25" s="12" customFormat="1" ht="21.3" customHeight="1">
      <c r="A1745" s="27"/>
      <c r="B1745" s="28"/>
      <c r="C1745" s="95" t="s">
        <v>18</v>
      </c>
      <c r="D1745" s="27"/>
      <c r="E1745" s="27"/>
      <c r="F1745" s="27" t="s">
        <v>5042</v>
      </c>
      <c r="G1745" s="101" t="s">
        <v>5054</v>
      </c>
      <c r="H1745" s="75"/>
      <c r="I1745" s="73"/>
      <c r="J1745" s="73"/>
      <c r="K1745" s="73"/>
      <c r="L1745" s="11"/>
      <c r="M1745" s="1"/>
      <c r="N1745" s="111" t="s">
        <v>14</v>
      </c>
      <c r="O1745" s="104" t="s">
        <v>52</v>
      </c>
      <c r="P1745" s="104" t="s">
        <v>52</v>
      </c>
      <c r="Q1745" s="105"/>
      <c r="R1745" s="28"/>
      <c r="S1745" s="225" t="str">
        <f t="shared" si="27"/>
        <v/>
      </c>
      <c r="T1745" s="162" t="s">
        <v>7644</v>
      </c>
      <c r="U1745" s="2" t="s">
        <v>136</v>
      </c>
      <c r="V1745" s="162" t="str" cm="1">
        <f t="array" ref="V1745">_xlfn.IFS(C1745="","",COUNTIF(C1745,"ตำแหน่งว่าง*"),"ว่าง",COUNTIF(C1745,"&lt;&gt;ตำแหน่งว่าง*"),"คนครอง")</f>
        <v>ว่าง</v>
      </c>
      <c r="W1745" s="5" cm="1">
        <f t="array" ref="W1745">_xlfn.IFS(COUNTIF(F1745,"ผบ.หมู่*"),51,COUNTIF(F1745,"รอง สว.*"),43)</f>
        <v>51</v>
      </c>
      <c r="X1745" s="5" t="s">
        <v>5053</v>
      </c>
      <c r="Y1745" s="5" t="s">
        <v>52</v>
      </c>
    </row>
    <row r="1746" spans="1:25" s="12" customFormat="1" ht="21.3" customHeight="1">
      <c r="A1746" s="27" t="s">
        <v>208</v>
      </c>
      <c r="B1746" s="28" t="s">
        <v>21</v>
      </c>
      <c r="C1746" s="27" t="s">
        <v>10771</v>
      </c>
      <c r="D1746" s="27" t="s">
        <v>8493</v>
      </c>
      <c r="E1746" s="27" t="s">
        <v>8494</v>
      </c>
      <c r="F1746" s="27" t="s">
        <v>5042</v>
      </c>
      <c r="G1746" s="101" t="s">
        <v>5057</v>
      </c>
      <c r="H1746" s="75">
        <v>45768</v>
      </c>
      <c r="I1746" s="73">
        <v>43693</v>
      </c>
      <c r="J1746" s="73">
        <v>43693</v>
      </c>
      <c r="K1746" s="73">
        <v>34806</v>
      </c>
      <c r="L1746" s="11" t="s">
        <v>1919</v>
      </c>
      <c r="M1746" s="1" t="s">
        <v>77</v>
      </c>
      <c r="N1746" s="112" t="s">
        <v>14</v>
      </c>
      <c r="O1746" s="104" t="s">
        <v>52</v>
      </c>
      <c r="P1746" s="104" t="s">
        <v>52</v>
      </c>
      <c r="Q1746" s="105"/>
      <c r="R1746" s="26" t="s">
        <v>10804</v>
      </c>
      <c r="S1746" s="174">
        <f t="shared" si="27"/>
        <v>56888</v>
      </c>
      <c r="T1746" s="2" t="s">
        <v>7644</v>
      </c>
      <c r="U1746" s="2" t="s">
        <v>136</v>
      </c>
      <c r="V1746" s="2" t="str" cm="1">
        <f t="array" ref="V1746">_xlfn.IFS(C1746="","",COUNTIF(C1746,"ตำแหน่งว่าง*"),"ว่าง",COUNTIF(C1746,"&lt;&gt;ตำแหน่งว่าง*"),"คนครอง")</f>
        <v>คนครอง</v>
      </c>
      <c r="W1746" s="1" cm="1">
        <f t="array" ref="W1746">_xlfn.IFS(COUNTIF(F1746,"ผบ.หมู่*"),51,COUNTIF(F1746,"รอง สว.*"),43)</f>
        <v>51</v>
      </c>
      <c r="X1746" s="1" t="s">
        <v>5056</v>
      </c>
      <c r="Y1746" s="1" t="s">
        <v>52</v>
      </c>
    </row>
    <row r="1747" spans="1:25" s="12" customFormat="1" ht="21.3" customHeight="1">
      <c r="A1747" s="27" t="s">
        <v>26</v>
      </c>
      <c r="B1747" s="28" t="s">
        <v>12</v>
      </c>
      <c r="C1747" s="95" t="s">
        <v>5058</v>
      </c>
      <c r="D1747" s="27" t="s">
        <v>8168</v>
      </c>
      <c r="E1747" s="27" t="s">
        <v>9856</v>
      </c>
      <c r="F1747" s="95" t="s">
        <v>5037</v>
      </c>
      <c r="G1747" s="101" t="s">
        <v>5060</v>
      </c>
      <c r="H1747" s="91">
        <v>43921</v>
      </c>
      <c r="I1747" s="73">
        <v>43921</v>
      </c>
      <c r="J1747" s="73">
        <v>34352</v>
      </c>
      <c r="K1747" s="73">
        <v>24706</v>
      </c>
      <c r="L1747" s="11" t="s">
        <v>5012</v>
      </c>
      <c r="M1747" s="1" t="s">
        <v>77</v>
      </c>
      <c r="N1747" s="111" t="s">
        <v>14</v>
      </c>
      <c r="O1747" s="104" t="s">
        <v>52</v>
      </c>
      <c r="P1747" s="104" t="s">
        <v>52</v>
      </c>
      <c r="Q1747" s="105"/>
      <c r="R1747" s="26" t="s">
        <v>2700</v>
      </c>
      <c r="S1747" s="225">
        <f t="shared" si="27"/>
        <v>46661</v>
      </c>
      <c r="T1747" s="162" t="s">
        <v>7644</v>
      </c>
      <c r="U1747" s="2" t="s">
        <v>136</v>
      </c>
      <c r="V1747" s="162" t="str" cm="1">
        <f t="array" ref="V1747">_xlfn.IFS(C1747="","",COUNTIF(C1747,"ตำแหน่งว่าง*"),"ว่าง",COUNTIF(C1747,"&lt;&gt;ตำแหน่งว่าง*"),"คนครอง")</f>
        <v>คนครอง</v>
      </c>
      <c r="W1747" s="5" cm="1">
        <f t="array" ref="W1747">_xlfn.IFS(COUNTIF(F1747,"ผบ.หมู่*"),51,COUNTIF(F1747,"รอง สว.*"),43)</f>
        <v>43</v>
      </c>
      <c r="X1747" s="5" t="s">
        <v>5059</v>
      </c>
      <c r="Y1747" s="5" t="s">
        <v>52</v>
      </c>
    </row>
    <row r="1748" spans="1:25" s="12" customFormat="1" ht="21.3" customHeight="1">
      <c r="A1748" s="27" t="s">
        <v>26</v>
      </c>
      <c r="B1748" s="28" t="s">
        <v>12</v>
      </c>
      <c r="C1748" s="95" t="s">
        <v>5061</v>
      </c>
      <c r="D1748" s="27" t="s">
        <v>8196</v>
      </c>
      <c r="E1748" s="27" t="s">
        <v>9857</v>
      </c>
      <c r="F1748" s="95" t="s">
        <v>5037</v>
      </c>
      <c r="G1748" s="101" t="s">
        <v>5063</v>
      </c>
      <c r="H1748" s="91">
        <v>43921</v>
      </c>
      <c r="I1748" s="73">
        <v>43921</v>
      </c>
      <c r="J1748" s="73">
        <v>35825</v>
      </c>
      <c r="K1748" s="73">
        <v>24557</v>
      </c>
      <c r="L1748" s="11" t="s">
        <v>5064</v>
      </c>
      <c r="M1748" s="1" t="s">
        <v>77</v>
      </c>
      <c r="N1748" s="111" t="s">
        <v>14</v>
      </c>
      <c r="O1748" s="104" t="s">
        <v>52</v>
      </c>
      <c r="P1748" s="104" t="s">
        <v>52</v>
      </c>
      <c r="Q1748" s="105"/>
      <c r="R1748" s="26" t="s">
        <v>2700</v>
      </c>
      <c r="S1748" s="225">
        <f t="shared" si="27"/>
        <v>46661</v>
      </c>
      <c r="T1748" s="162" t="s">
        <v>7644</v>
      </c>
      <c r="U1748" s="2" t="s">
        <v>136</v>
      </c>
      <c r="V1748" s="162" t="str" cm="1">
        <f t="array" ref="V1748">_xlfn.IFS(C1748="","",COUNTIF(C1748,"ตำแหน่งว่าง*"),"ว่าง",COUNTIF(C1748,"&lt;&gt;ตำแหน่งว่าง*"),"คนครอง")</f>
        <v>คนครอง</v>
      </c>
      <c r="W1748" s="5" cm="1">
        <f t="array" ref="W1748">_xlfn.IFS(COUNTIF(F1748,"ผบ.หมู่*"),51,COUNTIF(F1748,"รอง สว.*"),43)</f>
        <v>43</v>
      </c>
      <c r="X1748" s="5" t="s">
        <v>5062</v>
      </c>
      <c r="Y1748" s="5" t="s">
        <v>52</v>
      </c>
    </row>
    <row r="1749" spans="1:25" s="12" customFormat="1" ht="21.3" customHeight="1">
      <c r="A1749" s="27" t="s">
        <v>157</v>
      </c>
      <c r="B1749" s="28" t="s">
        <v>21</v>
      </c>
      <c r="C1749" s="95" t="s">
        <v>5065</v>
      </c>
      <c r="D1749" s="27" t="s">
        <v>8944</v>
      </c>
      <c r="E1749" s="27" t="s">
        <v>9858</v>
      </c>
      <c r="F1749" s="95" t="s">
        <v>5042</v>
      </c>
      <c r="G1749" s="101" t="s">
        <v>5067</v>
      </c>
      <c r="H1749" s="75">
        <v>42501</v>
      </c>
      <c r="I1749" s="73">
        <v>34352</v>
      </c>
      <c r="J1749" s="73">
        <v>34352</v>
      </c>
      <c r="K1749" s="73">
        <v>27166</v>
      </c>
      <c r="L1749" s="11" t="s">
        <v>5012</v>
      </c>
      <c r="M1749" s="1" t="s">
        <v>56</v>
      </c>
      <c r="N1749" s="111" t="s">
        <v>14</v>
      </c>
      <c r="O1749" s="104" t="s">
        <v>52</v>
      </c>
      <c r="P1749" s="104" t="s">
        <v>52</v>
      </c>
      <c r="Q1749" s="105"/>
      <c r="R1749" s="28" t="s">
        <v>110</v>
      </c>
      <c r="S1749" s="225">
        <f t="shared" si="27"/>
        <v>49218</v>
      </c>
      <c r="T1749" s="162" t="s">
        <v>7644</v>
      </c>
      <c r="U1749" s="2" t="s">
        <v>136</v>
      </c>
      <c r="V1749" s="162" t="str" cm="1">
        <f t="array" ref="V1749">_xlfn.IFS(C1749="","",COUNTIF(C1749,"ตำแหน่งว่าง*"),"ว่าง",COUNTIF(C1749,"&lt;&gt;ตำแหน่งว่าง*"),"คนครอง")</f>
        <v>คนครอง</v>
      </c>
      <c r="W1749" s="6" cm="1">
        <f t="array" ref="W1749">_xlfn.IFS(COUNTIF(F1749,"ผบ.หมู่*"),51,COUNTIF(F1749,"รอง สว.*"),43)</f>
        <v>51</v>
      </c>
      <c r="X1749" s="5" t="s">
        <v>5066</v>
      </c>
      <c r="Y1749" s="5" t="s">
        <v>52</v>
      </c>
    </row>
    <row r="1750" spans="1:25" s="12" customFormat="1" ht="21.3" customHeight="1">
      <c r="A1750" s="27" t="s">
        <v>157</v>
      </c>
      <c r="B1750" s="28" t="s">
        <v>12</v>
      </c>
      <c r="C1750" s="68" t="s">
        <v>5201</v>
      </c>
      <c r="D1750" s="27" t="s">
        <v>9827</v>
      </c>
      <c r="E1750" s="27" t="s">
        <v>9828</v>
      </c>
      <c r="F1750" s="95" t="s">
        <v>5042</v>
      </c>
      <c r="G1750" s="101" t="s">
        <v>5069</v>
      </c>
      <c r="H1750" s="75">
        <v>45768</v>
      </c>
      <c r="I1750" s="73">
        <v>37316</v>
      </c>
      <c r="J1750" s="73">
        <v>37316</v>
      </c>
      <c r="K1750" s="73">
        <v>29419</v>
      </c>
      <c r="L1750" s="11" t="s">
        <v>5204</v>
      </c>
      <c r="M1750" s="1" t="s">
        <v>77</v>
      </c>
      <c r="N1750" s="111" t="s">
        <v>14</v>
      </c>
      <c r="O1750" s="104" t="s">
        <v>52</v>
      </c>
      <c r="P1750" s="104" t="s">
        <v>52</v>
      </c>
      <c r="Q1750" s="105"/>
      <c r="R1750" s="26" t="s">
        <v>10712</v>
      </c>
      <c r="S1750" s="225">
        <f t="shared" si="27"/>
        <v>51410</v>
      </c>
      <c r="T1750" s="162" t="s">
        <v>7644</v>
      </c>
      <c r="U1750" s="2" t="s">
        <v>136</v>
      </c>
      <c r="V1750" s="162" t="str" cm="1">
        <f t="array" ref="V1750">_xlfn.IFS(C1750="","",COUNTIF(C1750,"ตำแหน่งว่าง*"),"ว่าง",COUNTIF(C1750,"&lt;&gt;ตำแหน่งว่าง*"),"คนครอง")</f>
        <v>คนครอง</v>
      </c>
      <c r="W1750" s="5" cm="1">
        <f t="array" ref="W1750">_xlfn.IFS(COUNTIF(F1750,"ผบ.หมู่*"),51,COUNTIF(F1750,"รอง สว.*"),43)</f>
        <v>51</v>
      </c>
      <c r="X1750" s="5" t="s">
        <v>5068</v>
      </c>
      <c r="Y1750" s="5" t="s">
        <v>52</v>
      </c>
    </row>
    <row r="1751" spans="1:25" s="12" customFormat="1" ht="21.3" customHeight="1">
      <c r="A1751" s="27" t="s">
        <v>157</v>
      </c>
      <c r="B1751" s="28" t="s">
        <v>21</v>
      </c>
      <c r="C1751" s="27" t="s">
        <v>5070</v>
      </c>
      <c r="D1751" s="27" t="s">
        <v>9859</v>
      </c>
      <c r="E1751" s="27" t="s">
        <v>9860</v>
      </c>
      <c r="F1751" s="27" t="s">
        <v>5042</v>
      </c>
      <c r="G1751" s="101" t="s">
        <v>5072</v>
      </c>
      <c r="H1751" s="91">
        <v>44999</v>
      </c>
      <c r="I1751" s="73">
        <v>40084</v>
      </c>
      <c r="J1751" s="73">
        <v>40084</v>
      </c>
      <c r="K1751" s="73">
        <v>30892</v>
      </c>
      <c r="L1751" s="11" t="s">
        <v>5073</v>
      </c>
      <c r="M1751" s="1" t="s">
        <v>77</v>
      </c>
      <c r="N1751" s="112" t="s">
        <v>14</v>
      </c>
      <c r="O1751" s="104" t="s">
        <v>52</v>
      </c>
      <c r="P1751" s="104" t="s">
        <v>52</v>
      </c>
      <c r="Q1751" s="105"/>
      <c r="R1751" s="28" t="s">
        <v>74</v>
      </c>
      <c r="S1751" s="225">
        <f t="shared" si="27"/>
        <v>52871</v>
      </c>
      <c r="T1751" s="162" t="s">
        <v>7644</v>
      </c>
      <c r="U1751" s="2" t="s">
        <v>136</v>
      </c>
      <c r="V1751" s="162" t="str" cm="1">
        <f t="array" ref="V1751">_xlfn.IFS(C1751="","",COUNTIF(C1751,"ตำแหน่งว่าง*"),"ว่าง",COUNTIF(C1751,"&lt;&gt;ตำแหน่งว่าง*"),"คนครอง")</f>
        <v>คนครอง</v>
      </c>
      <c r="W1751" s="6" cm="1">
        <f t="array" ref="W1751">_xlfn.IFS(COUNTIF(F1751,"ผบ.หมู่*"),51,COUNTIF(F1751,"รอง สว.*"),43)</f>
        <v>51</v>
      </c>
      <c r="X1751" s="1" t="s">
        <v>5071</v>
      </c>
      <c r="Y1751" s="1" t="s">
        <v>52</v>
      </c>
    </row>
    <row r="1752" spans="1:25" s="9" customFormat="1" ht="21.3" customHeight="1">
      <c r="A1752" s="27" t="s">
        <v>26</v>
      </c>
      <c r="B1752" s="28" t="s">
        <v>21</v>
      </c>
      <c r="C1752" s="27" t="s">
        <v>5074</v>
      </c>
      <c r="D1752" s="27" t="s">
        <v>8098</v>
      </c>
      <c r="E1752" s="27" t="s">
        <v>9861</v>
      </c>
      <c r="F1752" s="27" t="s">
        <v>5037</v>
      </c>
      <c r="G1752" s="101" t="s">
        <v>5076</v>
      </c>
      <c r="H1752" s="75">
        <v>44599</v>
      </c>
      <c r="I1752" s="75">
        <v>44286</v>
      </c>
      <c r="J1752" s="75">
        <v>32174</v>
      </c>
      <c r="K1752" s="75">
        <v>24981</v>
      </c>
      <c r="L1752" s="34" t="s">
        <v>5077</v>
      </c>
      <c r="M1752" s="28" t="s">
        <v>77</v>
      </c>
      <c r="N1752" s="112" t="s">
        <v>14</v>
      </c>
      <c r="O1752" s="104" t="s">
        <v>52</v>
      </c>
      <c r="P1752" s="104" t="s">
        <v>52</v>
      </c>
      <c r="Q1752" s="105"/>
      <c r="R1752" s="28" t="s">
        <v>2662</v>
      </c>
      <c r="S1752" s="225">
        <f t="shared" si="27"/>
        <v>47027</v>
      </c>
      <c r="T1752" s="2" t="s">
        <v>7644</v>
      </c>
      <c r="U1752" s="2" t="s">
        <v>136</v>
      </c>
      <c r="V1752" s="162" t="str" cm="1">
        <f t="array" ref="V1752">_xlfn.IFS(C1752="","",COUNTIF(C1752,"ตำแหน่งว่าง*"),"ว่าง",COUNTIF(C1752,"&lt;&gt;ตำแหน่งว่าง*"),"คนครอง")</f>
        <v>คนครอง</v>
      </c>
      <c r="W1752" s="5" cm="1">
        <f t="array" ref="W1752">_xlfn.IFS(COUNTIF(F1752,"ผบ.หมู่*"),51,COUNTIF(F1752,"รอง สว.*"),43)</f>
        <v>43</v>
      </c>
      <c r="X1752" s="1" t="s">
        <v>5075</v>
      </c>
      <c r="Y1752" s="1" t="s">
        <v>52</v>
      </c>
    </row>
    <row r="1753" spans="1:25" s="12" customFormat="1" ht="21.3" customHeight="1">
      <c r="A1753" s="27" t="s">
        <v>26</v>
      </c>
      <c r="B1753" s="28" t="s">
        <v>12</v>
      </c>
      <c r="C1753" s="95" t="s">
        <v>5078</v>
      </c>
      <c r="D1753" s="27" t="s">
        <v>9862</v>
      </c>
      <c r="E1753" s="27" t="s">
        <v>9863</v>
      </c>
      <c r="F1753" s="95" t="s">
        <v>5037</v>
      </c>
      <c r="G1753" s="101" t="s">
        <v>5080</v>
      </c>
      <c r="H1753" s="91">
        <v>43921</v>
      </c>
      <c r="I1753" s="73">
        <v>43921</v>
      </c>
      <c r="J1753" s="73">
        <v>34366</v>
      </c>
      <c r="K1753" s="73">
        <v>24709</v>
      </c>
      <c r="L1753" s="11" t="s">
        <v>5055</v>
      </c>
      <c r="M1753" s="1" t="s">
        <v>77</v>
      </c>
      <c r="N1753" s="111" t="s">
        <v>14</v>
      </c>
      <c r="O1753" s="104" t="s">
        <v>52</v>
      </c>
      <c r="P1753" s="104" t="s">
        <v>52</v>
      </c>
      <c r="Q1753" s="105"/>
      <c r="R1753" s="26" t="s">
        <v>2700</v>
      </c>
      <c r="S1753" s="225">
        <f t="shared" si="27"/>
        <v>46661</v>
      </c>
      <c r="T1753" s="162" t="s">
        <v>7644</v>
      </c>
      <c r="U1753" s="2" t="s">
        <v>136</v>
      </c>
      <c r="V1753" s="162" t="str" cm="1">
        <f t="array" ref="V1753">_xlfn.IFS(C1753="","",COUNTIF(C1753,"ตำแหน่งว่าง*"),"ว่าง",COUNTIF(C1753,"&lt;&gt;ตำแหน่งว่าง*"),"คนครอง")</f>
        <v>คนครอง</v>
      </c>
      <c r="W1753" s="5" cm="1">
        <f t="array" ref="W1753">_xlfn.IFS(COUNTIF(F1753,"ผบ.หมู่*"),51,COUNTIF(F1753,"รอง สว.*"),43)</f>
        <v>43</v>
      </c>
      <c r="X1753" s="5" t="s">
        <v>5079</v>
      </c>
      <c r="Y1753" s="5" t="s">
        <v>52</v>
      </c>
    </row>
    <row r="1754" spans="1:25" s="12" customFormat="1" ht="21.3" customHeight="1">
      <c r="A1754" s="27" t="s">
        <v>30</v>
      </c>
      <c r="B1754" s="28" t="s">
        <v>12</v>
      </c>
      <c r="C1754" s="95" t="s">
        <v>5081</v>
      </c>
      <c r="D1754" s="27" t="s">
        <v>9864</v>
      </c>
      <c r="E1754" s="27" t="s">
        <v>9865</v>
      </c>
      <c r="F1754" s="95" t="s">
        <v>5037</v>
      </c>
      <c r="G1754" s="101" t="s">
        <v>5083</v>
      </c>
      <c r="H1754" s="75">
        <v>43555</v>
      </c>
      <c r="I1754" s="73">
        <v>43555</v>
      </c>
      <c r="J1754" s="73">
        <v>31444</v>
      </c>
      <c r="K1754" s="73">
        <v>24275</v>
      </c>
      <c r="L1754" s="11" t="s">
        <v>5084</v>
      </c>
      <c r="M1754" s="1" t="s">
        <v>77</v>
      </c>
      <c r="N1754" s="111" t="s">
        <v>14</v>
      </c>
      <c r="O1754" s="104" t="s">
        <v>52</v>
      </c>
      <c r="P1754" s="104" t="s">
        <v>52</v>
      </c>
      <c r="Q1754" s="105"/>
      <c r="R1754" s="26" t="s">
        <v>2892</v>
      </c>
      <c r="S1754" s="225">
        <f t="shared" si="27"/>
        <v>46296</v>
      </c>
      <c r="T1754" s="162" t="s">
        <v>7644</v>
      </c>
      <c r="U1754" s="2" t="s">
        <v>136</v>
      </c>
      <c r="V1754" s="162" t="str" cm="1">
        <f t="array" ref="V1754">_xlfn.IFS(C1754="","",COUNTIF(C1754,"ตำแหน่งว่าง*"),"ว่าง",COUNTIF(C1754,"&lt;&gt;ตำแหน่งว่าง*"),"คนครอง")</f>
        <v>คนครอง</v>
      </c>
      <c r="W1754" s="5" cm="1">
        <f t="array" ref="W1754">_xlfn.IFS(COUNTIF(F1754,"ผบ.หมู่*"),51,COUNTIF(F1754,"รอง สว.*"),43)</f>
        <v>43</v>
      </c>
      <c r="X1754" s="5" t="s">
        <v>5082</v>
      </c>
      <c r="Y1754" s="5" t="s">
        <v>52</v>
      </c>
    </row>
    <row r="1755" spans="1:25" s="9" customFormat="1" ht="21.3" customHeight="1">
      <c r="A1755" s="27" t="s">
        <v>612</v>
      </c>
      <c r="B1755" s="28" t="s">
        <v>21</v>
      </c>
      <c r="C1755" s="27" t="s">
        <v>5085</v>
      </c>
      <c r="D1755" s="27" t="s">
        <v>9866</v>
      </c>
      <c r="E1755" s="27" t="s">
        <v>9867</v>
      </c>
      <c r="F1755" s="27" t="s">
        <v>5086</v>
      </c>
      <c r="G1755" s="101" t="s">
        <v>5088</v>
      </c>
      <c r="H1755" s="75">
        <v>43656</v>
      </c>
      <c r="I1755" s="82">
        <v>41944</v>
      </c>
      <c r="J1755" s="82">
        <v>41944</v>
      </c>
      <c r="K1755" s="82">
        <v>30110</v>
      </c>
      <c r="L1755" s="58" t="s">
        <v>5089</v>
      </c>
      <c r="M1755" s="69" t="s">
        <v>106</v>
      </c>
      <c r="N1755" s="112" t="s">
        <v>14</v>
      </c>
      <c r="O1755" s="104" t="s">
        <v>52</v>
      </c>
      <c r="P1755" s="104" t="s">
        <v>52</v>
      </c>
      <c r="Q1755" s="105"/>
      <c r="R1755" s="26" t="s">
        <v>713</v>
      </c>
      <c r="S1755" s="225">
        <f t="shared" si="27"/>
        <v>52140</v>
      </c>
      <c r="T1755" s="2" t="s">
        <v>7645</v>
      </c>
      <c r="U1755" s="2" t="s">
        <v>136</v>
      </c>
      <c r="V1755" s="162" t="str" cm="1">
        <f t="array" ref="V1755">_xlfn.IFS(C1755="","",COUNTIF(C1755,"ตำแหน่งว่าง*"),"ว่าง",COUNTIF(C1755,"&lt;&gt;ตำแหน่งว่าง*"),"คนครอง")</f>
        <v>คนครอง</v>
      </c>
      <c r="W1755" s="6" cm="1">
        <f t="array" ref="W1755">_xlfn.IFS(COUNTIF(F1755,"ผบ.หมู่*"),51,COUNTIF(F1755,"รอง สว.*"),43)</f>
        <v>51</v>
      </c>
      <c r="X1755" s="28" t="s">
        <v>5087</v>
      </c>
      <c r="Y1755" s="28" t="s">
        <v>52</v>
      </c>
    </row>
    <row r="1756" spans="1:25" s="9" customFormat="1" ht="21.3" customHeight="1">
      <c r="A1756" s="27" t="s">
        <v>157</v>
      </c>
      <c r="B1756" s="28" t="s">
        <v>12</v>
      </c>
      <c r="C1756" s="27" t="s">
        <v>5090</v>
      </c>
      <c r="D1756" s="27" t="s">
        <v>7983</v>
      </c>
      <c r="E1756" s="27" t="s">
        <v>8293</v>
      </c>
      <c r="F1756" s="27" t="s">
        <v>5086</v>
      </c>
      <c r="G1756" s="101" t="s">
        <v>5092</v>
      </c>
      <c r="H1756" s="91">
        <v>44999</v>
      </c>
      <c r="I1756" s="73">
        <v>41214</v>
      </c>
      <c r="J1756" s="73">
        <v>41214</v>
      </c>
      <c r="K1756" s="73">
        <v>32680</v>
      </c>
      <c r="L1756" s="11" t="s">
        <v>82</v>
      </c>
      <c r="M1756" s="1" t="s">
        <v>106</v>
      </c>
      <c r="N1756" s="112" t="s">
        <v>14</v>
      </c>
      <c r="O1756" s="104" t="s">
        <v>52</v>
      </c>
      <c r="P1756" s="104" t="s">
        <v>52</v>
      </c>
      <c r="Q1756" s="105"/>
      <c r="R1756" s="28" t="s">
        <v>688</v>
      </c>
      <c r="S1756" s="225">
        <f t="shared" si="27"/>
        <v>54697</v>
      </c>
      <c r="T1756" s="2" t="s">
        <v>7645</v>
      </c>
      <c r="U1756" s="2" t="s">
        <v>136</v>
      </c>
      <c r="V1756" s="162" t="str" cm="1">
        <f t="array" ref="V1756">_xlfn.IFS(C1756="","",COUNTIF(C1756,"ตำแหน่งว่าง*"),"ว่าง",COUNTIF(C1756,"&lt;&gt;ตำแหน่งว่าง*"),"คนครอง")</f>
        <v>คนครอง</v>
      </c>
      <c r="W1756" s="6" cm="1">
        <f t="array" ref="W1756">_xlfn.IFS(COUNTIF(F1756,"ผบ.หมู่*"),51,COUNTIF(F1756,"รอง สว.*"),43)</f>
        <v>51</v>
      </c>
      <c r="X1756" s="1" t="s">
        <v>5091</v>
      </c>
      <c r="Y1756" s="1" t="s">
        <v>52</v>
      </c>
    </row>
    <row r="1757" spans="1:25" s="10" customFormat="1" ht="21.3" customHeight="1">
      <c r="A1757" s="27" t="s">
        <v>612</v>
      </c>
      <c r="B1757" s="28" t="s">
        <v>12</v>
      </c>
      <c r="C1757" s="27" t="s">
        <v>5093</v>
      </c>
      <c r="D1757" s="27" t="s">
        <v>9868</v>
      </c>
      <c r="E1757" s="27" t="s">
        <v>8293</v>
      </c>
      <c r="F1757" s="27" t="s">
        <v>5086</v>
      </c>
      <c r="G1757" s="101" t="s">
        <v>5095</v>
      </c>
      <c r="H1757" s="91">
        <v>44243</v>
      </c>
      <c r="I1757" s="73">
        <v>42309</v>
      </c>
      <c r="J1757" s="73">
        <v>42309</v>
      </c>
      <c r="K1757" s="73">
        <v>32387</v>
      </c>
      <c r="L1757" s="11" t="s">
        <v>5096</v>
      </c>
      <c r="M1757" s="1" t="s">
        <v>106</v>
      </c>
      <c r="N1757" s="112" t="s">
        <v>14</v>
      </c>
      <c r="O1757" s="104" t="s">
        <v>52</v>
      </c>
      <c r="P1757" s="104" t="s">
        <v>52</v>
      </c>
      <c r="Q1757" s="105"/>
      <c r="R1757" s="28" t="s">
        <v>74</v>
      </c>
      <c r="S1757" s="225">
        <f t="shared" si="27"/>
        <v>54332</v>
      </c>
      <c r="T1757" s="7" t="s">
        <v>7645</v>
      </c>
      <c r="U1757" s="2" t="s">
        <v>136</v>
      </c>
      <c r="V1757" s="162" t="str" cm="1">
        <f t="array" ref="V1757">_xlfn.IFS(C1757="","",COUNTIF(C1757,"ตำแหน่งว่าง*"),"ว่าง",COUNTIF(C1757,"&lt;&gt;ตำแหน่งว่าง*"),"คนครอง")</f>
        <v>คนครอง</v>
      </c>
      <c r="W1757" s="6" cm="1">
        <f t="array" ref="W1757">_xlfn.IFS(COUNTIF(F1757,"ผบ.หมู่*"),51,COUNTIF(F1757,"รอง สว.*"),43)</f>
        <v>51</v>
      </c>
      <c r="X1757" s="1" t="s">
        <v>5094</v>
      </c>
      <c r="Y1757" s="1" t="s">
        <v>52</v>
      </c>
    </row>
    <row r="1758" spans="1:25" s="12" customFormat="1" ht="21.3" customHeight="1">
      <c r="A1758" s="27" t="s">
        <v>157</v>
      </c>
      <c r="B1758" s="28" t="s">
        <v>12</v>
      </c>
      <c r="C1758" s="95" t="s">
        <v>5097</v>
      </c>
      <c r="D1758" s="27" t="s">
        <v>9869</v>
      </c>
      <c r="E1758" s="27" t="s">
        <v>9870</v>
      </c>
      <c r="F1758" s="95" t="s">
        <v>5086</v>
      </c>
      <c r="G1758" s="101" t="s">
        <v>5099</v>
      </c>
      <c r="H1758" s="75">
        <v>42501</v>
      </c>
      <c r="I1758" s="73">
        <v>40339</v>
      </c>
      <c r="J1758" s="73">
        <v>40339</v>
      </c>
      <c r="K1758" s="73">
        <v>31621</v>
      </c>
      <c r="L1758" s="11" t="s">
        <v>5100</v>
      </c>
      <c r="M1758" s="1" t="s">
        <v>106</v>
      </c>
      <c r="N1758" s="111" t="s">
        <v>14</v>
      </c>
      <c r="O1758" s="104" t="s">
        <v>52</v>
      </c>
      <c r="P1758" s="104" t="s">
        <v>52</v>
      </c>
      <c r="Q1758" s="105"/>
      <c r="R1758" s="28" t="s">
        <v>110</v>
      </c>
      <c r="S1758" s="225">
        <f t="shared" si="27"/>
        <v>53601</v>
      </c>
      <c r="T1758" s="162" t="s">
        <v>7645</v>
      </c>
      <c r="U1758" s="2" t="s">
        <v>136</v>
      </c>
      <c r="V1758" s="162" t="str" cm="1">
        <f t="array" ref="V1758">_xlfn.IFS(C1758="","",COUNTIF(C1758,"ตำแหน่งว่าง*"),"ว่าง",COUNTIF(C1758,"&lt;&gt;ตำแหน่งว่าง*"),"คนครอง")</f>
        <v>คนครอง</v>
      </c>
      <c r="W1758" s="6" cm="1">
        <f t="array" ref="W1758">_xlfn.IFS(COUNTIF(F1758,"ผบ.หมู่*"),51,COUNTIF(F1758,"รอง สว.*"),43)</f>
        <v>51</v>
      </c>
      <c r="X1758" s="5" t="s">
        <v>5098</v>
      </c>
      <c r="Y1758" s="5" t="s">
        <v>52</v>
      </c>
    </row>
    <row r="1759" spans="1:25" s="12" customFormat="1" ht="21.3" customHeight="1">
      <c r="A1759" s="27" t="s">
        <v>30</v>
      </c>
      <c r="B1759" s="28" t="s">
        <v>12</v>
      </c>
      <c r="C1759" s="95" t="s">
        <v>5101</v>
      </c>
      <c r="D1759" s="27" t="s">
        <v>8052</v>
      </c>
      <c r="E1759" s="27" t="s">
        <v>9871</v>
      </c>
      <c r="F1759" s="95" t="s">
        <v>5102</v>
      </c>
      <c r="G1759" s="101" t="s">
        <v>5104</v>
      </c>
      <c r="H1759" s="75">
        <v>43555</v>
      </c>
      <c r="I1759" s="73">
        <v>43555</v>
      </c>
      <c r="J1759" s="73">
        <v>34352</v>
      </c>
      <c r="K1759" s="73">
        <v>24146</v>
      </c>
      <c r="L1759" s="11" t="s">
        <v>4073</v>
      </c>
      <c r="M1759" s="1" t="s">
        <v>106</v>
      </c>
      <c r="N1759" s="111" t="s">
        <v>14</v>
      </c>
      <c r="O1759" s="104" t="s">
        <v>52</v>
      </c>
      <c r="P1759" s="104" t="s">
        <v>52</v>
      </c>
      <c r="Q1759" s="105"/>
      <c r="R1759" s="28" t="s">
        <v>2892</v>
      </c>
      <c r="S1759" s="225">
        <f t="shared" si="27"/>
        <v>46296</v>
      </c>
      <c r="T1759" s="162" t="s">
        <v>7645</v>
      </c>
      <c r="U1759" s="2" t="s">
        <v>136</v>
      </c>
      <c r="V1759" s="162" t="str" cm="1">
        <f t="array" ref="V1759">_xlfn.IFS(C1759="","",COUNTIF(C1759,"ตำแหน่งว่าง*"),"ว่าง",COUNTIF(C1759,"&lt;&gt;ตำแหน่งว่าง*"),"คนครอง")</f>
        <v>คนครอง</v>
      </c>
      <c r="W1759" s="5" cm="1">
        <f t="array" ref="W1759">_xlfn.IFS(COUNTIF(F1759,"ผบ.หมู่*"),51,COUNTIF(F1759,"รอง สว.*"),43)</f>
        <v>43</v>
      </c>
      <c r="X1759" s="5" t="s">
        <v>5103</v>
      </c>
      <c r="Y1759" s="5" t="s">
        <v>52</v>
      </c>
    </row>
    <row r="1760" spans="1:25" s="12" customFormat="1" ht="21.3" customHeight="1">
      <c r="A1760" s="27" t="s">
        <v>60</v>
      </c>
      <c r="B1760" s="28" t="s">
        <v>12</v>
      </c>
      <c r="C1760" s="95" t="s">
        <v>5105</v>
      </c>
      <c r="D1760" s="27" t="s">
        <v>9872</v>
      </c>
      <c r="E1760" s="27" t="s">
        <v>8289</v>
      </c>
      <c r="F1760" s="95" t="s">
        <v>5102</v>
      </c>
      <c r="G1760" s="101" t="s">
        <v>5107</v>
      </c>
      <c r="H1760" s="75">
        <v>42501</v>
      </c>
      <c r="I1760" s="73">
        <v>34352</v>
      </c>
      <c r="J1760" s="73">
        <v>34352</v>
      </c>
      <c r="K1760" s="73">
        <v>26208</v>
      </c>
      <c r="L1760" s="11" t="s">
        <v>5108</v>
      </c>
      <c r="M1760" s="1" t="s">
        <v>106</v>
      </c>
      <c r="N1760" s="111" t="s">
        <v>14</v>
      </c>
      <c r="O1760" s="104" t="s">
        <v>52</v>
      </c>
      <c r="P1760" s="104" t="s">
        <v>52</v>
      </c>
      <c r="Q1760" s="105"/>
      <c r="R1760" s="28" t="s">
        <v>110</v>
      </c>
      <c r="S1760" s="225">
        <f t="shared" si="27"/>
        <v>48488</v>
      </c>
      <c r="T1760" s="162" t="s">
        <v>7645</v>
      </c>
      <c r="U1760" s="2" t="s">
        <v>136</v>
      </c>
      <c r="V1760" s="162" t="str" cm="1">
        <f t="array" ref="V1760">_xlfn.IFS(C1760="","",COUNTIF(C1760,"ตำแหน่งว่าง*"),"ว่าง",COUNTIF(C1760,"&lt;&gt;ตำแหน่งว่าง*"),"คนครอง")</f>
        <v>คนครอง</v>
      </c>
      <c r="W1760" s="6" cm="1">
        <f t="array" ref="W1760">_xlfn.IFS(COUNTIF(F1760,"ผบ.หมู่*"),51,COUNTIF(F1760,"รอง สว.*"),43)</f>
        <v>43</v>
      </c>
      <c r="X1760" s="5" t="s">
        <v>5106</v>
      </c>
      <c r="Y1760" s="5" t="s">
        <v>52</v>
      </c>
    </row>
    <row r="1761" spans="1:25" s="12" customFormat="1" ht="21.3" customHeight="1">
      <c r="A1761" s="27" t="s">
        <v>26</v>
      </c>
      <c r="B1761" s="28" t="s">
        <v>12</v>
      </c>
      <c r="C1761" s="95" t="s">
        <v>5109</v>
      </c>
      <c r="D1761" s="27" t="s">
        <v>8341</v>
      </c>
      <c r="E1761" s="27" t="s">
        <v>9873</v>
      </c>
      <c r="F1761" s="95" t="s">
        <v>5102</v>
      </c>
      <c r="G1761" s="101" t="s">
        <v>5111</v>
      </c>
      <c r="H1761" s="91">
        <v>43921</v>
      </c>
      <c r="I1761" s="73">
        <v>43921</v>
      </c>
      <c r="J1761" s="73">
        <v>34352</v>
      </c>
      <c r="K1761" s="73">
        <v>24595</v>
      </c>
      <c r="L1761" s="11" t="s">
        <v>3165</v>
      </c>
      <c r="M1761" s="1" t="s">
        <v>106</v>
      </c>
      <c r="N1761" s="111" t="s">
        <v>14</v>
      </c>
      <c r="O1761" s="104" t="s">
        <v>52</v>
      </c>
      <c r="P1761" s="104" t="s">
        <v>52</v>
      </c>
      <c r="Q1761" s="105"/>
      <c r="R1761" s="28" t="s">
        <v>5112</v>
      </c>
      <c r="S1761" s="225">
        <f t="shared" si="27"/>
        <v>46661</v>
      </c>
      <c r="T1761" s="162" t="s">
        <v>7645</v>
      </c>
      <c r="U1761" s="2" t="s">
        <v>136</v>
      </c>
      <c r="V1761" s="162" t="str" cm="1">
        <f t="array" ref="V1761">_xlfn.IFS(C1761="","",COUNTIF(C1761,"ตำแหน่งว่าง*"),"ว่าง",COUNTIF(C1761,"&lt;&gt;ตำแหน่งว่าง*"),"คนครอง")</f>
        <v>คนครอง</v>
      </c>
      <c r="W1761" s="5" cm="1">
        <f t="array" ref="W1761">_xlfn.IFS(COUNTIF(F1761,"ผบ.หมู่*"),51,COUNTIF(F1761,"รอง สว.*"),43)</f>
        <v>43</v>
      </c>
      <c r="X1761" s="5" t="s">
        <v>5110</v>
      </c>
      <c r="Y1761" s="5" t="s">
        <v>52</v>
      </c>
    </row>
    <row r="1762" spans="1:25" s="12" customFormat="1" ht="21.3" customHeight="1">
      <c r="A1762" s="27" t="s">
        <v>26</v>
      </c>
      <c r="B1762" s="28" t="s">
        <v>21</v>
      </c>
      <c r="C1762" s="95" t="s">
        <v>5113</v>
      </c>
      <c r="D1762" s="27" t="s">
        <v>9874</v>
      </c>
      <c r="E1762" s="27" t="s">
        <v>9873</v>
      </c>
      <c r="F1762" s="95" t="s">
        <v>5102</v>
      </c>
      <c r="G1762" s="101" t="s">
        <v>5115</v>
      </c>
      <c r="H1762" s="91">
        <v>44286</v>
      </c>
      <c r="I1762" s="73">
        <v>44286</v>
      </c>
      <c r="J1762" s="73">
        <v>34352</v>
      </c>
      <c r="K1762" s="73">
        <v>25057</v>
      </c>
      <c r="L1762" s="11" t="s">
        <v>5116</v>
      </c>
      <c r="M1762" s="1" t="s">
        <v>106</v>
      </c>
      <c r="N1762" s="111" t="s">
        <v>14</v>
      </c>
      <c r="O1762" s="104" t="s">
        <v>52</v>
      </c>
      <c r="P1762" s="104" t="s">
        <v>52</v>
      </c>
      <c r="Q1762" s="105"/>
      <c r="R1762" s="28" t="s">
        <v>1313</v>
      </c>
      <c r="S1762" s="225">
        <f t="shared" si="27"/>
        <v>47027</v>
      </c>
      <c r="T1762" s="162" t="s">
        <v>7645</v>
      </c>
      <c r="U1762" s="2" t="s">
        <v>136</v>
      </c>
      <c r="V1762" s="162" t="str" cm="1">
        <f t="array" ref="V1762">_xlfn.IFS(C1762="","",COUNTIF(C1762,"ตำแหน่งว่าง*"),"ว่าง",COUNTIF(C1762,"&lt;&gt;ตำแหน่งว่าง*"),"คนครอง")</f>
        <v>คนครอง</v>
      </c>
      <c r="W1762" s="5" cm="1">
        <f t="array" ref="W1762">_xlfn.IFS(COUNTIF(F1762,"ผบ.หมู่*"),51,COUNTIF(F1762,"รอง สว.*"),43)</f>
        <v>43</v>
      </c>
      <c r="X1762" s="5" t="s">
        <v>5114</v>
      </c>
      <c r="Y1762" s="5" t="s">
        <v>52</v>
      </c>
    </row>
    <row r="1763" spans="1:25" s="10" customFormat="1" ht="21.3" customHeight="1">
      <c r="A1763" s="27" t="s">
        <v>208</v>
      </c>
      <c r="B1763" s="28" t="s">
        <v>21</v>
      </c>
      <c r="C1763" s="27" t="s">
        <v>7760</v>
      </c>
      <c r="D1763" s="27" t="s">
        <v>9875</v>
      </c>
      <c r="E1763" s="27" t="s">
        <v>9876</v>
      </c>
      <c r="F1763" s="27" t="s">
        <v>5086</v>
      </c>
      <c r="G1763" s="101" t="s">
        <v>5118</v>
      </c>
      <c r="H1763" s="91">
        <v>45322</v>
      </c>
      <c r="I1763" s="73">
        <v>43693</v>
      </c>
      <c r="J1763" s="73">
        <v>43693</v>
      </c>
      <c r="K1763" s="73">
        <v>34287</v>
      </c>
      <c r="L1763" s="11" t="s">
        <v>644</v>
      </c>
      <c r="M1763" s="1" t="s">
        <v>106</v>
      </c>
      <c r="N1763" s="112" t="s">
        <v>14</v>
      </c>
      <c r="O1763" s="104" t="s">
        <v>52</v>
      </c>
      <c r="P1763" s="104" t="s">
        <v>52</v>
      </c>
      <c r="Q1763" s="105"/>
      <c r="R1763" s="30" t="s">
        <v>7708</v>
      </c>
      <c r="S1763" s="225">
        <f t="shared" si="27"/>
        <v>56523</v>
      </c>
      <c r="T1763" s="7" t="s">
        <v>7645</v>
      </c>
      <c r="U1763" s="2" t="s">
        <v>136</v>
      </c>
      <c r="V1763" s="162" t="str" cm="1">
        <f t="array" ref="V1763">_xlfn.IFS(C1763="","",COUNTIF(C1763,"ตำแหน่งว่าง*"),"ว่าง",COUNTIF(C1763,"&lt;&gt;ตำแหน่งว่าง*"),"คนครอง")</f>
        <v>คนครอง</v>
      </c>
      <c r="W1763" s="6" cm="1">
        <f t="array" ref="W1763">_xlfn.IFS(COUNTIF(F1763,"ผบ.หมู่*"),51,COUNTIF(F1763,"รอง สว.*"),43)</f>
        <v>51</v>
      </c>
      <c r="X1763" s="1" t="s">
        <v>5117</v>
      </c>
      <c r="Y1763" s="1" t="s">
        <v>52</v>
      </c>
    </row>
    <row r="1764" spans="1:25" s="12" customFormat="1" ht="21.3" customHeight="1">
      <c r="A1764" s="27" t="s">
        <v>157</v>
      </c>
      <c r="B1764" s="28" t="s">
        <v>12</v>
      </c>
      <c r="C1764" s="95" t="s">
        <v>5119</v>
      </c>
      <c r="D1764" s="27" t="s">
        <v>8252</v>
      </c>
      <c r="E1764" s="27" t="s">
        <v>9877</v>
      </c>
      <c r="F1764" s="95" t="s">
        <v>5086</v>
      </c>
      <c r="G1764" s="101" t="s">
        <v>5121</v>
      </c>
      <c r="H1764" s="75">
        <v>42501</v>
      </c>
      <c r="I1764" s="73">
        <v>37316</v>
      </c>
      <c r="J1764" s="73">
        <v>37316</v>
      </c>
      <c r="K1764" s="73">
        <v>28335</v>
      </c>
      <c r="L1764" s="11" t="s">
        <v>5108</v>
      </c>
      <c r="M1764" s="1" t="s">
        <v>106</v>
      </c>
      <c r="N1764" s="111" t="s">
        <v>14</v>
      </c>
      <c r="O1764" s="104" t="s">
        <v>52</v>
      </c>
      <c r="P1764" s="104" t="s">
        <v>52</v>
      </c>
      <c r="Q1764" s="105"/>
      <c r="R1764" s="28" t="s">
        <v>110</v>
      </c>
      <c r="S1764" s="225">
        <f t="shared" si="27"/>
        <v>50314</v>
      </c>
      <c r="T1764" s="162" t="s">
        <v>7645</v>
      </c>
      <c r="U1764" s="2" t="s">
        <v>136</v>
      </c>
      <c r="V1764" s="162" t="str" cm="1">
        <f t="array" ref="V1764">_xlfn.IFS(C1764="","",COUNTIF(C1764,"ตำแหน่งว่าง*"),"ว่าง",COUNTIF(C1764,"&lt;&gt;ตำแหน่งว่าง*"),"คนครอง")</f>
        <v>คนครอง</v>
      </c>
      <c r="W1764" s="6" cm="1">
        <f t="array" ref="W1764">_xlfn.IFS(COUNTIF(F1764,"ผบ.หมู่*"),51,COUNTIF(F1764,"รอง สว.*"),43)</f>
        <v>51</v>
      </c>
      <c r="X1764" s="5" t="s">
        <v>5120</v>
      </c>
      <c r="Y1764" s="5" t="s">
        <v>52</v>
      </c>
    </row>
    <row r="1765" spans="1:25" s="12" customFormat="1" ht="21.3" customHeight="1">
      <c r="A1765" s="132" t="s">
        <v>10753</v>
      </c>
      <c r="B1765" s="28" t="s">
        <v>21</v>
      </c>
      <c r="C1765" s="95" t="s">
        <v>5122</v>
      </c>
      <c r="D1765" s="27" t="s">
        <v>9878</v>
      </c>
      <c r="E1765" s="27" t="s">
        <v>9879</v>
      </c>
      <c r="F1765" s="95" t="s">
        <v>5102</v>
      </c>
      <c r="G1765" s="101" t="s">
        <v>5124</v>
      </c>
      <c r="H1765" s="91">
        <v>45382</v>
      </c>
      <c r="I1765" s="73">
        <v>45382</v>
      </c>
      <c r="J1765" s="73">
        <v>37316</v>
      </c>
      <c r="K1765" s="73">
        <v>26087</v>
      </c>
      <c r="L1765" s="11" t="s">
        <v>5125</v>
      </c>
      <c r="M1765" s="1" t="s">
        <v>106</v>
      </c>
      <c r="N1765" s="111" t="s">
        <v>14</v>
      </c>
      <c r="O1765" s="104" t="s">
        <v>52</v>
      </c>
      <c r="P1765" s="104" t="s">
        <v>52</v>
      </c>
      <c r="Q1765" s="105"/>
      <c r="R1765" s="33" t="s">
        <v>7801</v>
      </c>
      <c r="S1765" s="225">
        <f t="shared" si="27"/>
        <v>48122</v>
      </c>
      <c r="T1765" s="162" t="s">
        <v>7645</v>
      </c>
      <c r="U1765" s="2" t="s">
        <v>136</v>
      </c>
      <c r="V1765" s="162" t="str" cm="1">
        <f t="array" ref="V1765">_xlfn.IFS(C1765="","",COUNTIF(C1765,"ตำแหน่งว่าง*"),"ว่าง",COUNTIF(C1765,"&lt;&gt;ตำแหน่งว่าง*"),"คนครอง")</f>
        <v>คนครอง</v>
      </c>
      <c r="W1765" s="6" cm="1">
        <f t="array" ref="W1765">_xlfn.IFS(COUNTIF(F1765,"ผบ.หมู่*"),51,COUNTIF(F1765,"รอง สว.*"),43)</f>
        <v>43</v>
      </c>
      <c r="X1765" s="5" t="s">
        <v>5123</v>
      </c>
      <c r="Y1765" s="5" t="s">
        <v>52</v>
      </c>
    </row>
    <row r="1766" spans="1:25" s="12" customFormat="1" ht="21.3" customHeight="1">
      <c r="A1766" s="27" t="s">
        <v>612</v>
      </c>
      <c r="B1766" s="28" t="s">
        <v>12</v>
      </c>
      <c r="C1766" s="95" t="s">
        <v>5126</v>
      </c>
      <c r="D1766" s="27" t="s">
        <v>9880</v>
      </c>
      <c r="E1766" s="27" t="s">
        <v>9881</v>
      </c>
      <c r="F1766" s="95" t="s">
        <v>5086</v>
      </c>
      <c r="G1766" s="101" t="s">
        <v>5128</v>
      </c>
      <c r="H1766" s="75">
        <v>42501</v>
      </c>
      <c r="I1766" s="73">
        <v>42416</v>
      </c>
      <c r="J1766" s="73">
        <v>42416</v>
      </c>
      <c r="K1766" s="73">
        <v>33758</v>
      </c>
      <c r="L1766" s="11" t="s">
        <v>82</v>
      </c>
      <c r="M1766" s="1" t="s">
        <v>106</v>
      </c>
      <c r="N1766" s="111" t="s">
        <v>14</v>
      </c>
      <c r="O1766" s="104" t="s">
        <v>52</v>
      </c>
      <c r="P1766" s="104" t="s">
        <v>52</v>
      </c>
      <c r="Q1766" s="105"/>
      <c r="R1766" s="28" t="s">
        <v>110</v>
      </c>
      <c r="S1766" s="225">
        <f t="shared" si="27"/>
        <v>55793</v>
      </c>
      <c r="T1766" s="162" t="s">
        <v>7645</v>
      </c>
      <c r="U1766" s="2" t="s">
        <v>136</v>
      </c>
      <c r="V1766" s="162" t="str" cm="1">
        <f t="array" ref="V1766">_xlfn.IFS(C1766="","",COUNTIF(C1766,"ตำแหน่งว่าง*"),"ว่าง",COUNTIF(C1766,"&lt;&gt;ตำแหน่งว่าง*"),"คนครอง")</f>
        <v>คนครอง</v>
      </c>
      <c r="W1766" s="6" cm="1">
        <f t="array" ref="W1766">_xlfn.IFS(COUNTIF(F1766,"ผบ.หมู่*"),51,COUNTIF(F1766,"รอง สว.*"),43)</f>
        <v>51</v>
      </c>
      <c r="X1766" s="5" t="s">
        <v>5127</v>
      </c>
      <c r="Y1766" s="5" t="s">
        <v>52</v>
      </c>
    </row>
    <row r="1767" spans="1:25" s="9" customFormat="1" ht="21.3" customHeight="1">
      <c r="A1767" s="27"/>
      <c r="B1767" s="28"/>
      <c r="C1767" s="30" t="s">
        <v>18</v>
      </c>
      <c r="D1767" s="27"/>
      <c r="E1767" s="27"/>
      <c r="F1767" s="27" t="s">
        <v>5086</v>
      </c>
      <c r="G1767" s="101" t="s">
        <v>5130</v>
      </c>
      <c r="H1767" s="91"/>
      <c r="I1767" s="73"/>
      <c r="J1767" s="73"/>
      <c r="K1767" s="73"/>
      <c r="L1767" s="11"/>
      <c r="M1767" s="1"/>
      <c r="N1767" s="112" t="s">
        <v>14</v>
      </c>
      <c r="O1767" s="104" t="s">
        <v>52</v>
      </c>
      <c r="P1767" s="104" t="s">
        <v>52</v>
      </c>
      <c r="Q1767" s="105"/>
      <c r="R1767" s="28"/>
      <c r="S1767" s="225" t="str">
        <f t="shared" si="27"/>
        <v/>
      </c>
      <c r="T1767" s="2" t="s">
        <v>7645</v>
      </c>
      <c r="U1767" s="2" t="s">
        <v>136</v>
      </c>
      <c r="V1767" s="162" t="str" cm="1">
        <f t="array" ref="V1767">_xlfn.IFS(C1767="","",COUNTIF(C1767,"ตำแหน่งว่าง*"),"ว่าง",COUNTIF(C1767,"&lt;&gt;ตำแหน่งว่าง*"),"คนครอง")</f>
        <v>ว่าง</v>
      </c>
      <c r="W1767" s="5" cm="1">
        <f t="array" ref="W1767">_xlfn.IFS(COUNTIF(F1767,"ผบ.หมู่*"),51,COUNTIF(F1767,"รอง สว.*"),43)</f>
        <v>51</v>
      </c>
      <c r="X1767" s="1" t="s">
        <v>5129</v>
      </c>
      <c r="Y1767" s="1" t="s">
        <v>52</v>
      </c>
    </row>
    <row r="1768" spans="1:25" s="12" customFormat="1" ht="21.3" customHeight="1">
      <c r="A1768" s="27" t="s">
        <v>157</v>
      </c>
      <c r="B1768" s="28" t="s">
        <v>12</v>
      </c>
      <c r="C1768" s="95" t="s">
        <v>5131</v>
      </c>
      <c r="D1768" s="27" t="s">
        <v>8075</v>
      </c>
      <c r="E1768" s="27" t="s">
        <v>9877</v>
      </c>
      <c r="F1768" s="95" t="s">
        <v>5086</v>
      </c>
      <c r="G1768" s="101" t="s">
        <v>5133</v>
      </c>
      <c r="H1768" s="75">
        <v>42940</v>
      </c>
      <c r="I1768" s="73">
        <v>35827</v>
      </c>
      <c r="J1768" s="73">
        <v>35827</v>
      </c>
      <c r="K1768" s="73">
        <v>27618</v>
      </c>
      <c r="L1768" s="11" t="s">
        <v>5134</v>
      </c>
      <c r="M1768" s="1" t="s">
        <v>106</v>
      </c>
      <c r="N1768" s="111" t="s">
        <v>14</v>
      </c>
      <c r="O1768" s="104" t="s">
        <v>52</v>
      </c>
      <c r="P1768" s="104" t="s">
        <v>52</v>
      </c>
      <c r="Q1768" s="105"/>
      <c r="R1768" s="28" t="s">
        <v>4298</v>
      </c>
      <c r="S1768" s="225">
        <f t="shared" si="27"/>
        <v>49583</v>
      </c>
      <c r="T1768" s="162" t="s">
        <v>7645</v>
      </c>
      <c r="U1768" s="2" t="s">
        <v>136</v>
      </c>
      <c r="V1768" s="162" t="str" cm="1">
        <f t="array" ref="V1768">_xlfn.IFS(C1768="","",COUNTIF(C1768,"ตำแหน่งว่าง*"),"ว่าง",COUNTIF(C1768,"&lt;&gt;ตำแหน่งว่าง*"),"คนครอง")</f>
        <v>คนครอง</v>
      </c>
      <c r="W1768" s="6" cm="1">
        <f t="array" ref="W1768">_xlfn.IFS(COUNTIF(F1768,"ผบ.หมู่*"),51,COUNTIF(F1768,"รอง สว.*"),43)</f>
        <v>51</v>
      </c>
      <c r="X1768" s="5" t="s">
        <v>5132</v>
      </c>
      <c r="Y1768" s="5" t="s">
        <v>52</v>
      </c>
    </row>
    <row r="1769" spans="1:25" s="9" customFormat="1" ht="21.3" customHeight="1">
      <c r="A1769" s="27"/>
      <c r="B1769" s="28"/>
      <c r="C1769" s="30" t="s">
        <v>18</v>
      </c>
      <c r="D1769" s="27"/>
      <c r="E1769" s="27"/>
      <c r="F1769" s="27" t="s">
        <v>5302</v>
      </c>
      <c r="G1769" s="101" t="s">
        <v>5304</v>
      </c>
      <c r="H1769" s="91"/>
      <c r="I1769" s="73"/>
      <c r="J1769" s="85"/>
      <c r="K1769" s="73"/>
      <c r="L1769" s="34"/>
      <c r="M1769" s="28"/>
      <c r="N1769" s="112" t="s">
        <v>14</v>
      </c>
      <c r="O1769" s="104" t="s">
        <v>52</v>
      </c>
      <c r="P1769" s="104" t="s">
        <v>52</v>
      </c>
      <c r="Q1769" s="105"/>
      <c r="R1769" s="28"/>
      <c r="S1769" s="225" t="str">
        <f t="shared" si="27"/>
        <v/>
      </c>
      <c r="T1769" s="2" t="s">
        <v>7649</v>
      </c>
      <c r="U1769" s="2" t="s">
        <v>136</v>
      </c>
      <c r="V1769" s="162" t="str" cm="1">
        <f t="array" ref="V1769">_xlfn.IFS(C1769="","",COUNTIF(C1769,"ตำแหน่งว่าง*"),"ว่าง",COUNTIF(C1769,"&lt;&gt;ตำแหน่งว่าง*"),"คนครอง")</f>
        <v>ว่าง</v>
      </c>
      <c r="W1769" s="6" cm="1">
        <f t="array" ref="W1769">_xlfn.IFS(COUNTIF(F1769,"ผบ.หมู่*"),51,COUNTIF(F1769,"รอง สว.*"),43)</f>
        <v>51</v>
      </c>
      <c r="X1769" s="1" t="s">
        <v>5303</v>
      </c>
      <c r="Y1769" s="1" t="s">
        <v>52</v>
      </c>
    </row>
    <row r="1770" spans="1:25" s="9" customFormat="1" ht="21.3" customHeight="1">
      <c r="A1770" s="68"/>
      <c r="B1770" s="30"/>
      <c r="C1770" s="45" t="s">
        <v>18</v>
      </c>
      <c r="D1770" s="27"/>
      <c r="E1770" s="27"/>
      <c r="F1770" s="68" t="s">
        <v>5302</v>
      </c>
      <c r="G1770" s="121" t="s">
        <v>5306</v>
      </c>
      <c r="H1770" s="93"/>
      <c r="I1770" s="74"/>
      <c r="J1770" s="90"/>
      <c r="K1770" s="74"/>
      <c r="L1770" s="45"/>
      <c r="M1770" s="30"/>
      <c r="N1770" s="113" t="s">
        <v>14</v>
      </c>
      <c r="O1770" s="122" t="s">
        <v>52</v>
      </c>
      <c r="P1770" s="122" t="s">
        <v>52</v>
      </c>
      <c r="Q1770" s="106"/>
      <c r="R1770" s="30"/>
      <c r="S1770" s="225" t="str">
        <f t="shared" si="27"/>
        <v/>
      </c>
      <c r="T1770" s="2" t="s">
        <v>7649</v>
      </c>
      <c r="U1770" s="2" t="s">
        <v>136</v>
      </c>
      <c r="V1770" s="171" t="str" cm="1">
        <f t="array" ref="V1770">_xlfn.IFS(C1770="","",COUNTIF(C1770,"ตำแหน่งว่าง*"),"ว่าง",COUNTIF(C1770,"&lt;&gt;ตำแหน่งว่าง*"),"คนครอง")</f>
        <v>ว่าง</v>
      </c>
      <c r="W1770" s="6" cm="1">
        <f t="array" ref="W1770">_xlfn.IFS(COUNTIF(F1770,"ผบ.หมู่*"),51,COUNTIF(F1770,"รอง สว.*"),43)</f>
        <v>51</v>
      </c>
      <c r="X1770" s="1" t="s">
        <v>5305</v>
      </c>
      <c r="Y1770" s="1" t="s">
        <v>52</v>
      </c>
    </row>
    <row r="1771" spans="1:25" s="9" customFormat="1" ht="21.3" customHeight="1">
      <c r="A1771" s="192" t="s">
        <v>169</v>
      </c>
      <c r="B1771" s="193" t="s">
        <v>12</v>
      </c>
      <c r="C1771" s="192" t="s">
        <v>7935</v>
      </c>
      <c r="D1771" s="27" t="s">
        <v>9883</v>
      </c>
      <c r="E1771" s="27" t="s">
        <v>9884</v>
      </c>
      <c r="F1771" s="192" t="s">
        <v>5302</v>
      </c>
      <c r="G1771" s="101" t="s">
        <v>5308</v>
      </c>
      <c r="H1771" s="73">
        <v>45463</v>
      </c>
      <c r="I1771" s="73">
        <v>45463</v>
      </c>
      <c r="J1771" s="73">
        <v>45463</v>
      </c>
      <c r="K1771" s="73">
        <v>36384</v>
      </c>
      <c r="L1771" s="2" t="s">
        <v>82</v>
      </c>
      <c r="M1771" s="28"/>
      <c r="N1771" s="112" t="s">
        <v>14</v>
      </c>
      <c r="O1771" s="104" t="s">
        <v>52</v>
      </c>
      <c r="P1771" s="104" t="s">
        <v>52</v>
      </c>
      <c r="Q1771" s="105"/>
      <c r="R1771" s="28" t="s">
        <v>7961</v>
      </c>
      <c r="S1771" s="174">
        <f t="shared" si="27"/>
        <v>58349</v>
      </c>
      <c r="T1771" s="2" t="s">
        <v>7649</v>
      </c>
      <c r="U1771" s="2" t="s">
        <v>136</v>
      </c>
      <c r="V1771" s="162" t="str" cm="1">
        <f t="array" ref="V1771">_xlfn.IFS(C1771="","",COUNTIF(C1771,"ตำแหน่งว่าง*"),"ว่าง",COUNTIF(C1771,"&lt;&gt;ตำแหน่งว่าง*"),"คนครอง")</f>
        <v>คนครอง</v>
      </c>
      <c r="W1771" s="1" cm="1">
        <f t="array" ref="W1771">_xlfn.IFS(COUNTIF(F1771,"ผบ.หมู่*"),51,COUNTIF(F1771,"รอง สว.*"),43)</f>
        <v>51</v>
      </c>
      <c r="X1771" s="1" t="s">
        <v>5307</v>
      </c>
      <c r="Y1771" s="1" t="s">
        <v>52</v>
      </c>
    </row>
    <row r="1772" spans="1:25" s="9" customFormat="1" ht="21.3" customHeight="1">
      <c r="A1772" s="27" t="s">
        <v>182</v>
      </c>
      <c r="B1772" s="28" t="s">
        <v>12</v>
      </c>
      <c r="C1772" s="34" t="s">
        <v>7831</v>
      </c>
      <c r="D1772" s="27" t="s">
        <v>9885</v>
      </c>
      <c r="E1772" s="27" t="s">
        <v>9886</v>
      </c>
      <c r="F1772" s="27" t="s">
        <v>5302</v>
      </c>
      <c r="G1772" s="101" t="s">
        <v>5310</v>
      </c>
      <c r="H1772" s="91">
        <v>44043</v>
      </c>
      <c r="I1772" s="73">
        <v>44043</v>
      </c>
      <c r="J1772" s="85">
        <v>44043</v>
      </c>
      <c r="K1772" s="73">
        <v>31656</v>
      </c>
      <c r="L1772" s="34" t="s">
        <v>82</v>
      </c>
      <c r="M1772" s="28" t="s">
        <v>47</v>
      </c>
      <c r="N1772" s="112" t="s">
        <v>14</v>
      </c>
      <c r="O1772" s="104" t="s">
        <v>52</v>
      </c>
      <c r="P1772" s="104" t="s">
        <v>52</v>
      </c>
      <c r="Q1772" s="105"/>
      <c r="R1772" s="28" t="s">
        <v>2436</v>
      </c>
      <c r="S1772" s="225">
        <f t="shared" si="27"/>
        <v>53601</v>
      </c>
      <c r="T1772" s="2" t="s">
        <v>7649</v>
      </c>
      <c r="U1772" s="2" t="s">
        <v>136</v>
      </c>
      <c r="V1772" s="162" t="str" cm="1">
        <f t="array" ref="V1772">_xlfn.IFS(C1772="","",COUNTIF(C1772,"ตำแหน่งว่าง*"),"ว่าง",COUNTIF(C1772,"&lt;&gt;ตำแหน่งว่าง*"),"คนครอง")</f>
        <v>คนครอง</v>
      </c>
      <c r="W1772" s="6" cm="1">
        <f t="array" ref="W1772">_xlfn.IFS(COUNTIF(F1772,"ผบ.หมู่*"),51,COUNTIF(F1772,"รอง สว.*"),43)</f>
        <v>51</v>
      </c>
      <c r="X1772" s="1" t="s">
        <v>5309</v>
      </c>
      <c r="Y1772" s="1" t="s">
        <v>52</v>
      </c>
    </row>
    <row r="1773" spans="1:25" s="10" customFormat="1" ht="21.3" customHeight="1">
      <c r="A1773" s="192" t="s">
        <v>169</v>
      </c>
      <c r="B1773" s="193" t="s">
        <v>12</v>
      </c>
      <c r="C1773" s="192" t="s">
        <v>7936</v>
      </c>
      <c r="D1773" s="27" t="s">
        <v>9887</v>
      </c>
      <c r="E1773" s="27" t="s">
        <v>9888</v>
      </c>
      <c r="F1773" s="192" t="s">
        <v>5302</v>
      </c>
      <c r="G1773" s="101" t="s">
        <v>5312</v>
      </c>
      <c r="H1773" s="73">
        <v>45463</v>
      </c>
      <c r="I1773" s="73">
        <v>45463</v>
      </c>
      <c r="J1773" s="73">
        <v>45463</v>
      </c>
      <c r="K1773" s="73">
        <v>34883</v>
      </c>
      <c r="L1773" s="2" t="s">
        <v>82</v>
      </c>
      <c r="M1773" s="28"/>
      <c r="N1773" s="112" t="s">
        <v>14</v>
      </c>
      <c r="O1773" s="104" t="s">
        <v>52</v>
      </c>
      <c r="P1773" s="104" t="s">
        <v>52</v>
      </c>
      <c r="Q1773" s="105"/>
      <c r="R1773" s="28" t="s">
        <v>7961</v>
      </c>
      <c r="S1773" s="174">
        <f t="shared" si="27"/>
        <v>56888</v>
      </c>
      <c r="T1773" s="2" t="s">
        <v>7649</v>
      </c>
      <c r="U1773" s="2" t="s">
        <v>136</v>
      </c>
      <c r="V1773" s="162" t="str" cm="1">
        <f t="array" ref="V1773">_xlfn.IFS(C1773="","",COUNTIF(C1773,"ตำแหน่งว่าง*"),"ว่าง",COUNTIF(C1773,"&lt;&gt;ตำแหน่งว่าง*"),"คนครอง")</f>
        <v>คนครอง</v>
      </c>
      <c r="W1773" s="1" cm="1">
        <f t="array" ref="W1773">_xlfn.IFS(COUNTIF(F1773,"ผบ.หมู่*"),51,COUNTIF(F1773,"รอง สว.*"),43)</f>
        <v>51</v>
      </c>
      <c r="X1773" s="1" t="s">
        <v>5311</v>
      </c>
      <c r="Y1773" s="1" t="s">
        <v>52</v>
      </c>
    </row>
    <row r="1774" spans="1:25" s="9" customFormat="1" ht="21.3" customHeight="1">
      <c r="A1774" s="27" t="s">
        <v>182</v>
      </c>
      <c r="B1774" s="28" t="s">
        <v>21</v>
      </c>
      <c r="C1774" s="34" t="s">
        <v>5313</v>
      </c>
      <c r="D1774" s="27" t="s">
        <v>9889</v>
      </c>
      <c r="E1774" s="27" t="s">
        <v>9890</v>
      </c>
      <c r="F1774" s="27" t="s">
        <v>5302</v>
      </c>
      <c r="G1774" s="101" t="s">
        <v>5315</v>
      </c>
      <c r="H1774" s="91">
        <v>44043</v>
      </c>
      <c r="I1774" s="73">
        <v>44043</v>
      </c>
      <c r="J1774" s="85">
        <v>44043</v>
      </c>
      <c r="K1774" s="73">
        <v>34203</v>
      </c>
      <c r="L1774" s="34" t="s">
        <v>82</v>
      </c>
      <c r="M1774" s="28" t="s">
        <v>47</v>
      </c>
      <c r="N1774" s="112" t="s">
        <v>14</v>
      </c>
      <c r="O1774" s="104" t="s">
        <v>52</v>
      </c>
      <c r="P1774" s="104" t="s">
        <v>52</v>
      </c>
      <c r="Q1774" s="105"/>
      <c r="R1774" s="28" t="s">
        <v>2436</v>
      </c>
      <c r="S1774" s="225">
        <f t="shared" si="27"/>
        <v>56158</v>
      </c>
      <c r="T1774" s="2" t="s">
        <v>7649</v>
      </c>
      <c r="U1774" s="2" t="s">
        <v>136</v>
      </c>
      <c r="V1774" s="162" t="str" cm="1">
        <f t="array" ref="V1774">_xlfn.IFS(C1774="","",COUNTIF(C1774,"ตำแหน่งว่าง*"),"ว่าง",COUNTIF(C1774,"&lt;&gt;ตำแหน่งว่าง*"),"คนครอง")</f>
        <v>คนครอง</v>
      </c>
      <c r="W1774" s="6" cm="1">
        <f t="array" ref="W1774">_xlfn.IFS(COUNTIF(F1774,"ผบ.หมู่*"),51,COUNTIF(F1774,"รอง สว.*"),43)</f>
        <v>51</v>
      </c>
      <c r="X1774" s="1" t="s">
        <v>5314</v>
      </c>
      <c r="Y1774" s="1" t="s">
        <v>52</v>
      </c>
    </row>
    <row r="1775" spans="1:25" s="12" customFormat="1" ht="21.3" customHeight="1">
      <c r="A1775" s="27" t="s">
        <v>157</v>
      </c>
      <c r="B1775" s="28" t="s">
        <v>12</v>
      </c>
      <c r="C1775" s="95" t="s">
        <v>5316</v>
      </c>
      <c r="D1775" s="27" t="s">
        <v>9891</v>
      </c>
      <c r="E1775" s="27" t="s">
        <v>9892</v>
      </c>
      <c r="F1775" s="95" t="s">
        <v>5302</v>
      </c>
      <c r="G1775" s="101" t="s">
        <v>5318</v>
      </c>
      <c r="H1775" s="91">
        <v>42501</v>
      </c>
      <c r="I1775" s="73">
        <v>37484</v>
      </c>
      <c r="J1775" s="73">
        <v>37484</v>
      </c>
      <c r="K1775" s="73">
        <v>29058</v>
      </c>
      <c r="L1775" s="34" t="s">
        <v>5319</v>
      </c>
      <c r="M1775" s="28" t="s">
        <v>137</v>
      </c>
      <c r="N1775" s="111" t="s">
        <v>14</v>
      </c>
      <c r="O1775" s="104" t="s">
        <v>52</v>
      </c>
      <c r="P1775" s="104" t="s">
        <v>52</v>
      </c>
      <c r="Q1775" s="105"/>
      <c r="R1775" s="28" t="s">
        <v>110</v>
      </c>
      <c r="S1775" s="225">
        <f t="shared" si="27"/>
        <v>51044</v>
      </c>
      <c r="T1775" s="162" t="s">
        <v>7649</v>
      </c>
      <c r="U1775" s="2" t="s">
        <v>136</v>
      </c>
      <c r="V1775" s="162" t="str" cm="1">
        <f t="array" ref="V1775">_xlfn.IFS(C1775="","",COUNTIF(C1775,"ตำแหน่งว่าง*"),"ว่าง",COUNTIF(C1775,"&lt;&gt;ตำแหน่งว่าง*"),"คนครอง")</f>
        <v>คนครอง</v>
      </c>
      <c r="W1775" s="6" cm="1">
        <f t="array" ref="W1775">_xlfn.IFS(COUNTIF(F1775,"ผบ.หมู่*"),51,COUNTIF(F1775,"รอง สว.*"),43)</f>
        <v>51</v>
      </c>
      <c r="X1775" s="5" t="s">
        <v>5317</v>
      </c>
      <c r="Y1775" s="5" t="s">
        <v>52</v>
      </c>
    </row>
    <row r="1776" spans="1:25" s="10" customFormat="1" ht="21.3" customHeight="1">
      <c r="A1776" s="27"/>
      <c r="B1776" s="28"/>
      <c r="C1776" s="30" t="s">
        <v>18</v>
      </c>
      <c r="D1776" s="27"/>
      <c r="E1776" s="27"/>
      <c r="F1776" s="68" t="s">
        <v>5302</v>
      </c>
      <c r="G1776" s="121" t="s">
        <v>5321</v>
      </c>
      <c r="H1776" s="91" t="s">
        <v>19</v>
      </c>
      <c r="I1776" s="73" t="s">
        <v>19</v>
      </c>
      <c r="J1776" s="73" t="s">
        <v>19</v>
      </c>
      <c r="K1776" s="73" t="s">
        <v>19</v>
      </c>
      <c r="L1776" s="34"/>
      <c r="M1776" s="28"/>
      <c r="N1776" s="113" t="s">
        <v>14</v>
      </c>
      <c r="O1776" s="122" t="s">
        <v>52</v>
      </c>
      <c r="P1776" s="122" t="s">
        <v>52</v>
      </c>
      <c r="Q1776" s="105"/>
      <c r="R1776" s="28"/>
      <c r="S1776" s="225" t="str">
        <f t="shared" si="27"/>
        <v/>
      </c>
      <c r="T1776" s="7" t="s">
        <v>7649</v>
      </c>
      <c r="U1776" s="2" t="s">
        <v>136</v>
      </c>
      <c r="V1776" s="171" t="str" cm="1">
        <f t="array" ref="V1776">_xlfn.IFS(C1776="","",COUNTIF(C1776,"ตำแหน่งว่าง*"),"ว่าง",COUNTIF(C1776,"&lt;&gt;ตำแหน่งว่าง*"),"คนครอง")</f>
        <v>ว่าง</v>
      </c>
      <c r="W1776" s="6" cm="1">
        <f t="array" ref="W1776">_xlfn.IFS(COUNTIF(F1776,"ผบ.หมู่*"),51,COUNTIF(F1776,"รอง สว.*"),43)</f>
        <v>51</v>
      </c>
      <c r="X1776" s="6" t="s">
        <v>5320</v>
      </c>
      <c r="Y1776" s="6" t="s">
        <v>52</v>
      </c>
    </row>
    <row r="1777" spans="1:25" s="10" customFormat="1" ht="21.3" customHeight="1">
      <c r="A1777" s="27"/>
      <c r="B1777" s="28"/>
      <c r="C1777" s="30" t="s">
        <v>18</v>
      </c>
      <c r="D1777" s="27"/>
      <c r="E1777" s="27"/>
      <c r="F1777" s="68" t="s">
        <v>5302</v>
      </c>
      <c r="G1777" s="121" t="s">
        <v>5323</v>
      </c>
      <c r="H1777" s="91" t="s">
        <v>19</v>
      </c>
      <c r="I1777" s="73" t="s">
        <v>19</v>
      </c>
      <c r="J1777" s="73" t="s">
        <v>19</v>
      </c>
      <c r="K1777" s="73" t="s">
        <v>19</v>
      </c>
      <c r="L1777" s="34"/>
      <c r="M1777" s="28"/>
      <c r="N1777" s="113" t="s">
        <v>14</v>
      </c>
      <c r="O1777" s="122" t="s">
        <v>52</v>
      </c>
      <c r="P1777" s="122" t="s">
        <v>52</v>
      </c>
      <c r="Q1777" s="105"/>
      <c r="R1777" s="28"/>
      <c r="S1777" s="225" t="str">
        <f t="shared" si="27"/>
        <v/>
      </c>
      <c r="T1777" s="7" t="s">
        <v>7649</v>
      </c>
      <c r="U1777" s="2" t="s">
        <v>136</v>
      </c>
      <c r="V1777" s="171" t="str" cm="1">
        <f t="array" ref="V1777">_xlfn.IFS(C1777="","",COUNTIF(C1777,"ตำแหน่งว่าง*"),"ว่าง",COUNTIF(C1777,"&lt;&gt;ตำแหน่งว่าง*"),"คนครอง")</f>
        <v>ว่าง</v>
      </c>
      <c r="W1777" s="6" cm="1">
        <f t="array" ref="W1777">_xlfn.IFS(COUNTIF(F1777,"ผบ.หมู่*"),51,COUNTIF(F1777,"รอง สว.*"),43)</f>
        <v>51</v>
      </c>
      <c r="X1777" s="6" t="s">
        <v>5322</v>
      </c>
      <c r="Y1777" s="6" t="s">
        <v>52</v>
      </c>
    </row>
    <row r="1778" spans="1:25" s="10" customFormat="1" ht="21.3" customHeight="1">
      <c r="A1778" s="27"/>
      <c r="B1778" s="28"/>
      <c r="C1778" s="30" t="s">
        <v>18</v>
      </c>
      <c r="D1778" s="27"/>
      <c r="E1778" s="27"/>
      <c r="F1778" s="68" t="s">
        <v>5302</v>
      </c>
      <c r="G1778" s="121" t="s">
        <v>5325</v>
      </c>
      <c r="H1778" s="91" t="s">
        <v>19</v>
      </c>
      <c r="I1778" s="73" t="s">
        <v>19</v>
      </c>
      <c r="J1778" s="73" t="s">
        <v>19</v>
      </c>
      <c r="K1778" s="73" t="s">
        <v>19</v>
      </c>
      <c r="L1778" s="34"/>
      <c r="M1778" s="28"/>
      <c r="N1778" s="113" t="s">
        <v>14</v>
      </c>
      <c r="O1778" s="122" t="s">
        <v>52</v>
      </c>
      <c r="P1778" s="122" t="s">
        <v>52</v>
      </c>
      <c r="Q1778" s="105"/>
      <c r="R1778" s="28"/>
      <c r="S1778" s="225" t="str">
        <f t="shared" si="27"/>
        <v/>
      </c>
      <c r="T1778" s="7" t="s">
        <v>7649</v>
      </c>
      <c r="U1778" s="2" t="s">
        <v>136</v>
      </c>
      <c r="V1778" s="171" t="str" cm="1">
        <f t="array" ref="V1778">_xlfn.IFS(C1778="","",COUNTIF(C1778,"ตำแหน่งว่าง*"),"ว่าง",COUNTIF(C1778,"&lt;&gt;ตำแหน่งว่าง*"),"คนครอง")</f>
        <v>ว่าง</v>
      </c>
      <c r="W1778" s="6" cm="1">
        <f t="array" ref="W1778">_xlfn.IFS(COUNTIF(F1778,"ผบ.หมู่*"),51,COUNTIF(F1778,"รอง สว.*"),43)</f>
        <v>51</v>
      </c>
      <c r="X1778" s="6" t="s">
        <v>5324</v>
      </c>
      <c r="Y1778" s="6" t="s">
        <v>52</v>
      </c>
    </row>
    <row r="1779" spans="1:25" s="9" customFormat="1" ht="21.3" customHeight="1">
      <c r="A1779" s="95" t="s">
        <v>208</v>
      </c>
      <c r="B1779" s="28" t="s">
        <v>21</v>
      </c>
      <c r="C1779" s="27" t="s">
        <v>5326</v>
      </c>
      <c r="D1779" s="27" t="s">
        <v>7965</v>
      </c>
      <c r="E1779" s="27" t="s">
        <v>9893</v>
      </c>
      <c r="F1779" s="27" t="s">
        <v>5302</v>
      </c>
      <c r="G1779" s="101" t="s">
        <v>5328</v>
      </c>
      <c r="H1779" s="91">
        <v>43693</v>
      </c>
      <c r="I1779" s="73">
        <v>43693</v>
      </c>
      <c r="J1779" s="73">
        <v>43693</v>
      </c>
      <c r="K1779" s="73">
        <v>32275</v>
      </c>
      <c r="L1779" s="34" t="s">
        <v>82</v>
      </c>
      <c r="M1779" s="28" t="s">
        <v>137</v>
      </c>
      <c r="N1779" s="112" t="s">
        <v>14</v>
      </c>
      <c r="O1779" s="104" t="s">
        <v>52</v>
      </c>
      <c r="P1779" s="104" t="s">
        <v>52</v>
      </c>
      <c r="Q1779" s="105"/>
      <c r="R1779" s="28" t="s">
        <v>645</v>
      </c>
      <c r="S1779" s="225">
        <f t="shared" si="27"/>
        <v>54332</v>
      </c>
      <c r="T1779" s="2" t="s">
        <v>7649</v>
      </c>
      <c r="U1779" s="2" t="s">
        <v>136</v>
      </c>
      <c r="V1779" s="162" t="str" cm="1">
        <f t="array" ref="V1779">_xlfn.IFS(C1779="","",COUNTIF(C1779,"ตำแหน่งว่าง*"),"ว่าง",COUNTIF(C1779,"&lt;&gt;ตำแหน่งว่าง*"),"คนครอง")</f>
        <v>คนครอง</v>
      </c>
      <c r="W1779" s="6" cm="1">
        <f t="array" ref="W1779">_xlfn.IFS(COUNTIF(F1779,"ผบ.หมู่*"),51,COUNTIF(F1779,"รอง สว.*"),43)</f>
        <v>51</v>
      </c>
      <c r="X1779" s="1" t="s">
        <v>5327</v>
      </c>
      <c r="Y1779" s="1" t="s">
        <v>52</v>
      </c>
    </row>
    <row r="1780" spans="1:25" s="10" customFormat="1" ht="21.3" customHeight="1">
      <c r="A1780" s="27"/>
      <c r="B1780" s="28"/>
      <c r="C1780" s="30" t="s">
        <v>18</v>
      </c>
      <c r="D1780" s="27"/>
      <c r="E1780" s="27"/>
      <c r="F1780" s="68" t="s">
        <v>5302</v>
      </c>
      <c r="G1780" s="121" t="s">
        <v>5330</v>
      </c>
      <c r="H1780" s="91" t="s">
        <v>19</v>
      </c>
      <c r="I1780" s="73" t="s">
        <v>19</v>
      </c>
      <c r="J1780" s="73" t="s">
        <v>19</v>
      </c>
      <c r="K1780" s="73" t="s">
        <v>19</v>
      </c>
      <c r="L1780" s="34"/>
      <c r="M1780" s="28"/>
      <c r="N1780" s="113" t="s">
        <v>14</v>
      </c>
      <c r="O1780" s="122" t="s">
        <v>52</v>
      </c>
      <c r="P1780" s="122" t="s">
        <v>52</v>
      </c>
      <c r="Q1780" s="105"/>
      <c r="R1780" s="28"/>
      <c r="S1780" s="225" t="str">
        <f t="shared" si="27"/>
        <v/>
      </c>
      <c r="T1780" s="7" t="s">
        <v>7649</v>
      </c>
      <c r="U1780" s="2" t="s">
        <v>136</v>
      </c>
      <c r="V1780" s="171" t="str" cm="1">
        <f t="array" ref="V1780">_xlfn.IFS(C1780="","",COUNTIF(C1780,"ตำแหน่งว่าง*"),"ว่าง",COUNTIF(C1780,"&lt;&gt;ตำแหน่งว่าง*"),"คนครอง")</f>
        <v>ว่าง</v>
      </c>
      <c r="W1780" s="6" cm="1">
        <f t="array" ref="W1780">_xlfn.IFS(COUNTIF(F1780,"ผบ.หมู่*"),51,COUNTIF(F1780,"รอง สว.*"),43)</f>
        <v>51</v>
      </c>
      <c r="X1780" s="6" t="s">
        <v>5329</v>
      </c>
      <c r="Y1780" s="6" t="s">
        <v>52</v>
      </c>
    </row>
    <row r="1781" spans="1:25" s="10" customFormat="1" ht="21.3" customHeight="1">
      <c r="A1781" s="27"/>
      <c r="B1781" s="28"/>
      <c r="C1781" s="30" t="s">
        <v>18</v>
      </c>
      <c r="D1781" s="27"/>
      <c r="E1781" s="27"/>
      <c r="F1781" s="68" t="s">
        <v>5302</v>
      </c>
      <c r="G1781" s="121" t="s">
        <v>5332</v>
      </c>
      <c r="H1781" s="91" t="s">
        <v>19</v>
      </c>
      <c r="I1781" s="73" t="s">
        <v>19</v>
      </c>
      <c r="J1781" s="73" t="s">
        <v>19</v>
      </c>
      <c r="K1781" s="73" t="s">
        <v>19</v>
      </c>
      <c r="L1781" s="34"/>
      <c r="M1781" s="28"/>
      <c r="N1781" s="113" t="s">
        <v>14</v>
      </c>
      <c r="O1781" s="122" t="s">
        <v>52</v>
      </c>
      <c r="P1781" s="122" t="s">
        <v>52</v>
      </c>
      <c r="Q1781" s="105"/>
      <c r="R1781" s="28"/>
      <c r="S1781" s="225" t="str">
        <f t="shared" si="27"/>
        <v/>
      </c>
      <c r="T1781" s="7" t="s">
        <v>7649</v>
      </c>
      <c r="U1781" s="2" t="s">
        <v>136</v>
      </c>
      <c r="V1781" s="171" t="str" cm="1">
        <f t="array" ref="V1781">_xlfn.IFS(C1781="","",COUNTIF(C1781,"ตำแหน่งว่าง*"),"ว่าง",COUNTIF(C1781,"&lt;&gt;ตำแหน่งว่าง*"),"คนครอง")</f>
        <v>ว่าง</v>
      </c>
      <c r="W1781" s="6" cm="1">
        <f t="array" ref="W1781">_xlfn.IFS(COUNTIF(F1781,"ผบ.หมู่*"),51,COUNTIF(F1781,"รอง สว.*"),43)</f>
        <v>51</v>
      </c>
      <c r="X1781" s="6" t="s">
        <v>5331</v>
      </c>
      <c r="Y1781" s="6" t="s">
        <v>52</v>
      </c>
    </row>
    <row r="1782" spans="1:25" s="10" customFormat="1" ht="21.3" customHeight="1">
      <c r="A1782" s="27"/>
      <c r="B1782" s="28"/>
      <c r="C1782" s="30" t="s">
        <v>18</v>
      </c>
      <c r="D1782" s="27"/>
      <c r="E1782" s="27"/>
      <c r="F1782" s="68" t="s">
        <v>5302</v>
      </c>
      <c r="G1782" s="121" t="s">
        <v>5334</v>
      </c>
      <c r="H1782" s="91" t="s">
        <v>19</v>
      </c>
      <c r="I1782" s="73" t="s">
        <v>19</v>
      </c>
      <c r="J1782" s="73" t="s">
        <v>19</v>
      </c>
      <c r="K1782" s="73" t="s">
        <v>19</v>
      </c>
      <c r="L1782" s="34"/>
      <c r="M1782" s="28"/>
      <c r="N1782" s="113" t="s">
        <v>14</v>
      </c>
      <c r="O1782" s="122" t="s">
        <v>52</v>
      </c>
      <c r="P1782" s="122" t="s">
        <v>52</v>
      </c>
      <c r="Q1782" s="105"/>
      <c r="R1782" s="28"/>
      <c r="S1782" s="225" t="str">
        <f t="shared" si="27"/>
        <v/>
      </c>
      <c r="T1782" s="7" t="s">
        <v>7649</v>
      </c>
      <c r="U1782" s="2" t="s">
        <v>136</v>
      </c>
      <c r="V1782" s="171" t="str" cm="1">
        <f t="array" ref="V1782">_xlfn.IFS(C1782="","",COUNTIF(C1782,"ตำแหน่งว่าง*"),"ว่าง",COUNTIF(C1782,"&lt;&gt;ตำแหน่งว่าง*"),"คนครอง")</f>
        <v>ว่าง</v>
      </c>
      <c r="W1782" s="6" cm="1">
        <f t="array" ref="W1782">_xlfn.IFS(COUNTIF(F1782,"ผบ.หมู่*"),51,COUNTIF(F1782,"รอง สว.*"),43)</f>
        <v>51</v>
      </c>
      <c r="X1782" s="6" t="s">
        <v>5333</v>
      </c>
      <c r="Y1782" s="6" t="s">
        <v>52</v>
      </c>
    </row>
    <row r="1783" spans="1:25" s="9" customFormat="1" ht="21.3" customHeight="1">
      <c r="A1783" s="27" t="s">
        <v>157</v>
      </c>
      <c r="B1783" s="28" t="s">
        <v>21</v>
      </c>
      <c r="C1783" s="34" t="s">
        <v>5135</v>
      </c>
      <c r="D1783" s="27" t="s">
        <v>8328</v>
      </c>
      <c r="E1783" s="27" t="s">
        <v>9894</v>
      </c>
      <c r="F1783" s="27" t="s">
        <v>5136</v>
      </c>
      <c r="G1783" s="101" t="s">
        <v>5138</v>
      </c>
      <c r="H1783" s="91">
        <v>44243</v>
      </c>
      <c r="I1783" s="73">
        <v>41214</v>
      </c>
      <c r="J1783" s="73">
        <v>41214</v>
      </c>
      <c r="K1783" s="73">
        <v>30196</v>
      </c>
      <c r="L1783" s="27" t="s">
        <v>5139</v>
      </c>
      <c r="M1783" s="28" t="s">
        <v>47</v>
      </c>
      <c r="N1783" s="112" t="s">
        <v>14</v>
      </c>
      <c r="O1783" s="104" t="s">
        <v>52</v>
      </c>
      <c r="P1783" s="104" t="s">
        <v>52</v>
      </c>
      <c r="Q1783" s="105"/>
      <c r="R1783" s="28" t="s">
        <v>617</v>
      </c>
      <c r="S1783" s="225">
        <f t="shared" si="27"/>
        <v>52140</v>
      </c>
      <c r="T1783" s="2" t="s">
        <v>7646</v>
      </c>
      <c r="U1783" s="2" t="s">
        <v>136</v>
      </c>
      <c r="V1783" s="162" t="str" cm="1">
        <f t="array" ref="V1783">_xlfn.IFS(C1783="","",COUNTIF(C1783,"ตำแหน่งว่าง*"),"ว่าง",COUNTIF(C1783,"&lt;&gt;ตำแหน่งว่าง*"),"คนครอง")</f>
        <v>คนครอง</v>
      </c>
      <c r="W1783" s="6" cm="1">
        <f t="array" ref="W1783">_xlfn.IFS(COUNTIF(F1783,"ผบ.หมู่*"),51,COUNTIF(F1783,"รอง สว.*"),43)</f>
        <v>51</v>
      </c>
      <c r="X1783" s="1" t="s">
        <v>5137</v>
      </c>
      <c r="Y1783" s="1" t="s">
        <v>52</v>
      </c>
    </row>
    <row r="1784" spans="1:25" s="9" customFormat="1" ht="21.3" customHeight="1">
      <c r="A1784" s="27" t="s">
        <v>612</v>
      </c>
      <c r="B1784" s="28" t="s">
        <v>21</v>
      </c>
      <c r="C1784" s="27" t="s">
        <v>5140</v>
      </c>
      <c r="D1784" s="27" t="s">
        <v>9895</v>
      </c>
      <c r="E1784" s="27" t="s">
        <v>9896</v>
      </c>
      <c r="F1784" s="27" t="s">
        <v>5136</v>
      </c>
      <c r="G1784" s="101" t="s">
        <v>5142</v>
      </c>
      <c r="H1784" s="91">
        <v>43871</v>
      </c>
      <c r="I1784" s="73">
        <v>41944</v>
      </c>
      <c r="J1784" s="73">
        <v>41944</v>
      </c>
      <c r="K1784" s="73">
        <v>30514</v>
      </c>
      <c r="L1784" s="34" t="s">
        <v>5143</v>
      </c>
      <c r="M1784" s="28" t="s">
        <v>123</v>
      </c>
      <c r="N1784" s="112" t="s">
        <v>14</v>
      </c>
      <c r="O1784" s="104" t="s">
        <v>52</v>
      </c>
      <c r="P1784" s="104" t="s">
        <v>52</v>
      </c>
      <c r="Q1784" s="105"/>
      <c r="R1784" s="28" t="s">
        <v>688</v>
      </c>
      <c r="S1784" s="225">
        <f t="shared" si="27"/>
        <v>52505</v>
      </c>
      <c r="T1784" s="2" t="s">
        <v>7646</v>
      </c>
      <c r="U1784" s="2" t="s">
        <v>136</v>
      </c>
      <c r="V1784" s="162" t="str" cm="1">
        <f t="array" ref="V1784">_xlfn.IFS(C1784="","",COUNTIF(C1784,"ตำแหน่งว่าง*"),"ว่าง",COUNTIF(C1784,"&lt;&gt;ตำแหน่งว่าง*"),"คนครอง")</f>
        <v>คนครอง</v>
      </c>
      <c r="W1784" s="6" cm="1">
        <f t="array" ref="W1784">_xlfn.IFS(COUNTIF(F1784,"ผบ.หมู่*"),51,COUNTIF(F1784,"รอง สว.*"),43)</f>
        <v>51</v>
      </c>
      <c r="X1784" s="1" t="s">
        <v>5141</v>
      </c>
      <c r="Y1784" s="1" t="s">
        <v>52</v>
      </c>
    </row>
    <row r="1785" spans="1:25" s="12" customFormat="1" ht="21.3" customHeight="1">
      <c r="A1785" s="27" t="s">
        <v>10753</v>
      </c>
      <c r="B1785" s="28" t="s">
        <v>12</v>
      </c>
      <c r="C1785" s="95" t="s">
        <v>5144</v>
      </c>
      <c r="D1785" s="27" t="s">
        <v>8303</v>
      </c>
      <c r="E1785" s="27" t="s">
        <v>9897</v>
      </c>
      <c r="F1785" s="95" t="s">
        <v>5145</v>
      </c>
      <c r="G1785" s="101" t="s">
        <v>5147</v>
      </c>
      <c r="H1785" s="75">
        <v>45016</v>
      </c>
      <c r="I1785" s="73">
        <v>45016</v>
      </c>
      <c r="J1785" s="73">
        <v>32540</v>
      </c>
      <c r="K1785" s="73">
        <v>25789</v>
      </c>
      <c r="L1785" s="34" t="s">
        <v>5148</v>
      </c>
      <c r="M1785" s="28" t="s">
        <v>47</v>
      </c>
      <c r="N1785" s="111" t="s">
        <v>14</v>
      </c>
      <c r="O1785" s="104" t="s">
        <v>52</v>
      </c>
      <c r="P1785" s="104" t="s">
        <v>52</v>
      </c>
      <c r="Q1785" s="105"/>
      <c r="R1785" s="28" t="s">
        <v>483</v>
      </c>
      <c r="S1785" s="225">
        <f t="shared" si="27"/>
        <v>47757</v>
      </c>
      <c r="T1785" s="162" t="s">
        <v>7646</v>
      </c>
      <c r="U1785" s="2" t="s">
        <v>136</v>
      </c>
      <c r="V1785" s="162" t="str" cm="1">
        <f t="array" ref="V1785">_xlfn.IFS(C1785="","",COUNTIF(C1785,"ตำแหน่งว่าง*"),"ว่าง",COUNTIF(C1785,"&lt;&gt;ตำแหน่งว่าง*"),"คนครอง")</f>
        <v>คนครอง</v>
      </c>
      <c r="W1785" s="5" cm="1">
        <f t="array" ref="W1785">_xlfn.IFS(COUNTIF(F1785,"ผบ.หมู่*"),51,COUNTIF(F1785,"รอง สว.*"),43)</f>
        <v>43</v>
      </c>
      <c r="X1785" s="5" t="s">
        <v>5146</v>
      </c>
      <c r="Y1785" s="5" t="s">
        <v>52</v>
      </c>
    </row>
    <row r="1786" spans="1:25" s="12" customFormat="1" ht="21.3" customHeight="1">
      <c r="A1786" s="27" t="s">
        <v>157</v>
      </c>
      <c r="B1786" s="28" t="s">
        <v>21</v>
      </c>
      <c r="C1786" s="95" t="s">
        <v>5149</v>
      </c>
      <c r="D1786" s="27" t="s">
        <v>9898</v>
      </c>
      <c r="E1786" s="27" t="s">
        <v>9899</v>
      </c>
      <c r="F1786" s="95" t="s">
        <v>5136</v>
      </c>
      <c r="G1786" s="101" t="s">
        <v>5151</v>
      </c>
      <c r="H1786" s="75">
        <v>42501</v>
      </c>
      <c r="I1786" s="73">
        <v>34352</v>
      </c>
      <c r="J1786" s="73">
        <v>34352</v>
      </c>
      <c r="K1786" s="73">
        <v>26650</v>
      </c>
      <c r="L1786" s="34" t="s">
        <v>5152</v>
      </c>
      <c r="M1786" s="28" t="s">
        <v>47</v>
      </c>
      <c r="N1786" s="111" t="s">
        <v>14</v>
      </c>
      <c r="O1786" s="104" t="s">
        <v>52</v>
      </c>
      <c r="P1786" s="104" t="s">
        <v>52</v>
      </c>
      <c r="Q1786" s="105"/>
      <c r="R1786" s="28" t="s">
        <v>110</v>
      </c>
      <c r="S1786" s="225">
        <f t="shared" si="27"/>
        <v>48853</v>
      </c>
      <c r="T1786" s="162" t="s">
        <v>7646</v>
      </c>
      <c r="U1786" s="2" t="s">
        <v>136</v>
      </c>
      <c r="V1786" s="162" t="str" cm="1">
        <f t="array" ref="V1786">_xlfn.IFS(C1786="","",COUNTIF(C1786,"ตำแหน่งว่าง*"),"ว่าง",COUNTIF(C1786,"&lt;&gt;ตำแหน่งว่าง*"),"คนครอง")</f>
        <v>คนครอง</v>
      </c>
      <c r="W1786" s="6" cm="1">
        <f t="array" ref="W1786">_xlfn.IFS(COUNTIF(F1786,"ผบ.หมู่*"),51,COUNTIF(F1786,"รอง สว.*"),43)</f>
        <v>51</v>
      </c>
      <c r="X1786" s="5" t="s">
        <v>5150</v>
      </c>
      <c r="Y1786" s="5" t="s">
        <v>52</v>
      </c>
    </row>
    <row r="1787" spans="1:25" s="12" customFormat="1" ht="21.3" customHeight="1">
      <c r="A1787" s="27" t="s">
        <v>30</v>
      </c>
      <c r="B1787" s="28" t="s">
        <v>21</v>
      </c>
      <c r="C1787" s="95" t="s">
        <v>5153</v>
      </c>
      <c r="D1787" s="27" t="s">
        <v>8298</v>
      </c>
      <c r="E1787" s="27" t="s">
        <v>8332</v>
      </c>
      <c r="F1787" s="95" t="s">
        <v>5145</v>
      </c>
      <c r="G1787" s="101" t="s">
        <v>5155</v>
      </c>
      <c r="H1787" s="91">
        <v>43555</v>
      </c>
      <c r="I1787" s="73">
        <v>43555</v>
      </c>
      <c r="J1787" s="73">
        <v>35095</v>
      </c>
      <c r="K1787" s="73">
        <v>24079</v>
      </c>
      <c r="L1787" s="34" t="s">
        <v>5156</v>
      </c>
      <c r="M1787" s="28" t="s">
        <v>47</v>
      </c>
      <c r="N1787" s="111" t="s">
        <v>14</v>
      </c>
      <c r="O1787" s="104" t="s">
        <v>52</v>
      </c>
      <c r="P1787" s="104" t="s">
        <v>52</v>
      </c>
      <c r="Q1787" s="105"/>
      <c r="R1787" s="28" t="s">
        <v>2892</v>
      </c>
      <c r="S1787" s="225">
        <f t="shared" si="27"/>
        <v>46296</v>
      </c>
      <c r="T1787" s="162" t="s">
        <v>7646</v>
      </c>
      <c r="U1787" s="2" t="s">
        <v>136</v>
      </c>
      <c r="V1787" s="162" t="str" cm="1">
        <f t="array" ref="V1787">_xlfn.IFS(C1787="","",COUNTIF(C1787,"ตำแหน่งว่าง*"),"ว่าง",COUNTIF(C1787,"&lt;&gt;ตำแหน่งว่าง*"),"คนครอง")</f>
        <v>คนครอง</v>
      </c>
      <c r="W1787" s="5" cm="1">
        <f t="array" ref="W1787">_xlfn.IFS(COUNTIF(F1787,"ผบ.หมู่*"),51,COUNTIF(F1787,"รอง สว.*"),43)</f>
        <v>43</v>
      </c>
      <c r="X1787" s="5" t="s">
        <v>5154</v>
      </c>
      <c r="Y1787" s="5" t="s">
        <v>52</v>
      </c>
    </row>
    <row r="1788" spans="1:25" s="12" customFormat="1" ht="21.3" customHeight="1">
      <c r="A1788" s="27"/>
      <c r="B1788" s="28"/>
      <c r="C1788" s="95" t="s">
        <v>18</v>
      </c>
      <c r="D1788" s="27"/>
      <c r="E1788" s="27"/>
      <c r="F1788" s="27" t="s">
        <v>5136</v>
      </c>
      <c r="G1788" s="101" t="s">
        <v>5158</v>
      </c>
      <c r="H1788" s="91"/>
      <c r="I1788" s="73"/>
      <c r="J1788" s="73"/>
      <c r="K1788" s="73"/>
      <c r="L1788" s="34"/>
      <c r="M1788" s="28"/>
      <c r="N1788" s="111" t="s">
        <v>14</v>
      </c>
      <c r="O1788" s="104" t="s">
        <v>52</v>
      </c>
      <c r="P1788" s="104" t="s">
        <v>52</v>
      </c>
      <c r="Q1788" s="105"/>
      <c r="R1788" s="28"/>
      <c r="S1788" s="225" t="str">
        <f t="shared" si="27"/>
        <v/>
      </c>
      <c r="T1788" s="162" t="s">
        <v>7646</v>
      </c>
      <c r="U1788" s="2" t="s">
        <v>136</v>
      </c>
      <c r="V1788" s="162" t="str" cm="1">
        <f t="array" ref="V1788">_xlfn.IFS(C1788="","",COUNTIF(C1788,"ตำแหน่งว่าง*"),"ว่าง",COUNTIF(C1788,"&lt;&gt;ตำแหน่งว่าง*"),"คนครอง")</f>
        <v>ว่าง</v>
      </c>
      <c r="W1788" s="5" cm="1">
        <f t="array" ref="W1788">_xlfn.IFS(COUNTIF(F1788,"ผบ.หมู่*"),51,COUNTIF(F1788,"รอง สว.*"),43)</f>
        <v>51</v>
      </c>
      <c r="X1788" s="5" t="s">
        <v>5157</v>
      </c>
      <c r="Y1788" s="5" t="s">
        <v>52</v>
      </c>
    </row>
    <row r="1789" spans="1:25" s="9" customFormat="1" ht="21.3" customHeight="1">
      <c r="A1789" s="27" t="s">
        <v>612</v>
      </c>
      <c r="B1789" s="28" t="s">
        <v>12</v>
      </c>
      <c r="C1789" s="27" t="s">
        <v>5159</v>
      </c>
      <c r="D1789" s="27" t="s">
        <v>9900</v>
      </c>
      <c r="E1789" s="27" t="s">
        <v>9901</v>
      </c>
      <c r="F1789" s="27" t="s">
        <v>5136</v>
      </c>
      <c r="G1789" s="101" t="s">
        <v>5161</v>
      </c>
      <c r="H1789" s="91">
        <v>43871</v>
      </c>
      <c r="I1789" s="73">
        <v>41944</v>
      </c>
      <c r="J1789" s="73">
        <v>41944</v>
      </c>
      <c r="K1789" s="73">
        <v>31287</v>
      </c>
      <c r="L1789" s="34" t="s">
        <v>5162</v>
      </c>
      <c r="M1789" s="28" t="s">
        <v>47</v>
      </c>
      <c r="N1789" s="112" t="s">
        <v>14</v>
      </c>
      <c r="O1789" s="104" t="s">
        <v>52</v>
      </c>
      <c r="P1789" s="104" t="s">
        <v>52</v>
      </c>
      <c r="Q1789" s="105"/>
      <c r="R1789" s="28" t="s">
        <v>688</v>
      </c>
      <c r="S1789" s="225">
        <f t="shared" si="27"/>
        <v>53236</v>
      </c>
      <c r="T1789" s="2" t="s">
        <v>7646</v>
      </c>
      <c r="U1789" s="2" t="s">
        <v>136</v>
      </c>
      <c r="V1789" s="162" t="str" cm="1">
        <f t="array" ref="V1789">_xlfn.IFS(C1789="","",COUNTIF(C1789,"ตำแหน่งว่าง*"),"ว่าง",COUNTIF(C1789,"&lt;&gt;ตำแหน่งว่าง*"),"คนครอง")</f>
        <v>คนครอง</v>
      </c>
      <c r="W1789" s="6" cm="1">
        <f t="array" ref="W1789">_xlfn.IFS(COUNTIF(F1789,"ผบ.หมู่*"),51,COUNTIF(F1789,"รอง สว.*"),43)</f>
        <v>51</v>
      </c>
      <c r="X1789" s="1" t="s">
        <v>5160</v>
      </c>
      <c r="Y1789" s="1" t="s">
        <v>52</v>
      </c>
    </row>
    <row r="1790" spans="1:25" s="9" customFormat="1" ht="21.3" customHeight="1">
      <c r="A1790" s="27" t="s">
        <v>612</v>
      </c>
      <c r="B1790" s="28" t="s">
        <v>21</v>
      </c>
      <c r="C1790" s="27" t="s">
        <v>5163</v>
      </c>
      <c r="D1790" s="27" t="s">
        <v>9902</v>
      </c>
      <c r="E1790" s="27" t="s">
        <v>9903</v>
      </c>
      <c r="F1790" s="27" t="s">
        <v>5136</v>
      </c>
      <c r="G1790" s="101" t="s">
        <v>5165</v>
      </c>
      <c r="H1790" s="91">
        <v>44243</v>
      </c>
      <c r="I1790" s="73">
        <v>42416</v>
      </c>
      <c r="J1790" s="73">
        <v>42416</v>
      </c>
      <c r="K1790" s="73">
        <v>33997</v>
      </c>
      <c r="L1790" s="11" t="s">
        <v>5166</v>
      </c>
      <c r="M1790" s="1" t="s">
        <v>47</v>
      </c>
      <c r="N1790" s="112" t="s">
        <v>14</v>
      </c>
      <c r="O1790" s="104" t="s">
        <v>52</v>
      </c>
      <c r="P1790" s="104" t="s">
        <v>52</v>
      </c>
      <c r="Q1790" s="105"/>
      <c r="R1790" s="28" t="s">
        <v>617</v>
      </c>
      <c r="S1790" s="225">
        <f t="shared" si="27"/>
        <v>56158</v>
      </c>
      <c r="T1790" s="2" t="s">
        <v>7646</v>
      </c>
      <c r="U1790" s="2" t="s">
        <v>136</v>
      </c>
      <c r="V1790" s="162" t="str" cm="1">
        <f t="array" ref="V1790">_xlfn.IFS(C1790="","",COUNTIF(C1790,"ตำแหน่งว่าง*"),"ว่าง",COUNTIF(C1790,"&lt;&gt;ตำแหน่งว่าง*"),"คนครอง")</f>
        <v>คนครอง</v>
      </c>
      <c r="W1790" s="6" cm="1">
        <f t="array" ref="W1790">_xlfn.IFS(COUNTIF(F1790,"ผบ.หมู่*"),51,COUNTIF(F1790,"รอง สว.*"),43)</f>
        <v>51</v>
      </c>
      <c r="X1790" s="1" t="s">
        <v>5164</v>
      </c>
      <c r="Y1790" s="1" t="s">
        <v>52</v>
      </c>
    </row>
    <row r="1791" spans="1:25" s="12" customFormat="1" ht="21.3" customHeight="1">
      <c r="A1791" s="27" t="s">
        <v>157</v>
      </c>
      <c r="B1791" s="28" t="s">
        <v>12</v>
      </c>
      <c r="C1791" s="95" t="s">
        <v>5167</v>
      </c>
      <c r="D1791" s="27" t="s">
        <v>9825</v>
      </c>
      <c r="E1791" s="27" t="s">
        <v>9904</v>
      </c>
      <c r="F1791" s="95" t="s">
        <v>5136</v>
      </c>
      <c r="G1791" s="101" t="s">
        <v>5169</v>
      </c>
      <c r="H1791" s="91">
        <v>42940</v>
      </c>
      <c r="I1791" s="73">
        <v>40084</v>
      </c>
      <c r="J1791" s="73">
        <v>40084</v>
      </c>
      <c r="K1791" s="73">
        <v>31195</v>
      </c>
      <c r="L1791" s="34" t="s">
        <v>5170</v>
      </c>
      <c r="M1791" s="28" t="s">
        <v>47</v>
      </c>
      <c r="N1791" s="111" t="s">
        <v>14</v>
      </c>
      <c r="O1791" s="104" t="s">
        <v>52</v>
      </c>
      <c r="P1791" s="104" t="s">
        <v>52</v>
      </c>
      <c r="Q1791" s="105"/>
      <c r="R1791" s="28" t="s">
        <v>726</v>
      </c>
      <c r="S1791" s="225">
        <f t="shared" si="27"/>
        <v>53236</v>
      </c>
      <c r="T1791" s="162" t="s">
        <v>7646</v>
      </c>
      <c r="U1791" s="2" t="s">
        <v>136</v>
      </c>
      <c r="V1791" s="162" t="str" cm="1">
        <f t="array" ref="V1791">_xlfn.IFS(C1791="","",COUNTIF(C1791,"ตำแหน่งว่าง*"),"ว่าง",COUNTIF(C1791,"&lt;&gt;ตำแหน่งว่าง*"),"คนครอง")</f>
        <v>คนครอง</v>
      </c>
      <c r="W1791" s="6" cm="1">
        <f t="array" ref="W1791">_xlfn.IFS(COUNTIF(F1791,"ผบ.หมู่*"),51,COUNTIF(F1791,"รอง สว.*"),43)</f>
        <v>51</v>
      </c>
      <c r="X1791" s="5" t="s">
        <v>5168</v>
      </c>
      <c r="Y1791" s="5" t="s">
        <v>52</v>
      </c>
    </row>
    <row r="1792" spans="1:25" s="12" customFormat="1" ht="21.3" customHeight="1">
      <c r="A1792" s="27" t="s">
        <v>157</v>
      </c>
      <c r="B1792" s="28" t="s">
        <v>12</v>
      </c>
      <c r="C1792" s="95" t="s">
        <v>5171</v>
      </c>
      <c r="D1792" s="27" t="s">
        <v>8083</v>
      </c>
      <c r="E1792" s="27" t="s">
        <v>9905</v>
      </c>
      <c r="F1792" s="95" t="s">
        <v>5136</v>
      </c>
      <c r="G1792" s="101" t="s">
        <v>5173</v>
      </c>
      <c r="H1792" s="75">
        <v>42501</v>
      </c>
      <c r="I1792" s="73">
        <v>39717</v>
      </c>
      <c r="J1792" s="73">
        <v>39717</v>
      </c>
      <c r="K1792" s="73">
        <v>27513</v>
      </c>
      <c r="L1792" s="34" t="s">
        <v>5174</v>
      </c>
      <c r="M1792" s="28" t="s">
        <v>56</v>
      </c>
      <c r="N1792" s="111" t="s">
        <v>14</v>
      </c>
      <c r="O1792" s="104" t="s">
        <v>52</v>
      </c>
      <c r="P1792" s="104" t="s">
        <v>52</v>
      </c>
      <c r="Q1792" s="105"/>
      <c r="R1792" s="28" t="s">
        <v>110</v>
      </c>
      <c r="S1792" s="225">
        <f t="shared" si="27"/>
        <v>49583</v>
      </c>
      <c r="T1792" s="162" t="s">
        <v>7646</v>
      </c>
      <c r="U1792" s="2" t="s">
        <v>136</v>
      </c>
      <c r="V1792" s="162" t="str" cm="1">
        <f t="array" ref="V1792">_xlfn.IFS(C1792="","",COUNTIF(C1792,"ตำแหน่งว่าง*"),"ว่าง",COUNTIF(C1792,"&lt;&gt;ตำแหน่งว่าง*"),"คนครอง")</f>
        <v>คนครอง</v>
      </c>
      <c r="W1792" s="6" cm="1">
        <f t="array" ref="W1792">_xlfn.IFS(COUNTIF(F1792,"ผบ.หมู่*"),51,COUNTIF(F1792,"รอง สว.*"),43)</f>
        <v>51</v>
      </c>
      <c r="X1792" s="5" t="s">
        <v>5172</v>
      </c>
      <c r="Y1792" s="5" t="s">
        <v>52</v>
      </c>
    </row>
    <row r="1793" spans="1:25" s="12" customFormat="1" ht="21.3" customHeight="1">
      <c r="A1793" s="27" t="s">
        <v>157</v>
      </c>
      <c r="B1793" s="28" t="s">
        <v>12</v>
      </c>
      <c r="C1793" s="95" t="s">
        <v>5175</v>
      </c>
      <c r="D1793" s="27" t="s">
        <v>9420</v>
      </c>
      <c r="E1793" s="27" t="s">
        <v>9906</v>
      </c>
      <c r="F1793" s="95" t="s">
        <v>5136</v>
      </c>
      <c r="G1793" s="101" t="s">
        <v>5177</v>
      </c>
      <c r="H1793" s="75">
        <v>42501</v>
      </c>
      <c r="I1793" s="73">
        <v>39717</v>
      </c>
      <c r="J1793" s="73">
        <v>39717</v>
      </c>
      <c r="K1793" s="73">
        <v>30527</v>
      </c>
      <c r="L1793" s="34" t="s">
        <v>5178</v>
      </c>
      <c r="M1793" s="28" t="s">
        <v>56</v>
      </c>
      <c r="N1793" s="111" t="s">
        <v>14</v>
      </c>
      <c r="O1793" s="104" t="s">
        <v>52</v>
      </c>
      <c r="P1793" s="104" t="s">
        <v>52</v>
      </c>
      <c r="Q1793" s="105"/>
      <c r="R1793" s="28" t="s">
        <v>110</v>
      </c>
      <c r="S1793" s="225">
        <f t="shared" si="27"/>
        <v>52505</v>
      </c>
      <c r="T1793" s="162" t="s">
        <v>7646</v>
      </c>
      <c r="U1793" s="2" t="s">
        <v>136</v>
      </c>
      <c r="V1793" s="162" t="str" cm="1">
        <f t="array" ref="V1793">_xlfn.IFS(C1793="","",COUNTIF(C1793,"ตำแหน่งว่าง*"),"ว่าง",COUNTIF(C1793,"&lt;&gt;ตำแหน่งว่าง*"),"คนครอง")</f>
        <v>คนครอง</v>
      </c>
      <c r="W1793" s="6" cm="1">
        <f t="array" ref="W1793">_xlfn.IFS(COUNTIF(F1793,"ผบ.หมู่*"),51,COUNTIF(F1793,"รอง สว.*"),43)</f>
        <v>51</v>
      </c>
      <c r="X1793" s="5" t="s">
        <v>5176</v>
      </c>
      <c r="Y1793" s="5" t="s">
        <v>52</v>
      </c>
    </row>
    <row r="1794" spans="1:25" s="12" customFormat="1" ht="21.3" customHeight="1">
      <c r="A1794" s="27" t="s">
        <v>157</v>
      </c>
      <c r="B1794" s="28" t="s">
        <v>12</v>
      </c>
      <c r="C1794" s="95" t="s">
        <v>5179</v>
      </c>
      <c r="D1794" s="27" t="s">
        <v>9907</v>
      </c>
      <c r="E1794" s="27" t="s">
        <v>9908</v>
      </c>
      <c r="F1794" s="95" t="s">
        <v>5136</v>
      </c>
      <c r="G1794" s="101" t="s">
        <v>5181</v>
      </c>
      <c r="H1794" s="75">
        <v>42501</v>
      </c>
      <c r="I1794" s="73">
        <v>39717</v>
      </c>
      <c r="J1794" s="73">
        <v>39717</v>
      </c>
      <c r="K1794" s="73">
        <v>28718</v>
      </c>
      <c r="L1794" s="34" t="s">
        <v>5152</v>
      </c>
      <c r="M1794" s="28" t="s">
        <v>47</v>
      </c>
      <c r="N1794" s="111" t="s">
        <v>14</v>
      </c>
      <c r="O1794" s="104" t="s">
        <v>52</v>
      </c>
      <c r="P1794" s="104" t="s">
        <v>52</v>
      </c>
      <c r="Q1794" s="105"/>
      <c r="R1794" s="28" t="s">
        <v>110</v>
      </c>
      <c r="S1794" s="225">
        <f t="shared" ref="S1794:S1857" si="28">IF(K1794&lt;&gt;"",DATE(YEAR(K1794)+60+(K1794&gt;=DATE(YEAR(K1794),10,2)),10,1),"")</f>
        <v>50679</v>
      </c>
      <c r="T1794" s="162" t="s">
        <v>7646</v>
      </c>
      <c r="U1794" s="2" t="s">
        <v>136</v>
      </c>
      <c r="V1794" s="162" t="str" cm="1">
        <f t="array" ref="V1794">_xlfn.IFS(C1794="","",COUNTIF(C1794,"ตำแหน่งว่าง*"),"ว่าง",COUNTIF(C1794,"&lt;&gt;ตำแหน่งว่าง*"),"คนครอง")</f>
        <v>คนครอง</v>
      </c>
      <c r="W1794" s="6" cm="1">
        <f t="array" ref="W1794">_xlfn.IFS(COUNTIF(F1794,"ผบ.หมู่*"),51,COUNTIF(F1794,"รอง สว.*"),43)</f>
        <v>51</v>
      </c>
      <c r="X1794" s="5" t="s">
        <v>5180</v>
      </c>
      <c r="Y1794" s="5" t="s">
        <v>52</v>
      </c>
    </row>
    <row r="1795" spans="1:25" s="9" customFormat="1" ht="21.3" customHeight="1">
      <c r="A1795" s="27" t="s">
        <v>157</v>
      </c>
      <c r="B1795" s="28" t="s">
        <v>12</v>
      </c>
      <c r="C1795" s="27" t="s">
        <v>5182</v>
      </c>
      <c r="D1795" s="27" t="s">
        <v>9909</v>
      </c>
      <c r="E1795" s="27" t="s">
        <v>9852</v>
      </c>
      <c r="F1795" s="27" t="s">
        <v>5136</v>
      </c>
      <c r="G1795" s="101" t="s">
        <v>5184</v>
      </c>
      <c r="H1795" s="91">
        <v>43871</v>
      </c>
      <c r="I1795" s="73">
        <v>39479</v>
      </c>
      <c r="J1795" s="73">
        <v>39479</v>
      </c>
      <c r="K1795" s="73">
        <v>29701</v>
      </c>
      <c r="L1795" s="34" t="s">
        <v>4404</v>
      </c>
      <c r="M1795" s="28" t="s">
        <v>77</v>
      </c>
      <c r="N1795" s="112" t="s">
        <v>14</v>
      </c>
      <c r="O1795" s="104" t="s">
        <v>52</v>
      </c>
      <c r="P1795" s="104" t="s">
        <v>52</v>
      </c>
      <c r="Q1795" s="105"/>
      <c r="R1795" s="28" t="s">
        <v>688</v>
      </c>
      <c r="S1795" s="225">
        <f t="shared" si="28"/>
        <v>51775</v>
      </c>
      <c r="T1795" s="2" t="s">
        <v>7646</v>
      </c>
      <c r="U1795" s="2" t="s">
        <v>136</v>
      </c>
      <c r="V1795" s="162" t="str" cm="1">
        <f t="array" ref="V1795">_xlfn.IFS(C1795="","",COUNTIF(C1795,"ตำแหน่งว่าง*"),"ว่าง",COUNTIF(C1795,"&lt;&gt;ตำแหน่งว่าง*"),"คนครอง")</f>
        <v>คนครอง</v>
      </c>
      <c r="W1795" s="6" cm="1">
        <f t="array" ref="W1795">_xlfn.IFS(COUNTIF(F1795,"ผบ.หมู่*"),51,COUNTIF(F1795,"รอง สว.*"),43)</f>
        <v>51</v>
      </c>
      <c r="X1795" s="1" t="s">
        <v>5183</v>
      </c>
      <c r="Y1795" s="1" t="s">
        <v>52</v>
      </c>
    </row>
    <row r="1796" spans="1:25" s="12" customFormat="1" ht="21.3" customHeight="1">
      <c r="A1796" s="27" t="s">
        <v>157</v>
      </c>
      <c r="B1796" s="28" t="s">
        <v>21</v>
      </c>
      <c r="C1796" s="95" t="s">
        <v>5185</v>
      </c>
      <c r="D1796" s="27" t="s">
        <v>9910</v>
      </c>
      <c r="E1796" s="27" t="s">
        <v>9911</v>
      </c>
      <c r="F1796" s="95" t="s">
        <v>5136</v>
      </c>
      <c r="G1796" s="101" t="s">
        <v>5187</v>
      </c>
      <c r="H1796" s="75">
        <v>42501</v>
      </c>
      <c r="I1796" s="73">
        <v>39717</v>
      </c>
      <c r="J1796" s="73">
        <v>39717</v>
      </c>
      <c r="K1796" s="73">
        <v>29106</v>
      </c>
      <c r="L1796" s="34" t="s">
        <v>5152</v>
      </c>
      <c r="M1796" s="28" t="s">
        <v>106</v>
      </c>
      <c r="N1796" s="111" t="s">
        <v>14</v>
      </c>
      <c r="O1796" s="104" t="s">
        <v>52</v>
      </c>
      <c r="P1796" s="104" t="s">
        <v>52</v>
      </c>
      <c r="Q1796" s="105"/>
      <c r="R1796" s="28" t="s">
        <v>110</v>
      </c>
      <c r="S1796" s="225">
        <f t="shared" si="28"/>
        <v>51044</v>
      </c>
      <c r="T1796" s="162" t="s">
        <v>7646</v>
      </c>
      <c r="U1796" s="2" t="s">
        <v>136</v>
      </c>
      <c r="V1796" s="162" t="str" cm="1">
        <f t="array" ref="V1796">_xlfn.IFS(C1796="","",COUNTIF(C1796,"ตำแหน่งว่าง*"),"ว่าง",COUNTIF(C1796,"&lt;&gt;ตำแหน่งว่าง*"),"คนครอง")</f>
        <v>คนครอง</v>
      </c>
      <c r="W1796" s="6" cm="1">
        <f t="array" ref="W1796">_xlfn.IFS(COUNTIF(F1796,"ผบ.หมู่*"),51,COUNTIF(F1796,"รอง สว.*"),43)</f>
        <v>51</v>
      </c>
      <c r="X1796" s="5" t="s">
        <v>5186</v>
      </c>
      <c r="Y1796" s="5" t="s">
        <v>52</v>
      </c>
    </row>
    <row r="1797" spans="1:25" s="12" customFormat="1" ht="21.3" customHeight="1">
      <c r="A1797" s="27" t="s">
        <v>182</v>
      </c>
      <c r="B1797" s="28" t="s">
        <v>12</v>
      </c>
      <c r="C1797" s="27" t="s">
        <v>6114</v>
      </c>
      <c r="D1797" s="27" t="s">
        <v>10194</v>
      </c>
      <c r="E1797" s="27" t="s">
        <v>10195</v>
      </c>
      <c r="F1797" s="27" t="s">
        <v>5136</v>
      </c>
      <c r="G1797" s="101" t="s">
        <v>5189</v>
      </c>
      <c r="H1797" s="75">
        <v>45768</v>
      </c>
      <c r="I1797" s="73">
        <v>44043</v>
      </c>
      <c r="J1797" s="73">
        <v>44043</v>
      </c>
      <c r="K1797" s="73">
        <v>33656</v>
      </c>
      <c r="L1797" s="34" t="s">
        <v>82</v>
      </c>
      <c r="M1797" s="28" t="s">
        <v>47</v>
      </c>
      <c r="N1797" s="112" t="s">
        <v>14</v>
      </c>
      <c r="O1797" s="104" t="s">
        <v>52</v>
      </c>
      <c r="P1797" s="104" t="s">
        <v>52</v>
      </c>
      <c r="Q1797" s="105"/>
      <c r="R1797" s="28" t="s">
        <v>10804</v>
      </c>
      <c r="S1797" s="174">
        <f t="shared" si="28"/>
        <v>55793</v>
      </c>
      <c r="T1797" s="2" t="s">
        <v>7646</v>
      </c>
      <c r="U1797" s="2" t="s">
        <v>136</v>
      </c>
      <c r="V1797" s="2" t="str" cm="1">
        <f t="array" ref="V1797">_xlfn.IFS(C1797="","",COUNTIF(C1797,"ตำแหน่งว่าง*"),"ว่าง",COUNTIF(C1797,"&lt;&gt;ตำแหน่งว่าง*"),"คนครอง")</f>
        <v>คนครอง</v>
      </c>
      <c r="W1797" s="1" cm="1">
        <f t="array" ref="W1797">_xlfn.IFS(COUNTIF(F1797,"ผบ.หมู่*"),51,COUNTIF(F1797,"รอง สว.*"),43)</f>
        <v>51</v>
      </c>
      <c r="X1797" s="1" t="s">
        <v>5188</v>
      </c>
      <c r="Y1797" s="1" t="s">
        <v>52</v>
      </c>
    </row>
    <row r="1798" spans="1:25" s="12" customFormat="1" ht="21.3" customHeight="1">
      <c r="A1798" s="27" t="s">
        <v>208</v>
      </c>
      <c r="B1798" s="28" t="s">
        <v>21</v>
      </c>
      <c r="C1798" s="27" t="s">
        <v>7756</v>
      </c>
      <c r="D1798" s="27" t="s">
        <v>9912</v>
      </c>
      <c r="E1798" s="27" t="s">
        <v>9913</v>
      </c>
      <c r="F1798" s="27" t="s">
        <v>5136</v>
      </c>
      <c r="G1798" s="101" t="s">
        <v>5192</v>
      </c>
      <c r="H1798" s="75">
        <v>45322</v>
      </c>
      <c r="I1798" s="73">
        <v>43693</v>
      </c>
      <c r="J1798" s="73">
        <v>43693</v>
      </c>
      <c r="K1798" s="73">
        <v>32067</v>
      </c>
      <c r="L1798" s="34" t="s">
        <v>112</v>
      </c>
      <c r="M1798" s="28" t="s">
        <v>47</v>
      </c>
      <c r="N1798" s="112" t="s">
        <v>14</v>
      </c>
      <c r="O1798" s="104" t="s">
        <v>52</v>
      </c>
      <c r="P1798" s="104" t="s">
        <v>52</v>
      </c>
      <c r="Q1798" s="105"/>
      <c r="R1798" s="30" t="s">
        <v>7708</v>
      </c>
      <c r="S1798" s="225">
        <f t="shared" si="28"/>
        <v>54332</v>
      </c>
      <c r="T1798" s="162" t="s">
        <v>7646</v>
      </c>
      <c r="U1798" s="2" t="s">
        <v>136</v>
      </c>
      <c r="V1798" s="162" t="str" cm="1">
        <f t="array" ref="V1798">_xlfn.IFS(C1798="","",COUNTIF(C1798,"ตำแหน่งว่าง*"),"ว่าง",COUNTIF(C1798,"&lt;&gt;ตำแหน่งว่าง*"),"คนครอง")</f>
        <v>คนครอง</v>
      </c>
      <c r="W1798" s="6" cm="1">
        <f t="array" ref="W1798">_xlfn.IFS(COUNTIF(F1798,"ผบ.หมู่*"),51,COUNTIF(F1798,"รอง สว.*"),43)</f>
        <v>51</v>
      </c>
      <c r="X1798" s="1" t="s">
        <v>5191</v>
      </c>
      <c r="Y1798" s="1" t="s">
        <v>52</v>
      </c>
    </row>
    <row r="1799" spans="1:25" s="10" customFormat="1" ht="21.3" customHeight="1">
      <c r="A1799" s="27" t="s">
        <v>208</v>
      </c>
      <c r="B1799" s="28" t="s">
        <v>21</v>
      </c>
      <c r="C1799" s="95" t="s">
        <v>5193</v>
      </c>
      <c r="D1799" s="27" t="s">
        <v>7971</v>
      </c>
      <c r="E1799" s="27" t="s">
        <v>9914</v>
      </c>
      <c r="F1799" s="27" t="s">
        <v>5136</v>
      </c>
      <c r="G1799" s="101" t="s">
        <v>5195</v>
      </c>
      <c r="H1799" s="75">
        <v>44999</v>
      </c>
      <c r="I1799" s="73">
        <v>43132</v>
      </c>
      <c r="J1799" s="73">
        <v>43132</v>
      </c>
      <c r="K1799" s="73">
        <v>34161</v>
      </c>
      <c r="L1799" s="11" t="s">
        <v>82</v>
      </c>
      <c r="M1799" s="1" t="s">
        <v>47</v>
      </c>
      <c r="N1799" s="113" t="s">
        <v>14</v>
      </c>
      <c r="O1799" s="104" t="s">
        <v>52</v>
      </c>
      <c r="P1799" s="104" t="s">
        <v>52</v>
      </c>
      <c r="Q1799" s="105"/>
      <c r="R1799" s="28" t="s">
        <v>74</v>
      </c>
      <c r="S1799" s="225">
        <f t="shared" si="28"/>
        <v>56158</v>
      </c>
      <c r="T1799" s="7" t="s">
        <v>7646</v>
      </c>
      <c r="U1799" s="2" t="s">
        <v>136</v>
      </c>
      <c r="V1799" s="162" t="str" cm="1">
        <f t="array" ref="V1799">_xlfn.IFS(C1799="","",COUNTIF(C1799,"ตำแหน่งว่าง*"),"ว่าง",COUNTIF(C1799,"&lt;&gt;ตำแหน่งว่าง*"),"คนครอง")</f>
        <v>คนครอง</v>
      </c>
      <c r="W1799" s="6" cm="1">
        <f t="array" ref="W1799">_xlfn.IFS(COUNTIF(F1799,"ผบ.หมู่*"),51,COUNTIF(F1799,"รอง สว.*"),43)</f>
        <v>51</v>
      </c>
      <c r="X1799" s="1" t="s">
        <v>5194</v>
      </c>
      <c r="Y1799" s="6" t="s">
        <v>52</v>
      </c>
    </row>
    <row r="1800" spans="1:25" s="12" customFormat="1" ht="21.3" customHeight="1">
      <c r="A1800" s="152" t="s">
        <v>138</v>
      </c>
      <c r="B1800" s="153"/>
      <c r="C1800" s="125"/>
      <c r="D1800" s="27"/>
      <c r="E1800" s="158"/>
      <c r="F1800" s="171"/>
      <c r="G1800" s="125"/>
      <c r="H1800" s="154" t="s">
        <v>19</v>
      </c>
      <c r="I1800" s="126" t="s">
        <v>19</v>
      </c>
      <c r="J1800" s="126" t="s">
        <v>19</v>
      </c>
      <c r="K1800" s="126" t="s">
        <v>19</v>
      </c>
      <c r="L1800" s="127"/>
      <c r="M1800" s="128"/>
      <c r="N1800" s="129"/>
      <c r="O1800" s="125"/>
      <c r="P1800" s="129"/>
      <c r="Q1800" s="160"/>
      <c r="R1800" s="128"/>
      <c r="S1800" s="226" t="str">
        <f t="shared" si="28"/>
        <v/>
      </c>
      <c r="T1800" s="171"/>
      <c r="U1800" s="171"/>
      <c r="V1800" s="171" t="str" cm="1">
        <f t="array" ref="V1800">_xlfn.IFS(C1800="","",COUNTIF(C1800,"ตำแหน่งว่าง*"),"ว่าง",COUNTIF(C1800,"&lt;&gt;ตำแหน่งว่าง*"),"คนครอง")</f>
        <v/>
      </c>
      <c r="W1800" s="129"/>
      <c r="X1800" s="129"/>
      <c r="Y1800" s="129"/>
    </row>
    <row r="1801" spans="1:25" s="10" customFormat="1" ht="21.3" customHeight="1">
      <c r="A1801" s="27"/>
      <c r="B1801" s="28"/>
      <c r="C1801" s="30" t="s">
        <v>18</v>
      </c>
      <c r="D1801" s="27"/>
      <c r="E1801" s="27"/>
      <c r="F1801" s="68" t="s">
        <v>5335</v>
      </c>
      <c r="G1801" s="121" t="s">
        <v>5337</v>
      </c>
      <c r="H1801" s="91" t="s">
        <v>19</v>
      </c>
      <c r="I1801" s="73" t="s">
        <v>19</v>
      </c>
      <c r="J1801" s="73" t="s">
        <v>19</v>
      </c>
      <c r="K1801" s="73" t="s">
        <v>19</v>
      </c>
      <c r="L1801" s="11"/>
      <c r="M1801" s="1"/>
      <c r="N1801" s="113" t="s">
        <v>14</v>
      </c>
      <c r="O1801" s="122" t="s">
        <v>27</v>
      </c>
      <c r="P1801" s="122"/>
      <c r="Q1801" s="105"/>
      <c r="R1801" s="28"/>
      <c r="S1801" s="225" t="str">
        <f t="shared" si="28"/>
        <v/>
      </c>
      <c r="T1801" s="7" t="s">
        <v>138</v>
      </c>
      <c r="U1801" s="7" t="s">
        <v>138</v>
      </c>
      <c r="V1801" s="171" t="str" cm="1">
        <f t="array" ref="V1801">_xlfn.IFS(C1801="","",COUNTIF(C1801,"ตำแหน่งว่าง*"),"ว่าง",COUNTIF(C1801,"&lt;&gt;ตำแหน่งว่าง*"),"คนครอง")</f>
        <v>ว่าง</v>
      </c>
      <c r="W1801" s="6" cm="1">
        <f t="array" ref="W1801">_xlfn.IFS(COUNTIF(F1801,"ผบ.หมู่*"),51,COUNTIF(F1801,"รอง สว.*"),43)</f>
        <v>51</v>
      </c>
      <c r="X1801" s="6" t="s">
        <v>5336</v>
      </c>
      <c r="Y1801" s="6" t="s">
        <v>27</v>
      </c>
    </row>
    <row r="1802" spans="1:25" s="10" customFormat="1" ht="21.3" customHeight="1">
      <c r="A1802" s="27"/>
      <c r="B1802" s="28"/>
      <c r="C1802" s="30" t="s">
        <v>18</v>
      </c>
      <c r="D1802" s="27"/>
      <c r="E1802" s="27"/>
      <c r="F1802" s="68" t="s">
        <v>5335</v>
      </c>
      <c r="G1802" s="121" t="s">
        <v>5339</v>
      </c>
      <c r="H1802" s="91" t="s">
        <v>19</v>
      </c>
      <c r="I1802" s="73" t="s">
        <v>19</v>
      </c>
      <c r="J1802" s="73" t="s">
        <v>19</v>
      </c>
      <c r="K1802" s="73" t="s">
        <v>19</v>
      </c>
      <c r="L1802" s="11"/>
      <c r="M1802" s="1"/>
      <c r="N1802" s="113" t="s">
        <v>14</v>
      </c>
      <c r="O1802" s="122" t="s">
        <v>27</v>
      </c>
      <c r="P1802" s="122"/>
      <c r="Q1802" s="105"/>
      <c r="R1802" s="28"/>
      <c r="S1802" s="225" t="str">
        <f t="shared" si="28"/>
        <v/>
      </c>
      <c r="T1802" s="7" t="s">
        <v>138</v>
      </c>
      <c r="U1802" s="7" t="s">
        <v>138</v>
      </c>
      <c r="V1802" s="171" t="str" cm="1">
        <f t="array" ref="V1802">_xlfn.IFS(C1802="","",COUNTIF(C1802,"ตำแหน่งว่าง*"),"ว่าง",COUNTIF(C1802,"&lt;&gt;ตำแหน่งว่าง*"),"คนครอง")</f>
        <v>ว่าง</v>
      </c>
      <c r="W1802" s="6" cm="1">
        <f t="array" ref="W1802">_xlfn.IFS(COUNTIF(F1802,"ผบ.หมู่*"),51,COUNTIF(F1802,"รอง สว.*"),43)</f>
        <v>51</v>
      </c>
      <c r="X1802" s="6" t="s">
        <v>5338</v>
      </c>
      <c r="Y1802" s="6" t="s">
        <v>27</v>
      </c>
    </row>
    <row r="1803" spans="1:25" s="12" customFormat="1" ht="21.3" customHeight="1">
      <c r="A1803" s="27"/>
      <c r="B1803" s="28"/>
      <c r="C1803" s="30" t="s">
        <v>18</v>
      </c>
      <c r="D1803" s="27"/>
      <c r="E1803" s="27"/>
      <c r="F1803" s="68" t="s">
        <v>5340</v>
      </c>
      <c r="G1803" s="121" t="s">
        <v>5342</v>
      </c>
      <c r="H1803" s="75" t="s">
        <v>19</v>
      </c>
      <c r="I1803" s="73" t="s">
        <v>19</v>
      </c>
      <c r="J1803" s="73" t="s">
        <v>19</v>
      </c>
      <c r="K1803" s="73" t="s">
        <v>19</v>
      </c>
      <c r="L1803" s="11"/>
      <c r="M1803" s="1"/>
      <c r="N1803" s="113" t="s">
        <v>14</v>
      </c>
      <c r="O1803" s="122" t="s">
        <v>27</v>
      </c>
      <c r="P1803" s="122"/>
      <c r="Q1803" s="105"/>
      <c r="R1803" s="28"/>
      <c r="S1803" s="225" t="str">
        <f t="shared" si="28"/>
        <v/>
      </c>
      <c r="T1803" s="162" t="s">
        <v>7698</v>
      </c>
      <c r="U1803" s="7" t="s">
        <v>138</v>
      </c>
      <c r="V1803" s="171" t="str" cm="1">
        <f t="array" ref="V1803">_xlfn.IFS(C1803="","",COUNTIF(C1803,"ตำแหน่งว่าง*"),"ว่าง",COUNTIF(C1803,"&lt;&gt;ตำแหน่งว่าง*"),"คนครอง")</f>
        <v>ว่าง</v>
      </c>
      <c r="W1803" s="6" cm="1">
        <f t="array" ref="W1803">_xlfn.IFS(COUNTIF(F1803,"ผบ.หมู่*"),51,COUNTIF(F1803,"รอง สว.*"),43)</f>
        <v>51</v>
      </c>
      <c r="X1803" s="6" t="s">
        <v>5341</v>
      </c>
      <c r="Y1803" s="6" t="s">
        <v>27</v>
      </c>
    </row>
    <row r="1804" spans="1:25" s="10" customFormat="1" ht="21.3" customHeight="1">
      <c r="A1804" s="27"/>
      <c r="B1804" s="28"/>
      <c r="C1804" s="30" t="s">
        <v>18</v>
      </c>
      <c r="D1804" s="27"/>
      <c r="E1804" s="27"/>
      <c r="F1804" s="68" t="s">
        <v>5340</v>
      </c>
      <c r="G1804" s="121" t="s">
        <v>5344</v>
      </c>
      <c r="H1804" s="91" t="s">
        <v>19</v>
      </c>
      <c r="I1804" s="73" t="s">
        <v>19</v>
      </c>
      <c r="J1804" s="73" t="s">
        <v>19</v>
      </c>
      <c r="K1804" s="73" t="s">
        <v>19</v>
      </c>
      <c r="L1804" s="11"/>
      <c r="M1804" s="1"/>
      <c r="N1804" s="113" t="s">
        <v>14</v>
      </c>
      <c r="O1804" s="122" t="s">
        <v>27</v>
      </c>
      <c r="P1804" s="122"/>
      <c r="Q1804" s="105"/>
      <c r="R1804" s="28"/>
      <c r="S1804" s="225" t="str">
        <f t="shared" si="28"/>
        <v/>
      </c>
      <c r="T1804" s="7" t="s">
        <v>7698</v>
      </c>
      <c r="U1804" s="7" t="s">
        <v>138</v>
      </c>
      <c r="V1804" s="171" t="str" cm="1">
        <f t="array" ref="V1804">_xlfn.IFS(C1804="","",COUNTIF(C1804,"ตำแหน่งว่าง*"),"ว่าง",COUNTIF(C1804,"&lt;&gt;ตำแหน่งว่าง*"),"คนครอง")</f>
        <v>ว่าง</v>
      </c>
      <c r="W1804" s="6" cm="1">
        <f t="array" ref="W1804">_xlfn.IFS(COUNTIF(F1804,"ผบ.หมู่*"),51,COUNTIF(F1804,"รอง สว.*"),43)</f>
        <v>51</v>
      </c>
      <c r="X1804" s="6" t="s">
        <v>5343</v>
      </c>
      <c r="Y1804" s="6" t="s">
        <v>27</v>
      </c>
    </row>
    <row r="1805" spans="1:25" s="10" customFormat="1" ht="21.3" customHeight="1">
      <c r="A1805" s="27"/>
      <c r="B1805" s="28"/>
      <c r="C1805" s="30" t="s">
        <v>18</v>
      </c>
      <c r="D1805" s="27"/>
      <c r="E1805" s="27"/>
      <c r="F1805" s="68" t="s">
        <v>5340</v>
      </c>
      <c r="G1805" s="121" t="s">
        <v>5346</v>
      </c>
      <c r="H1805" s="91" t="s">
        <v>19</v>
      </c>
      <c r="I1805" s="73" t="s">
        <v>19</v>
      </c>
      <c r="J1805" s="73" t="s">
        <v>19</v>
      </c>
      <c r="K1805" s="73" t="s">
        <v>19</v>
      </c>
      <c r="L1805" s="11"/>
      <c r="M1805" s="1"/>
      <c r="N1805" s="113" t="s">
        <v>14</v>
      </c>
      <c r="O1805" s="122" t="s">
        <v>27</v>
      </c>
      <c r="P1805" s="122"/>
      <c r="Q1805" s="105"/>
      <c r="R1805" s="28"/>
      <c r="S1805" s="225" t="str">
        <f t="shared" si="28"/>
        <v/>
      </c>
      <c r="T1805" s="7" t="s">
        <v>7698</v>
      </c>
      <c r="U1805" s="7" t="s">
        <v>138</v>
      </c>
      <c r="V1805" s="171" t="str" cm="1">
        <f t="array" ref="V1805">_xlfn.IFS(C1805="","",COUNTIF(C1805,"ตำแหน่งว่าง*"),"ว่าง",COUNTIF(C1805,"&lt;&gt;ตำแหน่งว่าง*"),"คนครอง")</f>
        <v>ว่าง</v>
      </c>
      <c r="W1805" s="6" cm="1">
        <f t="array" ref="W1805">_xlfn.IFS(COUNTIF(F1805,"ผบ.หมู่*"),51,COUNTIF(F1805,"รอง สว.*"),43)</f>
        <v>51</v>
      </c>
      <c r="X1805" s="6" t="s">
        <v>5345</v>
      </c>
      <c r="Y1805" s="6" t="s">
        <v>27</v>
      </c>
    </row>
    <row r="1806" spans="1:25" s="10" customFormat="1" ht="21.3" customHeight="1">
      <c r="A1806" s="27"/>
      <c r="B1806" s="28"/>
      <c r="C1806" s="30" t="s">
        <v>18</v>
      </c>
      <c r="D1806" s="27"/>
      <c r="E1806" s="27"/>
      <c r="F1806" s="68" t="s">
        <v>5340</v>
      </c>
      <c r="G1806" s="121" t="s">
        <v>5348</v>
      </c>
      <c r="H1806" s="91" t="s">
        <v>19</v>
      </c>
      <c r="I1806" s="73" t="s">
        <v>19</v>
      </c>
      <c r="J1806" s="73" t="s">
        <v>19</v>
      </c>
      <c r="K1806" s="73" t="s">
        <v>19</v>
      </c>
      <c r="L1806" s="11"/>
      <c r="M1806" s="1"/>
      <c r="N1806" s="113" t="s">
        <v>14</v>
      </c>
      <c r="O1806" s="122" t="s">
        <v>27</v>
      </c>
      <c r="P1806" s="122"/>
      <c r="Q1806" s="105"/>
      <c r="R1806" s="28"/>
      <c r="S1806" s="225" t="str">
        <f t="shared" si="28"/>
        <v/>
      </c>
      <c r="T1806" s="7" t="s">
        <v>7698</v>
      </c>
      <c r="U1806" s="7" t="s">
        <v>138</v>
      </c>
      <c r="V1806" s="171" t="str" cm="1">
        <f t="array" ref="V1806">_xlfn.IFS(C1806="","",COUNTIF(C1806,"ตำแหน่งว่าง*"),"ว่าง",COUNTIF(C1806,"&lt;&gt;ตำแหน่งว่าง*"),"คนครอง")</f>
        <v>ว่าง</v>
      </c>
      <c r="W1806" s="6" cm="1">
        <f t="array" ref="W1806">_xlfn.IFS(COUNTIF(F1806,"ผบ.หมู่*"),51,COUNTIF(F1806,"รอง สว.*"),43)</f>
        <v>51</v>
      </c>
      <c r="X1806" s="6" t="s">
        <v>5347</v>
      </c>
      <c r="Y1806" s="6" t="s">
        <v>27</v>
      </c>
    </row>
    <row r="1807" spans="1:25" s="10" customFormat="1" ht="21.3" customHeight="1">
      <c r="A1807" s="27"/>
      <c r="B1807" s="28"/>
      <c r="C1807" s="30" t="s">
        <v>18</v>
      </c>
      <c r="D1807" s="27"/>
      <c r="E1807" s="27"/>
      <c r="F1807" s="68" t="s">
        <v>5340</v>
      </c>
      <c r="G1807" s="121" t="s">
        <v>5350</v>
      </c>
      <c r="H1807" s="91" t="s">
        <v>19</v>
      </c>
      <c r="I1807" s="73" t="s">
        <v>19</v>
      </c>
      <c r="J1807" s="73" t="s">
        <v>19</v>
      </c>
      <c r="K1807" s="73" t="s">
        <v>19</v>
      </c>
      <c r="L1807" s="11"/>
      <c r="M1807" s="1"/>
      <c r="N1807" s="113" t="s">
        <v>14</v>
      </c>
      <c r="O1807" s="122" t="s">
        <v>27</v>
      </c>
      <c r="P1807" s="122"/>
      <c r="Q1807" s="105"/>
      <c r="R1807" s="28"/>
      <c r="S1807" s="225" t="str">
        <f t="shared" si="28"/>
        <v/>
      </c>
      <c r="T1807" s="7" t="s">
        <v>7698</v>
      </c>
      <c r="U1807" s="7" t="s">
        <v>138</v>
      </c>
      <c r="V1807" s="171" t="str" cm="1">
        <f t="array" ref="V1807">_xlfn.IFS(C1807="","",COUNTIF(C1807,"ตำแหน่งว่าง*"),"ว่าง",COUNTIF(C1807,"&lt;&gt;ตำแหน่งว่าง*"),"คนครอง")</f>
        <v>ว่าง</v>
      </c>
      <c r="W1807" s="6" cm="1">
        <f t="array" ref="W1807">_xlfn.IFS(COUNTIF(F1807,"ผบ.หมู่*"),51,COUNTIF(F1807,"รอง สว.*"),43)</f>
        <v>51</v>
      </c>
      <c r="X1807" s="6" t="s">
        <v>5349</v>
      </c>
      <c r="Y1807" s="6" t="s">
        <v>27</v>
      </c>
    </row>
    <row r="1808" spans="1:25" s="12" customFormat="1" ht="21.3" customHeight="1">
      <c r="A1808" s="68"/>
      <c r="B1808" s="30"/>
      <c r="C1808" s="30" t="s">
        <v>18</v>
      </c>
      <c r="D1808" s="27"/>
      <c r="E1808" s="27"/>
      <c r="F1808" s="68" t="s">
        <v>5340</v>
      </c>
      <c r="G1808" s="121" t="s">
        <v>5352</v>
      </c>
      <c r="H1808" s="80"/>
      <c r="I1808" s="74"/>
      <c r="J1808" s="74"/>
      <c r="K1808" s="74"/>
      <c r="L1808" s="16"/>
      <c r="M1808" s="6"/>
      <c r="N1808" s="113" t="s">
        <v>14</v>
      </c>
      <c r="O1808" s="122" t="s">
        <v>27</v>
      </c>
      <c r="P1808" s="122"/>
      <c r="Q1808" s="106"/>
      <c r="R1808" s="30"/>
      <c r="S1808" s="225" t="str">
        <f t="shared" si="28"/>
        <v/>
      </c>
      <c r="T1808" s="162" t="s">
        <v>7698</v>
      </c>
      <c r="U1808" s="7" t="s">
        <v>138</v>
      </c>
      <c r="V1808" s="171" t="str" cm="1">
        <f t="array" ref="V1808">_xlfn.IFS(C1808="","",COUNTIF(C1808,"ตำแหน่งว่าง*"),"ว่าง",COUNTIF(C1808,"&lt;&gt;ตำแหน่งว่าง*"),"คนครอง")</f>
        <v>ว่าง</v>
      </c>
      <c r="W1808" s="6" cm="1">
        <f t="array" ref="W1808">_xlfn.IFS(COUNTIF(F1808,"ผบ.หมู่*"),51,COUNTIF(F1808,"รอง สว.*"),43)</f>
        <v>51</v>
      </c>
      <c r="X1808" s="6" t="s">
        <v>5351</v>
      </c>
      <c r="Y1808" s="6" t="s">
        <v>27</v>
      </c>
    </row>
    <row r="1809" spans="1:25" s="10" customFormat="1" ht="21.3" customHeight="1">
      <c r="A1809" s="27"/>
      <c r="B1809" s="28"/>
      <c r="C1809" s="30" t="s">
        <v>18</v>
      </c>
      <c r="D1809" s="27"/>
      <c r="E1809" s="27"/>
      <c r="F1809" s="68" t="s">
        <v>5340</v>
      </c>
      <c r="G1809" s="121" t="s">
        <v>5355</v>
      </c>
      <c r="H1809" s="91" t="s">
        <v>19</v>
      </c>
      <c r="I1809" s="73" t="s">
        <v>19</v>
      </c>
      <c r="J1809" s="73" t="s">
        <v>19</v>
      </c>
      <c r="K1809" s="73" t="s">
        <v>19</v>
      </c>
      <c r="L1809" s="11"/>
      <c r="M1809" s="1"/>
      <c r="N1809" s="113" t="s">
        <v>14</v>
      </c>
      <c r="O1809" s="122" t="s">
        <v>27</v>
      </c>
      <c r="P1809" s="122"/>
      <c r="Q1809" s="105"/>
      <c r="R1809" s="28"/>
      <c r="S1809" s="225" t="str">
        <f t="shared" si="28"/>
        <v/>
      </c>
      <c r="T1809" s="7" t="s">
        <v>7698</v>
      </c>
      <c r="U1809" s="7" t="s">
        <v>138</v>
      </c>
      <c r="V1809" s="171" t="str" cm="1">
        <f t="array" ref="V1809">_xlfn.IFS(C1809="","",COUNTIF(C1809,"ตำแหน่งว่าง*"),"ว่าง",COUNTIF(C1809,"&lt;&gt;ตำแหน่งว่าง*"),"คนครอง")</f>
        <v>ว่าง</v>
      </c>
      <c r="W1809" s="6" cm="1">
        <f t="array" ref="W1809">_xlfn.IFS(COUNTIF(F1809,"ผบ.หมู่*"),51,COUNTIF(F1809,"รอง สว.*"),43)</f>
        <v>51</v>
      </c>
      <c r="X1809" s="6" t="s">
        <v>5354</v>
      </c>
      <c r="Y1809" s="6" t="s">
        <v>27</v>
      </c>
    </row>
    <row r="1810" spans="1:25" s="10" customFormat="1" ht="21.3" customHeight="1">
      <c r="A1810" s="27"/>
      <c r="B1810" s="28"/>
      <c r="C1810" s="30" t="s">
        <v>18</v>
      </c>
      <c r="D1810" s="27"/>
      <c r="E1810" s="27"/>
      <c r="F1810" s="68" t="s">
        <v>5340</v>
      </c>
      <c r="G1810" s="121" t="s">
        <v>5357</v>
      </c>
      <c r="H1810" s="91" t="s">
        <v>19</v>
      </c>
      <c r="I1810" s="73" t="s">
        <v>19</v>
      </c>
      <c r="J1810" s="73" t="s">
        <v>19</v>
      </c>
      <c r="K1810" s="73" t="s">
        <v>19</v>
      </c>
      <c r="L1810" s="11"/>
      <c r="M1810" s="1"/>
      <c r="N1810" s="113" t="s">
        <v>14</v>
      </c>
      <c r="O1810" s="122" t="s">
        <v>27</v>
      </c>
      <c r="P1810" s="122"/>
      <c r="Q1810" s="105"/>
      <c r="R1810" s="28"/>
      <c r="S1810" s="225" t="str">
        <f t="shared" si="28"/>
        <v/>
      </c>
      <c r="T1810" s="7" t="s">
        <v>7698</v>
      </c>
      <c r="U1810" s="7" t="s">
        <v>138</v>
      </c>
      <c r="V1810" s="171" t="str" cm="1">
        <f t="array" ref="V1810">_xlfn.IFS(C1810="","",COUNTIF(C1810,"ตำแหน่งว่าง*"),"ว่าง",COUNTIF(C1810,"&lt;&gt;ตำแหน่งว่าง*"),"คนครอง")</f>
        <v>ว่าง</v>
      </c>
      <c r="W1810" s="6" cm="1">
        <f t="array" ref="W1810">_xlfn.IFS(COUNTIF(F1810,"ผบ.หมู่*"),51,COUNTIF(F1810,"รอง สว.*"),43)</f>
        <v>51</v>
      </c>
      <c r="X1810" s="6" t="s">
        <v>5356</v>
      </c>
      <c r="Y1810" s="6" t="s">
        <v>27</v>
      </c>
    </row>
    <row r="1811" spans="1:25" s="10" customFormat="1" ht="21.3" customHeight="1">
      <c r="A1811" s="27"/>
      <c r="B1811" s="28"/>
      <c r="C1811" s="30" t="s">
        <v>18</v>
      </c>
      <c r="D1811" s="27"/>
      <c r="E1811" s="27"/>
      <c r="F1811" s="68" t="s">
        <v>5340</v>
      </c>
      <c r="G1811" s="121" t="s">
        <v>5359</v>
      </c>
      <c r="H1811" s="91" t="s">
        <v>19</v>
      </c>
      <c r="I1811" s="73" t="s">
        <v>19</v>
      </c>
      <c r="J1811" s="73" t="s">
        <v>19</v>
      </c>
      <c r="K1811" s="73" t="s">
        <v>19</v>
      </c>
      <c r="L1811" s="11"/>
      <c r="M1811" s="1"/>
      <c r="N1811" s="113" t="s">
        <v>14</v>
      </c>
      <c r="O1811" s="122" t="s">
        <v>27</v>
      </c>
      <c r="P1811" s="122"/>
      <c r="Q1811" s="105"/>
      <c r="R1811" s="28"/>
      <c r="S1811" s="225" t="str">
        <f t="shared" si="28"/>
        <v/>
      </c>
      <c r="T1811" s="7" t="s">
        <v>7698</v>
      </c>
      <c r="U1811" s="7" t="s">
        <v>138</v>
      </c>
      <c r="V1811" s="171" t="str" cm="1">
        <f t="array" ref="V1811">_xlfn.IFS(C1811="","",COUNTIF(C1811,"ตำแหน่งว่าง*"),"ว่าง",COUNTIF(C1811,"&lt;&gt;ตำแหน่งว่าง*"),"คนครอง")</f>
        <v>ว่าง</v>
      </c>
      <c r="W1811" s="6" cm="1">
        <f t="array" ref="W1811">_xlfn.IFS(COUNTIF(F1811,"ผบ.หมู่*"),51,COUNTIF(F1811,"รอง สว.*"),43)</f>
        <v>51</v>
      </c>
      <c r="X1811" s="6" t="s">
        <v>5358</v>
      </c>
      <c r="Y1811" s="6" t="s">
        <v>27</v>
      </c>
    </row>
    <row r="1812" spans="1:25" s="9" customFormat="1" ht="21.3" customHeight="1">
      <c r="A1812" s="95" t="s">
        <v>208</v>
      </c>
      <c r="B1812" s="28" t="s">
        <v>21</v>
      </c>
      <c r="C1812" s="51" t="s">
        <v>5391</v>
      </c>
      <c r="D1812" s="27" t="s">
        <v>9915</v>
      </c>
      <c r="E1812" s="27" t="s">
        <v>8227</v>
      </c>
      <c r="F1812" s="27" t="s">
        <v>5340</v>
      </c>
      <c r="G1812" s="101" t="s">
        <v>5393</v>
      </c>
      <c r="H1812" s="91">
        <v>43693</v>
      </c>
      <c r="I1812" s="73">
        <v>43693</v>
      </c>
      <c r="J1812" s="73">
        <v>43693</v>
      </c>
      <c r="K1812" s="73">
        <v>36614</v>
      </c>
      <c r="L1812" s="11" t="s">
        <v>112</v>
      </c>
      <c r="M1812" s="1" t="s">
        <v>72</v>
      </c>
      <c r="N1812" s="112" t="s">
        <v>14</v>
      </c>
      <c r="O1812" s="104" t="s">
        <v>43</v>
      </c>
      <c r="P1812" s="104"/>
      <c r="Q1812" s="105"/>
      <c r="R1812" s="28" t="s">
        <v>326</v>
      </c>
      <c r="S1812" s="225">
        <f t="shared" si="28"/>
        <v>58715</v>
      </c>
      <c r="T1812" s="2" t="s">
        <v>7698</v>
      </c>
      <c r="U1812" s="7" t="s">
        <v>138</v>
      </c>
      <c r="V1812" s="162" t="str" cm="1">
        <f t="array" ref="V1812">_xlfn.IFS(C1812="","",COUNTIF(C1812,"ตำแหน่งว่าง*"),"ว่าง",COUNTIF(C1812,"&lt;&gt;ตำแหน่งว่าง*"),"คนครอง")</f>
        <v>คนครอง</v>
      </c>
      <c r="W1812" s="6" cm="1">
        <f t="array" ref="W1812">_xlfn.IFS(COUNTIF(F1812,"ผบ.หมู่*"),51,COUNTIF(F1812,"รอง สว.*"),43)</f>
        <v>51</v>
      </c>
      <c r="X1812" s="1" t="s">
        <v>5392</v>
      </c>
      <c r="Y1812" s="1" t="s">
        <v>48</v>
      </c>
    </row>
    <row r="1813" spans="1:25" s="12" customFormat="1" ht="21.3" customHeight="1">
      <c r="A1813" s="192" t="s">
        <v>169</v>
      </c>
      <c r="B1813" s="193" t="s">
        <v>21</v>
      </c>
      <c r="C1813" s="192" t="s">
        <v>7937</v>
      </c>
      <c r="D1813" s="27" t="s">
        <v>9916</v>
      </c>
      <c r="E1813" s="27" t="s">
        <v>9917</v>
      </c>
      <c r="F1813" s="192" t="s">
        <v>5340</v>
      </c>
      <c r="G1813" s="101" t="s">
        <v>5361</v>
      </c>
      <c r="H1813" s="73">
        <v>45463</v>
      </c>
      <c r="I1813" s="73">
        <v>45463</v>
      </c>
      <c r="J1813" s="73">
        <v>45463</v>
      </c>
      <c r="K1813" s="73">
        <v>35723</v>
      </c>
      <c r="L1813" s="2" t="s">
        <v>82</v>
      </c>
      <c r="M1813" s="1"/>
      <c r="N1813" s="112" t="s">
        <v>14</v>
      </c>
      <c r="O1813" s="104" t="s">
        <v>52</v>
      </c>
      <c r="P1813" s="104" t="s">
        <v>52</v>
      </c>
      <c r="Q1813" s="105"/>
      <c r="R1813" s="28"/>
      <c r="S1813" s="174">
        <f t="shared" si="28"/>
        <v>57984</v>
      </c>
      <c r="T1813" s="2" t="s">
        <v>7698</v>
      </c>
      <c r="U1813" s="2" t="s">
        <v>138</v>
      </c>
      <c r="V1813" s="162" t="str" cm="1">
        <f t="array" ref="V1813">_xlfn.IFS(C1813="","",COUNTIF(C1813,"ตำแหน่งว่าง*"),"ว่าง",COUNTIF(C1813,"&lt;&gt;ตำแหน่งว่าง*"),"คนครอง")</f>
        <v>คนครอง</v>
      </c>
      <c r="W1813" s="1" cm="1">
        <f t="array" ref="W1813">_xlfn.IFS(COUNTIF(F1813,"ผบ.หมู่*"),51,COUNTIF(F1813,"รอง สว.*"),43)</f>
        <v>51</v>
      </c>
      <c r="X1813" s="1" t="s">
        <v>5360</v>
      </c>
      <c r="Y1813" s="1" t="s">
        <v>52</v>
      </c>
    </row>
    <row r="1814" spans="1:25" s="12" customFormat="1" ht="21.3" customHeight="1">
      <c r="A1814" s="192" t="s">
        <v>169</v>
      </c>
      <c r="B1814" s="193" t="s">
        <v>21</v>
      </c>
      <c r="C1814" s="192" t="s">
        <v>7938</v>
      </c>
      <c r="D1814" s="27" t="s">
        <v>8222</v>
      </c>
      <c r="E1814" s="27" t="s">
        <v>9918</v>
      </c>
      <c r="F1814" s="192" t="s">
        <v>5340</v>
      </c>
      <c r="G1814" s="101" t="s">
        <v>5364</v>
      </c>
      <c r="H1814" s="73">
        <v>45463</v>
      </c>
      <c r="I1814" s="73">
        <v>45463</v>
      </c>
      <c r="J1814" s="73">
        <v>45463</v>
      </c>
      <c r="K1814" s="73">
        <v>35703</v>
      </c>
      <c r="L1814" s="2" t="s">
        <v>82</v>
      </c>
      <c r="M1814" s="1"/>
      <c r="N1814" s="112" t="s">
        <v>14</v>
      </c>
      <c r="O1814" s="104" t="s">
        <v>52</v>
      </c>
      <c r="P1814" s="104" t="s">
        <v>52</v>
      </c>
      <c r="Q1814" s="105"/>
      <c r="R1814" s="28" t="s">
        <v>7961</v>
      </c>
      <c r="S1814" s="174">
        <f t="shared" si="28"/>
        <v>57619</v>
      </c>
      <c r="T1814" s="2" t="s">
        <v>7698</v>
      </c>
      <c r="U1814" s="2" t="s">
        <v>138</v>
      </c>
      <c r="V1814" s="162" t="str" cm="1">
        <f t="array" ref="V1814">_xlfn.IFS(C1814="","",COUNTIF(C1814,"ตำแหน่งว่าง*"),"ว่าง",COUNTIF(C1814,"&lt;&gt;ตำแหน่งว่าง*"),"คนครอง")</f>
        <v>คนครอง</v>
      </c>
      <c r="W1814" s="1" cm="1">
        <f t="array" ref="W1814">_xlfn.IFS(COUNTIF(F1814,"ผบ.หมู่*"),51,COUNTIF(F1814,"รอง สว.*"),43)</f>
        <v>51</v>
      </c>
      <c r="X1814" s="1" t="s">
        <v>5363</v>
      </c>
      <c r="Y1814" s="1" t="s">
        <v>52</v>
      </c>
    </row>
    <row r="1815" spans="1:25" s="9" customFormat="1" ht="21.3" customHeight="1">
      <c r="A1815" s="27" t="s">
        <v>157</v>
      </c>
      <c r="B1815" s="28" t="s">
        <v>21</v>
      </c>
      <c r="C1815" s="27" t="s">
        <v>5366</v>
      </c>
      <c r="D1815" s="27" t="s">
        <v>9919</v>
      </c>
      <c r="E1815" s="27" t="s">
        <v>9920</v>
      </c>
      <c r="F1815" s="27" t="s">
        <v>5340</v>
      </c>
      <c r="G1815" s="101" t="s">
        <v>5368</v>
      </c>
      <c r="H1815" s="91">
        <v>44999</v>
      </c>
      <c r="I1815" s="73">
        <v>44243</v>
      </c>
      <c r="J1815" s="73">
        <v>40814</v>
      </c>
      <c r="K1815" s="73">
        <v>31434</v>
      </c>
      <c r="L1815" s="11" t="s">
        <v>7834</v>
      </c>
      <c r="M1815" s="1" t="s">
        <v>40</v>
      </c>
      <c r="N1815" s="116" t="s">
        <v>14</v>
      </c>
      <c r="O1815" s="104" t="s">
        <v>52</v>
      </c>
      <c r="P1815" s="120" t="s">
        <v>52</v>
      </c>
      <c r="Q1815" s="105"/>
      <c r="R1815" s="28" t="s">
        <v>74</v>
      </c>
      <c r="S1815" s="225">
        <f t="shared" si="28"/>
        <v>53601</v>
      </c>
      <c r="T1815" s="2" t="s">
        <v>7698</v>
      </c>
      <c r="U1815" s="7" t="s">
        <v>138</v>
      </c>
      <c r="V1815" s="162" t="str" cm="1">
        <f t="array" ref="V1815">_xlfn.IFS(C1815="","",COUNTIF(C1815,"ตำแหน่งว่าง*"),"ว่าง",COUNTIF(C1815,"&lt;&gt;ตำแหน่งว่าง*"),"คนครอง")</f>
        <v>คนครอง</v>
      </c>
      <c r="W1815" s="6" cm="1">
        <f t="array" ref="W1815">_xlfn.IFS(COUNTIF(F1815,"ผบ.หมู่*"),51,COUNTIF(F1815,"รอง สว.*"),43)</f>
        <v>51</v>
      </c>
      <c r="X1815" s="1" t="s">
        <v>5367</v>
      </c>
      <c r="Y1815" s="3" t="s">
        <v>52</v>
      </c>
    </row>
    <row r="1816" spans="1:25" s="12" customFormat="1" ht="21.3" customHeight="1">
      <c r="A1816" s="95" t="s">
        <v>157</v>
      </c>
      <c r="B1816" s="31" t="s">
        <v>12</v>
      </c>
      <c r="C1816" s="95" t="s">
        <v>5369</v>
      </c>
      <c r="D1816" s="27" t="s">
        <v>9921</v>
      </c>
      <c r="E1816" s="27" t="s">
        <v>9920</v>
      </c>
      <c r="F1816" s="95" t="s">
        <v>5340</v>
      </c>
      <c r="G1816" s="101" t="s">
        <v>5371</v>
      </c>
      <c r="H1816" s="92">
        <v>44599</v>
      </c>
      <c r="I1816" s="76">
        <v>43871</v>
      </c>
      <c r="J1816" s="76">
        <v>40339</v>
      </c>
      <c r="K1816" s="76">
        <v>30780</v>
      </c>
      <c r="L1816" s="17" t="s">
        <v>5372</v>
      </c>
      <c r="M1816" s="5" t="s">
        <v>40</v>
      </c>
      <c r="N1816" s="111" t="s">
        <v>14</v>
      </c>
      <c r="O1816" s="104" t="s">
        <v>52</v>
      </c>
      <c r="P1816" s="104" t="s">
        <v>52</v>
      </c>
      <c r="Q1816" s="108"/>
      <c r="R1816" s="31" t="s">
        <v>607</v>
      </c>
      <c r="S1816" s="225">
        <f t="shared" si="28"/>
        <v>52871</v>
      </c>
      <c r="T1816" s="162" t="s">
        <v>7698</v>
      </c>
      <c r="U1816" s="7" t="s">
        <v>138</v>
      </c>
      <c r="V1816" s="162" t="str" cm="1">
        <f t="array" ref="V1816">_xlfn.IFS(C1816="","",COUNTIF(C1816,"ตำแหน่งว่าง*"),"ว่าง",COUNTIF(C1816,"&lt;&gt;ตำแหน่งว่าง*"),"คนครอง")</f>
        <v>คนครอง</v>
      </c>
      <c r="W1816" s="6" cm="1">
        <f t="array" ref="W1816">_xlfn.IFS(COUNTIF(F1816,"ผบ.หมู่*"),51,COUNTIF(F1816,"รอง สว.*"),43)</f>
        <v>51</v>
      </c>
      <c r="X1816" s="5" t="s">
        <v>5370</v>
      </c>
      <c r="Y1816" s="5" t="s">
        <v>52</v>
      </c>
    </row>
    <row r="1817" spans="1:25" s="12" customFormat="1" ht="21.3" customHeight="1">
      <c r="A1817" s="95"/>
      <c r="B1817" s="31"/>
      <c r="C1817" s="30" t="s">
        <v>18</v>
      </c>
      <c r="D1817" s="27"/>
      <c r="E1817" s="27"/>
      <c r="F1817" s="68" t="s">
        <v>5340</v>
      </c>
      <c r="G1817" s="121" t="s">
        <v>5375</v>
      </c>
      <c r="H1817" s="80"/>
      <c r="I1817" s="74"/>
      <c r="J1817" s="74"/>
      <c r="K1817" s="74"/>
      <c r="L1817" s="16"/>
      <c r="M1817" s="6"/>
      <c r="N1817" s="113" t="s">
        <v>14</v>
      </c>
      <c r="O1817" s="122" t="s">
        <v>52</v>
      </c>
      <c r="P1817" s="122" t="s">
        <v>52</v>
      </c>
      <c r="Q1817" s="106"/>
      <c r="R1817" s="30"/>
      <c r="S1817" s="225" t="str">
        <f t="shared" si="28"/>
        <v/>
      </c>
      <c r="T1817" s="162" t="s">
        <v>7698</v>
      </c>
      <c r="U1817" s="7" t="s">
        <v>138</v>
      </c>
      <c r="V1817" s="171" t="str" cm="1">
        <f t="array" ref="V1817">_xlfn.IFS(C1817="","",COUNTIF(C1817,"ตำแหน่งว่าง*"),"ว่าง",COUNTIF(C1817,"&lt;&gt;ตำแหน่งว่าง*"),"คนครอง")</f>
        <v>ว่าง</v>
      </c>
      <c r="W1817" s="5" cm="1">
        <f t="array" ref="W1817">_xlfn.IFS(COUNTIF(F1817,"ผบ.หมู่*"),51,COUNTIF(F1817,"รอง สว.*"),43)</f>
        <v>51</v>
      </c>
      <c r="X1817" s="6" t="s">
        <v>5374</v>
      </c>
      <c r="Y1817" s="6" t="s">
        <v>52</v>
      </c>
    </row>
    <row r="1818" spans="1:25" s="12" customFormat="1" ht="21.3" customHeight="1">
      <c r="A1818" s="27"/>
      <c r="B1818" s="28"/>
      <c r="C1818" s="95" t="s">
        <v>18</v>
      </c>
      <c r="D1818" s="27"/>
      <c r="E1818" s="27"/>
      <c r="F1818" s="68" t="s">
        <v>5340</v>
      </c>
      <c r="G1818" s="101" t="s">
        <v>5377</v>
      </c>
      <c r="H1818" s="75"/>
      <c r="I1818" s="73"/>
      <c r="J1818" s="73"/>
      <c r="K1818" s="73"/>
      <c r="L1818" s="11"/>
      <c r="M1818" s="1"/>
      <c r="N1818" s="112" t="s">
        <v>14</v>
      </c>
      <c r="O1818" s="104" t="s">
        <v>52</v>
      </c>
      <c r="P1818" s="104" t="s">
        <v>52</v>
      </c>
      <c r="Q1818" s="105"/>
      <c r="R1818" s="30"/>
      <c r="S1818" s="225" t="str">
        <f t="shared" si="28"/>
        <v/>
      </c>
      <c r="T1818" s="162" t="s">
        <v>7698</v>
      </c>
      <c r="U1818" s="7" t="s">
        <v>138</v>
      </c>
      <c r="V1818" s="162" t="str" cm="1">
        <f t="array" ref="V1818">_xlfn.IFS(C1818="","",COUNTIF(C1818,"ตำแหน่งว่าง*"),"ว่าง",COUNTIF(C1818,"&lt;&gt;ตำแหน่งว่าง*"),"คนครอง")</f>
        <v>ว่าง</v>
      </c>
      <c r="W1818" s="6" cm="1">
        <f t="array" ref="W1818">_xlfn.IFS(COUNTIF(F1818,"ผบ.หมู่*"),51,COUNTIF(F1818,"รอง สว.*"),43)</f>
        <v>51</v>
      </c>
      <c r="X1818" s="1" t="s">
        <v>5376</v>
      </c>
      <c r="Y1818" s="1" t="s">
        <v>52</v>
      </c>
    </row>
    <row r="1819" spans="1:25" s="12" customFormat="1" ht="21.3" customHeight="1">
      <c r="A1819" s="27" t="s">
        <v>157</v>
      </c>
      <c r="B1819" s="28" t="s">
        <v>21</v>
      </c>
      <c r="C1819" s="95" t="s">
        <v>5378</v>
      </c>
      <c r="D1819" s="27" t="s">
        <v>9922</v>
      </c>
      <c r="E1819" s="27" t="s">
        <v>9923</v>
      </c>
      <c r="F1819" s="95" t="s">
        <v>5340</v>
      </c>
      <c r="G1819" s="101" t="s">
        <v>5380</v>
      </c>
      <c r="H1819" s="75">
        <v>42501</v>
      </c>
      <c r="I1819" s="73">
        <v>34729</v>
      </c>
      <c r="J1819" s="73">
        <v>34729</v>
      </c>
      <c r="K1819" s="73">
        <v>26884</v>
      </c>
      <c r="L1819" s="11" t="s">
        <v>5353</v>
      </c>
      <c r="M1819" s="1" t="s">
        <v>40</v>
      </c>
      <c r="N1819" s="111" t="s">
        <v>14</v>
      </c>
      <c r="O1819" s="104" t="s">
        <v>52</v>
      </c>
      <c r="P1819" s="104" t="s">
        <v>52</v>
      </c>
      <c r="Q1819" s="105"/>
      <c r="R1819" s="28" t="s">
        <v>110</v>
      </c>
      <c r="S1819" s="225">
        <f t="shared" si="28"/>
        <v>48853</v>
      </c>
      <c r="T1819" s="162" t="s">
        <v>7698</v>
      </c>
      <c r="U1819" s="7" t="s">
        <v>138</v>
      </c>
      <c r="V1819" s="162" t="str" cm="1">
        <f t="array" ref="V1819">_xlfn.IFS(C1819="","",COUNTIF(C1819,"ตำแหน่งว่าง*"),"ว่าง",COUNTIF(C1819,"&lt;&gt;ตำแหน่งว่าง*"),"คนครอง")</f>
        <v>คนครอง</v>
      </c>
      <c r="W1819" s="6" cm="1">
        <f t="array" ref="W1819">_xlfn.IFS(COUNTIF(F1819,"ผบ.หมู่*"),51,COUNTIF(F1819,"รอง สว.*"),43)</f>
        <v>51</v>
      </c>
      <c r="X1819" s="5" t="s">
        <v>5379</v>
      </c>
      <c r="Y1819" s="5" t="s">
        <v>52</v>
      </c>
    </row>
    <row r="1820" spans="1:25" s="12" customFormat="1" ht="21.3" customHeight="1">
      <c r="A1820" s="27" t="s">
        <v>612</v>
      </c>
      <c r="B1820" s="31" t="s">
        <v>21</v>
      </c>
      <c r="C1820" s="95" t="s">
        <v>5381</v>
      </c>
      <c r="D1820" s="27" t="s">
        <v>8334</v>
      </c>
      <c r="E1820" s="27" t="s">
        <v>9924</v>
      </c>
      <c r="F1820" s="95" t="s">
        <v>5340</v>
      </c>
      <c r="G1820" s="101" t="s">
        <v>5383</v>
      </c>
      <c r="H1820" s="91">
        <v>44243</v>
      </c>
      <c r="I1820" s="73">
        <v>42416</v>
      </c>
      <c r="J1820" s="73">
        <v>42416</v>
      </c>
      <c r="K1820" s="73">
        <v>33028</v>
      </c>
      <c r="L1820" s="11" t="s">
        <v>4997</v>
      </c>
      <c r="M1820" s="5" t="s">
        <v>40</v>
      </c>
      <c r="N1820" s="111" t="s">
        <v>14</v>
      </c>
      <c r="O1820" s="104" t="s">
        <v>52</v>
      </c>
      <c r="P1820" s="104" t="s">
        <v>52</v>
      </c>
      <c r="Q1820" s="108"/>
      <c r="R1820" s="31" t="s">
        <v>617</v>
      </c>
      <c r="S1820" s="225">
        <f t="shared" si="28"/>
        <v>55062</v>
      </c>
      <c r="T1820" s="162" t="s">
        <v>7698</v>
      </c>
      <c r="U1820" s="7" t="s">
        <v>138</v>
      </c>
      <c r="V1820" s="162" t="str" cm="1">
        <f t="array" ref="V1820">_xlfn.IFS(C1820="","",COUNTIF(C1820,"ตำแหน่งว่าง*"),"ว่าง",COUNTIF(C1820,"&lt;&gt;ตำแหน่งว่าง*"),"คนครอง")</f>
        <v>คนครอง</v>
      </c>
      <c r="W1820" s="6" cm="1">
        <f t="array" ref="W1820">_xlfn.IFS(COUNTIF(F1820,"ผบ.หมู่*"),51,COUNTIF(F1820,"รอง สว.*"),43)</f>
        <v>51</v>
      </c>
      <c r="X1820" s="5" t="s">
        <v>5382</v>
      </c>
      <c r="Y1820" s="5" t="s">
        <v>52</v>
      </c>
    </row>
    <row r="1821" spans="1:25" s="12" customFormat="1" ht="21.3" customHeight="1">
      <c r="A1821" s="27" t="s">
        <v>157</v>
      </c>
      <c r="B1821" s="28" t="s">
        <v>21</v>
      </c>
      <c r="C1821" s="95" t="s">
        <v>5384</v>
      </c>
      <c r="D1821" s="27" t="s">
        <v>8115</v>
      </c>
      <c r="E1821" s="27" t="s">
        <v>9925</v>
      </c>
      <c r="F1821" s="95" t="s">
        <v>5340</v>
      </c>
      <c r="G1821" s="101" t="s">
        <v>5386</v>
      </c>
      <c r="H1821" s="75">
        <v>42501</v>
      </c>
      <c r="I1821" s="73">
        <v>39717</v>
      </c>
      <c r="J1821" s="73">
        <v>39717</v>
      </c>
      <c r="K1821" s="73">
        <v>30164</v>
      </c>
      <c r="L1821" s="11" t="s">
        <v>5353</v>
      </c>
      <c r="M1821" s="1" t="s">
        <v>40</v>
      </c>
      <c r="N1821" s="111" t="s">
        <v>14</v>
      </c>
      <c r="O1821" s="104" t="s">
        <v>52</v>
      </c>
      <c r="P1821" s="104" t="s">
        <v>52</v>
      </c>
      <c r="Q1821" s="105"/>
      <c r="R1821" s="28" t="s">
        <v>110</v>
      </c>
      <c r="S1821" s="225">
        <f t="shared" si="28"/>
        <v>52140</v>
      </c>
      <c r="T1821" s="162" t="s">
        <v>7698</v>
      </c>
      <c r="U1821" s="7" t="s">
        <v>138</v>
      </c>
      <c r="V1821" s="162" t="str" cm="1">
        <f t="array" ref="V1821">_xlfn.IFS(C1821="","",COUNTIF(C1821,"ตำแหน่งว่าง*"),"ว่าง",COUNTIF(C1821,"&lt;&gt;ตำแหน่งว่าง*"),"คนครอง")</f>
        <v>คนครอง</v>
      </c>
      <c r="W1821" s="6" cm="1">
        <f t="array" ref="W1821">_xlfn.IFS(COUNTIF(F1821,"ผบ.หมู่*"),51,COUNTIF(F1821,"รอง สว.*"),43)</f>
        <v>51</v>
      </c>
      <c r="X1821" s="5" t="s">
        <v>5385</v>
      </c>
      <c r="Y1821" s="5" t="s">
        <v>52</v>
      </c>
    </row>
    <row r="1822" spans="1:25" s="12" customFormat="1" ht="21.3" customHeight="1">
      <c r="A1822" s="27"/>
      <c r="B1822" s="28"/>
      <c r="C1822" s="30" t="s">
        <v>18</v>
      </c>
      <c r="D1822" s="27"/>
      <c r="E1822" s="27"/>
      <c r="F1822" s="68" t="s">
        <v>5340</v>
      </c>
      <c r="G1822" s="121" t="s">
        <v>5389</v>
      </c>
      <c r="H1822" s="80"/>
      <c r="I1822" s="74"/>
      <c r="J1822" s="74"/>
      <c r="K1822" s="74"/>
      <c r="L1822" s="16"/>
      <c r="M1822" s="6"/>
      <c r="N1822" s="113" t="s">
        <v>14</v>
      </c>
      <c r="O1822" s="122" t="s">
        <v>52</v>
      </c>
      <c r="P1822" s="122" t="s">
        <v>52</v>
      </c>
      <c r="Q1822" s="106"/>
      <c r="R1822" s="30"/>
      <c r="S1822" s="225" t="str">
        <f t="shared" si="28"/>
        <v/>
      </c>
      <c r="T1822" s="162" t="s">
        <v>7698</v>
      </c>
      <c r="U1822" s="7" t="s">
        <v>138</v>
      </c>
      <c r="V1822" s="171" t="str" cm="1">
        <f t="array" ref="V1822">_xlfn.IFS(C1822="","",COUNTIF(C1822,"ตำแหน่งว่าง*"),"ว่าง",COUNTIF(C1822,"&lt;&gt;ตำแหน่งว่าง*"),"คนครอง")</f>
        <v>ว่าง</v>
      </c>
      <c r="W1822" s="6" cm="1">
        <f t="array" ref="W1822">_xlfn.IFS(COUNTIF(F1822,"ผบ.หมู่*"),51,COUNTIF(F1822,"รอง สว.*"),43)</f>
        <v>51</v>
      </c>
      <c r="X1822" s="6" t="s">
        <v>5388</v>
      </c>
      <c r="Y1822" s="6" t="s">
        <v>52</v>
      </c>
    </row>
    <row r="1823" spans="1:25" s="12" customFormat="1" ht="21.3" customHeight="1">
      <c r="A1823" s="27" t="s">
        <v>157</v>
      </c>
      <c r="B1823" s="28" t="s">
        <v>21</v>
      </c>
      <c r="C1823" s="51" t="s">
        <v>5394</v>
      </c>
      <c r="D1823" s="27" t="s">
        <v>9926</v>
      </c>
      <c r="E1823" s="27" t="s">
        <v>9927</v>
      </c>
      <c r="F1823" s="95" t="s">
        <v>5395</v>
      </c>
      <c r="G1823" s="101" t="s">
        <v>5397</v>
      </c>
      <c r="H1823" s="75">
        <v>42501</v>
      </c>
      <c r="I1823" s="73">
        <v>34352</v>
      </c>
      <c r="J1823" s="73">
        <v>34352</v>
      </c>
      <c r="K1823" s="73">
        <v>26634</v>
      </c>
      <c r="L1823" s="11" t="s">
        <v>5398</v>
      </c>
      <c r="M1823" s="1" t="s">
        <v>40</v>
      </c>
      <c r="N1823" s="111" t="s">
        <v>14</v>
      </c>
      <c r="O1823" s="104" t="s">
        <v>52</v>
      </c>
      <c r="P1823" s="104" t="s">
        <v>52</v>
      </c>
      <c r="Q1823" s="105"/>
      <c r="R1823" s="28" t="s">
        <v>110</v>
      </c>
      <c r="S1823" s="225">
        <f t="shared" si="28"/>
        <v>48853</v>
      </c>
      <c r="T1823" s="162" t="s">
        <v>7690</v>
      </c>
      <c r="U1823" s="7" t="s">
        <v>138</v>
      </c>
      <c r="V1823" s="162" t="str" cm="1">
        <f t="array" ref="V1823">_xlfn.IFS(C1823="","",COUNTIF(C1823,"ตำแหน่งว่าง*"),"ว่าง",COUNTIF(C1823,"&lt;&gt;ตำแหน่งว่าง*"),"คนครอง")</f>
        <v>คนครอง</v>
      </c>
      <c r="W1823" s="6" cm="1">
        <f t="array" ref="W1823">_xlfn.IFS(COUNTIF(F1823,"ผบ.หมู่*"),51,COUNTIF(F1823,"รอง สว.*"),43)</f>
        <v>51</v>
      </c>
      <c r="X1823" s="5" t="s">
        <v>5396</v>
      </c>
      <c r="Y1823" s="5" t="s">
        <v>52</v>
      </c>
    </row>
    <row r="1824" spans="1:25" s="54" customFormat="1" ht="21.3" customHeight="1">
      <c r="A1824" s="192" t="s">
        <v>169</v>
      </c>
      <c r="B1824" s="193" t="s">
        <v>21</v>
      </c>
      <c r="C1824" s="192" t="s">
        <v>7939</v>
      </c>
      <c r="D1824" s="27" t="s">
        <v>9928</v>
      </c>
      <c r="E1824" s="27" t="s">
        <v>9929</v>
      </c>
      <c r="F1824" s="192" t="s">
        <v>5399</v>
      </c>
      <c r="G1824" s="101" t="s">
        <v>5401</v>
      </c>
      <c r="H1824" s="73">
        <v>45463</v>
      </c>
      <c r="I1824" s="218">
        <v>45463</v>
      </c>
      <c r="J1824" s="73">
        <v>45463</v>
      </c>
      <c r="K1824" s="232">
        <v>35668</v>
      </c>
      <c r="L1824" s="2" t="s">
        <v>82</v>
      </c>
      <c r="M1824" s="1"/>
      <c r="N1824" s="219" t="s">
        <v>14</v>
      </c>
      <c r="O1824" s="104" t="s">
        <v>52</v>
      </c>
      <c r="P1824" s="104" t="s">
        <v>52</v>
      </c>
      <c r="Q1824" s="220"/>
      <c r="R1824" s="28" t="s">
        <v>7961</v>
      </c>
      <c r="S1824" s="174">
        <f t="shared" si="28"/>
        <v>57619</v>
      </c>
      <c r="T1824" s="2" t="s">
        <v>7690</v>
      </c>
      <c r="U1824" s="2" t="s">
        <v>138</v>
      </c>
      <c r="V1824" s="162" t="str" cm="1">
        <f t="array" ref="V1824">_xlfn.IFS(C1824="","",COUNTIF(C1824,"ตำแหน่งว่าง*"),"ว่าง",COUNTIF(C1824,"&lt;&gt;ตำแหน่งว่าง*"),"คนครอง")</f>
        <v>คนครอง</v>
      </c>
      <c r="W1824" s="1" cm="1">
        <f t="array" ref="W1824">_xlfn.IFS(COUNTIF(F1824,"ผบ.หมู่*"),51,COUNTIF(F1824,"รอง สว.*"),43)</f>
        <v>51</v>
      </c>
      <c r="X1824" s="1" t="s">
        <v>5400</v>
      </c>
      <c r="Y1824" s="1" t="s">
        <v>52</v>
      </c>
    </row>
    <row r="1825" spans="1:25" s="9" customFormat="1" ht="21.3" customHeight="1">
      <c r="A1825" s="27" t="s">
        <v>182</v>
      </c>
      <c r="B1825" s="28" t="s">
        <v>12</v>
      </c>
      <c r="C1825" s="27" t="s">
        <v>5402</v>
      </c>
      <c r="D1825" s="27" t="s">
        <v>9930</v>
      </c>
      <c r="E1825" s="27" t="s">
        <v>8394</v>
      </c>
      <c r="F1825" s="27" t="s">
        <v>5399</v>
      </c>
      <c r="G1825" s="101" t="s">
        <v>5404</v>
      </c>
      <c r="H1825" s="75">
        <v>44636</v>
      </c>
      <c r="I1825" s="73">
        <v>44636</v>
      </c>
      <c r="J1825" s="73">
        <v>44636</v>
      </c>
      <c r="K1825" s="73">
        <v>34933</v>
      </c>
      <c r="L1825" s="11" t="s">
        <v>82</v>
      </c>
      <c r="M1825" s="1" t="s">
        <v>126</v>
      </c>
      <c r="N1825" s="112" t="s">
        <v>14</v>
      </c>
      <c r="O1825" s="104" t="s">
        <v>52</v>
      </c>
      <c r="P1825" s="104" t="s">
        <v>52</v>
      </c>
      <c r="Q1825" s="105"/>
      <c r="R1825" s="28" t="s">
        <v>611</v>
      </c>
      <c r="S1825" s="225">
        <f t="shared" si="28"/>
        <v>56888</v>
      </c>
      <c r="T1825" s="2" t="s">
        <v>7690</v>
      </c>
      <c r="U1825" s="7" t="s">
        <v>138</v>
      </c>
      <c r="V1825" s="162" t="str" cm="1">
        <f t="array" ref="V1825">_xlfn.IFS(C1825="","",COUNTIF(C1825,"ตำแหน่งว่าง*"),"ว่าง",COUNTIF(C1825,"&lt;&gt;ตำแหน่งว่าง*"),"คนครอง")</f>
        <v>คนครอง</v>
      </c>
      <c r="W1825" s="6" cm="1">
        <f t="array" ref="W1825">_xlfn.IFS(COUNTIF(F1825,"ผบ.หมู่*"),51,COUNTIF(F1825,"รอง สว.*"),43)</f>
        <v>51</v>
      </c>
      <c r="X1825" s="1" t="s">
        <v>5403</v>
      </c>
      <c r="Y1825" s="1" t="s">
        <v>52</v>
      </c>
    </row>
    <row r="1826" spans="1:25" s="9" customFormat="1" ht="21.3" customHeight="1">
      <c r="A1826" s="27" t="s">
        <v>182</v>
      </c>
      <c r="B1826" s="28" t="s">
        <v>12</v>
      </c>
      <c r="C1826" s="34" t="s">
        <v>5405</v>
      </c>
      <c r="D1826" s="27" t="s">
        <v>8211</v>
      </c>
      <c r="E1826" s="27" t="s">
        <v>8338</v>
      </c>
      <c r="F1826" s="27" t="s">
        <v>5399</v>
      </c>
      <c r="G1826" s="101" t="s">
        <v>5407</v>
      </c>
      <c r="H1826" s="91">
        <v>44043</v>
      </c>
      <c r="I1826" s="73">
        <v>44043</v>
      </c>
      <c r="J1826" s="73">
        <v>44043</v>
      </c>
      <c r="K1826" s="73">
        <v>34708</v>
      </c>
      <c r="L1826" s="11" t="s">
        <v>7835</v>
      </c>
      <c r="M1826" s="1" t="s">
        <v>77</v>
      </c>
      <c r="N1826" s="112" t="s">
        <v>14</v>
      </c>
      <c r="O1826" s="104" t="s">
        <v>52</v>
      </c>
      <c r="P1826" s="104" t="s">
        <v>52</v>
      </c>
      <c r="Q1826" s="105"/>
      <c r="R1826" s="28" t="s">
        <v>2436</v>
      </c>
      <c r="S1826" s="225">
        <f t="shared" si="28"/>
        <v>56888</v>
      </c>
      <c r="T1826" s="2" t="s">
        <v>7690</v>
      </c>
      <c r="U1826" s="7" t="s">
        <v>138</v>
      </c>
      <c r="V1826" s="162" t="str" cm="1">
        <f t="array" ref="V1826">_xlfn.IFS(C1826="","",COUNTIF(C1826,"ตำแหน่งว่าง*"),"ว่าง",COUNTIF(C1826,"&lt;&gt;ตำแหน่งว่าง*"),"คนครอง")</f>
        <v>คนครอง</v>
      </c>
      <c r="W1826" s="6" cm="1">
        <f t="array" ref="W1826">_xlfn.IFS(COUNTIF(F1826,"ผบ.หมู่*"),51,COUNTIF(F1826,"รอง สว.*"),43)</f>
        <v>51</v>
      </c>
      <c r="X1826" s="1" t="s">
        <v>5406</v>
      </c>
      <c r="Y1826" s="1" t="s">
        <v>52</v>
      </c>
    </row>
    <row r="1827" spans="1:25" s="12" customFormat="1" ht="21.3" customHeight="1">
      <c r="A1827" s="68"/>
      <c r="B1827" s="30"/>
      <c r="C1827" s="30" t="s">
        <v>18</v>
      </c>
      <c r="D1827" s="27"/>
      <c r="E1827" s="27"/>
      <c r="F1827" s="68" t="s">
        <v>5395</v>
      </c>
      <c r="G1827" s="121" t="s">
        <v>5409</v>
      </c>
      <c r="H1827" s="93" t="s">
        <v>19</v>
      </c>
      <c r="I1827" s="74" t="s">
        <v>19</v>
      </c>
      <c r="J1827" s="74" t="s">
        <v>19</v>
      </c>
      <c r="K1827" s="74" t="s">
        <v>19</v>
      </c>
      <c r="L1827" s="16"/>
      <c r="M1827" s="6"/>
      <c r="N1827" s="113" t="s">
        <v>14</v>
      </c>
      <c r="O1827" s="122" t="s">
        <v>52</v>
      </c>
      <c r="P1827" s="122" t="s">
        <v>52</v>
      </c>
      <c r="Q1827" s="106"/>
      <c r="R1827" s="30"/>
      <c r="S1827" s="225" t="str">
        <f t="shared" si="28"/>
        <v/>
      </c>
      <c r="T1827" s="162" t="s">
        <v>7690</v>
      </c>
      <c r="U1827" s="7" t="s">
        <v>138</v>
      </c>
      <c r="V1827" s="171" t="str" cm="1">
        <f t="array" ref="V1827">_xlfn.IFS(C1827="","",COUNTIF(C1827,"ตำแหน่งว่าง*"),"ว่าง",COUNTIF(C1827,"&lt;&gt;ตำแหน่งว่าง*"),"คนครอง")</f>
        <v>ว่าง</v>
      </c>
      <c r="W1827" s="6" cm="1">
        <f t="array" ref="W1827">_xlfn.IFS(COUNTIF(F1827,"ผบ.หมู่*"),51,COUNTIF(F1827,"รอง สว.*"),43)</f>
        <v>51</v>
      </c>
      <c r="X1827" s="6" t="s">
        <v>5408</v>
      </c>
      <c r="Y1827" s="6" t="s">
        <v>52</v>
      </c>
    </row>
    <row r="1828" spans="1:25" s="12" customFormat="1" ht="21.3" customHeight="1">
      <c r="A1828" s="27" t="s">
        <v>10753</v>
      </c>
      <c r="B1828" s="28" t="s">
        <v>12</v>
      </c>
      <c r="C1828" s="95" t="s">
        <v>5410</v>
      </c>
      <c r="D1828" s="27" t="s">
        <v>9931</v>
      </c>
      <c r="E1828" s="27" t="s">
        <v>9932</v>
      </c>
      <c r="F1828" s="95" t="s">
        <v>5411</v>
      </c>
      <c r="G1828" s="101" t="s">
        <v>5413</v>
      </c>
      <c r="H1828" s="75">
        <v>45016</v>
      </c>
      <c r="I1828" s="73">
        <v>45016</v>
      </c>
      <c r="J1828" s="73">
        <v>33270</v>
      </c>
      <c r="K1828" s="73">
        <v>25546</v>
      </c>
      <c r="L1828" s="11" t="s">
        <v>5414</v>
      </c>
      <c r="M1828" s="1" t="s">
        <v>40</v>
      </c>
      <c r="N1828" s="111" t="s">
        <v>14</v>
      </c>
      <c r="O1828" s="104" t="s">
        <v>52</v>
      </c>
      <c r="P1828" s="104" t="s">
        <v>52</v>
      </c>
      <c r="Q1828" s="105"/>
      <c r="R1828" s="28" t="s">
        <v>483</v>
      </c>
      <c r="S1828" s="225">
        <f t="shared" si="28"/>
        <v>47757</v>
      </c>
      <c r="T1828" s="162" t="s">
        <v>7690</v>
      </c>
      <c r="U1828" s="7" t="s">
        <v>138</v>
      </c>
      <c r="V1828" s="162" t="str" cm="1">
        <f t="array" ref="V1828">_xlfn.IFS(C1828="","",COUNTIF(C1828,"ตำแหน่งว่าง*"),"ว่าง",COUNTIF(C1828,"&lt;&gt;ตำแหน่งว่าง*"),"คนครอง")</f>
        <v>คนครอง</v>
      </c>
      <c r="W1828" s="5" cm="1">
        <f t="array" ref="W1828">_xlfn.IFS(COUNTIF(F1828,"ผบ.หมู่*"),51,COUNTIF(F1828,"รอง สว.*"),43)</f>
        <v>43</v>
      </c>
      <c r="X1828" s="5" t="s">
        <v>5412</v>
      </c>
      <c r="Y1828" s="5" t="s">
        <v>52</v>
      </c>
    </row>
    <row r="1829" spans="1:25" s="9" customFormat="1" ht="21.3" customHeight="1">
      <c r="A1829" s="27" t="s">
        <v>182</v>
      </c>
      <c r="B1829" s="28" t="s">
        <v>12</v>
      </c>
      <c r="C1829" s="34" t="s">
        <v>5415</v>
      </c>
      <c r="D1829" s="27" t="s">
        <v>9933</v>
      </c>
      <c r="E1829" s="27" t="s">
        <v>8100</v>
      </c>
      <c r="F1829" s="27" t="s">
        <v>5395</v>
      </c>
      <c r="G1829" s="101" t="s">
        <v>5417</v>
      </c>
      <c r="H1829" s="91">
        <v>44043</v>
      </c>
      <c r="I1829" s="73">
        <v>44043</v>
      </c>
      <c r="J1829" s="73">
        <v>44043</v>
      </c>
      <c r="K1829" s="73">
        <v>33192</v>
      </c>
      <c r="L1829" s="11" t="s">
        <v>82</v>
      </c>
      <c r="M1829" s="1" t="s">
        <v>126</v>
      </c>
      <c r="N1829" s="112" t="s">
        <v>14</v>
      </c>
      <c r="O1829" s="104" t="s">
        <v>52</v>
      </c>
      <c r="P1829" s="104" t="s">
        <v>52</v>
      </c>
      <c r="Q1829" s="105"/>
      <c r="R1829" s="28" t="s">
        <v>2436</v>
      </c>
      <c r="S1829" s="225">
        <f t="shared" si="28"/>
        <v>55427</v>
      </c>
      <c r="T1829" s="2" t="s">
        <v>7690</v>
      </c>
      <c r="U1829" s="7" t="s">
        <v>138</v>
      </c>
      <c r="V1829" s="162" t="str" cm="1">
        <f t="array" ref="V1829">_xlfn.IFS(C1829="","",COUNTIF(C1829,"ตำแหน่งว่าง*"),"ว่าง",COUNTIF(C1829,"&lt;&gt;ตำแหน่งว่าง*"),"คนครอง")</f>
        <v>คนครอง</v>
      </c>
      <c r="W1829" s="6" cm="1">
        <f t="array" ref="W1829">_xlfn.IFS(COUNTIF(F1829,"ผบ.หมู่*"),51,COUNTIF(F1829,"รอง สว.*"),43)</f>
        <v>51</v>
      </c>
      <c r="X1829" s="1" t="s">
        <v>5416</v>
      </c>
      <c r="Y1829" s="1" t="s">
        <v>52</v>
      </c>
    </row>
    <row r="1830" spans="1:25" s="9" customFormat="1" ht="21.3" customHeight="1">
      <c r="A1830" s="27" t="s">
        <v>182</v>
      </c>
      <c r="B1830" s="28" t="s">
        <v>12</v>
      </c>
      <c r="C1830" s="34" t="s">
        <v>5418</v>
      </c>
      <c r="D1830" s="27" t="s">
        <v>9934</v>
      </c>
      <c r="E1830" s="27" t="s">
        <v>9935</v>
      </c>
      <c r="F1830" s="27" t="s">
        <v>5395</v>
      </c>
      <c r="G1830" s="101" t="s">
        <v>5420</v>
      </c>
      <c r="H1830" s="91">
        <v>44043</v>
      </c>
      <c r="I1830" s="73">
        <v>44043</v>
      </c>
      <c r="J1830" s="73">
        <v>44043</v>
      </c>
      <c r="K1830" s="73">
        <v>34877</v>
      </c>
      <c r="L1830" s="11" t="s">
        <v>7836</v>
      </c>
      <c r="M1830" s="1" t="s">
        <v>79</v>
      </c>
      <c r="N1830" s="112" t="s">
        <v>14</v>
      </c>
      <c r="O1830" s="104" t="s">
        <v>52</v>
      </c>
      <c r="P1830" s="104" t="s">
        <v>52</v>
      </c>
      <c r="Q1830" s="105"/>
      <c r="R1830" s="28" t="s">
        <v>2436</v>
      </c>
      <c r="S1830" s="225">
        <f t="shared" si="28"/>
        <v>56888</v>
      </c>
      <c r="T1830" s="2" t="s">
        <v>7690</v>
      </c>
      <c r="U1830" s="7" t="s">
        <v>138</v>
      </c>
      <c r="V1830" s="162" t="str" cm="1">
        <f t="array" ref="V1830">_xlfn.IFS(C1830="","",COUNTIF(C1830,"ตำแหน่งว่าง*"),"ว่าง",COUNTIF(C1830,"&lt;&gt;ตำแหน่งว่าง*"),"คนครอง")</f>
        <v>คนครอง</v>
      </c>
      <c r="W1830" s="6" cm="1">
        <f t="array" ref="W1830">_xlfn.IFS(COUNTIF(F1830,"ผบ.หมู่*"),51,COUNTIF(F1830,"รอง สว.*"),43)</f>
        <v>51</v>
      </c>
      <c r="X1830" s="1" t="s">
        <v>5419</v>
      </c>
      <c r="Y1830" s="1" t="s">
        <v>52</v>
      </c>
    </row>
    <row r="1831" spans="1:25" s="9" customFormat="1" ht="21.3" customHeight="1">
      <c r="A1831" s="68"/>
      <c r="B1831" s="30"/>
      <c r="C1831" s="30" t="s">
        <v>18</v>
      </c>
      <c r="D1831" s="27"/>
      <c r="E1831" s="27"/>
      <c r="F1831" s="68" t="s">
        <v>5395</v>
      </c>
      <c r="G1831" s="121" t="s">
        <v>5422</v>
      </c>
      <c r="H1831" s="93" t="s">
        <v>19</v>
      </c>
      <c r="I1831" s="74" t="s">
        <v>19</v>
      </c>
      <c r="J1831" s="74" t="s">
        <v>19</v>
      </c>
      <c r="K1831" s="74" t="s">
        <v>19</v>
      </c>
      <c r="L1831" s="16"/>
      <c r="M1831" s="6"/>
      <c r="N1831" s="113" t="s">
        <v>14</v>
      </c>
      <c r="O1831" s="122" t="s">
        <v>52</v>
      </c>
      <c r="P1831" s="122" t="s">
        <v>52</v>
      </c>
      <c r="Q1831" s="106"/>
      <c r="R1831" s="30"/>
      <c r="S1831" s="225" t="str">
        <f t="shared" si="28"/>
        <v/>
      </c>
      <c r="T1831" s="2" t="s">
        <v>7690</v>
      </c>
      <c r="U1831" s="7" t="s">
        <v>138</v>
      </c>
      <c r="V1831" s="171" t="str" cm="1">
        <f t="array" ref="V1831">_xlfn.IFS(C1831="","",COUNTIF(C1831,"ตำแหน่งว่าง*"),"ว่าง",COUNTIF(C1831,"&lt;&gt;ตำแหน่งว่าง*"),"คนครอง")</f>
        <v>ว่าง</v>
      </c>
      <c r="W1831" s="6" cm="1">
        <f t="array" ref="W1831">_xlfn.IFS(COUNTIF(F1831,"ผบ.หมู่*"),51,COUNTIF(F1831,"รอง สว.*"),43)</f>
        <v>51</v>
      </c>
      <c r="X1831" s="6" t="s">
        <v>5421</v>
      </c>
      <c r="Y1831" s="6" t="s">
        <v>52</v>
      </c>
    </row>
    <row r="1832" spans="1:25" s="9" customFormat="1" ht="21.3" customHeight="1">
      <c r="A1832" s="27" t="s">
        <v>612</v>
      </c>
      <c r="B1832" s="28" t="s">
        <v>12</v>
      </c>
      <c r="C1832" s="27" t="s">
        <v>5423</v>
      </c>
      <c r="D1832" s="27" t="s">
        <v>8106</v>
      </c>
      <c r="E1832" s="27" t="s">
        <v>9936</v>
      </c>
      <c r="F1832" s="27" t="s">
        <v>5395</v>
      </c>
      <c r="G1832" s="101" t="s">
        <v>5425</v>
      </c>
      <c r="H1832" s="91">
        <v>44243</v>
      </c>
      <c r="I1832" s="73">
        <v>42416</v>
      </c>
      <c r="J1832" s="73">
        <v>42416</v>
      </c>
      <c r="K1832" s="73">
        <v>33229</v>
      </c>
      <c r="L1832" s="11" t="s">
        <v>7862</v>
      </c>
      <c r="M1832" s="1" t="s">
        <v>40</v>
      </c>
      <c r="N1832" s="112" t="s">
        <v>14</v>
      </c>
      <c r="O1832" s="104" t="s">
        <v>52</v>
      </c>
      <c r="P1832" s="104" t="s">
        <v>52</v>
      </c>
      <c r="Q1832" s="105"/>
      <c r="R1832" s="28" t="s">
        <v>617</v>
      </c>
      <c r="S1832" s="225">
        <f t="shared" si="28"/>
        <v>55427</v>
      </c>
      <c r="T1832" s="2" t="s">
        <v>7690</v>
      </c>
      <c r="U1832" s="7" t="s">
        <v>138</v>
      </c>
      <c r="V1832" s="162" t="str" cm="1">
        <f t="array" ref="V1832">_xlfn.IFS(C1832="","",COUNTIF(C1832,"ตำแหน่งว่าง*"),"ว่าง",COUNTIF(C1832,"&lt;&gt;ตำแหน่งว่าง*"),"คนครอง")</f>
        <v>คนครอง</v>
      </c>
      <c r="W1832" s="6" cm="1">
        <f t="array" ref="W1832">_xlfn.IFS(COUNTIF(F1832,"ผบ.หมู่*"),51,COUNTIF(F1832,"รอง สว.*"),43)</f>
        <v>51</v>
      </c>
      <c r="X1832" s="1" t="s">
        <v>5424</v>
      </c>
      <c r="Y1832" s="1" t="s">
        <v>52</v>
      </c>
    </row>
    <row r="1833" spans="1:25" s="9" customFormat="1" ht="21.3" customHeight="1">
      <c r="A1833" s="27" t="s">
        <v>182</v>
      </c>
      <c r="B1833" s="28" t="s">
        <v>12</v>
      </c>
      <c r="C1833" s="27" t="s">
        <v>5426</v>
      </c>
      <c r="D1833" s="27" t="s">
        <v>8079</v>
      </c>
      <c r="E1833" s="27" t="s">
        <v>9937</v>
      </c>
      <c r="F1833" s="27" t="s">
        <v>5395</v>
      </c>
      <c r="G1833" s="101" t="s">
        <v>5428</v>
      </c>
      <c r="H1833" s="75">
        <v>44636</v>
      </c>
      <c r="I1833" s="73">
        <v>44636</v>
      </c>
      <c r="J1833" s="73">
        <v>44636</v>
      </c>
      <c r="K1833" s="73">
        <v>33139</v>
      </c>
      <c r="L1833" s="11" t="s">
        <v>1680</v>
      </c>
      <c r="M1833" s="1" t="s">
        <v>47</v>
      </c>
      <c r="N1833" s="112" t="s">
        <v>14</v>
      </c>
      <c r="O1833" s="104" t="s">
        <v>52</v>
      </c>
      <c r="P1833" s="104" t="s">
        <v>52</v>
      </c>
      <c r="Q1833" s="105"/>
      <c r="R1833" s="28" t="s">
        <v>611</v>
      </c>
      <c r="S1833" s="225">
        <f t="shared" si="28"/>
        <v>55062</v>
      </c>
      <c r="T1833" s="2" t="s">
        <v>7690</v>
      </c>
      <c r="U1833" s="7" t="s">
        <v>138</v>
      </c>
      <c r="V1833" s="162" t="str" cm="1">
        <f t="array" ref="V1833">_xlfn.IFS(C1833="","",COUNTIF(C1833,"ตำแหน่งว่าง*"),"ว่าง",COUNTIF(C1833,"&lt;&gt;ตำแหน่งว่าง*"),"คนครอง")</f>
        <v>คนครอง</v>
      </c>
      <c r="W1833" s="6" cm="1">
        <f t="array" ref="W1833">_xlfn.IFS(COUNTIF(F1833,"ผบ.หมู่*"),51,COUNTIF(F1833,"รอง สว.*"),43)</f>
        <v>51</v>
      </c>
      <c r="X1833" s="1" t="s">
        <v>5427</v>
      </c>
      <c r="Y1833" s="1" t="s">
        <v>52</v>
      </c>
    </row>
    <row r="1834" spans="1:25" s="9" customFormat="1" ht="21.3" customHeight="1">
      <c r="A1834" s="27" t="s">
        <v>157</v>
      </c>
      <c r="B1834" s="28" t="s">
        <v>21</v>
      </c>
      <c r="C1834" s="27" t="s">
        <v>5429</v>
      </c>
      <c r="D1834" s="27" t="s">
        <v>9938</v>
      </c>
      <c r="E1834" s="27" t="s">
        <v>9939</v>
      </c>
      <c r="F1834" s="27" t="s">
        <v>5430</v>
      </c>
      <c r="G1834" s="101" t="s">
        <v>5432</v>
      </c>
      <c r="H1834" s="91">
        <v>44599</v>
      </c>
      <c r="I1834" s="73">
        <v>41214</v>
      </c>
      <c r="J1834" s="73">
        <v>41214</v>
      </c>
      <c r="K1834" s="73">
        <v>31217</v>
      </c>
      <c r="L1834" s="11" t="s">
        <v>7837</v>
      </c>
      <c r="M1834" s="1" t="s">
        <v>95</v>
      </c>
      <c r="N1834" s="112" t="s">
        <v>14</v>
      </c>
      <c r="O1834" s="104" t="s">
        <v>52</v>
      </c>
      <c r="P1834" s="104" t="s">
        <v>52</v>
      </c>
      <c r="Q1834" s="105"/>
      <c r="R1834" s="28" t="s">
        <v>607</v>
      </c>
      <c r="S1834" s="225">
        <f t="shared" si="28"/>
        <v>53236</v>
      </c>
      <c r="T1834" s="2" t="s">
        <v>115</v>
      </c>
      <c r="U1834" s="7" t="s">
        <v>138</v>
      </c>
      <c r="V1834" s="162" t="str" cm="1">
        <f t="array" ref="V1834">_xlfn.IFS(C1834="","",COUNTIF(C1834,"ตำแหน่งว่าง*"),"ว่าง",COUNTIF(C1834,"&lt;&gt;ตำแหน่งว่าง*"),"คนครอง")</f>
        <v>คนครอง</v>
      </c>
      <c r="W1834" s="6" cm="1">
        <f t="array" ref="W1834">_xlfn.IFS(COUNTIF(F1834,"ผบ.หมู่*"),51,COUNTIF(F1834,"รอง สว.*"),43)</f>
        <v>51</v>
      </c>
      <c r="X1834" s="1" t="s">
        <v>5431</v>
      </c>
      <c r="Y1834" s="1" t="s">
        <v>52</v>
      </c>
    </row>
    <row r="1835" spans="1:25" s="10" customFormat="1" ht="21.3" customHeight="1">
      <c r="A1835" s="27" t="s">
        <v>26</v>
      </c>
      <c r="B1835" s="28" t="s">
        <v>12</v>
      </c>
      <c r="C1835" s="34" t="s">
        <v>5433</v>
      </c>
      <c r="D1835" s="27" t="s">
        <v>9940</v>
      </c>
      <c r="E1835" s="27" t="s">
        <v>9941</v>
      </c>
      <c r="F1835" s="27" t="s">
        <v>5434</v>
      </c>
      <c r="G1835" s="101" t="s">
        <v>5436</v>
      </c>
      <c r="H1835" s="91">
        <v>45000</v>
      </c>
      <c r="I1835" s="73">
        <v>34352</v>
      </c>
      <c r="J1835" s="73">
        <v>34352</v>
      </c>
      <c r="K1835" s="73">
        <v>24399</v>
      </c>
      <c r="L1835" s="11" t="s">
        <v>5353</v>
      </c>
      <c r="M1835" s="1" t="s">
        <v>40</v>
      </c>
      <c r="N1835" s="111" t="s">
        <v>14</v>
      </c>
      <c r="O1835" s="104" t="s">
        <v>52</v>
      </c>
      <c r="P1835" s="104" t="s">
        <v>52</v>
      </c>
      <c r="Q1835" s="105"/>
      <c r="R1835" s="28" t="s">
        <v>440</v>
      </c>
      <c r="S1835" s="225">
        <f t="shared" si="28"/>
        <v>46661</v>
      </c>
      <c r="T1835" s="7" t="s">
        <v>115</v>
      </c>
      <c r="U1835" s="7" t="s">
        <v>138</v>
      </c>
      <c r="V1835" s="162" t="str" cm="1">
        <f t="array" ref="V1835">_xlfn.IFS(C1835="","",COUNTIF(C1835,"ตำแหน่งว่าง*"),"ว่าง",COUNTIF(C1835,"&lt;&gt;ตำแหน่งว่าง*"),"คนครอง")</f>
        <v>คนครอง</v>
      </c>
      <c r="W1835" s="5" cm="1">
        <f t="array" ref="W1835">_xlfn.IFS(COUNTIF(F1835,"ผบ.หมู่*"),51,COUNTIF(F1835,"รอง สว.*"),43)</f>
        <v>43</v>
      </c>
      <c r="X1835" s="1" t="s">
        <v>5435</v>
      </c>
      <c r="Y1835" s="5" t="s">
        <v>52</v>
      </c>
    </row>
    <row r="1836" spans="1:25" s="10" customFormat="1" ht="21.3" customHeight="1">
      <c r="A1836" s="27" t="s">
        <v>157</v>
      </c>
      <c r="B1836" s="28" t="s">
        <v>21</v>
      </c>
      <c r="C1836" s="27" t="s">
        <v>10827</v>
      </c>
      <c r="D1836" s="27" t="s">
        <v>8030</v>
      </c>
      <c r="E1836" s="27" t="s">
        <v>10828</v>
      </c>
      <c r="F1836" s="27" t="s">
        <v>5430</v>
      </c>
      <c r="G1836" s="101" t="s">
        <v>5438</v>
      </c>
      <c r="H1836" s="75">
        <v>44999</v>
      </c>
      <c r="I1836" s="73">
        <v>34729</v>
      </c>
      <c r="J1836" s="73">
        <v>34729</v>
      </c>
      <c r="K1836" s="73">
        <v>27636</v>
      </c>
      <c r="L1836" s="11" t="s">
        <v>3421</v>
      </c>
      <c r="M1836" s="1" t="s">
        <v>40</v>
      </c>
      <c r="N1836" s="112" t="s">
        <v>14</v>
      </c>
      <c r="O1836" s="104" t="s">
        <v>52</v>
      </c>
      <c r="P1836" s="104" t="s">
        <v>52</v>
      </c>
      <c r="Q1836" s="105"/>
      <c r="R1836" s="28" t="s">
        <v>74</v>
      </c>
      <c r="S1836" s="225">
        <f t="shared" si="28"/>
        <v>49583</v>
      </c>
      <c r="T1836" s="7" t="s">
        <v>115</v>
      </c>
      <c r="U1836" s="7" t="s">
        <v>138</v>
      </c>
      <c r="V1836" s="162" t="str" cm="1">
        <f t="array" ref="V1836">_xlfn.IFS(C1836="","",COUNTIF(C1836,"ตำแหน่งว่าง*"),"ว่าง",COUNTIF(C1836,"&lt;&gt;ตำแหน่งว่าง*"),"คนครอง")</f>
        <v>คนครอง</v>
      </c>
      <c r="W1836" s="6" cm="1">
        <f t="array" ref="W1836">_xlfn.IFS(COUNTIF(F1836,"ผบ.หมู่*"),51,COUNTIF(F1836,"รอง สว.*"),43)</f>
        <v>51</v>
      </c>
      <c r="X1836" s="1" t="s">
        <v>5437</v>
      </c>
      <c r="Y1836" s="1" t="s">
        <v>52</v>
      </c>
    </row>
    <row r="1837" spans="1:25" s="10" customFormat="1" ht="21.3" customHeight="1">
      <c r="A1837" s="27" t="s">
        <v>60</v>
      </c>
      <c r="B1837" s="28" t="s">
        <v>21</v>
      </c>
      <c r="C1837" s="27" t="s">
        <v>5446</v>
      </c>
      <c r="D1837" s="27" t="s">
        <v>9882</v>
      </c>
      <c r="E1837" s="27" t="s">
        <v>9942</v>
      </c>
      <c r="F1837" s="27" t="s">
        <v>5434</v>
      </c>
      <c r="G1837" s="101" t="s">
        <v>5440</v>
      </c>
      <c r="H1837" s="91">
        <v>45322</v>
      </c>
      <c r="I1837" s="73">
        <v>34352</v>
      </c>
      <c r="J1837" s="73">
        <v>34352</v>
      </c>
      <c r="K1837" s="73">
        <v>26268</v>
      </c>
      <c r="L1837" s="11" t="s">
        <v>5353</v>
      </c>
      <c r="M1837" s="1" t="s">
        <v>72</v>
      </c>
      <c r="N1837" s="112" t="s">
        <v>14</v>
      </c>
      <c r="O1837" s="104" t="s">
        <v>52</v>
      </c>
      <c r="P1837" s="104" t="s">
        <v>52</v>
      </c>
      <c r="Q1837" s="105"/>
      <c r="R1837" s="28" t="s">
        <v>7786</v>
      </c>
      <c r="S1837" s="225">
        <f t="shared" si="28"/>
        <v>48488</v>
      </c>
      <c r="T1837" s="7" t="s">
        <v>115</v>
      </c>
      <c r="U1837" s="7" t="s">
        <v>138</v>
      </c>
      <c r="V1837" s="162" t="str" cm="1">
        <f t="array" ref="V1837">_xlfn.IFS(C1837="","",COUNTIF(C1837,"ตำแหน่งว่าง*"),"ว่าง",COUNTIF(C1837,"&lt;&gt;ตำแหน่งว่าง*"),"คนครอง")</f>
        <v>คนครอง</v>
      </c>
      <c r="W1837" s="6" cm="1">
        <f t="array" ref="W1837">_xlfn.IFS(COUNTIF(F1837,"ผบ.หมู่*"),51,COUNTIF(F1837,"รอง สว.*"),43)</f>
        <v>43</v>
      </c>
      <c r="X1837" s="1" t="s">
        <v>5439</v>
      </c>
      <c r="Y1837" s="1" t="s">
        <v>52</v>
      </c>
    </row>
    <row r="1838" spans="1:25" s="9" customFormat="1" ht="21.3" customHeight="1">
      <c r="A1838" s="27"/>
      <c r="B1838" s="28"/>
      <c r="C1838" s="95" t="s">
        <v>18</v>
      </c>
      <c r="D1838" s="27"/>
      <c r="E1838" s="27"/>
      <c r="F1838" s="27" t="s">
        <v>5441</v>
      </c>
      <c r="G1838" s="101" t="s">
        <v>5443</v>
      </c>
      <c r="H1838" s="91"/>
      <c r="I1838" s="73"/>
      <c r="J1838" s="73"/>
      <c r="K1838" s="73"/>
      <c r="L1838" s="11"/>
      <c r="M1838" s="1"/>
      <c r="N1838" s="112" t="s">
        <v>14</v>
      </c>
      <c r="O1838" s="104" t="s">
        <v>52</v>
      </c>
      <c r="P1838" s="104" t="s">
        <v>52</v>
      </c>
      <c r="Q1838" s="105"/>
      <c r="R1838" s="30"/>
      <c r="S1838" s="225" t="str">
        <f t="shared" si="28"/>
        <v/>
      </c>
      <c r="T1838" s="2" t="s">
        <v>7691</v>
      </c>
      <c r="U1838" s="7" t="s">
        <v>138</v>
      </c>
      <c r="V1838" s="162" t="str" cm="1">
        <f t="array" ref="V1838">_xlfn.IFS(C1838="","",COUNTIF(C1838,"ตำแหน่งว่าง*"),"ว่าง",COUNTIF(C1838,"&lt;&gt;ตำแหน่งว่าง*"),"คนครอง")</f>
        <v>ว่าง</v>
      </c>
      <c r="W1838" s="6" cm="1">
        <f t="array" ref="W1838">_xlfn.IFS(COUNTIF(F1838,"ผบ.หมู่*"),51,COUNTIF(F1838,"รอง สว.*"),43)</f>
        <v>51</v>
      </c>
      <c r="X1838" s="3" t="s">
        <v>5442</v>
      </c>
      <c r="Y1838" s="1" t="s">
        <v>52</v>
      </c>
    </row>
    <row r="1839" spans="1:25" s="12" customFormat="1" ht="21.3" customHeight="1">
      <c r="A1839" s="192" t="s">
        <v>169</v>
      </c>
      <c r="B1839" s="193" t="s">
        <v>21</v>
      </c>
      <c r="C1839" s="192" t="s">
        <v>7940</v>
      </c>
      <c r="D1839" s="27" t="s">
        <v>9943</v>
      </c>
      <c r="E1839" s="27" t="s">
        <v>8163</v>
      </c>
      <c r="F1839" s="192" t="s">
        <v>5441</v>
      </c>
      <c r="G1839" s="101" t="s">
        <v>5445</v>
      </c>
      <c r="H1839" s="73">
        <v>45463</v>
      </c>
      <c r="I1839" s="73">
        <v>45463</v>
      </c>
      <c r="J1839" s="73">
        <v>45463</v>
      </c>
      <c r="K1839" s="73">
        <v>38001</v>
      </c>
      <c r="L1839" s="2" t="s">
        <v>82</v>
      </c>
      <c r="M1839" s="1"/>
      <c r="N1839" s="112" t="s">
        <v>14</v>
      </c>
      <c r="O1839" s="104" t="s">
        <v>52</v>
      </c>
      <c r="P1839" s="104" t="s">
        <v>52</v>
      </c>
      <c r="Q1839" s="105"/>
      <c r="R1839" s="28" t="s">
        <v>7961</v>
      </c>
      <c r="S1839" s="174">
        <f t="shared" si="28"/>
        <v>60176</v>
      </c>
      <c r="T1839" s="2" t="s">
        <v>7691</v>
      </c>
      <c r="U1839" s="2" t="s">
        <v>138</v>
      </c>
      <c r="V1839" s="162" t="str" cm="1">
        <f t="array" ref="V1839">_xlfn.IFS(C1839="","",COUNTIF(C1839,"ตำแหน่งว่าง*"),"ว่าง",COUNTIF(C1839,"&lt;&gt;ตำแหน่งว่าง*"),"คนครอง")</f>
        <v>คนครอง</v>
      </c>
      <c r="W1839" s="1" cm="1">
        <f t="array" ref="W1839">_xlfn.IFS(COUNTIF(F1839,"ผบ.หมู่*"),51,COUNTIF(F1839,"รอง สว.*"),43)</f>
        <v>51</v>
      </c>
      <c r="X1839" s="1" t="s">
        <v>5444</v>
      </c>
      <c r="Y1839" s="1" t="s">
        <v>52</v>
      </c>
    </row>
    <row r="1840" spans="1:25" s="12" customFormat="1" ht="21.3" customHeight="1">
      <c r="A1840" s="192" t="s">
        <v>169</v>
      </c>
      <c r="B1840" s="193" t="s">
        <v>21</v>
      </c>
      <c r="C1840" s="192" t="s">
        <v>7941</v>
      </c>
      <c r="D1840" s="27" t="s">
        <v>9944</v>
      </c>
      <c r="E1840" s="27" t="s">
        <v>9945</v>
      </c>
      <c r="F1840" s="192" t="s">
        <v>5441</v>
      </c>
      <c r="G1840" s="101" t="s">
        <v>5448</v>
      </c>
      <c r="H1840" s="73">
        <v>45463</v>
      </c>
      <c r="I1840" s="73">
        <v>45463</v>
      </c>
      <c r="J1840" s="73">
        <v>45463</v>
      </c>
      <c r="K1840" s="73">
        <v>36521</v>
      </c>
      <c r="L1840" s="2" t="s">
        <v>82</v>
      </c>
      <c r="M1840" s="1"/>
      <c r="N1840" s="112" t="s">
        <v>14</v>
      </c>
      <c r="O1840" s="104" t="s">
        <v>52</v>
      </c>
      <c r="P1840" s="104" t="s">
        <v>52</v>
      </c>
      <c r="Q1840" s="105"/>
      <c r="R1840" s="28" t="s">
        <v>7961</v>
      </c>
      <c r="S1840" s="174">
        <f t="shared" si="28"/>
        <v>58715</v>
      </c>
      <c r="T1840" s="2" t="s">
        <v>7691</v>
      </c>
      <c r="U1840" s="2" t="s">
        <v>138</v>
      </c>
      <c r="V1840" s="162" t="str" cm="1">
        <f t="array" ref="V1840">_xlfn.IFS(C1840="","",COUNTIF(C1840,"ตำแหน่งว่าง*"),"ว่าง",COUNTIF(C1840,"&lt;&gt;ตำแหน่งว่าง*"),"คนครอง")</f>
        <v>คนครอง</v>
      </c>
      <c r="W1840" s="1" cm="1">
        <f t="array" ref="W1840">_xlfn.IFS(COUNTIF(F1840,"ผบ.หมู่*"),51,COUNTIF(F1840,"รอง สว.*"),43)</f>
        <v>51</v>
      </c>
      <c r="X1840" s="1" t="s">
        <v>5447</v>
      </c>
      <c r="Y1840" s="1" t="s">
        <v>52</v>
      </c>
    </row>
    <row r="1841" spans="1:25" s="12" customFormat="1" ht="21.3" customHeight="1">
      <c r="A1841" s="27" t="s">
        <v>182</v>
      </c>
      <c r="B1841" s="28" t="s">
        <v>12</v>
      </c>
      <c r="C1841" s="27" t="s">
        <v>10772</v>
      </c>
      <c r="D1841" s="27" t="s">
        <v>10773</v>
      </c>
      <c r="E1841" s="27" t="s">
        <v>10774</v>
      </c>
      <c r="F1841" s="27" t="s">
        <v>5441</v>
      </c>
      <c r="G1841" s="101" t="s">
        <v>5450</v>
      </c>
      <c r="H1841" s="75">
        <v>45768</v>
      </c>
      <c r="I1841" s="73">
        <v>43868</v>
      </c>
      <c r="J1841" s="73">
        <v>43868</v>
      </c>
      <c r="K1841" s="73">
        <v>31712</v>
      </c>
      <c r="L1841" s="11" t="s">
        <v>10822</v>
      </c>
      <c r="M1841" s="1" t="s">
        <v>7609</v>
      </c>
      <c r="N1841" s="112" t="s">
        <v>14</v>
      </c>
      <c r="O1841" s="104" t="s">
        <v>52</v>
      </c>
      <c r="P1841" s="104" t="s">
        <v>52</v>
      </c>
      <c r="Q1841" s="105"/>
      <c r="R1841" s="28" t="s">
        <v>10804</v>
      </c>
      <c r="S1841" s="174">
        <f t="shared" si="28"/>
        <v>53966</v>
      </c>
      <c r="T1841" s="2" t="s">
        <v>7691</v>
      </c>
      <c r="U1841" s="2" t="s">
        <v>138</v>
      </c>
      <c r="V1841" s="203" t="str" cm="1">
        <f t="array" ref="V1841">_xlfn.IFS(C1841="","",COUNTIF(C1841,"ตำแหน่งว่าง*"),"ว่าง",COUNTIF(C1841,"&lt;&gt;ตำแหน่งว่าง*"),"คนครอง")</f>
        <v>คนครอง</v>
      </c>
      <c r="W1841" s="1" cm="1">
        <f t="array" ref="W1841">_xlfn.IFS(COUNTIF(F1841,"ผบ.หมู่*"),51,COUNTIF(F1841,"รอง สว.*"),43)</f>
        <v>51</v>
      </c>
      <c r="X1841" s="1" t="s">
        <v>5449</v>
      </c>
      <c r="Y1841" s="1" t="s">
        <v>52</v>
      </c>
    </row>
    <row r="1842" spans="1:25" s="10" customFormat="1" ht="21.3" customHeight="1">
      <c r="A1842" s="27" t="s">
        <v>157</v>
      </c>
      <c r="B1842" s="28" t="s">
        <v>12</v>
      </c>
      <c r="C1842" s="27" t="s">
        <v>10723</v>
      </c>
      <c r="D1842" s="27" t="s">
        <v>8187</v>
      </c>
      <c r="E1842" s="27" t="s">
        <v>10724</v>
      </c>
      <c r="F1842" s="27" t="s">
        <v>5441</v>
      </c>
      <c r="G1842" s="101" t="s">
        <v>5452</v>
      </c>
      <c r="H1842" s="91">
        <v>45768</v>
      </c>
      <c r="I1842" s="73">
        <v>45231</v>
      </c>
      <c r="J1842" s="73">
        <v>45231</v>
      </c>
      <c r="K1842" s="73">
        <v>32458</v>
      </c>
      <c r="L1842" s="11" t="s">
        <v>7609</v>
      </c>
      <c r="M1842" s="1" t="s">
        <v>7609</v>
      </c>
      <c r="N1842" s="112" t="s">
        <v>14</v>
      </c>
      <c r="O1842" s="104" t="s">
        <v>52</v>
      </c>
      <c r="P1842" s="104" t="s">
        <v>52</v>
      </c>
      <c r="Q1842" s="105"/>
      <c r="R1842" s="28" t="s">
        <v>10804</v>
      </c>
      <c r="S1842" s="174">
        <f t="shared" si="28"/>
        <v>54697</v>
      </c>
      <c r="T1842" s="2" t="s">
        <v>7691</v>
      </c>
      <c r="U1842" s="2" t="s">
        <v>138</v>
      </c>
      <c r="V1842" s="203" t="str" cm="1">
        <f t="array" ref="V1842">_xlfn.IFS(C1842="","",COUNTIF(C1842,"ตำแหน่งว่าง*"),"ว่าง",COUNTIF(C1842,"&lt;&gt;ตำแหน่งว่าง*"),"คนครอง")</f>
        <v>คนครอง</v>
      </c>
      <c r="W1842" s="1" cm="1">
        <f t="array" ref="W1842">_xlfn.IFS(COUNTIF(F1842,"ผบ.หมู่*"),51,COUNTIF(F1842,"รอง สว.*"),43)</f>
        <v>51</v>
      </c>
      <c r="X1842" s="1" t="s">
        <v>5451</v>
      </c>
      <c r="Y1842" s="1" t="s">
        <v>52</v>
      </c>
    </row>
    <row r="1843" spans="1:25" s="12" customFormat="1" ht="21.3" customHeight="1">
      <c r="A1843" s="27" t="s">
        <v>157</v>
      </c>
      <c r="B1843" s="28" t="s">
        <v>12</v>
      </c>
      <c r="C1843" s="95" t="s">
        <v>5453</v>
      </c>
      <c r="D1843" s="27" t="s">
        <v>9946</v>
      </c>
      <c r="E1843" s="27" t="s">
        <v>9947</v>
      </c>
      <c r="F1843" s="95" t="s">
        <v>5441</v>
      </c>
      <c r="G1843" s="101" t="s">
        <v>5455</v>
      </c>
      <c r="H1843" s="75">
        <v>42501</v>
      </c>
      <c r="I1843" s="73">
        <v>37316</v>
      </c>
      <c r="J1843" s="73">
        <v>37316</v>
      </c>
      <c r="K1843" s="73">
        <v>28001</v>
      </c>
      <c r="L1843" s="11" t="s">
        <v>5353</v>
      </c>
      <c r="M1843" s="1" t="s">
        <v>40</v>
      </c>
      <c r="N1843" s="111" t="s">
        <v>14</v>
      </c>
      <c r="O1843" s="104" t="s">
        <v>52</v>
      </c>
      <c r="P1843" s="104" t="s">
        <v>52</v>
      </c>
      <c r="Q1843" s="105"/>
      <c r="R1843" s="28" t="s">
        <v>110</v>
      </c>
      <c r="S1843" s="225">
        <f t="shared" si="28"/>
        <v>49949</v>
      </c>
      <c r="T1843" s="162" t="s">
        <v>7691</v>
      </c>
      <c r="U1843" s="7" t="s">
        <v>138</v>
      </c>
      <c r="V1843" s="162" t="str" cm="1">
        <f t="array" ref="V1843">_xlfn.IFS(C1843="","",COUNTIF(C1843,"ตำแหน่งว่าง*"),"ว่าง",COUNTIF(C1843,"&lt;&gt;ตำแหน่งว่าง*"),"คนครอง")</f>
        <v>คนครอง</v>
      </c>
      <c r="W1843" s="6" cm="1">
        <f t="array" ref="W1843">_xlfn.IFS(COUNTIF(F1843,"ผบ.หมู่*"),51,COUNTIF(F1843,"รอง สว.*"),43)</f>
        <v>51</v>
      </c>
      <c r="X1843" s="5" t="s">
        <v>5454</v>
      </c>
      <c r="Y1843" s="5" t="s">
        <v>52</v>
      </c>
    </row>
    <row r="1844" spans="1:25" s="10" customFormat="1" ht="21.3" customHeight="1">
      <c r="A1844" s="27"/>
      <c r="B1844" s="28"/>
      <c r="C1844" s="30" t="s">
        <v>18</v>
      </c>
      <c r="D1844" s="27"/>
      <c r="E1844" s="27"/>
      <c r="F1844" s="68" t="s">
        <v>5441</v>
      </c>
      <c r="G1844" s="121" t="s">
        <v>5457</v>
      </c>
      <c r="H1844" s="91" t="s">
        <v>19</v>
      </c>
      <c r="I1844" s="73" t="s">
        <v>19</v>
      </c>
      <c r="J1844" s="73" t="s">
        <v>19</v>
      </c>
      <c r="K1844" s="73" t="s">
        <v>19</v>
      </c>
      <c r="L1844" s="11"/>
      <c r="M1844" s="1"/>
      <c r="N1844" s="113" t="s">
        <v>14</v>
      </c>
      <c r="O1844" s="122" t="s">
        <v>52</v>
      </c>
      <c r="P1844" s="122" t="s">
        <v>52</v>
      </c>
      <c r="Q1844" s="105"/>
      <c r="R1844" s="28"/>
      <c r="S1844" s="225" t="str">
        <f t="shared" si="28"/>
        <v/>
      </c>
      <c r="T1844" s="7" t="s">
        <v>7691</v>
      </c>
      <c r="U1844" s="7" t="s">
        <v>138</v>
      </c>
      <c r="V1844" s="171" t="str" cm="1">
        <f t="array" ref="V1844">_xlfn.IFS(C1844="","",COUNTIF(C1844,"ตำแหน่งว่าง*"),"ว่าง",COUNTIF(C1844,"&lt;&gt;ตำแหน่งว่าง*"),"คนครอง")</f>
        <v>ว่าง</v>
      </c>
      <c r="W1844" s="6" cm="1">
        <f t="array" ref="W1844">_xlfn.IFS(COUNTIF(F1844,"ผบ.หมู่*"),51,COUNTIF(F1844,"รอง สว.*"),43)</f>
        <v>51</v>
      </c>
      <c r="X1844" s="6" t="s">
        <v>5456</v>
      </c>
      <c r="Y1844" s="6" t="s">
        <v>52</v>
      </c>
    </row>
    <row r="1845" spans="1:25" s="10" customFormat="1" ht="21.3" customHeight="1">
      <c r="A1845" s="27" t="s">
        <v>157</v>
      </c>
      <c r="B1845" s="28" t="s">
        <v>12</v>
      </c>
      <c r="C1845" s="95" t="s">
        <v>5458</v>
      </c>
      <c r="D1845" s="27" t="s">
        <v>9948</v>
      </c>
      <c r="E1845" s="27" t="s">
        <v>9949</v>
      </c>
      <c r="F1845" s="95" t="s">
        <v>5459</v>
      </c>
      <c r="G1845" s="101" t="s">
        <v>5461</v>
      </c>
      <c r="H1845" s="91">
        <v>43656</v>
      </c>
      <c r="I1845" s="73">
        <v>35552</v>
      </c>
      <c r="J1845" s="73">
        <v>35552</v>
      </c>
      <c r="K1845" s="73">
        <v>27407</v>
      </c>
      <c r="L1845" s="11" t="s">
        <v>5462</v>
      </c>
      <c r="M1845" s="1" t="s">
        <v>40</v>
      </c>
      <c r="N1845" s="112" t="s">
        <v>14</v>
      </c>
      <c r="O1845" s="104" t="s">
        <v>52</v>
      </c>
      <c r="P1845" s="104" t="s">
        <v>52</v>
      </c>
      <c r="Q1845" s="105"/>
      <c r="R1845" s="28" t="s">
        <v>5463</v>
      </c>
      <c r="S1845" s="225">
        <f t="shared" si="28"/>
        <v>49583</v>
      </c>
      <c r="T1845" s="7" t="s">
        <v>7692</v>
      </c>
      <c r="U1845" s="7" t="s">
        <v>138</v>
      </c>
      <c r="V1845" s="162" t="str" cm="1">
        <f t="array" ref="V1845">_xlfn.IFS(C1845="","",COUNTIF(C1845,"ตำแหน่งว่าง*"),"ว่าง",COUNTIF(C1845,"&lt;&gt;ตำแหน่งว่าง*"),"คนครอง")</f>
        <v>คนครอง</v>
      </c>
      <c r="W1845" s="6" cm="1">
        <f t="array" ref="W1845">_xlfn.IFS(COUNTIF(F1845,"ผบ.หมู่*"),51,COUNTIF(F1845,"รอง สว.*"),43)</f>
        <v>51</v>
      </c>
      <c r="X1845" s="1" t="s">
        <v>5460</v>
      </c>
      <c r="Y1845" s="1" t="s">
        <v>52</v>
      </c>
    </row>
    <row r="1846" spans="1:25" s="12" customFormat="1" ht="21.3" customHeight="1">
      <c r="A1846" s="27" t="s">
        <v>26</v>
      </c>
      <c r="B1846" s="28" t="s">
        <v>12</v>
      </c>
      <c r="C1846" s="95" t="s">
        <v>5464</v>
      </c>
      <c r="D1846" s="27" t="s">
        <v>9950</v>
      </c>
      <c r="E1846" s="27" t="s">
        <v>9951</v>
      </c>
      <c r="F1846" s="95" t="s">
        <v>5465</v>
      </c>
      <c r="G1846" s="101" t="s">
        <v>5467</v>
      </c>
      <c r="H1846" s="91">
        <v>44286</v>
      </c>
      <c r="I1846" s="73">
        <v>44286</v>
      </c>
      <c r="J1846" s="73">
        <v>33270</v>
      </c>
      <c r="K1846" s="73">
        <v>24939</v>
      </c>
      <c r="L1846" s="11" t="s">
        <v>5468</v>
      </c>
      <c r="M1846" s="1" t="s">
        <v>40</v>
      </c>
      <c r="N1846" s="111" t="s">
        <v>14</v>
      </c>
      <c r="O1846" s="104" t="s">
        <v>52</v>
      </c>
      <c r="P1846" s="104" t="s">
        <v>52</v>
      </c>
      <c r="Q1846" s="105"/>
      <c r="R1846" s="28" t="s">
        <v>1313</v>
      </c>
      <c r="S1846" s="225">
        <f t="shared" si="28"/>
        <v>47027</v>
      </c>
      <c r="T1846" s="162" t="s">
        <v>7692</v>
      </c>
      <c r="U1846" s="7" t="s">
        <v>138</v>
      </c>
      <c r="V1846" s="162" t="str" cm="1">
        <f t="array" ref="V1846">_xlfn.IFS(C1846="","",COUNTIF(C1846,"ตำแหน่งว่าง*"),"ว่าง",COUNTIF(C1846,"&lt;&gt;ตำแหน่งว่าง*"),"คนครอง")</f>
        <v>คนครอง</v>
      </c>
      <c r="W1846" s="5" cm="1">
        <f t="array" ref="W1846">_xlfn.IFS(COUNTIF(F1846,"ผบ.หมู่*"),51,COUNTIF(F1846,"รอง สว.*"),43)</f>
        <v>43</v>
      </c>
      <c r="X1846" s="5" t="s">
        <v>5466</v>
      </c>
      <c r="Y1846" s="5" t="s">
        <v>52</v>
      </c>
    </row>
    <row r="1847" spans="1:25" s="9" customFormat="1" ht="21.3" customHeight="1">
      <c r="A1847" s="95" t="s">
        <v>208</v>
      </c>
      <c r="B1847" s="28" t="s">
        <v>12</v>
      </c>
      <c r="C1847" s="27" t="s">
        <v>5469</v>
      </c>
      <c r="D1847" s="27" t="s">
        <v>8027</v>
      </c>
      <c r="E1847" s="27" t="s">
        <v>9952</v>
      </c>
      <c r="F1847" s="27" t="s">
        <v>5459</v>
      </c>
      <c r="G1847" s="101" t="s">
        <v>5471</v>
      </c>
      <c r="H1847" s="91">
        <v>43693</v>
      </c>
      <c r="I1847" s="73">
        <v>43693</v>
      </c>
      <c r="J1847" s="73">
        <v>43693</v>
      </c>
      <c r="K1847" s="73">
        <v>34411</v>
      </c>
      <c r="L1847" s="11" t="s">
        <v>3316</v>
      </c>
      <c r="M1847" s="1" t="s">
        <v>95</v>
      </c>
      <c r="N1847" s="112" t="s">
        <v>14</v>
      </c>
      <c r="O1847" s="104" t="s">
        <v>52</v>
      </c>
      <c r="P1847" s="104" t="s">
        <v>52</v>
      </c>
      <c r="Q1847" s="105"/>
      <c r="R1847" s="28" t="s">
        <v>645</v>
      </c>
      <c r="S1847" s="225">
        <f t="shared" si="28"/>
        <v>56523</v>
      </c>
      <c r="T1847" s="2" t="s">
        <v>7692</v>
      </c>
      <c r="U1847" s="7" t="s">
        <v>138</v>
      </c>
      <c r="V1847" s="162" t="str" cm="1">
        <f t="array" ref="V1847">_xlfn.IFS(C1847="","",COUNTIF(C1847,"ตำแหน่งว่าง*"),"ว่าง",COUNTIF(C1847,"&lt;&gt;ตำแหน่งว่าง*"),"คนครอง")</f>
        <v>คนครอง</v>
      </c>
      <c r="W1847" s="6" cm="1">
        <f t="array" ref="W1847">_xlfn.IFS(COUNTIF(F1847,"ผบ.หมู่*"),51,COUNTIF(F1847,"รอง สว.*"),43)</f>
        <v>51</v>
      </c>
      <c r="X1847" s="1" t="s">
        <v>5470</v>
      </c>
      <c r="Y1847" s="1" t="s">
        <v>52</v>
      </c>
    </row>
    <row r="1848" spans="1:25" s="9" customFormat="1" ht="21.3" customHeight="1">
      <c r="A1848" s="95" t="s">
        <v>208</v>
      </c>
      <c r="B1848" s="28" t="s">
        <v>21</v>
      </c>
      <c r="C1848" s="27" t="s">
        <v>5472</v>
      </c>
      <c r="D1848" s="27" t="s">
        <v>8221</v>
      </c>
      <c r="E1848" s="27" t="s">
        <v>9953</v>
      </c>
      <c r="F1848" s="27" t="s">
        <v>5459</v>
      </c>
      <c r="G1848" s="101" t="s">
        <v>5474</v>
      </c>
      <c r="H1848" s="91">
        <v>43693</v>
      </c>
      <c r="I1848" s="73">
        <v>43693</v>
      </c>
      <c r="J1848" s="73">
        <v>43693</v>
      </c>
      <c r="K1848" s="73">
        <v>34986</v>
      </c>
      <c r="L1848" s="11" t="s">
        <v>7838</v>
      </c>
      <c r="M1848" s="1" t="s">
        <v>77</v>
      </c>
      <c r="N1848" s="112" t="s">
        <v>14</v>
      </c>
      <c r="O1848" s="104" t="s">
        <v>52</v>
      </c>
      <c r="P1848" s="104" t="s">
        <v>52</v>
      </c>
      <c r="Q1848" s="105"/>
      <c r="R1848" s="28" t="s">
        <v>645</v>
      </c>
      <c r="S1848" s="225">
        <f t="shared" si="28"/>
        <v>57254</v>
      </c>
      <c r="T1848" s="2" t="s">
        <v>7692</v>
      </c>
      <c r="U1848" s="7" t="s">
        <v>138</v>
      </c>
      <c r="V1848" s="162" t="str" cm="1">
        <f t="array" ref="V1848">_xlfn.IFS(C1848="","",COUNTIF(C1848,"ตำแหน่งว่าง*"),"ว่าง",COUNTIF(C1848,"&lt;&gt;ตำแหน่งว่าง*"),"คนครอง")</f>
        <v>คนครอง</v>
      </c>
      <c r="W1848" s="6" cm="1">
        <f t="array" ref="W1848">_xlfn.IFS(COUNTIF(F1848,"ผบ.หมู่*"),51,COUNTIF(F1848,"รอง สว.*"),43)</f>
        <v>51</v>
      </c>
      <c r="X1848" s="1" t="s">
        <v>5473</v>
      </c>
      <c r="Y1848" s="1" t="s">
        <v>52</v>
      </c>
    </row>
    <row r="1849" spans="1:25" s="12" customFormat="1" ht="21.3" customHeight="1">
      <c r="A1849" s="27" t="s">
        <v>157</v>
      </c>
      <c r="B1849" s="28" t="s">
        <v>21</v>
      </c>
      <c r="C1849" s="95" t="s">
        <v>5475</v>
      </c>
      <c r="D1849" s="27" t="s">
        <v>8174</v>
      </c>
      <c r="E1849" s="27" t="s">
        <v>9954</v>
      </c>
      <c r="F1849" s="95" t="s">
        <v>5476</v>
      </c>
      <c r="G1849" s="101" t="s">
        <v>5478</v>
      </c>
      <c r="H1849" s="75">
        <v>42604</v>
      </c>
      <c r="I1849" s="73">
        <v>35095</v>
      </c>
      <c r="J1849" s="73">
        <v>35095</v>
      </c>
      <c r="K1849" s="73">
        <v>27001</v>
      </c>
      <c r="L1849" s="11" t="s">
        <v>5353</v>
      </c>
      <c r="M1849" s="1" t="s">
        <v>40</v>
      </c>
      <c r="N1849" s="111" t="s">
        <v>14</v>
      </c>
      <c r="O1849" s="104" t="s">
        <v>52</v>
      </c>
      <c r="P1849" s="104" t="s">
        <v>52</v>
      </c>
      <c r="Q1849" s="105"/>
      <c r="R1849" s="28" t="s">
        <v>76</v>
      </c>
      <c r="S1849" s="225">
        <f t="shared" si="28"/>
        <v>49218</v>
      </c>
      <c r="T1849" s="162" t="s">
        <v>7693</v>
      </c>
      <c r="U1849" s="7" t="s">
        <v>138</v>
      </c>
      <c r="V1849" s="162" t="str" cm="1">
        <f t="array" ref="V1849">_xlfn.IFS(C1849="","",COUNTIF(C1849,"ตำแหน่งว่าง*"),"ว่าง",COUNTIF(C1849,"&lt;&gt;ตำแหน่งว่าง*"),"คนครอง")</f>
        <v>คนครอง</v>
      </c>
      <c r="W1849" s="6" cm="1">
        <f t="array" ref="W1849">_xlfn.IFS(COUNTIF(F1849,"ผบ.หมู่*"),51,COUNTIF(F1849,"รอง สว.*"),43)</f>
        <v>51</v>
      </c>
      <c r="X1849" s="5" t="s">
        <v>5477</v>
      </c>
      <c r="Y1849" s="5" t="s">
        <v>52</v>
      </c>
    </row>
    <row r="1850" spans="1:25" s="12" customFormat="1" ht="21.3" customHeight="1">
      <c r="A1850" s="27" t="s">
        <v>60</v>
      </c>
      <c r="B1850" s="28" t="s">
        <v>21</v>
      </c>
      <c r="C1850" s="95" t="s">
        <v>5479</v>
      </c>
      <c r="D1850" s="27" t="s">
        <v>9514</v>
      </c>
      <c r="E1850" s="27" t="s">
        <v>9949</v>
      </c>
      <c r="F1850" s="95" t="s">
        <v>10811</v>
      </c>
      <c r="G1850" s="101" t="s">
        <v>5481</v>
      </c>
      <c r="H1850" s="75">
        <v>42501</v>
      </c>
      <c r="I1850" s="73">
        <v>34729</v>
      </c>
      <c r="J1850" s="73">
        <v>34729</v>
      </c>
      <c r="K1850" s="73">
        <v>26439</v>
      </c>
      <c r="L1850" s="11" t="s">
        <v>5482</v>
      </c>
      <c r="M1850" s="1" t="s">
        <v>40</v>
      </c>
      <c r="N1850" s="111" t="s">
        <v>14</v>
      </c>
      <c r="O1850" s="104" t="s">
        <v>52</v>
      </c>
      <c r="P1850" s="104" t="s">
        <v>52</v>
      </c>
      <c r="Q1850" s="105"/>
      <c r="R1850" s="28" t="s">
        <v>110</v>
      </c>
      <c r="S1850" s="225">
        <f t="shared" si="28"/>
        <v>48488</v>
      </c>
      <c r="T1850" s="162" t="s">
        <v>7693</v>
      </c>
      <c r="U1850" s="7" t="s">
        <v>138</v>
      </c>
      <c r="V1850" s="162" t="str" cm="1">
        <f t="array" ref="V1850">_xlfn.IFS(C1850="","",COUNTIF(C1850,"ตำแหน่งว่าง*"),"ว่าง",COUNTIF(C1850,"&lt;&gt;ตำแหน่งว่าง*"),"คนครอง")</f>
        <v>คนครอง</v>
      </c>
      <c r="W1850" s="6" cm="1">
        <f t="array" ref="W1850">_xlfn.IFS(COUNTIF(F1850,"ผบ.หมู่*"),51,COUNTIF(F1850,"รอง สว.*"),43)</f>
        <v>43</v>
      </c>
      <c r="X1850" s="5" t="s">
        <v>5480</v>
      </c>
      <c r="Y1850" s="5" t="s">
        <v>52</v>
      </c>
    </row>
    <row r="1851" spans="1:25" s="12" customFormat="1" ht="21.3" customHeight="1">
      <c r="A1851" s="27" t="s">
        <v>157</v>
      </c>
      <c r="B1851" s="28" t="s">
        <v>21</v>
      </c>
      <c r="C1851" s="95" t="s">
        <v>5483</v>
      </c>
      <c r="D1851" s="27" t="s">
        <v>9955</v>
      </c>
      <c r="E1851" s="27" t="s">
        <v>9956</v>
      </c>
      <c r="F1851" s="95" t="s">
        <v>5476</v>
      </c>
      <c r="G1851" s="101" t="s">
        <v>5485</v>
      </c>
      <c r="H1851" s="75">
        <v>42501</v>
      </c>
      <c r="I1851" s="73">
        <v>37316</v>
      </c>
      <c r="J1851" s="73">
        <v>37316</v>
      </c>
      <c r="K1851" s="73">
        <v>29596</v>
      </c>
      <c r="L1851" s="11" t="s">
        <v>3421</v>
      </c>
      <c r="M1851" s="1" t="s">
        <v>40</v>
      </c>
      <c r="N1851" s="111" t="s">
        <v>14</v>
      </c>
      <c r="O1851" s="104" t="s">
        <v>52</v>
      </c>
      <c r="P1851" s="104" t="s">
        <v>52</v>
      </c>
      <c r="Q1851" s="105"/>
      <c r="R1851" s="28" t="s">
        <v>110</v>
      </c>
      <c r="S1851" s="225">
        <f t="shared" si="28"/>
        <v>51775</v>
      </c>
      <c r="T1851" s="162" t="s">
        <v>7693</v>
      </c>
      <c r="U1851" s="7" t="s">
        <v>138</v>
      </c>
      <c r="V1851" s="162" t="str" cm="1">
        <f t="array" ref="V1851">_xlfn.IFS(C1851="","",COUNTIF(C1851,"ตำแหน่งว่าง*"),"ว่าง",COUNTIF(C1851,"&lt;&gt;ตำแหน่งว่าง*"),"คนครอง")</f>
        <v>คนครอง</v>
      </c>
      <c r="W1851" s="6" cm="1">
        <f t="array" ref="W1851">_xlfn.IFS(COUNTIF(F1851,"ผบ.หมู่*"),51,COUNTIF(F1851,"รอง สว.*"),43)</f>
        <v>51</v>
      </c>
      <c r="X1851" s="5" t="s">
        <v>5484</v>
      </c>
      <c r="Y1851" s="5" t="s">
        <v>52</v>
      </c>
    </row>
    <row r="1852" spans="1:25" s="10" customFormat="1" ht="21.3" customHeight="1">
      <c r="A1852" s="27" t="s">
        <v>612</v>
      </c>
      <c r="B1852" s="28" t="s">
        <v>12</v>
      </c>
      <c r="C1852" s="27" t="s">
        <v>10725</v>
      </c>
      <c r="D1852" s="27" t="s">
        <v>8228</v>
      </c>
      <c r="E1852" s="27" t="s">
        <v>8086</v>
      </c>
      <c r="F1852" s="27" t="s">
        <v>5476</v>
      </c>
      <c r="G1852" s="101" t="s">
        <v>5487</v>
      </c>
      <c r="H1852" s="91">
        <v>45768</v>
      </c>
      <c r="I1852" s="73">
        <v>42416</v>
      </c>
      <c r="J1852" s="73">
        <v>42416</v>
      </c>
      <c r="K1852" s="73">
        <v>30606</v>
      </c>
      <c r="L1852" s="11" t="s">
        <v>82</v>
      </c>
      <c r="M1852" s="1" t="s">
        <v>7609</v>
      </c>
      <c r="N1852" s="112" t="s">
        <v>14</v>
      </c>
      <c r="O1852" s="104" t="s">
        <v>52</v>
      </c>
      <c r="P1852" s="104" t="s">
        <v>52</v>
      </c>
      <c r="Q1852" s="105"/>
      <c r="R1852" s="28" t="s">
        <v>10804</v>
      </c>
      <c r="S1852" s="174">
        <f t="shared" si="28"/>
        <v>52871</v>
      </c>
      <c r="T1852" s="2" t="s">
        <v>7693</v>
      </c>
      <c r="U1852" s="2" t="s">
        <v>138</v>
      </c>
      <c r="V1852" s="203" t="str" cm="1">
        <f t="array" ref="V1852">_xlfn.IFS(C1852="","",COUNTIF(C1852,"ตำแหน่งว่าง*"),"ว่าง",COUNTIF(C1852,"&lt;&gt;ตำแหน่งว่าง*"),"คนครอง")</f>
        <v>คนครอง</v>
      </c>
      <c r="W1852" s="1" cm="1">
        <f t="array" ref="W1852">_xlfn.IFS(COUNTIF(F1852,"ผบ.หมู่*"),51,COUNTIF(F1852,"รอง สว.*"),43)</f>
        <v>51</v>
      </c>
      <c r="X1852" s="1" t="s">
        <v>5486</v>
      </c>
      <c r="Y1852" s="1" t="s">
        <v>52</v>
      </c>
    </row>
    <row r="1853" spans="1:25" s="12" customFormat="1" ht="21.3" customHeight="1">
      <c r="A1853" s="132" t="s">
        <v>10753</v>
      </c>
      <c r="B1853" s="28" t="s">
        <v>21</v>
      </c>
      <c r="C1853" s="95" t="s">
        <v>5488</v>
      </c>
      <c r="D1853" s="27" t="s">
        <v>9957</v>
      </c>
      <c r="E1853" s="27" t="s">
        <v>9958</v>
      </c>
      <c r="F1853" s="95" t="s">
        <v>5496</v>
      </c>
      <c r="G1853" s="101" t="s">
        <v>5491</v>
      </c>
      <c r="H1853" s="91">
        <v>45382</v>
      </c>
      <c r="I1853" s="73">
        <v>45382</v>
      </c>
      <c r="J1853" s="73">
        <v>34729</v>
      </c>
      <c r="K1853" s="73">
        <v>26148</v>
      </c>
      <c r="L1853" s="11" t="s">
        <v>5353</v>
      </c>
      <c r="M1853" s="1" t="s">
        <v>40</v>
      </c>
      <c r="N1853" s="111" t="s">
        <v>14</v>
      </c>
      <c r="O1853" s="104" t="s">
        <v>52</v>
      </c>
      <c r="P1853" s="104" t="s">
        <v>52</v>
      </c>
      <c r="Q1853" s="105"/>
      <c r="R1853" s="33" t="s">
        <v>7801</v>
      </c>
      <c r="S1853" s="225">
        <f t="shared" si="28"/>
        <v>48122</v>
      </c>
      <c r="T1853" s="162" t="s">
        <v>7694</v>
      </c>
      <c r="U1853" s="7" t="s">
        <v>138</v>
      </c>
      <c r="V1853" s="162" t="str" cm="1">
        <f t="array" ref="V1853">_xlfn.IFS(C1853="","",COUNTIF(C1853,"ตำแหน่งว่าง*"),"ว่าง",COUNTIF(C1853,"&lt;&gt;ตำแหน่งว่าง*"),"คนครอง")</f>
        <v>คนครอง</v>
      </c>
      <c r="W1853" s="6" cm="1">
        <f t="array" ref="W1853">_xlfn.IFS(COUNTIF(F1853,"ผบ.หมู่*"),51,COUNTIF(F1853,"รอง สว.*"),43)</f>
        <v>43</v>
      </c>
      <c r="X1853" s="5" t="s">
        <v>5490</v>
      </c>
      <c r="Y1853" s="5" t="s">
        <v>52</v>
      </c>
    </row>
    <row r="1854" spans="1:25" s="12" customFormat="1" ht="21.3" customHeight="1">
      <c r="A1854" s="27" t="s">
        <v>157</v>
      </c>
      <c r="B1854" s="28" t="s">
        <v>12</v>
      </c>
      <c r="C1854" s="27" t="s">
        <v>5492</v>
      </c>
      <c r="D1854" s="27" t="s">
        <v>9959</v>
      </c>
      <c r="E1854" s="27" t="s">
        <v>9960</v>
      </c>
      <c r="F1854" s="27" t="s">
        <v>5489</v>
      </c>
      <c r="G1854" s="101" t="s">
        <v>5494</v>
      </c>
      <c r="H1854" s="75">
        <v>44599</v>
      </c>
      <c r="I1854" s="84">
        <v>39692</v>
      </c>
      <c r="J1854" s="84">
        <v>34001</v>
      </c>
      <c r="K1854" s="84">
        <v>26581</v>
      </c>
      <c r="L1854" s="70" t="s">
        <v>5495</v>
      </c>
      <c r="M1854" s="71" t="s">
        <v>40</v>
      </c>
      <c r="N1854" s="112" t="s">
        <v>14</v>
      </c>
      <c r="O1854" s="104" t="s">
        <v>52</v>
      </c>
      <c r="P1854" s="104" t="s">
        <v>52</v>
      </c>
      <c r="Q1854" s="109"/>
      <c r="R1854" s="28" t="s">
        <v>607</v>
      </c>
      <c r="S1854" s="225">
        <f t="shared" si="28"/>
        <v>48853</v>
      </c>
      <c r="T1854" s="162" t="s">
        <v>7694</v>
      </c>
      <c r="U1854" s="7" t="s">
        <v>138</v>
      </c>
      <c r="V1854" s="162" t="str" cm="1">
        <f t="array" ref="V1854">_xlfn.IFS(C1854="","",COUNTIF(C1854,"ตำแหน่งว่าง*"),"ว่าง",COUNTIF(C1854,"&lt;&gt;ตำแหน่งว่าง*"),"คนครอง")</f>
        <v>คนครอง</v>
      </c>
      <c r="W1854" s="6" cm="1">
        <f t="array" ref="W1854">_xlfn.IFS(COUNTIF(F1854,"ผบ.หมู่*"),51,COUNTIF(F1854,"รอง สว.*"),43)</f>
        <v>51</v>
      </c>
      <c r="X1854" s="1" t="s">
        <v>5493</v>
      </c>
      <c r="Y1854" s="1" t="s">
        <v>52</v>
      </c>
    </row>
    <row r="1855" spans="1:25" s="12" customFormat="1" ht="21.3" customHeight="1">
      <c r="A1855" s="27"/>
      <c r="B1855" s="28"/>
      <c r="C1855" s="30" t="s">
        <v>18</v>
      </c>
      <c r="D1855" s="27"/>
      <c r="E1855" s="27"/>
      <c r="F1855" s="68" t="s">
        <v>5489</v>
      </c>
      <c r="G1855" s="121" t="s">
        <v>5498</v>
      </c>
      <c r="H1855" s="80"/>
      <c r="I1855" s="74"/>
      <c r="J1855" s="74"/>
      <c r="K1855" s="74"/>
      <c r="L1855" s="16"/>
      <c r="M1855" s="6"/>
      <c r="N1855" s="113" t="s">
        <v>14</v>
      </c>
      <c r="O1855" s="122" t="s">
        <v>52</v>
      </c>
      <c r="P1855" s="122" t="s">
        <v>52</v>
      </c>
      <c r="Q1855" s="106"/>
      <c r="R1855" s="30"/>
      <c r="S1855" s="225" t="str">
        <f t="shared" si="28"/>
        <v/>
      </c>
      <c r="T1855" s="162" t="s">
        <v>7694</v>
      </c>
      <c r="U1855" s="7" t="s">
        <v>138</v>
      </c>
      <c r="V1855" s="171" t="str" cm="1">
        <f t="array" ref="V1855">_xlfn.IFS(C1855="","",COUNTIF(C1855,"ตำแหน่งว่าง*"),"ว่าง",COUNTIF(C1855,"&lt;&gt;ตำแหน่งว่าง*"),"คนครอง")</f>
        <v>ว่าง</v>
      </c>
      <c r="W1855" s="5" cm="1">
        <f t="array" ref="W1855">_xlfn.IFS(COUNTIF(F1855,"ผบ.หมู่*"),51,COUNTIF(F1855,"รอง สว.*"),43)</f>
        <v>51</v>
      </c>
      <c r="X1855" s="6" t="s">
        <v>5497</v>
      </c>
      <c r="Y1855" s="6" t="s">
        <v>52</v>
      </c>
    </row>
    <row r="1856" spans="1:25" s="9" customFormat="1" ht="21.3" customHeight="1">
      <c r="A1856" s="27" t="s">
        <v>26</v>
      </c>
      <c r="B1856" s="28" t="s">
        <v>21</v>
      </c>
      <c r="C1856" s="27" t="s">
        <v>5499</v>
      </c>
      <c r="D1856" s="27" t="s">
        <v>9961</v>
      </c>
      <c r="E1856" s="27" t="s">
        <v>9962</v>
      </c>
      <c r="F1856" s="95" t="s">
        <v>5496</v>
      </c>
      <c r="G1856" s="101" t="s">
        <v>5501</v>
      </c>
      <c r="H1856" s="91">
        <v>44286</v>
      </c>
      <c r="I1856" s="73">
        <v>44286</v>
      </c>
      <c r="J1856" s="73">
        <v>35095</v>
      </c>
      <c r="K1856" s="73">
        <v>25096</v>
      </c>
      <c r="L1856" s="11" t="s">
        <v>5787</v>
      </c>
      <c r="M1856" s="1" t="s">
        <v>40</v>
      </c>
      <c r="N1856" s="112" t="s">
        <v>14</v>
      </c>
      <c r="O1856" s="104" t="s">
        <v>52</v>
      </c>
      <c r="P1856" s="104" t="s">
        <v>52</v>
      </c>
      <c r="Q1856" s="105"/>
      <c r="R1856" s="28" t="s">
        <v>1313</v>
      </c>
      <c r="S1856" s="225">
        <f t="shared" si="28"/>
        <v>47027</v>
      </c>
      <c r="T1856" s="2" t="s">
        <v>7694</v>
      </c>
      <c r="U1856" s="7" t="s">
        <v>138</v>
      </c>
      <c r="V1856" s="162" t="str" cm="1">
        <f t="array" ref="V1856">_xlfn.IFS(C1856="","",COUNTIF(C1856,"ตำแหน่งว่าง*"),"ว่าง",COUNTIF(C1856,"&lt;&gt;ตำแหน่งว่าง*"),"คนครอง")</f>
        <v>คนครอง</v>
      </c>
      <c r="W1856" s="5" cm="1">
        <f t="array" ref="W1856">_xlfn.IFS(COUNTIF(F1856,"ผบ.หมู่*"),51,COUNTIF(F1856,"รอง สว.*"),43)</f>
        <v>43</v>
      </c>
      <c r="X1856" s="1" t="s">
        <v>5500</v>
      </c>
      <c r="Y1856" s="1" t="s">
        <v>52</v>
      </c>
    </row>
    <row r="1857" spans="1:25" s="9" customFormat="1" ht="21.3" customHeight="1">
      <c r="A1857" s="27" t="s">
        <v>157</v>
      </c>
      <c r="B1857" s="28" t="s">
        <v>12</v>
      </c>
      <c r="C1857" s="27" t="s">
        <v>5502</v>
      </c>
      <c r="D1857" s="27" t="s">
        <v>9963</v>
      </c>
      <c r="E1857" s="27" t="s">
        <v>9964</v>
      </c>
      <c r="F1857" s="27" t="s">
        <v>5489</v>
      </c>
      <c r="G1857" s="101" t="s">
        <v>5504</v>
      </c>
      <c r="H1857" s="91">
        <v>43871</v>
      </c>
      <c r="I1857" s="73">
        <v>34731</v>
      </c>
      <c r="J1857" s="73">
        <v>34731</v>
      </c>
      <c r="K1857" s="73">
        <v>26981</v>
      </c>
      <c r="L1857" s="11" t="s">
        <v>5505</v>
      </c>
      <c r="M1857" s="1" t="s">
        <v>40</v>
      </c>
      <c r="N1857" s="112" t="s">
        <v>14</v>
      </c>
      <c r="O1857" s="104" t="s">
        <v>52</v>
      </c>
      <c r="P1857" s="104" t="s">
        <v>52</v>
      </c>
      <c r="Q1857" s="105"/>
      <c r="R1857" s="28" t="s">
        <v>688</v>
      </c>
      <c r="S1857" s="225">
        <f t="shared" si="28"/>
        <v>49218</v>
      </c>
      <c r="T1857" s="2" t="s">
        <v>7694</v>
      </c>
      <c r="U1857" s="7" t="s">
        <v>138</v>
      </c>
      <c r="V1857" s="162" t="str" cm="1">
        <f t="array" ref="V1857">_xlfn.IFS(C1857="","",COUNTIF(C1857,"ตำแหน่งว่าง*"),"ว่าง",COUNTIF(C1857,"&lt;&gt;ตำแหน่งว่าง*"),"คนครอง")</f>
        <v>คนครอง</v>
      </c>
      <c r="W1857" s="6" cm="1">
        <f t="array" ref="W1857">_xlfn.IFS(COUNTIF(F1857,"ผบ.หมู่*"),51,COUNTIF(F1857,"รอง สว.*"),43)</f>
        <v>51</v>
      </c>
      <c r="X1857" s="1" t="s">
        <v>5503</v>
      </c>
      <c r="Y1857" s="1" t="s">
        <v>52</v>
      </c>
    </row>
    <row r="1858" spans="1:25" s="9" customFormat="1" ht="21.3" customHeight="1">
      <c r="A1858" s="27" t="s">
        <v>157</v>
      </c>
      <c r="B1858" s="28" t="s">
        <v>21</v>
      </c>
      <c r="C1858" s="27" t="s">
        <v>5506</v>
      </c>
      <c r="D1858" s="27" t="s">
        <v>8070</v>
      </c>
      <c r="E1858" s="27" t="s">
        <v>8205</v>
      </c>
      <c r="F1858" s="27" t="s">
        <v>5507</v>
      </c>
      <c r="G1858" s="101" t="s">
        <v>5509</v>
      </c>
      <c r="H1858" s="91">
        <v>44599</v>
      </c>
      <c r="I1858" s="73">
        <v>37316</v>
      </c>
      <c r="J1858" s="73">
        <v>37316</v>
      </c>
      <c r="K1858" s="73">
        <v>29989</v>
      </c>
      <c r="L1858" s="11" t="s">
        <v>5390</v>
      </c>
      <c r="M1858" s="1" t="s">
        <v>40</v>
      </c>
      <c r="N1858" s="112" t="s">
        <v>14</v>
      </c>
      <c r="O1858" s="104" t="s">
        <v>52</v>
      </c>
      <c r="P1858" s="104" t="s">
        <v>52</v>
      </c>
      <c r="Q1858" s="105"/>
      <c r="R1858" s="28" t="s">
        <v>2883</v>
      </c>
      <c r="S1858" s="225">
        <f t="shared" ref="S1858:S1921" si="29">IF(K1858&lt;&gt;"",DATE(YEAR(K1858)+60+(K1858&gt;=DATE(YEAR(K1858),10,2)),10,1),"")</f>
        <v>52140</v>
      </c>
      <c r="T1858" s="2" t="s">
        <v>7695</v>
      </c>
      <c r="U1858" s="7" t="s">
        <v>138</v>
      </c>
      <c r="V1858" s="162" t="str" cm="1">
        <f t="array" ref="V1858">_xlfn.IFS(C1858="","",COUNTIF(C1858,"ตำแหน่งว่าง*"),"ว่าง",COUNTIF(C1858,"&lt;&gt;ตำแหน่งว่าง*"),"คนครอง")</f>
        <v>คนครอง</v>
      </c>
      <c r="W1858" s="6" cm="1">
        <f t="array" ref="W1858">_xlfn.IFS(COUNTIF(F1858,"ผบ.หมู่*"),51,COUNTIF(F1858,"รอง สว.*"),43)</f>
        <v>51</v>
      </c>
      <c r="X1858" s="1" t="s">
        <v>5508</v>
      </c>
      <c r="Y1858" s="1" t="s">
        <v>52</v>
      </c>
    </row>
    <row r="1859" spans="1:25" s="10" customFormat="1" ht="21.3" customHeight="1">
      <c r="A1859" s="27" t="s">
        <v>10753</v>
      </c>
      <c r="B1859" s="28" t="s">
        <v>21</v>
      </c>
      <c r="C1859" s="27" t="s">
        <v>5362</v>
      </c>
      <c r="D1859" s="27" t="s">
        <v>9965</v>
      </c>
      <c r="E1859" s="27" t="s">
        <v>9966</v>
      </c>
      <c r="F1859" s="27" t="s">
        <v>7787</v>
      </c>
      <c r="G1859" s="101" t="s">
        <v>5511</v>
      </c>
      <c r="H1859" s="91">
        <v>45322</v>
      </c>
      <c r="I1859" s="73">
        <v>45016</v>
      </c>
      <c r="J1859" s="73">
        <v>34352</v>
      </c>
      <c r="K1859" s="73">
        <v>25499</v>
      </c>
      <c r="L1859" s="11" t="s">
        <v>5365</v>
      </c>
      <c r="M1859" s="1" t="s">
        <v>40</v>
      </c>
      <c r="N1859" s="112" t="s">
        <v>14</v>
      </c>
      <c r="O1859" s="104" t="s">
        <v>52</v>
      </c>
      <c r="P1859" s="104" t="s">
        <v>52</v>
      </c>
      <c r="Q1859" s="105"/>
      <c r="R1859" s="28" t="s">
        <v>7786</v>
      </c>
      <c r="S1859" s="225">
        <f t="shared" si="29"/>
        <v>47757</v>
      </c>
      <c r="T1859" s="7" t="s">
        <v>7695</v>
      </c>
      <c r="U1859" s="7" t="s">
        <v>138</v>
      </c>
      <c r="V1859" s="162" t="str" cm="1">
        <f t="array" ref="V1859">_xlfn.IFS(C1859="","",COUNTIF(C1859,"ตำแหน่งว่าง*"),"ว่าง",COUNTIF(C1859,"&lt;&gt;ตำแหน่งว่าง*"),"คนครอง")</f>
        <v>คนครอง</v>
      </c>
      <c r="W1859" s="6" cm="1">
        <f t="array" ref="W1859">_xlfn.IFS(COUNTIF(F1859,"ผบ.หมู่*"),51,COUNTIF(F1859,"รอง สว.*"),43)</f>
        <v>43</v>
      </c>
      <c r="X1859" s="1" t="s">
        <v>5510</v>
      </c>
      <c r="Y1859" s="1" t="s">
        <v>52</v>
      </c>
    </row>
    <row r="1860" spans="1:25" s="10" customFormat="1" ht="21.3" customHeight="1">
      <c r="A1860" s="27" t="s">
        <v>60</v>
      </c>
      <c r="B1860" s="28" t="s">
        <v>21</v>
      </c>
      <c r="C1860" s="27" t="s">
        <v>5387</v>
      </c>
      <c r="D1860" s="27" t="s">
        <v>9396</v>
      </c>
      <c r="E1860" s="27" t="s">
        <v>9967</v>
      </c>
      <c r="F1860" s="27" t="s">
        <v>7787</v>
      </c>
      <c r="G1860" s="101" t="s">
        <v>5513</v>
      </c>
      <c r="H1860" s="91">
        <v>45322</v>
      </c>
      <c r="I1860" s="73">
        <v>34729</v>
      </c>
      <c r="J1860" s="73">
        <v>34729</v>
      </c>
      <c r="K1860" s="73">
        <v>26275</v>
      </c>
      <c r="L1860" s="11" t="s">
        <v>5390</v>
      </c>
      <c r="M1860" s="1" t="s">
        <v>40</v>
      </c>
      <c r="N1860" s="112" t="s">
        <v>14</v>
      </c>
      <c r="O1860" s="104" t="s">
        <v>52</v>
      </c>
      <c r="P1860" s="104" t="s">
        <v>52</v>
      </c>
      <c r="Q1860" s="105"/>
      <c r="R1860" s="28" t="s">
        <v>7786</v>
      </c>
      <c r="S1860" s="225">
        <f t="shared" si="29"/>
        <v>48488</v>
      </c>
      <c r="T1860" s="7" t="s">
        <v>7695</v>
      </c>
      <c r="U1860" s="7" t="s">
        <v>138</v>
      </c>
      <c r="V1860" s="162" t="str" cm="1">
        <f t="array" ref="V1860">_xlfn.IFS(C1860="","",COUNTIF(C1860,"ตำแหน่งว่าง*"),"ว่าง",COUNTIF(C1860,"&lt;&gt;ตำแหน่งว่าง*"),"คนครอง")</f>
        <v>คนครอง</v>
      </c>
      <c r="W1860" s="6" cm="1">
        <f t="array" ref="W1860">_xlfn.IFS(COUNTIF(F1860,"ผบ.หมู่*"),51,COUNTIF(F1860,"รอง สว.*"),43)</f>
        <v>43</v>
      </c>
      <c r="X1860" s="1" t="s">
        <v>5512</v>
      </c>
      <c r="Y1860" s="1" t="s">
        <v>52</v>
      </c>
    </row>
    <row r="1861" spans="1:25" s="10" customFormat="1" ht="21.3" customHeight="1">
      <c r="A1861" s="27"/>
      <c r="B1861" s="28"/>
      <c r="C1861" s="30" t="s">
        <v>18</v>
      </c>
      <c r="D1861" s="27"/>
      <c r="E1861" s="27"/>
      <c r="F1861" s="68" t="s">
        <v>5507</v>
      </c>
      <c r="G1861" s="121" t="s">
        <v>5515</v>
      </c>
      <c r="H1861" s="91" t="s">
        <v>19</v>
      </c>
      <c r="I1861" s="73" t="s">
        <v>19</v>
      </c>
      <c r="J1861" s="73" t="s">
        <v>19</v>
      </c>
      <c r="K1861" s="73" t="s">
        <v>19</v>
      </c>
      <c r="L1861" s="11"/>
      <c r="M1861" s="1"/>
      <c r="N1861" s="113" t="s">
        <v>14</v>
      </c>
      <c r="O1861" s="122" t="s">
        <v>52</v>
      </c>
      <c r="P1861" s="122" t="s">
        <v>52</v>
      </c>
      <c r="Q1861" s="105"/>
      <c r="R1861" s="28"/>
      <c r="S1861" s="225" t="str">
        <f t="shared" si="29"/>
        <v/>
      </c>
      <c r="T1861" s="7" t="s">
        <v>7695</v>
      </c>
      <c r="U1861" s="7" t="s">
        <v>138</v>
      </c>
      <c r="V1861" s="171" t="str" cm="1">
        <f t="array" ref="V1861">_xlfn.IFS(C1861="","",COUNTIF(C1861,"ตำแหน่งว่าง*"),"ว่าง",COUNTIF(C1861,"&lt;&gt;ตำแหน่งว่าง*"),"คนครอง")</f>
        <v>ว่าง</v>
      </c>
      <c r="W1861" s="6" cm="1">
        <f t="array" ref="W1861">_xlfn.IFS(COUNTIF(F1861,"ผบ.หมู่*"),51,COUNTIF(F1861,"รอง สว.*"),43)</f>
        <v>51</v>
      </c>
      <c r="X1861" s="6" t="s">
        <v>5514</v>
      </c>
      <c r="Y1861" s="6" t="s">
        <v>52</v>
      </c>
    </row>
    <row r="1862" spans="1:25" s="10" customFormat="1" ht="21.3" customHeight="1">
      <c r="A1862" s="27" t="s">
        <v>157</v>
      </c>
      <c r="B1862" s="28" t="s">
        <v>12</v>
      </c>
      <c r="C1862" s="95" t="s">
        <v>5516</v>
      </c>
      <c r="D1862" s="27" t="s">
        <v>9391</v>
      </c>
      <c r="E1862" s="27" t="s">
        <v>9968</v>
      </c>
      <c r="F1862" s="95" t="s">
        <v>5517</v>
      </c>
      <c r="G1862" s="101" t="s">
        <v>5519</v>
      </c>
      <c r="H1862" s="75">
        <v>43656</v>
      </c>
      <c r="I1862" s="73">
        <v>37316</v>
      </c>
      <c r="J1862" s="73">
        <v>37316</v>
      </c>
      <c r="K1862" s="73">
        <v>28895</v>
      </c>
      <c r="L1862" s="11" t="s">
        <v>3421</v>
      </c>
      <c r="M1862" s="1" t="s">
        <v>40</v>
      </c>
      <c r="N1862" s="111" t="s">
        <v>14</v>
      </c>
      <c r="O1862" s="104" t="s">
        <v>52</v>
      </c>
      <c r="P1862" s="104" t="s">
        <v>52</v>
      </c>
      <c r="Q1862" s="105"/>
      <c r="R1862" s="28" t="s">
        <v>713</v>
      </c>
      <c r="S1862" s="225">
        <f t="shared" si="29"/>
        <v>51044</v>
      </c>
      <c r="T1862" s="7" t="s">
        <v>7696</v>
      </c>
      <c r="U1862" s="7" t="s">
        <v>138</v>
      </c>
      <c r="V1862" s="162" t="str" cm="1">
        <f t="array" ref="V1862">_xlfn.IFS(C1862="","",COUNTIF(C1862,"ตำแหน่งว่าง*"),"ว่าง",COUNTIF(C1862,"&lt;&gt;ตำแหน่งว่าง*"),"คนครอง")</f>
        <v>คนครอง</v>
      </c>
      <c r="W1862" s="6" cm="1">
        <f t="array" ref="W1862">_xlfn.IFS(COUNTIF(F1862,"ผบ.หมู่*"),51,COUNTIF(F1862,"รอง สว.*"),43)</f>
        <v>51</v>
      </c>
      <c r="X1862" s="5" t="s">
        <v>5518</v>
      </c>
      <c r="Y1862" s="5" t="s">
        <v>52</v>
      </c>
    </row>
    <row r="1863" spans="1:25" s="9" customFormat="1" ht="21.3" customHeight="1">
      <c r="A1863" s="27" t="s">
        <v>157</v>
      </c>
      <c r="B1863" s="28" t="s">
        <v>21</v>
      </c>
      <c r="C1863" s="34" t="s">
        <v>5520</v>
      </c>
      <c r="D1863" s="27" t="s">
        <v>9969</v>
      </c>
      <c r="E1863" s="27" t="s">
        <v>9970</v>
      </c>
      <c r="F1863" s="27" t="s">
        <v>5517</v>
      </c>
      <c r="G1863" s="101" t="s">
        <v>5522</v>
      </c>
      <c r="H1863" s="91">
        <v>44243</v>
      </c>
      <c r="I1863" s="73">
        <v>40084</v>
      </c>
      <c r="J1863" s="73">
        <v>40084</v>
      </c>
      <c r="K1863" s="73">
        <v>29642</v>
      </c>
      <c r="L1863" s="11" t="s">
        <v>5523</v>
      </c>
      <c r="M1863" s="1" t="s">
        <v>100</v>
      </c>
      <c r="N1863" s="112" t="s">
        <v>14</v>
      </c>
      <c r="O1863" s="104" t="s">
        <v>52</v>
      </c>
      <c r="P1863" s="104" t="s">
        <v>52</v>
      </c>
      <c r="Q1863" s="105"/>
      <c r="R1863" s="28" t="s">
        <v>617</v>
      </c>
      <c r="S1863" s="225">
        <f t="shared" si="29"/>
        <v>51775</v>
      </c>
      <c r="T1863" s="2" t="s">
        <v>7696</v>
      </c>
      <c r="U1863" s="7" t="s">
        <v>138</v>
      </c>
      <c r="V1863" s="162" t="str" cm="1">
        <f t="array" ref="V1863">_xlfn.IFS(C1863="","",COUNTIF(C1863,"ตำแหน่งว่าง*"),"ว่าง",COUNTIF(C1863,"&lt;&gt;ตำแหน่งว่าง*"),"คนครอง")</f>
        <v>คนครอง</v>
      </c>
      <c r="W1863" s="6" cm="1">
        <f t="array" ref="W1863">_xlfn.IFS(COUNTIF(F1863,"ผบ.หมู่*"),51,COUNTIF(F1863,"รอง สว.*"),43)</f>
        <v>51</v>
      </c>
      <c r="X1863" s="1" t="s">
        <v>5521</v>
      </c>
      <c r="Y1863" s="1" t="s">
        <v>52</v>
      </c>
    </row>
    <row r="1864" spans="1:25" s="10" customFormat="1" ht="21.3" customHeight="1">
      <c r="A1864" s="65" t="s">
        <v>169</v>
      </c>
      <c r="B1864" s="66" t="s">
        <v>12</v>
      </c>
      <c r="C1864" s="65" t="s">
        <v>5524</v>
      </c>
      <c r="D1864" s="27" t="s">
        <v>9971</v>
      </c>
      <c r="E1864" s="27" t="s">
        <v>9972</v>
      </c>
      <c r="F1864" s="65" t="s">
        <v>5517</v>
      </c>
      <c r="G1864" s="101" t="s">
        <v>5526</v>
      </c>
      <c r="H1864" s="81">
        <v>44986</v>
      </c>
      <c r="I1864" s="77">
        <v>44986</v>
      </c>
      <c r="J1864" s="77">
        <v>44986</v>
      </c>
      <c r="K1864" s="77">
        <v>32252</v>
      </c>
      <c r="L1864" s="63" t="s">
        <v>82</v>
      </c>
      <c r="M1864" s="61" t="s">
        <v>47</v>
      </c>
      <c r="N1864" s="114" t="s">
        <v>14</v>
      </c>
      <c r="O1864" s="104" t="s">
        <v>52</v>
      </c>
      <c r="P1864" s="104" t="s">
        <v>52</v>
      </c>
      <c r="Q1864" s="107"/>
      <c r="R1864" s="66" t="s">
        <v>861</v>
      </c>
      <c r="S1864" s="225">
        <f t="shared" si="29"/>
        <v>54332</v>
      </c>
      <c r="T1864" s="7" t="s">
        <v>7696</v>
      </c>
      <c r="U1864" s="7" t="s">
        <v>138</v>
      </c>
      <c r="V1864" s="162" t="str" cm="1">
        <f t="array" ref="V1864">_xlfn.IFS(C1864="","",COUNTIF(C1864,"ตำแหน่งว่าง*"),"ว่าง",COUNTIF(C1864,"&lt;&gt;ตำแหน่งว่าง*"),"คนครอง")</f>
        <v>คนครอง</v>
      </c>
      <c r="W1864" s="6" cm="1">
        <f t="array" ref="W1864">_xlfn.IFS(COUNTIF(F1864,"ผบ.หมู่*"),51,COUNTIF(F1864,"รอง สว.*"),43)</f>
        <v>51</v>
      </c>
      <c r="X1864" s="61" t="s">
        <v>5525</v>
      </c>
      <c r="Y1864" s="61" t="s">
        <v>52</v>
      </c>
    </row>
    <row r="1865" spans="1:25" s="10" customFormat="1" ht="21.3" customHeight="1">
      <c r="A1865" s="27" t="s">
        <v>44</v>
      </c>
      <c r="B1865" s="28" t="s">
        <v>12</v>
      </c>
      <c r="C1865" s="27" t="s">
        <v>5373</v>
      </c>
      <c r="D1865" s="27" t="s">
        <v>8287</v>
      </c>
      <c r="E1865" s="27" t="s">
        <v>9973</v>
      </c>
      <c r="F1865" s="27" t="s">
        <v>7788</v>
      </c>
      <c r="G1865" s="101" t="s">
        <v>5528</v>
      </c>
      <c r="H1865" s="91">
        <v>45322</v>
      </c>
      <c r="I1865" s="73">
        <v>34352</v>
      </c>
      <c r="J1865" s="73">
        <v>34352</v>
      </c>
      <c r="K1865" s="73">
        <v>25436</v>
      </c>
      <c r="L1865" s="11" t="s">
        <v>3421</v>
      </c>
      <c r="M1865" s="1" t="s">
        <v>104</v>
      </c>
      <c r="N1865" s="112" t="s">
        <v>14</v>
      </c>
      <c r="O1865" s="104" t="s">
        <v>52</v>
      </c>
      <c r="P1865" s="104" t="s">
        <v>52</v>
      </c>
      <c r="Q1865" s="105"/>
      <c r="R1865" s="28" t="s">
        <v>7786</v>
      </c>
      <c r="S1865" s="225">
        <f t="shared" si="29"/>
        <v>47392</v>
      </c>
      <c r="T1865" s="7" t="s">
        <v>7696</v>
      </c>
      <c r="U1865" s="7" t="s">
        <v>138</v>
      </c>
      <c r="V1865" s="162" t="str" cm="1">
        <f t="array" ref="V1865">_xlfn.IFS(C1865="","",COUNTIF(C1865,"ตำแหน่งว่าง*"),"ว่าง",COUNTIF(C1865,"&lt;&gt;ตำแหน่งว่าง*"),"คนครอง")</f>
        <v>คนครอง</v>
      </c>
      <c r="W1865" s="6" cm="1">
        <f t="array" ref="W1865">_xlfn.IFS(COUNTIF(F1865,"ผบ.หมู่*"),51,COUNTIF(F1865,"รอง สว.*"),43)</f>
        <v>43</v>
      </c>
      <c r="X1865" s="1" t="s">
        <v>5527</v>
      </c>
      <c r="Y1865" s="1" t="s">
        <v>52</v>
      </c>
    </row>
    <row r="1866" spans="1:25" s="10" customFormat="1" ht="21.3" customHeight="1">
      <c r="A1866" s="27" t="s">
        <v>208</v>
      </c>
      <c r="B1866" s="28" t="s">
        <v>21</v>
      </c>
      <c r="C1866" s="27" t="s">
        <v>2466</v>
      </c>
      <c r="D1866" s="27" t="s">
        <v>8968</v>
      </c>
      <c r="E1866" s="27" t="s">
        <v>8969</v>
      </c>
      <c r="F1866" s="27" t="s">
        <v>5529</v>
      </c>
      <c r="G1866" s="101" t="s">
        <v>5531</v>
      </c>
      <c r="H1866" s="91">
        <v>45768</v>
      </c>
      <c r="I1866" s="73">
        <v>43693</v>
      </c>
      <c r="J1866" s="73">
        <v>43693</v>
      </c>
      <c r="K1866" s="73">
        <v>35352</v>
      </c>
      <c r="L1866" s="11" t="s">
        <v>82</v>
      </c>
      <c r="M1866" s="1" t="s">
        <v>35</v>
      </c>
      <c r="N1866" s="112" t="s">
        <v>14</v>
      </c>
      <c r="O1866" s="104" t="s">
        <v>52</v>
      </c>
      <c r="P1866" s="104" t="s">
        <v>52</v>
      </c>
      <c r="Q1866" s="105"/>
      <c r="R1866" s="28" t="s">
        <v>10804</v>
      </c>
      <c r="S1866" s="174">
        <f t="shared" si="29"/>
        <v>57619</v>
      </c>
      <c r="T1866" s="2" t="s">
        <v>7697</v>
      </c>
      <c r="U1866" s="2" t="s">
        <v>138</v>
      </c>
      <c r="V1866" s="203" t="str" cm="1">
        <f t="array" ref="V1866">_xlfn.IFS(C1866="","",COUNTIF(C1866,"ตำแหน่งว่าง*"),"ว่าง",COUNTIF(C1866,"&lt;&gt;ตำแหน่งว่าง*"),"คนครอง")</f>
        <v>คนครอง</v>
      </c>
      <c r="W1866" s="1" cm="1">
        <f t="array" ref="W1866">_xlfn.IFS(COUNTIF(F1866,"ผบ.หมู่*"),51,COUNTIF(F1866,"รอง สว.*"),43)</f>
        <v>51</v>
      </c>
      <c r="X1866" s="1" t="s">
        <v>5530</v>
      </c>
      <c r="Y1866" s="1" t="s">
        <v>52</v>
      </c>
    </row>
    <row r="1867" spans="1:25" s="12" customFormat="1" ht="21.3" customHeight="1">
      <c r="A1867" s="27" t="s">
        <v>157</v>
      </c>
      <c r="B1867" s="28" t="s">
        <v>12</v>
      </c>
      <c r="C1867" s="95" t="s">
        <v>5532</v>
      </c>
      <c r="D1867" s="27" t="s">
        <v>8116</v>
      </c>
      <c r="E1867" s="27" t="s">
        <v>9974</v>
      </c>
      <c r="F1867" s="95" t="s">
        <v>5533</v>
      </c>
      <c r="G1867" s="101" t="s">
        <v>5535</v>
      </c>
      <c r="H1867" s="75">
        <v>42501</v>
      </c>
      <c r="I1867" s="73">
        <v>42501</v>
      </c>
      <c r="J1867" s="73">
        <v>37316</v>
      </c>
      <c r="K1867" s="73">
        <v>28225</v>
      </c>
      <c r="L1867" s="11" t="s">
        <v>2314</v>
      </c>
      <c r="M1867" s="1" t="s">
        <v>103</v>
      </c>
      <c r="N1867" s="111" t="s">
        <v>14</v>
      </c>
      <c r="O1867" s="104" t="s">
        <v>52</v>
      </c>
      <c r="P1867" s="104" t="s">
        <v>52</v>
      </c>
      <c r="Q1867" s="105"/>
      <c r="R1867" s="28" t="s">
        <v>110</v>
      </c>
      <c r="S1867" s="225">
        <f t="shared" si="29"/>
        <v>50314</v>
      </c>
      <c r="T1867" s="162" t="s">
        <v>7650</v>
      </c>
      <c r="U1867" s="7" t="s">
        <v>138</v>
      </c>
      <c r="V1867" s="162" t="str" cm="1">
        <f t="array" ref="V1867">_xlfn.IFS(C1867="","",COUNTIF(C1867,"ตำแหน่งว่าง*"),"ว่าง",COUNTIF(C1867,"&lt;&gt;ตำแหน่งว่าง*"),"คนครอง")</f>
        <v>คนครอง</v>
      </c>
      <c r="W1867" s="6" cm="1">
        <f t="array" ref="W1867">_xlfn.IFS(COUNTIF(F1867,"ผบ.หมู่*"),51,COUNTIF(F1867,"รอง สว.*"),43)</f>
        <v>51</v>
      </c>
      <c r="X1867" s="5" t="s">
        <v>5534</v>
      </c>
      <c r="Y1867" s="5" t="s">
        <v>52</v>
      </c>
    </row>
    <row r="1868" spans="1:25" s="10" customFormat="1" ht="21.3" customHeight="1">
      <c r="A1868" s="27" t="s">
        <v>208</v>
      </c>
      <c r="B1868" s="28" t="s">
        <v>21</v>
      </c>
      <c r="C1868" s="27" t="s">
        <v>7773</v>
      </c>
      <c r="D1868" s="27" t="s">
        <v>9975</v>
      </c>
      <c r="E1868" s="27" t="s">
        <v>8159</v>
      </c>
      <c r="F1868" s="27" t="s">
        <v>5533</v>
      </c>
      <c r="G1868" s="101" t="s">
        <v>5537</v>
      </c>
      <c r="H1868" s="91">
        <v>45322</v>
      </c>
      <c r="I1868" s="73">
        <v>43693</v>
      </c>
      <c r="J1868" s="73">
        <v>43693</v>
      </c>
      <c r="K1868" s="73">
        <v>30933</v>
      </c>
      <c r="L1868" s="11" t="s">
        <v>7839</v>
      </c>
      <c r="M1868" s="1" t="s">
        <v>103</v>
      </c>
      <c r="N1868" s="112" t="s">
        <v>14</v>
      </c>
      <c r="O1868" s="104" t="s">
        <v>52</v>
      </c>
      <c r="P1868" s="104" t="s">
        <v>52</v>
      </c>
      <c r="Q1868" s="105"/>
      <c r="R1868" s="30" t="s">
        <v>7708</v>
      </c>
      <c r="S1868" s="225">
        <f t="shared" si="29"/>
        <v>52871</v>
      </c>
      <c r="T1868" s="7" t="s">
        <v>7650</v>
      </c>
      <c r="U1868" s="7" t="s">
        <v>138</v>
      </c>
      <c r="V1868" s="162" t="str" cm="1">
        <f t="array" ref="V1868">_xlfn.IFS(C1868="","",COUNTIF(C1868,"ตำแหน่งว่าง*"),"ว่าง",COUNTIF(C1868,"&lt;&gt;ตำแหน่งว่าง*"),"คนครอง")</f>
        <v>คนครอง</v>
      </c>
      <c r="W1868" s="6" cm="1">
        <f t="array" ref="W1868">_xlfn.IFS(COUNTIF(F1868,"ผบ.หมู่*"),51,COUNTIF(F1868,"รอง สว.*"),43)</f>
        <v>51</v>
      </c>
      <c r="X1868" s="1" t="s">
        <v>5536</v>
      </c>
      <c r="Y1868" s="1" t="s">
        <v>52</v>
      </c>
    </row>
    <row r="1869" spans="1:25" s="9" customFormat="1" ht="21.3" customHeight="1">
      <c r="A1869" s="27"/>
      <c r="B1869" s="28"/>
      <c r="C1869" s="30" t="s">
        <v>18</v>
      </c>
      <c r="D1869" s="27"/>
      <c r="E1869" s="27"/>
      <c r="F1869" s="27" t="s">
        <v>5533</v>
      </c>
      <c r="G1869" s="101" t="s">
        <v>5539</v>
      </c>
      <c r="H1869" s="91"/>
      <c r="I1869" s="73"/>
      <c r="J1869" s="73"/>
      <c r="K1869" s="73"/>
      <c r="L1869" s="11"/>
      <c r="M1869" s="1"/>
      <c r="N1869" s="112" t="s">
        <v>14</v>
      </c>
      <c r="O1869" s="104" t="s">
        <v>52</v>
      </c>
      <c r="P1869" s="104" t="s">
        <v>52</v>
      </c>
      <c r="Q1869" s="105"/>
      <c r="R1869" s="28"/>
      <c r="S1869" s="225" t="str">
        <f t="shared" si="29"/>
        <v/>
      </c>
      <c r="T1869" s="2" t="s">
        <v>7650</v>
      </c>
      <c r="U1869" s="7" t="s">
        <v>138</v>
      </c>
      <c r="V1869" s="162" t="str" cm="1">
        <f t="array" ref="V1869">_xlfn.IFS(C1869="","",COUNTIF(C1869,"ตำแหน่งว่าง*"),"ว่าง",COUNTIF(C1869,"&lt;&gt;ตำแหน่งว่าง*"),"คนครอง")</f>
        <v>ว่าง</v>
      </c>
      <c r="W1869" s="6" cm="1">
        <f t="array" ref="W1869">_xlfn.IFS(COUNTIF(F1869,"ผบ.หมู่*"),51,COUNTIF(F1869,"รอง สว.*"),43)</f>
        <v>51</v>
      </c>
      <c r="X1869" s="1" t="s">
        <v>5538</v>
      </c>
      <c r="Y1869" s="1" t="s">
        <v>52</v>
      </c>
    </row>
    <row r="1870" spans="1:25" s="9" customFormat="1" ht="21.3" customHeight="1">
      <c r="A1870" s="27" t="s">
        <v>612</v>
      </c>
      <c r="B1870" s="28" t="s">
        <v>21</v>
      </c>
      <c r="C1870" s="27" t="s">
        <v>5540</v>
      </c>
      <c r="D1870" s="27" t="s">
        <v>9976</v>
      </c>
      <c r="E1870" s="27" t="s">
        <v>9977</v>
      </c>
      <c r="F1870" s="27" t="s">
        <v>5533</v>
      </c>
      <c r="G1870" s="101" t="s">
        <v>5542</v>
      </c>
      <c r="H1870" s="91">
        <v>44243</v>
      </c>
      <c r="I1870" s="73">
        <v>42416</v>
      </c>
      <c r="J1870" s="73">
        <v>42416</v>
      </c>
      <c r="K1870" s="73">
        <v>33241</v>
      </c>
      <c r="L1870" s="70" t="s">
        <v>7840</v>
      </c>
      <c r="M1870" s="1" t="s">
        <v>103</v>
      </c>
      <c r="N1870" s="112" t="s">
        <v>14</v>
      </c>
      <c r="O1870" s="104" t="s">
        <v>52</v>
      </c>
      <c r="P1870" s="104" t="s">
        <v>52</v>
      </c>
      <c r="Q1870" s="105"/>
      <c r="R1870" s="28" t="s">
        <v>617</v>
      </c>
      <c r="S1870" s="225">
        <f t="shared" si="29"/>
        <v>55427</v>
      </c>
      <c r="T1870" s="2" t="s">
        <v>7650</v>
      </c>
      <c r="U1870" s="7" t="s">
        <v>138</v>
      </c>
      <c r="V1870" s="162" t="str" cm="1">
        <f t="array" ref="V1870">_xlfn.IFS(C1870="","",COUNTIF(C1870,"ตำแหน่งว่าง*"),"ว่าง",COUNTIF(C1870,"&lt;&gt;ตำแหน่งว่าง*"),"คนครอง")</f>
        <v>คนครอง</v>
      </c>
      <c r="W1870" s="6" cm="1">
        <f t="array" ref="W1870">_xlfn.IFS(COUNTIF(F1870,"ผบ.หมู่*"),51,COUNTIF(F1870,"รอง สว.*"),43)</f>
        <v>51</v>
      </c>
      <c r="X1870" s="1" t="s">
        <v>5541</v>
      </c>
      <c r="Y1870" s="1" t="s">
        <v>52</v>
      </c>
    </row>
    <row r="1871" spans="1:25" s="10" customFormat="1" ht="21.3" customHeight="1">
      <c r="A1871" s="27" t="s">
        <v>157</v>
      </c>
      <c r="B1871" s="28" t="s">
        <v>12</v>
      </c>
      <c r="C1871" s="27" t="s">
        <v>5543</v>
      </c>
      <c r="D1871" s="27" t="s">
        <v>9978</v>
      </c>
      <c r="E1871" s="27" t="s">
        <v>9979</v>
      </c>
      <c r="F1871" s="27" t="s">
        <v>5533</v>
      </c>
      <c r="G1871" s="101" t="s">
        <v>5545</v>
      </c>
      <c r="H1871" s="91">
        <v>43656</v>
      </c>
      <c r="I1871" s="73">
        <v>35462</v>
      </c>
      <c r="J1871" s="73">
        <v>35462</v>
      </c>
      <c r="K1871" s="73">
        <v>27106</v>
      </c>
      <c r="L1871" s="11" t="s">
        <v>7841</v>
      </c>
      <c r="M1871" s="1" t="s">
        <v>103</v>
      </c>
      <c r="N1871" s="112" t="s">
        <v>14</v>
      </c>
      <c r="O1871" s="104" t="s">
        <v>52</v>
      </c>
      <c r="P1871" s="104" t="s">
        <v>52</v>
      </c>
      <c r="Q1871" s="105"/>
      <c r="R1871" s="28" t="s">
        <v>2794</v>
      </c>
      <c r="S1871" s="225">
        <f t="shared" si="29"/>
        <v>49218</v>
      </c>
      <c r="T1871" s="7" t="s">
        <v>7650</v>
      </c>
      <c r="U1871" s="7" t="s">
        <v>138</v>
      </c>
      <c r="V1871" s="162" t="str" cm="1">
        <f t="array" ref="V1871">_xlfn.IFS(C1871="","",COUNTIF(C1871,"ตำแหน่งว่าง*"),"ว่าง",COUNTIF(C1871,"&lt;&gt;ตำแหน่งว่าง*"),"คนครอง")</f>
        <v>คนครอง</v>
      </c>
      <c r="W1871" s="6" cm="1">
        <f t="array" ref="W1871">_xlfn.IFS(COUNTIF(F1871,"ผบ.หมู่*"),51,COUNTIF(F1871,"รอง สว.*"),43)</f>
        <v>51</v>
      </c>
      <c r="X1871" s="1" t="s">
        <v>5544</v>
      </c>
      <c r="Y1871" s="1" t="s">
        <v>52</v>
      </c>
    </row>
    <row r="1872" spans="1:25" s="12" customFormat="1" ht="21.3" customHeight="1">
      <c r="A1872" s="27" t="s">
        <v>44</v>
      </c>
      <c r="B1872" s="31" t="s">
        <v>21</v>
      </c>
      <c r="C1872" s="95" t="s">
        <v>5546</v>
      </c>
      <c r="D1872" s="27" t="s">
        <v>9980</v>
      </c>
      <c r="E1872" s="27" t="s">
        <v>9981</v>
      </c>
      <c r="F1872" s="95" t="s">
        <v>5547</v>
      </c>
      <c r="G1872" s="101" t="s">
        <v>5549</v>
      </c>
      <c r="H1872" s="88">
        <v>42501</v>
      </c>
      <c r="I1872" s="76">
        <v>33270</v>
      </c>
      <c r="J1872" s="76">
        <v>33270</v>
      </c>
      <c r="K1872" s="76">
        <v>25288</v>
      </c>
      <c r="L1872" s="17" t="s">
        <v>7842</v>
      </c>
      <c r="M1872" s="5" t="s">
        <v>103</v>
      </c>
      <c r="N1872" s="111" t="s">
        <v>14</v>
      </c>
      <c r="O1872" s="104" t="s">
        <v>52</v>
      </c>
      <c r="P1872" s="104" t="s">
        <v>52</v>
      </c>
      <c r="Q1872" s="108"/>
      <c r="R1872" s="31" t="s">
        <v>110</v>
      </c>
      <c r="S1872" s="225">
        <f t="shared" si="29"/>
        <v>47392</v>
      </c>
      <c r="T1872" s="162" t="s">
        <v>7650</v>
      </c>
      <c r="U1872" s="7" t="s">
        <v>138</v>
      </c>
      <c r="V1872" s="162" t="str" cm="1">
        <f t="array" ref="V1872">_xlfn.IFS(C1872="","",COUNTIF(C1872,"ตำแหน่งว่าง*"),"ว่าง",COUNTIF(C1872,"&lt;&gt;ตำแหน่งว่าง*"),"คนครอง")</f>
        <v>คนครอง</v>
      </c>
      <c r="W1872" s="5" cm="1">
        <f t="array" ref="W1872">_xlfn.IFS(COUNTIF(F1872,"ผบ.หมู่*"),51,COUNTIF(F1872,"รอง สว.*"),43)</f>
        <v>43</v>
      </c>
      <c r="X1872" s="5" t="s">
        <v>5548</v>
      </c>
      <c r="Y1872" s="5" t="s">
        <v>52</v>
      </c>
    </row>
    <row r="1873" spans="1:25" s="12" customFormat="1" ht="21.3" customHeight="1">
      <c r="A1873" s="27" t="s">
        <v>157</v>
      </c>
      <c r="B1873" s="28" t="s">
        <v>21</v>
      </c>
      <c r="C1873" s="95" t="s">
        <v>5551</v>
      </c>
      <c r="D1873" s="27" t="s">
        <v>9982</v>
      </c>
      <c r="E1873" s="27" t="s">
        <v>9983</v>
      </c>
      <c r="F1873" s="95" t="s">
        <v>5533</v>
      </c>
      <c r="G1873" s="101" t="s">
        <v>5553</v>
      </c>
      <c r="H1873" s="75">
        <v>42501</v>
      </c>
      <c r="I1873" s="73">
        <v>34352</v>
      </c>
      <c r="J1873" s="73">
        <v>34352</v>
      </c>
      <c r="K1873" s="73">
        <v>26723</v>
      </c>
      <c r="L1873" s="11" t="s">
        <v>3421</v>
      </c>
      <c r="M1873" s="1" t="s">
        <v>103</v>
      </c>
      <c r="N1873" s="111" t="s">
        <v>14</v>
      </c>
      <c r="O1873" s="104" t="s">
        <v>52</v>
      </c>
      <c r="P1873" s="104" t="s">
        <v>52</v>
      </c>
      <c r="Q1873" s="105"/>
      <c r="R1873" s="28" t="s">
        <v>110</v>
      </c>
      <c r="S1873" s="225">
        <f t="shared" si="29"/>
        <v>48853</v>
      </c>
      <c r="T1873" s="162" t="s">
        <v>7650</v>
      </c>
      <c r="U1873" s="7" t="s">
        <v>138</v>
      </c>
      <c r="V1873" s="162" t="str" cm="1">
        <f t="array" ref="V1873">_xlfn.IFS(C1873="","",COUNTIF(C1873,"ตำแหน่งว่าง*"),"ว่าง",COUNTIF(C1873,"&lt;&gt;ตำแหน่งว่าง*"),"คนครอง")</f>
        <v>คนครอง</v>
      </c>
      <c r="W1873" s="6" cm="1">
        <f t="array" ref="W1873">_xlfn.IFS(COUNTIF(F1873,"ผบ.หมู่*"),51,COUNTIF(F1873,"รอง สว.*"),43)</f>
        <v>51</v>
      </c>
      <c r="X1873" s="5" t="s">
        <v>5552</v>
      </c>
      <c r="Y1873" s="5" t="s">
        <v>52</v>
      </c>
    </row>
    <row r="1874" spans="1:25" s="10" customFormat="1" ht="21.3" customHeight="1">
      <c r="A1874" s="68"/>
      <c r="B1874" s="30"/>
      <c r="C1874" s="30" t="s">
        <v>18</v>
      </c>
      <c r="D1874" s="27"/>
      <c r="E1874" s="27"/>
      <c r="F1874" s="68" t="s">
        <v>5533</v>
      </c>
      <c r="G1874" s="121" t="s">
        <v>5555</v>
      </c>
      <c r="H1874" s="91" t="s">
        <v>19</v>
      </c>
      <c r="I1874" s="73" t="s">
        <v>19</v>
      </c>
      <c r="J1874" s="73" t="s">
        <v>19</v>
      </c>
      <c r="K1874" s="73" t="s">
        <v>19</v>
      </c>
      <c r="L1874" s="11"/>
      <c r="M1874" s="6"/>
      <c r="N1874" s="113" t="s">
        <v>14</v>
      </c>
      <c r="O1874" s="122" t="s">
        <v>52</v>
      </c>
      <c r="P1874" s="122" t="s">
        <v>52</v>
      </c>
      <c r="Q1874" s="106"/>
      <c r="R1874" s="30"/>
      <c r="S1874" s="225" t="str">
        <f t="shared" si="29"/>
        <v/>
      </c>
      <c r="T1874" s="7" t="s">
        <v>7650</v>
      </c>
      <c r="U1874" s="7" t="s">
        <v>138</v>
      </c>
      <c r="V1874" s="171" t="str" cm="1">
        <f t="array" ref="V1874">_xlfn.IFS(C1874="","",COUNTIF(C1874,"ตำแหน่งว่าง*"),"ว่าง",COUNTIF(C1874,"&lt;&gt;ตำแหน่งว่าง*"),"คนครอง")</f>
        <v>ว่าง</v>
      </c>
      <c r="W1874" s="6" cm="1">
        <f t="array" ref="W1874">_xlfn.IFS(COUNTIF(F1874,"ผบ.หมู่*"),51,COUNTIF(F1874,"รอง สว.*"),43)</f>
        <v>51</v>
      </c>
      <c r="X1874" s="6" t="s">
        <v>5554</v>
      </c>
      <c r="Y1874" s="6" t="s">
        <v>52</v>
      </c>
    </row>
    <row r="1875" spans="1:25" s="10" customFormat="1" ht="21.3" customHeight="1">
      <c r="A1875" s="27"/>
      <c r="B1875" s="28"/>
      <c r="C1875" s="30" t="s">
        <v>18</v>
      </c>
      <c r="D1875" s="27"/>
      <c r="E1875" s="27"/>
      <c r="F1875" s="68" t="s">
        <v>5533</v>
      </c>
      <c r="G1875" s="121" t="s">
        <v>5557</v>
      </c>
      <c r="H1875" s="91" t="s">
        <v>19</v>
      </c>
      <c r="I1875" s="73" t="s">
        <v>19</v>
      </c>
      <c r="J1875" s="73" t="s">
        <v>19</v>
      </c>
      <c r="K1875" s="73" t="s">
        <v>19</v>
      </c>
      <c r="L1875" s="11"/>
      <c r="M1875" s="1"/>
      <c r="N1875" s="113" t="s">
        <v>14</v>
      </c>
      <c r="O1875" s="122" t="s">
        <v>52</v>
      </c>
      <c r="P1875" s="122" t="s">
        <v>52</v>
      </c>
      <c r="Q1875" s="105"/>
      <c r="R1875" s="28"/>
      <c r="S1875" s="225" t="str">
        <f t="shared" si="29"/>
        <v/>
      </c>
      <c r="T1875" s="7" t="s">
        <v>7650</v>
      </c>
      <c r="U1875" s="7" t="s">
        <v>138</v>
      </c>
      <c r="V1875" s="171" t="str" cm="1">
        <f t="array" ref="V1875">_xlfn.IFS(C1875="","",COUNTIF(C1875,"ตำแหน่งว่าง*"),"ว่าง",COUNTIF(C1875,"&lt;&gt;ตำแหน่งว่าง*"),"คนครอง")</f>
        <v>ว่าง</v>
      </c>
      <c r="W1875" s="6" cm="1">
        <f t="array" ref="W1875">_xlfn.IFS(COUNTIF(F1875,"ผบ.หมู่*"),51,COUNTIF(F1875,"รอง สว.*"),43)</f>
        <v>51</v>
      </c>
      <c r="X1875" s="6" t="s">
        <v>5556</v>
      </c>
      <c r="Y1875" s="6" t="s">
        <v>52</v>
      </c>
    </row>
    <row r="1876" spans="1:25" s="12" customFormat="1" ht="21.3" customHeight="1">
      <c r="A1876" s="27" t="s">
        <v>10753</v>
      </c>
      <c r="B1876" s="28" t="s">
        <v>12</v>
      </c>
      <c r="C1876" s="95" t="s">
        <v>5558</v>
      </c>
      <c r="D1876" s="27" t="s">
        <v>9228</v>
      </c>
      <c r="E1876" s="27" t="s">
        <v>9984</v>
      </c>
      <c r="F1876" s="95" t="s">
        <v>5547</v>
      </c>
      <c r="G1876" s="101" t="s">
        <v>5560</v>
      </c>
      <c r="H1876" s="75">
        <v>45016</v>
      </c>
      <c r="I1876" s="73">
        <v>45016</v>
      </c>
      <c r="J1876" s="73">
        <v>33270</v>
      </c>
      <c r="K1876" s="73">
        <v>25589</v>
      </c>
      <c r="L1876" s="11" t="s">
        <v>7843</v>
      </c>
      <c r="M1876" s="1" t="s">
        <v>101</v>
      </c>
      <c r="N1876" s="111" t="s">
        <v>14</v>
      </c>
      <c r="O1876" s="104" t="s">
        <v>52</v>
      </c>
      <c r="P1876" s="104" t="s">
        <v>52</v>
      </c>
      <c r="Q1876" s="105"/>
      <c r="R1876" s="28" t="s">
        <v>483</v>
      </c>
      <c r="S1876" s="225">
        <f t="shared" si="29"/>
        <v>47757</v>
      </c>
      <c r="T1876" s="162" t="s">
        <v>7650</v>
      </c>
      <c r="U1876" s="7" t="s">
        <v>138</v>
      </c>
      <c r="V1876" s="162" t="str" cm="1">
        <f t="array" ref="V1876">_xlfn.IFS(C1876="","",COUNTIF(C1876,"ตำแหน่งว่าง*"),"ว่าง",COUNTIF(C1876,"&lt;&gt;ตำแหน่งว่าง*"),"คนครอง")</f>
        <v>คนครอง</v>
      </c>
      <c r="W1876" s="5" cm="1">
        <f t="array" ref="W1876">_xlfn.IFS(COUNTIF(F1876,"ผบ.หมู่*"),51,COUNTIF(F1876,"รอง สว.*"),43)</f>
        <v>43</v>
      </c>
      <c r="X1876" s="5" t="s">
        <v>5559</v>
      </c>
      <c r="Y1876" s="5" t="s">
        <v>52</v>
      </c>
    </row>
    <row r="1877" spans="1:25" s="9" customFormat="1" ht="21.3" customHeight="1">
      <c r="A1877" s="27"/>
      <c r="B1877" s="28"/>
      <c r="C1877" s="30" t="s">
        <v>18</v>
      </c>
      <c r="D1877" s="27"/>
      <c r="E1877" s="27"/>
      <c r="F1877" s="68" t="s">
        <v>5533</v>
      </c>
      <c r="G1877" s="121" t="s">
        <v>5562</v>
      </c>
      <c r="H1877" s="75" t="s">
        <v>19</v>
      </c>
      <c r="I1877" s="73" t="s">
        <v>19</v>
      </c>
      <c r="J1877" s="73" t="s">
        <v>19</v>
      </c>
      <c r="K1877" s="73" t="s">
        <v>19</v>
      </c>
      <c r="L1877" s="11"/>
      <c r="M1877" s="1"/>
      <c r="N1877" s="113" t="s">
        <v>14</v>
      </c>
      <c r="O1877" s="122" t="s">
        <v>52</v>
      </c>
      <c r="P1877" s="122" t="s">
        <v>52</v>
      </c>
      <c r="Q1877" s="105"/>
      <c r="R1877" s="28"/>
      <c r="S1877" s="225" t="str">
        <f t="shared" si="29"/>
        <v/>
      </c>
      <c r="T1877" s="2" t="s">
        <v>7650</v>
      </c>
      <c r="U1877" s="7" t="s">
        <v>138</v>
      </c>
      <c r="V1877" s="171" t="str" cm="1">
        <f t="array" ref="V1877">_xlfn.IFS(C1877="","",COUNTIF(C1877,"ตำแหน่งว่าง*"),"ว่าง",COUNTIF(C1877,"&lt;&gt;ตำแหน่งว่าง*"),"คนครอง")</f>
        <v>ว่าง</v>
      </c>
      <c r="W1877" s="6" cm="1">
        <f t="array" ref="W1877">_xlfn.IFS(COUNTIF(F1877,"ผบ.หมู่*"),51,COUNTIF(F1877,"รอง สว.*"),43)</f>
        <v>51</v>
      </c>
      <c r="X1877" s="6" t="s">
        <v>5561</v>
      </c>
      <c r="Y1877" s="6" t="s">
        <v>52</v>
      </c>
    </row>
    <row r="1878" spans="1:25" s="12" customFormat="1" ht="21.3" customHeight="1">
      <c r="A1878" s="27"/>
      <c r="B1878" s="28"/>
      <c r="C1878" s="31" t="s">
        <v>18</v>
      </c>
      <c r="D1878" s="27"/>
      <c r="E1878" s="27"/>
      <c r="F1878" s="95" t="s">
        <v>5533</v>
      </c>
      <c r="G1878" s="101" t="s">
        <v>5564</v>
      </c>
      <c r="H1878" s="75"/>
      <c r="I1878" s="73"/>
      <c r="J1878" s="73"/>
      <c r="K1878" s="73"/>
      <c r="L1878" s="11"/>
      <c r="M1878" s="1"/>
      <c r="N1878" s="111" t="s">
        <v>14</v>
      </c>
      <c r="O1878" s="104" t="s">
        <v>52</v>
      </c>
      <c r="P1878" s="104" t="s">
        <v>52</v>
      </c>
      <c r="Q1878" s="105"/>
      <c r="R1878" s="28"/>
      <c r="S1878" s="225" t="str">
        <f t="shared" si="29"/>
        <v/>
      </c>
      <c r="T1878" s="162" t="s">
        <v>7650</v>
      </c>
      <c r="U1878" s="7" t="s">
        <v>138</v>
      </c>
      <c r="V1878" s="162" t="str" cm="1">
        <f t="array" ref="V1878">_xlfn.IFS(C1878="","",COUNTIF(C1878,"ตำแหน่งว่าง*"),"ว่าง",COUNTIF(C1878,"&lt;&gt;ตำแหน่งว่าง*"),"คนครอง")</f>
        <v>ว่าง</v>
      </c>
      <c r="W1878" s="5" cm="1">
        <f t="array" ref="W1878">_xlfn.IFS(COUNTIF(F1878,"ผบ.หมู่*"),51,COUNTIF(F1878,"รอง สว.*"),43)</f>
        <v>51</v>
      </c>
      <c r="X1878" s="5" t="s">
        <v>5563</v>
      </c>
      <c r="Y1878" s="5" t="s">
        <v>52</v>
      </c>
    </row>
    <row r="1879" spans="1:25" s="12" customFormat="1" ht="21.3" customHeight="1">
      <c r="A1879" s="27" t="s">
        <v>26</v>
      </c>
      <c r="B1879" s="28" t="s">
        <v>12</v>
      </c>
      <c r="C1879" s="95" t="s">
        <v>5565</v>
      </c>
      <c r="D1879" s="27" t="s">
        <v>9985</v>
      </c>
      <c r="E1879" s="27" t="s">
        <v>9986</v>
      </c>
      <c r="F1879" s="95" t="s">
        <v>5547</v>
      </c>
      <c r="G1879" s="101" t="s">
        <v>5567</v>
      </c>
      <c r="H1879" s="75">
        <v>42501</v>
      </c>
      <c r="I1879" s="73">
        <v>42501</v>
      </c>
      <c r="J1879" s="73">
        <v>35825</v>
      </c>
      <c r="K1879" s="73">
        <v>24588</v>
      </c>
      <c r="L1879" s="11" t="s">
        <v>3421</v>
      </c>
      <c r="M1879" s="1" t="s">
        <v>103</v>
      </c>
      <c r="N1879" s="111" t="s">
        <v>14</v>
      </c>
      <c r="O1879" s="104" t="s">
        <v>52</v>
      </c>
      <c r="P1879" s="104" t="s">
        <v>52</v>
      </c>
      <c r="Q1879" s="105"/>
      <c r="R1879" s="28" t="s">
        <v>110</v>
      </c>
      <c r="S1879" s="225">
        <f t="shared" si="29"/>
        <v>46661</v>
      </c>
      <c r="T1879" s="162" t="s">
        <v>7650</v>
      </c>
      <c r="U1879" s="7" t="s">
        <v>138</v>
      </c>
      <c r="V1879" s="162" t="str" cm="1">
        <f t="array" ref="V1879">_xlfn.IFS(C1879="","",COUNTIF(C1879,"ตำแหน่งว่าง*"),"ว่าง",COUNTIF(C1879,"&lt;&gt;ตำแหน่งว่าง*"),"คนครอง")</f>
        <v>คนครอง</v>
      </c>
      <c r="W1879" s="5" cm="1">
        <f t="array" ref="W1879">_xlfn.IFS(COUNTIF(F1879,"ผบ.หมู่*"),51,COUNTIF(F1879,"รอง สว.*"),43)</f>
        <v>43</v>
      </c>
      <c r="X1879" s="5" t="s">
        <v>5566</v>
      </c>
      <c r="Y1879" s="5" t="s">
        <v>52</v>
      </c>
    </row>
    <row r="1880" spans="1:25" s="12" customFormat="1" ht="21.3" customHeight="1">
      <c r="A1880" s="27"/>
      <c r="B1880" s="28"/>
      <c r="C1880" s="30" t="s">
        <v>18</v>
      </c>
      <c r="D1880" s="27"/>
      <c r="E1880" s="27"/>
      <c r="F1880" s="68" t="s">
        <v>5533</v>
      </c>
      <c r="G1880" s="121" t="s">
        <v>5569</v>
      </c>
      <c r="H1880" s="75" t="s">
        <v>19</v>
      </c>
      <c r="I1880" s="73" t="s">
        <v>19</v>
      </c>
      <c r="J1880" s="73" t="s">
        <v>19</v>
      </c>
      <c r="K1880" s="73" t="s">
        <v>19</v>
      </c>
      <c r="L1880" s="11"/>
      <c r="M1880" s="1"/>
      <c r="N1880" s="113" t="s">
        <v>14</v>
      </c>
      <c r="O1880" s="122" t="s">
        <v>52</v>
      </c>
      <c r="P1880" s="122" t="s">
        <v>52</v>
      </c>
      <c r="Q1880" s="105"/>
      <c r="R1880" s="28"/>
      <c r="S1880" s="225" t="str">
        <f t="shared" si="29"/>
        <v/>
      </c>
      <c r="T1880" s="162" t="s">
        <v>7650</v>
      </c>
      <c r="U1880" s="7" t="s">
        <v>138</v>
      </c>
      <c r="V1880" s="171" t="str" cm="1">
        <f t="array" ref="V1880">_xlfn.IFS(C1880="","",COUNTIF(C1880,"ตำแหน่งว่าง*"),"ว่าง",COUNTIF(C1880,"&lt;&gt;ตำแหน่งว่าง*"),"คนครอง")</f>
        <v>ว่าง</v>
      </c>
      <c r="W1880" s="6" cm="1">
        <f t="array" ref="W1880">_xlfn.IFS(COUNTIF(F1880,"ผบ.หมู่*"),51,COUNTIF(F1880,"รอง สว.*"),43)</f>
        <v>51</v>
      </c>
      <c r="X1880" s="6" t="s">
        <v>5568</v>
      </c>
      <c r="Y1880" s="6" t="s">
        <v>52</v>
      </c>
    </row>
    <row r="1881" spans="1:25" s="12" customFormat="1" ht="21.3" customHeight="1">
      <c r="A1881" s="27" t="s">
        <v>157</v>
      </c>
      <c r="B1881" s="28" t="s">
        <v>12</v>
      </c>
      <c r="C1881" s="95" t="s">
        <v>5696</v>
      </c>
      <c r="D1881" s="27" t="s">
        <v>9987</v>
      </c>
      <c r="E1881" s="27" t="s">
        <v>9988</v>
      </c>
      <c r="F1881" s="95" t="s">
        <v>5697</v>
      </c>
      <c r="G1881" s="101" t="s">
        <v>5699</v>
      </c>
      <c r="H1881" s="75">
        <v>42501</v>
      </c>
      <c r="I1881" s="73">
        <v>34352</v>
      </c>
      <c r="J1881" s="73">
        <v>34352</v>
      </c>
      <c r="K1881" s="73">
        <v>27207</v>
      </c>
      <c r="L1881" s="11" t="s">
        <v>5353</v>
      </c>
      <c r="M1881" s="1" t="s">
        <v>72</v>
      </c>
      <c r="N1881" s="111" t="s">
        <v>14</v>
      </c>
      <c r="O1881" s="104" t="s">
        <v>52</v>
      </c>
      <c r="P1881" s="104" t="s">
        <v>52</v>
      </c>
      <c r="Q1881" s="105"/>
      <c r="R1881" s="28" t="s">
        <v>110</v>
      </c>
      <c r="S1881" s="225">
        <f t="shared" si="29"/>
        <v>49218</v>
      </c>
      <c r="T1881" s="162" t="s">
        <v>7654</v>
      </c>
      <c r="U1881" s="7" t="s">
        <v>138</v>
      </c>
      <c r="V1881" s="162" t="str" cm="1">
        <f t="array" ref="V1881">_xlfn.IFS(C1881="","",COUNTIF(C1881,"ตำแหน่งว่าง*"),"ว่าง",COUNTIF(C1881,"&lt;&gt;ตำแหน่งว่าง*"),"คนครอง")</f>
        <v>คนครอง</v>
      </c>
      <c r="W1881" s="6" cm="1">
        <f t="array" ref="W1881">_xlfn.IFS(COUNTIF(F1881,"ผบ.หมู่*"),51,COUNTIF(F1881,"รอง สว.*"),43)</f>
        <v>51</v>
      </c>
      <c r="X1881" s="5" t="s">
        <v>5698</v>
      </c>
      <c r="Y1881" s="5" t="s">
        <v>52</v>
      </c>
    </row>
    <row r="1882" spans="1:25" s="12" customFormat="1" ht="21.3" customHeight="1">
      <c r="A1882" s="27" t="s">
        <v>60</v>
      </c>
      <c r="B1882" s="28" t="s">
        <v>21</v>
      </c>
      <c r="C1882" s="95" t="s">
        <v>5700</v>
      </c>
      <c r="D1882" s="27" t="s">
        <v>8133</v>
      </c>
      <c r="E1882" s="27" t="s">
        <v>9989</v>
      </c>
      <c r="F1882" s="95" t="s">
        <v>5707</v>
      </c>
      <c r="G1882" s="101" t="s">
        <v>5702</v>
      </c>
      <c r="H1882" s="75">
        <v>42501</v>
      </c>
      <c r="I1882" s="73">
        <v>34352</v>
      </c>
      <c r="J1882" s="73">
        <v>34352</v>
      </c>
      <c r="K1882" s="73">
        <v>26437</v>
      </c>
      <c r="L1882" s="11" t="s">
        <v>5353</v>
      </c>
      <c r="M1882" s="1" t="s">
        <v>72</v>
      </c>
      <c r="N1882" s="111" t="s">
        <v>14</v>
      </c>
      <c r="O1882" s="104" t="s">
        <v>52</v>
      </c>
      <c r="P1882" s="104" t="s">
        <v>52</v>
      </c>
      <c r="Q1882" s="105"/>
      <c r="R1882" s="28" t="s">
        <v>110</v>
      </c>
      <c r="S1882" s="225">
        <f t="shared" si="29"/>
        <v>48488</v>
      </c>
      <c r="T1882" s="162" t="s">
        <v>7654</v>
      </c>
      <c r="U1882" s="7" t="s">
        <v>138</v>
      </c>
      <c r="V1882" s="162" t="str" cm="1">
        <f t="array" ref="V1882">_xlfn.IFS(C1882="","",COUNTIF(C1882,"ตำแหน่งว่าง*"),"ว่าง",COUNTIF(C1882,"&lt;&gt;ตำแหน่งว่าง*"),"คนครอง")</f>
        <v>คนครอง</v>
      </c>
      <c r="W1882" s="6" cm="1">
        <f t="array" ref="W1882">_xlfn.IFS(COUNTIF(F1882,"ผบ.หมู่*"),51,COUNTIF(F1882,"รอง สว.*"),43)</f>
        <v>43</v>
      </c>
      <c r="X1882" s="5" t="s">
        <v>5701</v>
      </c>
      <c r="Y1882" s="5" t="s">
        <v>52</v>
      </c>
    </row>
    <row r="1883" spans="1:25" s="12" customFormat="1" ht="21.3" customHeight="1">
      <c r="A1883" s="27" t="s">
        <v>157</v>
      </c>
      <c r="B1883" s="28" t="s">
        <v>21</v>
      </c>
      <c r="C1883" s="95" t="s">
        <v>5703</v>
      </c>
      <c r="D1883" s="27" t="s">
        <v>8145</v>
      </c>
      <c r="E1883" s="27" t="s">
        <v>9990</v>
      </c>
      <c r="F1883" s="95" t="s">
        <v>5697</v>
      </c>
      <c r="G1883" s="101" t="s">
        <v>5705</v>
      </c>
      <c r="H1883" s="75">
        <v>42501</v>
      </c>
      <c r="I1883" s="73">
        <v>34729</v>
      </c>
      <c r="J1883" s="73">
        <v>34729</v>
      </c>
      <c r="K1883" s="73">
        <v>27459</v>
      </c>
      <c r="L1883" s="11" t="s">
        <v>4073</v>
      </c>
      <c r="M1883" s="1" t="s">
        <v>72</v>
      </c>
      <c r="N1883" s="111" t="s">
        <v>14</v>
      </c>
      <c r="O1883" s="104" t="s">
        <v>52</v>
      </c>
      <c r="P1883" s="104" t="s">
        <v>52</v>
      </c>
      <c r="Q1883" s="105"/>
      <c r="R1883" s="28" t="s">
        <v>110</v>
      </c>
      <c r="S1883" s="225">
        <f t="shared" si="29"/>
        <v>49583</v>
      </c>
      <c r="T1883" s="162" t="s">
        <v>7654</v>
      </c>
      <c r="U1883" s="7" t="s">
        <v>138</v>
      </c>
      <c r="V1883" s="162" t="str" cm="1">
        <f t="array" ref="V1883">_xlfn.IFS(C1883="","",COUNTIF(C1883,"ตำแหน่งว่าง*"),"ว่าง",COUNTIF(C1883,"&lt;&gt;ตำแหน่งว่าง*"),"คนครอง")</f>
        <v>คนครอง</v>
      </c>
      <c r="W1883" s="6" cm="1">
        <f t="array" ref="W1883">_xlfn.IFS(COUNTIF(F1883,"ผบ.หมู่*"),51,COUNTIF(F1883,"รอง สว.*"),43)</f>
        <v>51</v>
      </c>
      <c r="X1883" s="5" t="s">
        <v>5704</v>
      </c>
      <c r="Y1883" s="5" t="s">
        <v>52</v>
      </c>
    </row>
    <row r="1884" spans="1:25" s="12" customFormat="1" ht="21.3" customHeight="1">
      <c r="A1884" s="27" t="s">
        <v>30</v>
      </c>
      <c r="B1884" s="28" t="s">
        <v>12</v>
      </c>
      <c r="C1884" s="95" t="s">
        <v>5706</v>
      </c>
      <c r="D1884" s="27" t="s">
        <v>7984</v>
      </c>
      <c r="E1884" s="27" t="s">
        <v>9991</v>
      </c>
      <c r="F1884" s="95" t="s">
        <v>5707</v>
      </c>
      <c r="G1884" s="101" t="s">
        <v>5709</v>
      </c>
      <c r="H1884" s="75">
        <v>43555</v>
      </c>
      <c r="I1884" s="73">
        <v>43555</v>
      </c>
      <c r="J1884" s="73">
        <v>34352</v>
      </c>
      <c r="K1884" s="73">
        <v>24274</v>
      </c>
      <c r="L1884" s="11" t="s">
        <v>5710</v>
      </c>
      <c r="M1884" s="1" t="s">
        <v>72</v>
      </c>
      <c r="N1884" s="111" t="s">
        <v>14</v>
      </c>
      <c r="O1884" s="104" t="s">
        <v>52</v>
      </c>
      <c r="P1884" s="104" t="s">
        <v>52</v>
      </c>
      <c r="Q1884" s="105"/>
      <c r="R1884" s="28" t="s">
        <v>110</v>
      </c>
      <c r="S1884" s="225">
        <f t="shared" si="29"/>
        <v>46296</v>
      </c>
      <c r="T1884" s="162" t="s">
        <v>7654</v>
      </c>
      <c r="U1884" s="7" t="s">
        <v>138</v>
      </c>
      <c r="V1884" s="162" t="str" cm="1">
        <f t="array" ref="V1884">_xlfn.IFS(C1884="","",COUNTIF(C1884,"ตำแหน่งว่าง*"),"ว่าง",COUNTIF(C1884,"&lt;&gt;ตำแหน่งว่าง*"),"คนครอง")</f>
        <v>คนครอง</v>
      </c>
      <c r="W1884" s="5" cm="1">
        <f t="array" ref="W1884">_xlfn.IFS(COUNTIF(F1884,"ผบ.หมู่*"),51,COUNTIF(F1884,"รอง สว.*"),43)</f>
        <v>43</v>
      </c>
      <c r="X1884" s="5" t="s">
        <v>5708</v>
      </c>
      <c r="Y1884" s="5" t="s">
        <v>52</v>
      </c>
    </row>
    <row r="1885" spans="1:25" s="12" customFormat="1" ht="21.3" customHeight="1">
      <c r="A1885" s="27" t="s">
        <v>30</v>
      </c>
      <c r="B1885" s="28" t="s">
        <v>21</v>
      </c>
      <c r="C1885" s="95" t="s">
        <v>5711</v>
      </c>
      <c r="D1885" s="27" t="s">
        <v>9992</v>
      </c>
      <c r="E1885" s="27" t="s">
        <v>9993</v>
      </c>
      <c r="F1885" s="95" t="s">
        <v>5707</v>
      </c>
      <c r="G1885" s="101" t="s">
        <v>5713</v>
      </c>
      <c r="H1885" s="75">
        <v>43555</v>
      </c>
      <c r="I1885" s="73">
        <v>43555</v>
      </c>
      <c r="J1885" s="73">
        <v>32174</v>
      </c>
      <c r="K1885" s="73">
        <v>24373</v>
      </c>
      <c r="L1885" s="11" t="s">
        <v>5353</v>
      </c>
      <c r="M1885" s="1" t="s">
        <v>72</v>
      </c>
      <c r="N1885" s="111" t="s">
        <v>14</v>
      </c>
      <c r="O1885" s="104" t="s">
        <v>52</v>
      </c>
      <c r="P1885" s="104" t="s">
        <v>52</v>
      </c>
      <c r="Q1885" s="105"/>
      <c r="R1885" s="28" t="s">
        <v>110</v>
      </c>
      <c r="S1885" s="225">
        <f t="shared" si="29"/>
        <v>46296</v>
      </c>
      <c r="T1885" s="162" t="s">
        <v>7654</v>
      </c>
      <c r="U1885" s="7" t="s">
        <v>138</v>
      </c>
      <c r="V1885" s="162" t="str" cm="1">
        <f t="array" ref="V1885">_xlfn.IFS(C1885="","",COUNTIF(C1885,"ตำแหน่งว่าง*"),"ว่าง",COUNTIF(C1885,"&lt;&gt;ตำแหน่งว่าง*"),"คนครอง")</f>
        <v>คนครอง</v>
      </c>
      <c r="W1885" s="5" cm="1">
        <f t="array" ref="W1885">_xlfn.IFS(COUNTIF(F1885,"ผบ.หมู่*"),51,COUNTIF(F1885,"รอง สว.*"),43)</f>
        <v>43</v>
      </c>
      <c r="X1885" s="5" t="s">
        <v>5712</v>
      </c>
      <c r="Y1885" s="5" t="s">
        <v>52</v>
      </c>
    </row>
    <row r="1886" spans="1:25" s="12" customFormat="1" ht="21.3" customHeight="1">
      <c r="A1886" s="132" t="s">
        <v>10753</v>
      </c>
      <c r="B1886" s="28" t="s">
        <v>12</v>
      </c>
      <c r="C1886" s="95" t="s">
        <v>5714</v>
      </c>
      <c r="D1886" s="27" t="s">
        <v>8291</v>
      </c>
      <c r="E1886" s="27" t="s">
        <v>9994</v>
      </c>
      <c r="F1886" s="95" t="s">
        <v>5707</v>
      </c>
      <c r="G1886" s="101" t="s">
        <v>5716</v>
      </c>
      <c r="H1886" s="91">
        <v>45382</v>
      </c>
      <c r="I1886" s="73">
        <v>45382</v>
      </c>
      <c r="J1886" s="73">
        <v>34352</v>
      </c>
      <c r="K1886" s="73">
        <v>25897</v>
      </c>
      <c r="L1886" s="11" t="s">
        <v>7844</v>
      </c>
      <c r="M1886" s="1" t="s">
        <v>72</v>
      </c>
      <c r="N1886" s="111" t="s">
        <v>14</v>
      </c>
      <c r="O1886" s="104" t="s">
        <v>52</v>
      </c>
      <c r="P1886" s="104" t="s">
        <v>52</v>
      </c>
      <c r="Q1886" s="105"/>
      <c r="R1886" s="33" t="s">
        <v>7801</v>
      </c>
      <c r="S1886" s="225">
        <f t="shared" si="29"/>
        <v>48122</v>
      </c>
      <c r="T1886" s="162" t="s">
        <v>7654</v>
      </c>
      <c r="U1886" s="7" t="s">
        <v>138</v>
      </c>
      <c r="V1886" s="162" t="str" cm="1">
        <f t="array" ref="V1886">_xlfn.IFS(C1886="","",COUNTIF(C1886,"ตำแหน่งว่าง*"),"ว่าง",COUNTIF(C1886,"&lt;&gt;ตำแหน่งว่าง*"),"คนครอง")</f>
        <v>คนครอง</v>
      </c>
      <c r="W1886" s="6" cm="1">
        <f t="array" ref="W1886">_xlfn.IFS(COUNTIF(F1886,"ผบ.หมู่*"),51,COUNTIF(F1886,"รอง สว.*"),43)</f>
        <v>43</v>
      </c>
      <c r="X1886" s="5" t="s">
        <v>5715</v>
      </c>
      <c r="Y1886" s="5" t="s">
        <v>52</v>
      </c>
    </row>
    <row r="1887" spans="1:25" s="12" customFormat="1" ht="21.3" customHeight="1">
      <c r="A1887" s="27" t="s">
        <v>26</v>
      </c>
      <c r="B1887" s="28" t="s">
        <v>12</v>
      </c>
      <c r="C1887" s="95" t="s">
        <v>5717</v>
      </c>
      <c r="D1887" s="27" t="s">
        <v>9995</v>
      </c>
      <c r="E1887" s="27" t="s">
        <v>9996</v>
      </c>
      <c r="F1887" s="95" t="s">
        <v>5707</v>
      </c>
      <c r="G1887" s="101" t="s">
        <v>5719</v>
      </c>
      <c r="H1887" s="75">
        <v>44286</v>
      </c>
      <c r="I1887" s="73">
        <v>44286</v>
      </c>
      <c r="J1887" s="73">
        <v>34352</v>
      </c>
      <c r="K1887" s="73">
        <v>24804</v>
      </c>
      <c r="L1887" s="11" t="s">
        <v>5720</v>
      </c>
      <c r="M1887" s="1" t="s">
        <v>72</v>
      </c>
      <c r="N1887" s="111" t="s">
        <v>14</v>
      </c>
      <c r="O1887" s="104" t="s">
        <v>52</v>
      </c>
      <c r="P1887" s="104" t="s">
        <v>52</v>
      </c>
      <c r="Q1887" s="105"/>
      <c r="R1887" s="28" t="s">
        <v>1313</v>
      </c>
      <c r="S1887" s="225">
        <f t="shared" si="29"/>
        <v>47027</v>
      </c>
      <c r="T1887" s="162" t="s">
        <v>7654</v>
      </c>
      <c r="U1887" s="7" t="s">
        <v>138</v>
      </c>
      <c r="V1887" s="162" t="str" cm="1">
        <f t="array" ref="V1887">_xlfn.IFS(C1887="","",COUNTIF(C1887,"ตำแหน่งว่าง*"),"ว่าง",COUNTIF(C1887,"&lt;&gt;ตำแหน่งว่าง*"),"คนครอง")</f>
        <v>คนครอง</v>
      </c>
      <c r="W1887" s="5" cm="1">
        <f t="array" ref="W1887">_xlfn.IFS(COUNTIF(F1887,"ผบ.หมู่*"),51,COUNTIF(F1887,"รอง สว.*"),43)</f>
        <v>43</v>
      </c>
      <c r="X1887" s="5" t="s">
        <v>5718</v>
      </c>
      <c r="Y1887" s="5" t="s">
        <v>52</v>
      </c>
    </row>
    <row r="1888" spans="1:25" s="12" customFormat="1" ht="21.3" customHeight="1">
      <c r="A1888" s="27" t="s">
        <v>10753</v>
      </c>
      <c r="B1888" s="28" t="s">
        <v>12</v>
      </c>
      <c r="C1888" s="95" t="s">
        <v>5721</v>
      </c>
      <c r="D1888" s="27" t="s">
        <v>9997</v>
      </c>
      <c r="E1888" s="27" t="s">
        <v>9998</v>
      </c>
      <c r="F1888" s="95" t="s">
        <v>5707</v>
      </c>
      <c r="G1888" s="101" t="s">
        <v>5723</v>
      </c>
      <c r="H1888" s="75">
        <v>45016</v>
      </c>
      <c r="I1888" s="73">
        <v>45016</v>
      </c>
      <c r="J1888" s="73">
        <v>34352</v>
      </c>
      <c r="K1888" s="73">
        <v>25541</v>
      </c>
      <c r="L1888" s="11" t="s">
        <v>5353</v>
      </c>
      <c r="M1888" s="1" t="s">
        <v>72</v>
      </c>
      <c r="N1888" s="111" t="s">
        <v>14</v>
      </c>
      <c r="O1888" s="104" t="s">
        <v>52</v>
      </c>
      <c r="P1888" s="104" t="s">
        <v>52</v>
      </c>
      <c r="Q1888" s="105"/>
      <c r="R1888" s="28" t="s">
        <v>483</v>
      </c>
      <c r="S1888" s="225">
        <f t="shared" si="29"/>
        <v>47757</v>
      </c>
      <c r="T1888" s="162" t="s">
        <v>7654</v>
      </c>
      <c r="U1888" s="7" t="s">
        <v>138</v>
      </c>
      <c r="V1888" s="162" t="str" cm="1">
        <f t="array" ref="V1888">_xlfn.IFS(C1888="","",COUNTIF(C1888,"ตำแหน่งว่าง*"),"ว่าง",COUNTIF(C1888,"&lt;&gt;ตำแหน่งว่าง*"),"คนครอง")</f>
        <v>คนครอง</v>
      </c>
      <c r="W1888" s="5" cm="1">
        <f t="array" ref="W1888">_xlfn.IFS(COUNTIF(F1888,"ผบ.หมู่*"),51,COUNTIF(F1888,"รอง สว.*"),43)</f>
        <v>43</v>
      </c>
      <c r="X1888" s="5" t="s">
        <v>5722</v>
      </c>
      <c r="Y1888" s="5" t="s">
        <v>52</v>
      </c>
    </row>
    <row r="1889" spans="1:25" s="12" customFormat="1" ht="21.3" customHeight="1">
      <c r="A1889" s="132" t="s">
        <v>10753</v>
      </c>
      <c r="B1889" s="28" t="s">
        <v>12</v>
      </c>
      <c r="C1889" s="95" t="s">
        <v>5724</v>
      </c>
      <c r="D1889" s="27" t="s">
        <v>9999</v>
      </c>
      <c r="E1889" s="27" t="s">
        <v>10000</v>
      </c>
      <c r="F1889" s="95" t="s">
        <v>5707</v>
      </c>
      <c r="G1889" s="101" t="s">
        <v>5726</v>
      </c>
      <c r="H1889" s="91">
        <v>45382</v>
      </c>
      <c r="I1889" s="73">
        <v>45382</v>
      </c>
      <c r="J1889" s="73">
        <v>34352</v>
      </c>
      <c r="K1889" s="73">
        <v>25899</v>
      </c>
      <c r="L1889" s="11" t="s">
        <v>7845</v>
      </c>
      <c r="M1889" s="1" t="s">
        <v>72</v>
      </c>
      <c r="N1889" s="111" t="s">
        <v>14</v>
      </c>
      <c r="O1889" s="104" t="s">
        <v>52</v>
      </c>
      <c r="P1889" s="104" t="s">
        <v>52</v>
      </c>
      <c r="Q1889" s="105"/>
      <c r="R1889" s="33" t="s">
        <v>7801</v>
      </c>
      <c r="S1889" s="225">
        <f t="shared" si="29"/>
        <v>48122</v>
      </c>
      <c r="T1889" s="162" t="s">
        <v>7654</v>
      </c>
      <c r="U1889" s="7" t="s">
        <v>138</v>
      </c>
      <c r="V1889" s="162" t="str" cm="1">
        <f t="array" ref="V1889">_xlfn.IFS(C1889="","",COUNTIF(C1889,"ตำแหน่งว่าง*"),"ว่าง",COUNTIF(C1889,"&lt;&gt;ตำแหน่งว่าง*"),"คนครอง")</f>
        <v>คนครอง</v>
      </c>
      <c r="W1889" s="6" cm="1">
        <f t="array" ref="W1889">_xlfn.IFS(COUNTIF(F1889,"ผบ.หมู่*"),51,COUNTIF(F1889,"รอง สว.*"),43)</f>
        <v>43</v>
      </c>
      <c r="X1889" s="5" t="s">
        <v>5725</v>
      </c>
      <c r="Y1889" s="5" t="s">
        <v>52</v>
      </c>
    </row>
    <row r="1890" spans="1:25" s="12" customFormat="1" ht="21.3" customHeight="1">
      <c r="A1890" s="27" t="s">
        <v>157</v>
      </c>
      <c r="B1890" s="28" t="s">
        <v>21</v>
      </c>
      <c r="C1890" s="95" t="s">
        <v>5727</v>
      </c>
      <c r="D1890" s="27" t="s">
        <v>8140</v>
      </c>
      <c r="E1890" s="27" t="s">
        <v>10001</v>
      </c>
      <c r="F1890" s="95" t="s">
        <v>5697</v>
      </c>
      <c r="G1890" s="101" t="s">
        <v>5729</v>
      </c>
      <c r="H1890" s="75">
        <v>42501</v>
      </c>
      <c r="I1890" s="73">
        <v>34352</v>
      </c>
      <c r="J1890" s="73">
        <v>34352</v>
      </c>
      <c r="K1890" s="73">
        <v>27152</v>
      </c>
      <c r="L1890" s="11" t="s">
        <v>5353</v>
      </c>
      <c r="M1890" s="1" t="s">
        <v>72</v>
      </c>
      <c r="N1890" s="111" t="s">
        <v>14</v>
      </c>
      <c r="O1890" s="104" t="s">
        <v>52</v>
      </c>
      <c r="P1890" s="104" t="s">
        <v>52</v>
      </c>
      <c r="Q1890" s="105"/>
      <c r="R1890" s="28" t="s">
        <v>110</v>
      </c>
      <c r="S1890" s="225">
        <f t="shared" si="29"/>
        <v>49218</v>
      </c>
      <c r="T1890" s="162" t="s">
        <v>7654</v>
      </c>
      <c r="U1890" s="7" t="s">
        <v>138</v>
      </c>
      <c r="V1890" s="162" t="str" cm="1">
        <f t="array" ref="V1890">_xlfn.IFS(C1890="","",COUNTIF(C1890,"ตำแหน่งว่าง*"),"ว่าง",COUNTIF(C1890,"&lt;&gt;ตำแหน่งว่าง*"),"คนครอง")</f>
        <v>คนครอง</v>
      </c>
      <c r="W1890" s="6" cm="1">
        <f t="array" ref="W1890">_xlfn.IFS(COUNTIF(F1890,"ผบ.หมู่*"),51,COUNTIF(F1890,"รอง สว.*"),43)</f>
        <v>51</v>
      </c>
      <c r="X1890" s="5" t="s">
        <v>5728</v>
      </c>
      <c r="Y1890" s="5" t="s">
        <v>52</v>
      </c>
    </row>
    <row r="1891" spans="1:25" s="12" customFormat="1" ht="21.3" customHeight="1">
      <c r="A1891" s="27" t="s">
        <v>157</v>
      </c>
      <c r="B1891" s="28" t="s">
        <v>21</v>
      </c>
      <c r="C1891" s="95" t="s">
        <v>5730</v>
      </c>
      <c r="D1891" s="27" t="s">
        <v>8118</v>
      </c>
      <c r="E1891" s="27" t="s">
        <v>10002</v>
      </c>
      <c r="F1891" s="95" t="s">
        <v>5697</v>
      </c>
      <c r="G1891" s="101" t="s">
        <v>5732</v>
      </c>
      <c r="H1891" s="75">
        <v>42501</v>
      </c>
      <c r="I1891" s="73">
        <v>34352</v>
      </c>
      <c r="J1891" s="73">
        <v>34352</v>
      </c>
      <c r="K1891" s="73">
        <v>26997</v>
      </c>
      <c r="L1891" s="11" t="s">
        <v>5353</v>
      </c>
      <c r="M1891" s="1" t="s">
        <v>72</v>
      </c>
      <c r="N1891" s="111" t="s">
        <v>14</v>
      </c>
      <c r="O1891" s="104" t="s">
        <v>52</v>
      </c>
      <c r="P1891" s="104" t="s">
        <v>52</v>
      </c>
      <c r="Q1891" s="105"/>
      <c r="R1891" s="28" t="s">
        <v>110</v>
      </c>
      <c r="S1891" s="225">
        <f t="shared" si="29"/>
        <v>49218</v>
      </c>
      <c r="T1891" s="162" t="s">
        <v>7654</v>
      </c>
      <c r="U1891" s="7" t="s">
        <v>138</v>
      </c>
      <c r="V1891" s="162" t="str" cm="1">
        <f t="array" ref="V1891">_xlfn.IFS(C1891="","",COUNTIF(C1891,"ตำแหน่งว่าง*"),"ว่าง",COUNTIF(C1891,"&lt;&gt;ตำแหน่งว่าง*"),"คนครอง")</f>
        <v>คนครอง</v>
      </c>
      <c r="W1891" s="6" cm="1">
        <f t="array" ref="W1891">_xlfn.IFS(COUNTIF(F1891,"ผบ.หมู่*"),51,COUNTIF(F1891,"รอง สว.*"),43)</f>
        <v>51</v>
      </c>
      <c r="X1891" s="5" t="s">
        <v>5731</v>
      </c>
      <c r="Y1891" s="5" t="s">
        <v>52</v>
      </c>
    </row>
    <row r="1892" spans="1:25" s="12" customFormat="1" ht="21.3" customHeight="1">
      <c r="A1892" s="95" t="s">
        <v>157</v>
      </c>
      <c r="B1892" s="31" t="s">
        <v>21</v>
      </c>
      <c r="C1892" s="95" t="s">
        <v>5733</v>
      </c>
      <c r="D1892" s="27" t="s">
        <v>7970</v>
      </c>
      <c r="E1892" s="27" t="s">
        <v>9998</v>
      </c>
      <c r="F1892" s="95" t="s">
        <v>5697</v>
      </c>
      <c r="G1892" s="101" t="s">
        <v>5735</v>
      </c>
      <c r="H1892" s="91">
        <v>44243</v>
      </c>
      <c r="I1892" s="73">
        <v>34352</v>
      </c>
      <c r="J1892" s="73">
        <v>34352</v>
      </c>
      <c r="K1892" s="73">
        <v>27481</v>
      </c>
      <c r="L1892" s="11" t="s">
        <v>7846</v>
      </c>
      <c r="M1892" s="1" t="s">
        <v>72</v>
      </c>
      <c r="N1892" s="111" t="s">
        <v>14</v>
      </c>
      <c r="O1892" s="104" t="s">
        <v>52</v>
      </c>
      <c r="P1892" s="104" t="s">
        <v>52</v>
      </c>
      <c r="Q1892" s="108"/>
      <c r="R1892" s="31" t="s">
        <v>5736</v>
      </c>
      <c r="S1892" s="225">
        <f t="shared" si="29"/>
        <v>49583</v>
      </c>
      <c r="T1892" s="162" t="s">
        <v>7654</v>
      </c>
      <c r="U1892" s="7" t="s">
        <v>138</v>
      </c>
      <c r="V1892" s="162" t="str" cm="1">
        <f t="array" ref="V1892">_xlfn.IFS(C1892="","",COUNTIF(C1892,"ตำแหน่งว่าง*"),"ว่าง",COUNTIF(C1892,"&lt;&gt;ตำแหน่งว่าง*"),"คนครอง")</f>
        <v>คนครอง</v>
      </c>
      <c r="W1892" s="6" cm="1">
        <f t="array" ref="W1892">_xlfn.IFS(COUNTIF(F1892,"ผบ.หมู่*"),51,COUNTIF(F1892,"รอง สว.*"),43)</f>
        <v>51</v>
      </c>
      <c r="X1892" s="5" t="s">
        <v>5734</v>
      </c>
      <c r="Y1892" s="5" t="s">
        <v>52</v>
      </c>
    </row>
    <row r="1893" spans="1:25" s="12" customFormat="1" ht="21.3" customHeight="1">
      <c r="A1893" s="27" t="s">
        <v>612</v>
      </c>
      <c r="B1893" s="28" t="s">
        <v>12</v>
      </c>
      <c r="C1893" s="27" t="s">
        <v>7743</v>
      </c>
      <c r="D1893" s="27" t="s">
        <v>10003</v>
      </c>
      <c r="E1893" s="27" t="s">
        <v>10004</v>
      </c>
      <c r="F1893" s="27" t="s">
        <v>5697</v>
      </c>
      <c r="G1893" s="101" t="s">
        <v>5738</v>
      </c>
      <c r="H1893" s="91">
        <v>45322</v>
      </c>
      <c r="I1893" s="73">
        <v>42416</v>
      </c>
      <c r="J1893" s="73">
        <v>42416</v>
      </c>
      <c r="K1893" s="73">
        <v>35303</v>
      </c>
      <c r="L1893" s="11" t="s">
        <v>7739</v>
      </c>
      <c r="M1893" s="1" t="s">
        <v>72</v>
      </c>
      <c r="N1893" s="112" t="s">
        <v>14</v>
      </c>
      <c r="O1893" s="104" t="s">
        <v>52</v>
      </c>
      <c r="P1893" s="104" t="s">
        <v>52</v>
      </c>
      <c r="Q1893" s="105"/>
      <c r="R1893" s="30" t="s">
        <v>7708</v>
      </c>
      <c r="S1893" s="225">
        <f t="shared" si="29"/>
        <v>57254</v>
      </c>
      <c r="T1893" s="162" t="s">
        <v>7654</v>
      </c>
      <c r="U1893" s="7" t="s">
        <v>138</v>
      </c>
      <c r="V1893" s="162" t="str" cm="1">
        <f t="array" ref="V1893">_xlfn.IFS(C1893="","",COUNTIF(C1893,"ตำแหน่งว่าง*"),"ว่าง",COUNTIF(C1893,"&lt;&gt;ตำแหน่งว่าง*"),"คนครอง")</f>
        <v>คนครอง</v>
      </c>
      <c r="W1893" s="6" cm="1">
        <f t="array" ref="W1893">_xlfn.IFS(COUNTIF(F1893,"ผบ.หมู่*"),51,COUNTIF(F1893,"รอง สว.*"),43)</f>
        <v>51</v>
      </c>
      <c r="X1893" s="1" t="s">
        <v>5737</v>
      </c>
      <c r="Y1893" s="1" t="s">
        <v>52</v>
      </c>
    </row>
    <row r="1894" spans="1:25" s="12" customFormat="1" ht="21.3" customHeight="1">
      <c r="A1894" s="27" t="s">
        <v>157</v>
      </c>
      <c r="B1894" s="28" t="s">
        <v>21</v>
      </c>
      <c r="C1894" s="95" t="s">
        <v>5739</v>
      </c>
      <c r="D1894" s="27" t="s">
        <v>10005</v>
      </c>
      <c r="E1894" s="27" t="s">
        <v>9996</v>
      </c>
      <c r="F1894" s="95" t="s">
        <v>5697</v>
      </c>
      <c r="G1894" s="101" t="s">
        <v>5741</v>
      </c>
      <c r="H1894" s="75">
        <v>42501</v>
      </c>
      <c r="I1894" s="73">
        <v>34352</v>
      </c>
      <c r="J1894" s="73">
        <v>34352</v>
      </c>
      <c r="K1894" s="73">
        <v>27133</v>
      </c>
      <c r="L1894" s="11" t="s">
        <v>5353</v>
      </c>
      <c r="M1894" s="1" t="s">
        <v>72</v>
      </c>
      <c r="N1894" s="111" t="s">
        <v>14</v>
      </c>
      <c r="O1894" s="104" t="s">
        <v>52</v>
      </c>
      <c r="P1894" s="104" t="s">
        <v>52</v>
      </c>
      <c r="Q1894" s="105"/>
      <c r="R1894" s="28" t="s">
        <v>110</v>
      </c>
      <c r="S1894" s="225">
        <f t="shared" si="29"/>
        <v>49218</v>
      </c>
      <c r="T1894" s="162" t="s">
        <v>7654</v>
      </c>
      <c r="U1894" s="7" t="s">
        <v>138</v>
      </c>
      <c r="V1894" s="162" t="str" cm="1">
        <f t="array" ref="V1894">_xlfn.IFS(C1894="","",COUNTIF(C1894,"ตำแหน่งว่าง*"),"ว่าง",COUNTIF(C1894,"&lt;&gt;ตำแหน่งว่าง*"),"คนครอง")</f>
        <v>คนครอง</v>
      </c>
      <c r="W1894" s="6" cm="1">
        <f t="array" ref="W1894">_xlfn.IFS(COUNTIF(F1894,"ผบ.หมู่*"),51,COUNTIF(F1894,"รอง สว.*"),43)</f>
        <v>51</v>
      </c>
      <c r="X1894" s="5" t="s">
        <v>5740</v>
      </c>
      <c r="Y1894" s="5" t="s">
        <v>52</v>
      </c>
    </row>
    <row r="1895" spans="1:25" s="12" customFormat="1" ht="21.3" customHeight="1">
      <c r="A1895" s="27" t="s">
        <v>26</v>
      </c>
      <c r="B1895" s="28" t="s">
        <v>12</v>
      </c>
      <c r="C1895" s="95" t="s">
        <v>5742</v>
      </c>
      <c r="D1895" s="27" t="s">
        <v>10006</v>
      </c>
      <c r="E1895" s="27" t="s">
        <v>10007</v>
      </c>
      <c r="F1895" s="95" t="s">
        <v>5707</v>
      </c>
      <c r="G1895" s="101" t="s">
        <v>5744</v>
      </c>
      <c r="H1895" s="91">
        <v>44286</v>
      </c>
      <c r="I1895" s="73">
        <v>44286</v>
      </c>
      <c r="J1895" s="73">
        <v>34731</v>
      </c>
      <c r="K1895" s="73">
        <v>24942</v>
      </c>
      <c r="L1895" s="11" t="s">
        <v>5745</v>
      </c>
      <c r="M1895" s="1" t="s">
        <v>72</v>
      </c>
      <c r="N1895" s="111" t="s">
        <v>14</v>
      </c>
      <c r="O1895" s="104" t="s">
        <v>52</v>
      </c>
      <c r="P1895" s="104" t="s">
        <v>52</v>
      </c>
      <c r="Q1895" s="105"/>
      <c r="R1895" s="28" t="s">
        <v>1313</v>
      </c>
      <c r="S1895" s="225">
        <f t="shared" si="29"/>
        <v>47027</v>
      </c>
      <c r="T1895" s="162" t="s">
        <v>7654</v>
      </c>
      <c r="U1895" s="7" t="s">
        <v>138</v>
      </c>
      <c r="V1895" s="162" t="str" cm="1">
        <f t="array" ref="V1895">_xlfn.IFS(C1895="","",COUNTIF(C1895,"ตำแหน่งว่าง*"),"ว่าง",COUNTIF(C1895,"&lt;&gt;ตำแหน่งว่าง*"),"คนครอง")</f>
        <v>คนครอง</v>
      </c>
      <c r="W1895" s="5" cm="1">
        <f t="array" ref="W1895">_xlfn.IFS(COUNTIF(F1895,"ผบ.หมู่*"),51,COUNTIF(F1895,"รอง สว.*"),43)</f>
        <v>43</v>
      </c>
      <c r="X1895" s="5" t="s">
        <v>5743</v>
      </c>
      <c r="Y1895" s="5" t="s">
        <v>52</v>
      </c>
    </row>
    <row r="1896" spans="1:25" s="12" customFormat="1" ht="21.3" customHeight="1">
      <c r="A1896" s="27" t="s">
        <v>44</v>
      </c>
      <c r="B1896" s="31" t="s">
        <v>12</v>
      </c>
      <c r="C1896" s="95" t="s">
        <v>5746</v>
      </c>
      <c r="D1896" s="27" t="s">
        <v>8312</v>
      </c>
      <c r="E1896" s="27" t="s">
        <v>10008</v>
      </c>
      <c r="F1896" s="95" t="s">
        <v>5707</v>
      </c>
      <c r="G1896" s="101" t="s">
        <v>5748</v>
      </c>
      <c r="H1896" s="88">
        <v>44651</v>
      </c>
      <c r="I1896" s="76">
        <v>44651</v>
      </c>
      <c r="J1896" s="76">
        <v>34001</v>
      </c>
      <c r="K1896" s="76">
        <v>25360</v>
      </c>
      <c r="L1896" s="17" t="s">
        <v>7833</v>
      </c>
      <c r="M1896" s="5" t="s">
        <v>72</v>
      </c>
      <c r="N1896" s="111" t="s">
        <v>14</v>
      </c>
      <c r="O1896" s="104" t="s">
        <v>52</v>
      </c>
      <c r="P1896" s="104" t="s">
        <v>52</v>
      </c>
      <c r="Q1896" s="108"/>
      <c r="R1896" s="31" t="s">
        <v>110</v>
      </c>
      <c r="S1896" s="225">
        <f t="shared" si="29"/>
        <v>47392</v>
      </c>
      <c r="T1896" s="162" t="s">
        <v>7654</v>
      </c>
      <c r="U1896" s="7" t="s">
        <v>138</v>
      </c>
      <c r="V1896" s="162" t="str" cm="1">
        <f t="array" ref="V1896">_xlfn.IFS(C1896="","",COUNTIF(C1896,"ตำแหน่งว่าง*"),"ว่าง",COUNTIF(C1896,"&lt;&gt;ตำแหน่งว่าง*"),"คนครอง")</f>
        <v>คนครอง</v>
      </c>
      <c r="W1896" s="5" cm="1">
        <f t="array" ref="W1896">_xlfn.IFS(COUNTIF(F1896,"ผบ.หมู่*"),51,COUNTIF(F1896,"รอง สว.*"),43)</f>
        <v>43</v>
      </c>
      <c r="X1896" s="5" t="s">
        <v>5747</v>
      </c>
      <c r="Y1896" s="5" t="s">
        <v>52</v>
      </c>
    </row>
    <row r="1897" spans="1:25" s="12" customFormat="1" ht="21.3" customHeight="1">
      <c r="A1897" s="27"/>
      <c r="B1897" s="28"/>
      <c r="C1897" s="30" t="s">
        <v>18</v>
      </c>
      <c r="D1897" s="27"/>
      <c r="E1897" s="27"/>
      <c r="F1897" s="68" t="s">
        <v>5697</v>
      </c>
      <c r="G1897" s="121" t="s">
        <v>5751</v>
      </c>
      <c r="H1897" s="75" t="s">
        <v>19</v>
      </c>
      <c r="I1897" s="73" t="s">
        <v>19</v>
      </c>
      <c r="J1897" s="73" t="s">
        <v>19</v>
      </c>
      <c r="K1897" s="73" t="s">
        <v>19</v>
      </c>
      <c r="L1897" s="11"/>
      <c r="M1897" s="1"/>
      <c r="N1897" s="113" t="s">
        <v>14</v>
      </c>
      <c r="O1897" s="122" t="s">
        <v>52</v>
      </c>
      <c r="P1897" s="122" t="s">
        <v>52</v>
      </c>
      <c r="Q1897" s="105"/>
      <c r="R1897" s="28"/>
      <c r="S1897" s="225" t="str">
        <f t="shared" si="29"/>
        <v/>
      </c>
      <c r="T1897" s="162" t="s">
        <v>7654</v>
      </c>
      <c r="U1897" s="7" t="s">
        <v>138</v>
      </c>
      <c r="V1897" s="171" t="str" cm="1">
        <f t="array" ref="V1897">_xlfn.IFS(C1897="","",COUNTIF(C1897,"ตำแหน่งว่าง*"),"ว่าง",COUNTIF(C1897,"&lt;&gt;ตำแหน่งว่าง*"),"คนครอง")</f>
        <v>ว่าง</v>
      </c>
      <c r="W1897" s="6" cm="1">
        <f t="array" ref="W1897">_xlfn.IFS(COUNTIF(F1897,"ผบ.หมู่*"),51,COUNTIF(F1897,"รอง สว.*"),43)</f>
        <v>51</v>
      </c>
      <c r="X1897" s="6" t="s">
        <v>5750</v>
      </c>
      <c r="Y1897" s="6" t="s">
        <v>52</v>
      </c>
    </row>
    <row r="1898" spans="1:25" s="12" customFormat="1" ht="21.3" customHeight="1">
      <c r="A1898" s="27" t="s">
        <v>157</v>
      </c>
      <c r="B1898" s="28" t="s">
        <v>21</v>
      </c>
      <c r="C1898" s="95" t="s">
        <v>5752</v>
      </c>
      <c r="D1898" s="27" t="s">
        <v>8230</v>
      </c>
      <c r="E1898" s="27" t="s">
        <v>10009</v>
      </c>
      <c r="F1898" s="95" t="s">
        <v>5753</v>
      </c>
      <c r="G1898" s="101" t="s">
        <v>5755</v>
      </c>
      <c r="H1898" s="75">
        <v>42940</v>
      </c>
      <c r="I1898" s="73">
        <v>41214</v>
      </c>
      <c r="J1898" s="73">
        <v>41214</v>
      </c>
      <c r="K1898" s="73">
        <v>30523</v>
      </c>
      <c r="L1898" s="11" t="s">
        <v>82</v>
      </c>
      <c r="M1898" s="1" t="s">
        <v>39</v>
      </c>
      <c r="N1898" s="111" t="s">
        <v>14</v>
      </c>
      <c r="O1898" s="104" t="s">
        <v>52</v>
      </c>
      <c r="P1898" s="104" t="s">
        <v>52</v>
      </c>
      <c r="Q1898" s="105"/>
      <c r="R1898" s="28" t="s">
        <v>1125</v>
      </c>
      <c r="S1898" s="225">
        <f t="shared" si="29"/>
        <v>52505</v>
      </c>
      <c r="T1898" s="162" t="s">
        <v>7655</v>
      </c>
      <c r="U1898" s="7" t="s">
        <v>138</v>
      </c>
      <c r="V1898" s="162" t="str" cm="1">
        <f t="array" ref="V1898">_xlfn.IFS(C1898="","",COUNTIF(C1898,"ตำแหน่งว่าง*"),"ว่าง",COUNTIF(C1898,"&lt;&gt;ตำแหน่งว่าง*"),"คนครอง")</f>
        <v>คนครอง</v>
      </c>
      <c r="W1898" s="6" cm="1">
        <f t="array" ref="W1898">_xlfn.IFS(COUNTIF(F1898,"ผบ.หมู่*"),51,COUNTIF(F1898,"รอง สว.*"),43)</f>
        <v>51</v>
      </c>
      <c r="X1898" s="5" t="s">
        <v>5754</v>
      </c>
      <c r="Y1898" s="5" t="s">
        <v>52</v>
      </c>
    </row>
    <row r="1899" spans="1:25" s="12" customFormat="1" ht="21.3" customHeight="1">
      <c r="A1899" s="27" t="s">
        <v>157</v>
      </c>
      <c r="B1899" s="28" t="s">
        <v>12</v>
      </c>
      <c r="C1899" s="95" t="s">
        <v>5756</v>
      </c>
      <c r="D1899" s="27" t="s">
        <v>8302</v>
      </c>
      <c r="E1899" s="27" t="s">
        <v>10010</v>
      </c>
      <c r="F1899" s="95" t="s">
        <v>5753</v>
      </c>
      <c r="G1899" s="101" t="s">
        <v>5758</v>
      </c>
      <c r="H1899" s="75">
        <v>42501</v>
      </c>
      <c r="I1899" s="73">
        <v>40084</v>
      </c>
      <c r="J1899" s="73">
        <v>40084</v>
      </c>
      <c r="K1899" s="73">
        <v>30699</v>
      </c>
      <c r="L1899" s="11" t="s">
        <v>722</v>
      </c>
      <c r="M1899" s="1" t="s">
        <v>126</v>
      </c>
      <c r="N1899" s="111" t="s">
        <v>14</v>
      </c>
      <c r="O1899" s="104" t="s">
        <v>52</v>
      </c>
      <c r="P1899" s="104" t="s">
        <v>52</v>
      </c>
      <c r="Q1899" s="105"/>
      <c r="R1899" s="28" t="s">
        <v>110</v>
      </c>
      <c r="S1899" s="225">
        <f t="shared" si="29"/>
        <v>52871</v>
      </c>
      <c r="T1899" s="162" t="s">
        <v>7655</v>
      </c>
      <c r="U1899" s="7" t="s">
        <v>138</v>
      </c>
      <c r="V1899" s="162" t="str" cm="1">
        <f t="array" ref="V1899">_xlfn.IFS(C1899="","",COUNTIF(C1899,"ตำแหน่งว่าง*"),"ว่าง",COUNTIF(C1899,"&lt;&gt;ตำแหน่งว่าง*"),"คนครอง")</f>
        <v>คนครอง</v>
      </c>
      <c r="W1899" s="6" cm="1">
        <f t="array" ref="W1899">_xlfn.IFS(COUNTIF(F1899,"ผบ.หมู่*"),51,COUNTIF(F1899,"รอง สว.*"),43)</f>
        <v>51</v>
      </c>
      <c r="X1899" s="5" t="s">
        <v>5757</v>
      </c>
      <c r="Y1899" s="5" t="s">
        <v>52</v>
      </c>
    </row>
    <row r="1900" spans="1:25" s="10" customFormat="1" ht="21.3" customHeight="1">
      <c r="A1900" s="27" t="s">
        <v>157</v>
      </c>
      <c r="B1900" s="28" t="s">
        <v>21</v>
      </c>
      <c r="C1900" s="27" t="s">
        <v>5759</v>
      </c>
      <c r="D1900" s="27" t="s">
        <v>10011</v>
      </c>
      <c r="E1900" s="27" t="s">
        <v>10012</v>
      </c>
      <c r="F1900" s="27" t="s">
        <v>5753</v>
      </c>
      <c r="G1900" s="101" t="s">
        <v>5761</v>
      </c>
      <c r="H1900" s="91">
        <v>43656</v>
      </c>
      <c r="I1900" s="73">
        <v>37316</v>
      </c>
      <c r="J1900" s="73">
        <v>37316</v>
      </c>
      <c r="K1900" s="73">
        <v>30272</v>
      </c>
      <c r="L1900" s="11" t="s">
        <v>5762</v>
      </c>
      <c r="M1900" s="1" t="s">
        <v>39</v>
      </c>
      <c r="N1900" s="112" t="s">
        <v>14</v>
      </c>
      <c r="O1900" s="104" t="s">
        <v>52</v>
      </c>
      <c r="P1900" s="104" t="s">
        <v>52</v>
      </c>
      <c r="Q1900" s="105"/>
      <c r="R1900" s="28" t="s">
        <v>5463</v>
      </c>
      <c r="S1900" s="225">
        <f t="shared" si="29"/>
        <v>52505</v>
      </c>
      <c r="T1900" s="7" t="s">
        <v>7655</v>
      </c>
      <c r="U1900" s="7" t="s">
        <v>138</v>
      </c>
      <c r="V1900" s="162" t="str" cm="1">
        <f t="array" ref="V1900">_xlfn.IFS(C1900="","",COUNTIF(C1900,"ตำแหน่งว่าง*"),"ว่าง",COUNTIF(C1900,"&lt;&gt;ตำแหน่งว่าง*"),"คนครอง")</f>
        <v>คนครอง</v>
      </c>
      <c r="W1900" s="6" cm="1">
        <f t="array" ref="W1900">_xlfn.IFS(COUNTIF(F1900,"ผบ.หมู่*"),51,COUNTIF(F1900,"รอง สว.*"),43)</f>
        <v>51</v>
      </c>
      <c r="X1900" s="1" t="s">
        <v>5760</v>
      </c>
      <c r="Y1900" s="1" t="s">
        <v>52</v>
      </c>
    </row>
    <row r="1901" spans="1:25" s="10" customFormat="1" ht="21.3" customHeight="1">
      <c r="A1901" s="192" t="s">
        <v>169</v>
      </c>
      <c r="B1901" s="193" t="s">
        <v>12</v>
      </c>
      <c r="C1901" s="192" t="s">
        <v>7942</v>
      </c>
      <c r="D1901" s="27" t="s">
        <v>10013</v>
      </c>
      <c r="E1901" s="27" t="s">
        <v>10014</v>
      </c>
      <c r="F1901" s="192" t="s">
        <v>5753</v>
      </c>
      <c r="G1901" s="101" t="s">
        <v>5764</v>
      </c>
      <c r="H1901" s="73">
        <v>45463</v>
      </c>
      <c r="I1901" s="73">
        <v>45463</v>
      </c>
      <c r="J1901" s="73">
        <v>45463</v>
      </c>
      <c r="K1901" s="73">
        <v>34704</v>
      </c>
      <c r="L1901" s="2" t="s">
        <v>82</v>
      </c>
      <c r="M1901" s="1"/>
      <c r="N1901" s="112" t="s">
        <v>14</v>
      </c>
      <c r="O1901" s="104" t="s">
        <v>52</v>
      </c>
      <c r="P1901" s="104" t="s">
        <v>52</v>
      </c>
      <c r="Q1901" s="105"/>
      <c r="R1901" s="28" t="s">
        <v>7961</v>
      </c>
      <c r="S1901" s="174">
        <f t="shared" si="29"/>
        <v>56888</v>
      </c>
      <c r="T1901" s="2" t="s">
        <v>7655</v>
      </c>
      <c r="U1901" s="2" t="s">
        <v>138</v>
      </c>
      <c r="V1901" s="162" t="str" cm="1">
        <f t="array" ref="V1901">_xlfn.IFS(C1901="","",COUNTIF(C1901,"ตำแหน่งว่าง*"),"ว่าง",COUNTIF(C1901,"&lt;&gt;ตำแหน่งว่าง*"),"คนครอง")</f>
        <v>คนครอง</v>
      </c>
      <c r="W1901" s="1" cm="1">
        <f t="array" ref="W1901">_xlfn.IFS(COUNTIF(F1901,"ผบ.หมู่*"),51,COUNTIF(F1901,"รอง สว.*"),43)</f>
        <v>51</v>
      </c>
      <c r="X1901" s="1" t="s">
        <v>5763</v>
      </c>
      <c r="Y1901" s="1" t="s">
        <v>52</v>
      </c>
    </row>
    <row r="1902" spans="1:25" s="10" customFormat="1" ht="21.3" customHeight="1">
      <c r="A1902" s="68"/>
      <c r="B1902" s="30"/>
      <c r="C1902" s="30" t="s">
        <v>18</v>
      </c>
      <c r="D1902" s="27"/>
      <c r="E1902" s="27"/>
      <c r="F1902" s="68" t="s">
        <v>5753</v>
      </c>
      <c r="G1902" s="121" t="s">
        <v>5766</v>
      </c>
      <c r="H1902" s="93" t="s">
        <v>19</v>
      </c>
      <c r="I1902" s="74" t="s">
        <v>19</v>
      </c>
      <c r="J1902" s="74" t="s">
        <v>19</v>
      </c>
      <c r="K1902" s="74" t="s">
        <v>19</v>
      </c>
      <c r="L1902" s="16"/>
      <c r="M1902" s="6"/>
      <c r="N1902" s="113" t="s">
        <v>14</v>
      </c>
      <c r="O1902" s="122" t="s">
        <v>52</v>
      </c>
      <c r="P1902" s="122" t="s">
        <v>52</v>
      </c>
      <c r="Q1902" s="106"/>
      <c r="R1902" s="30"/>
      <c r="S1902" s="225" t="str">
        <f t="shared" si="29"/>
        <v/>
      </c>
      <c r="T1902" s="7" t="s">
        <v>7655</v>
      </c>
      <c r="U1902" s="7" t="s">
        <v>138</v>
      </c>
      <c r="V1902" s="171" t="str" cm="1">
        <f t="array" ref="V1902">_xlfn.IFS(C1902="","",COUNTIF(C1902,"ตำแหน่งว่าง*"),"ว่าง",COUNTIF(C1902,"&lt;&gt;ตำแหน่งว่าง*"),"คนครอง")</f>
        <v>ว่าง</v>
      </c>
      <c r="W1902" s="6" cm="1">
        <f t="array" ref="W1902">_xlfn.IFS(COUNTIF(F1902,"ผบ.หมู่*"),51,COUNTIF(F1902,"รอง สว.*"),43)</f>
        <v>51</v>
      </c>
      <c r="X1902" s="6" t="s">
        <v>5765</v>
      </c>
      <c r="Y1902" s="6" t="s">
        <v>52</v>
      </c>
    </row>
    <row r="1903" spans="1:25" s="9" customFormat="1" ht="21.3" customHeight="1">
      <c r="A1903" s="27" t="s">
        <v>182</v>
      </c>
      <c r="B1903" s="28" t="s">
        <v>12</v>
      </c>
      <c r="C1903" s="27" t="s">
        <v>5767</v>
      </c>
      <c r="D1903" s="27" t="s">
        <v>10013</v>
      </c>
      <c r="E1903" s="27" t="s">
        <v>10015</v>
      </c>
      <c r="F1903" s="27" t="s">
        <v>5753</v>
      </c>
      <c r="G1903" s="101" t="s">
        <v>5769</v>
      </c>
      <c r="H1903" s="91">
        <v>44043</v>
      </c>
      <c r="I1903" s="73">
        <v>44043</v>
      </c>
      <c r="J1903" s="73">
        <v>44043</v>
      </c>
      <c r="K1903" s="73">
        <v>34333</v>
      </c>
      <c r="L1903" s="11" t="s">
        <v>82</v>
      </c>
      <c r="M1903" s="1" t="s">
        <v>39</v>
      </c>
      <c r="N1903" s="112" t="s">
        <v>14</v>
      </c>
      <c r="O1903" s="104" t="s">
        <v>52</v>
      </c>
      <c r="P1903" s="104" t="s">
        <v>52</v>
      </c>
      <c r="Q1903" s="105"/>
      <c r="R1903" s="28" t="s">
        <v>2436</v>
      </c>
      <c r="S1903" s="225">
        <f t="shared" si="29"/>
        <v>56523</v>
      </c>
      <c r="T1903" s="2" t="s">
        <v>7655</v>
      </c>
      <c r="U1903" s="7" t="s">
        <v>138</v>
      </c>
      <c r="V1903" s="162" t="str" cm="1">
        <f t="array" ref="V1903">_xlfn.IFS(C1903="","",COUNTIF(C1903,"ตำแหน่งว่าง*"),"ว่าง",COUNTIF(C1903,"&lt;&gt;ตำแหน่งว่าง*"),"คนครอง")</f>
        <v>คนครอง</v>
      </c>
      <c r="W1903" s="6" cm="1">
        <f t="array" ref="W1903">_xlfn.IFS(COUNTIF(F1903,"ผบ.หมู่*"),51,COUNTIF(F1903,"รอง สว.*"),43)</f>
        <v>51</v>
      </c>
      <c r="X1903" s="1" t="s">
        <v>5768</v>
      </c>
      <c r="Y1903" s="1" t="s">
        <v>52</v>
      </c>
    </row>
    <row r="1904" spans="1:25" s="12" customFormat="1" ht="21.3" customHeight="1">
      <c r="A1904" s="27" t="s">
        <v>26</v>
      </c>
      <c r="B1904" s="28" t="s">
        <v>12</v>
      </c>
      <c r="C1904" s="95" t="s">
        <v>5770</v>
      </c>
      <c r="D1904" s="27" t="s">
        <v>10016</v>
      </c>
      <c r="E1904" s="27" t="s">
        <v>10017</v>
      </c>
      <c r="F1904" s="95" t="s">
        <v>5771</v>
      </c>
      <c r="G1904" s="101" t="s">
        <v>5773</v>
      </c>
      <c r="H1904" s="91">
        <v>43921</v>
      </c>
      <c r="I1904" s="73">
        <v>43921</v>
      </c>
      <c r="J1904" s="73">
        <v>33270</v>
      </c>
      <c r="K1904" s="73">
        <v>24648</v>
      </c>
      <c r="L1904" s="11" t="s">
        <v>4826</v>
      </c>
      <c r="M1904" s="1" t="s">
        <v>39</v>
      </c>
      <c r="N1904" s="111" t="s">
        <v>14</v>
      </c>
      <c r="O1904" s="104" t="s">
        <v>52</v>
      </c>
      <c r="P1904" s="104" t="s">
        <v>52</v>
      </c>
      <c r="Q1904" s="105"/>
      <c r="R1904" s="28" t="s">
        <v>110</v>
      </c>
      <c r="S1904" s="225">
        <f t="shared" si="29"/>
        <v>46661</v>
      </c>
      <c r="T1904" s="162" t="s">
        <v>7655</v>
      </c>
      <c r="U1904" s="7" t="s">
        <v>138</v>
      </c>
      <c r="V1904" s="162" t="str" cm="1">
        <f t="array" ref="V1904">_xlfn.IFS(C1904="","",COUNTIF(C1904,"ตำแหน่งว่าง*"),"ว่าง",COUNTIF(C1904,"&lt;&gt;ตำแหน่งว่าง*"),"คนครอง")</f>
        <v>คนครอง</v>
      </c>
      <c r="W1904" s="5" cm="1">
        <f t="array" ref="W1904">_xlfn.IFS(COUNTIF(F1904,"ผบ.หมู่*"),51,COUNTIF(F1904,"รอง สว.*"),43)</f>
        <v>43</v>
      </c>
      <c r="X1904" s="5" t="s">
        <v>5772</v>
      </c>
      <c r="Y1904" s="5" t="s">
        <v>52</v>
      </c>
    </row>
    <row r="1905" spans="1:25" s="10" customFormat="1" ht="21.3" customHeight="1">
      <c r="A1905" s="27"/>
      <c r="B1905" s="28"/>
      <c r="C1905" s="30" t="s">
        <v>18</v>
      </c>
      <c r="D1905" s="27"/>
      <c r="E1905" s="27"/>
      <c r="F1905" s="68" t="s">
        <v>5753</v>
      </c>
      <c r="G1905" s="121" t="s">
        <v>5775</v>
      </c>
      <c r="H1905" s="93" t="s">
        <v>19</v>
      </c>
      <c r="I1905" s="74" t="s">
        <v>19</v>
      </c>
      <c r="J1905" s="74" t="s">
        <v>19</v>
      </c>
      <c r="K1905" s="74" t="s">
        <v>19</v>
      </c>
      <c r="L1905" s="16"/>
      <c r="M1905" s="1"/>
      <c r="N1905" s="113" t="s">
        <v>14</v>
      </c>
      <c r="O1905" s="122" t="s">
        <v>52</v>
      </c>
      <c r="P1905" s="122" t="s">
        <v>52</v>
      </c>
      <c r="Q1905" s="106"/>
      <c r="R1905" s="30"/>
      <c r="S1905" s="225" t="str">
        <f t="shared" si="29"/>
        <v/>
      </c>
      <c r="T1905" s="7" t="s">
        <v>7655</v>
      </c>
      <c r="U1905" s="7" t="s">
        <v>138</v>
      </c>
      <c r="V1905" s="171" t="str" cm="1">
        <f t="array" ref="V1905">_xlfn.IFS(C1905="","",COUNTIF(C1905,"ตำแหน่งว่าง*"),"ว่าง",COUNTIF(C1905,"&lt;&gt;ตำแหน่งว่าง*"),"คนครอง")</f>
        <v>ว่าง</v>
      </c>
      <c r="W1905" s="6" cm="1">
        <f t="array" ref="W1905">_xlfn.IFS(COUNTIF(F1905,"ผบ.หมู่*"),51,COUNTIF(F1905,"รอง สว.*"),43)</f>
        <v>51</v>
      </c>
      <c r="X1905" s="6" t="s">
        <v>5774</v>
      </c>
      <c r="Y1905" s="6" t="s">
        <v>52</v>
      </c>
    </row>
    <row r="1906" spans="1:25" s="9" customFormat="1" ht="21.3" customHeight="1">
      <c r="A1906" s="27"/>
      <c r="B1906" s="28"/>
      <c r="C1906" s="28" t="s">
        <v>18</v>
      </c>
      <c r="D1906" s="27"/>
      <c r="E1906" s="27"/>
      <c r="F1906" s="27" t="s">
        <v>5753</v>
      </c>
      <c r="G1906" s="101" t="s">
        <v>5777</v>
      </c>
      <c r="H1906" s="91"/>
      <c r="I1906" s="73"/>
      <c r="J1906" s="73"/>
      <c r="K1906" s="73"/>
      <c r="L1906" s="11"/>
      <c r="M1906" s="1"/>
      <c r="N1906" s="112" t="s">
        <v>14</v>
      </c>
      <c r="O1906" s="104" t="s">
        <v>52</v>
      </c>
      <c r="P1906" s="104" t="s">
        <v>52</v>
      </c>
      <c r="Q1906" s="105"/>
      <c r="R1906" s="28"/>
      <c r="S1906" s="225" t="str">
        <f t="shared" si="29"/>
        <v/>
      </c>
      <c r="T1906" s="2" t="s">
        <v>7655</v>
      </c>
      <c r="U1906" s="7" t="s">
        <v>138</v>
      </c>
      <c r="V1906" s="162" t="str" cm="1">
        <f t="array" ref="V1906">_xlfn.IFS(C1906="","",COUNTIF(C1906,"ตำแหน่งว่าง*"),"ว่าง",COUNTIF(C1906,"&lt;&gt;ตำแหน่งว่าง*"),"คนครอง")</f>
        <v>ว่าง</v>
      </c>
      <c r="W1906" s="6" cm="1">
        <f t="array" ref="W1906">_xlfn.IFS(COUNTIF(F1906,"ผบ.หมู่*"),51,COUNTIF(F1906,"รอง สว.*"),43)</f>
        <v>51</v>
      </c>
      <c r="X1906" s="1" t="s">
        <v>5776</v>
      </c>
      <c r="Y1906" s="1" t="s">
        <v>52</v>
      </c>
    </row>
    <row r="1907" spans="1:25" s="10" customFormat="1" ht="21.3" customHeight="1">
      <c r="A1907" s="27"/>
      <c r="B1907" s="28"/>
      <c r="C1907" s="30" t="s">
        <v>18</v>
      </c>
      <c r="D1907" s="27"/>
      <c r="E1907" s="27"/>
      <c r="F1907" s="68" t="s">
        <v>5753</v>
      </c>
      <c r="G1907" s="121" t="s">
        <v>5779</v>
      </c>
      <c r="H1907" s="91" t="s">
        <v>19</v>
      </c>
      <c r="I1907" s="73" t="s">
        <v>19</v>
      </c>
      <c r="J1907" s="73" t="s">
        <v>19</v>
      </c>
      <c r="K1907" s="73" t="s">
        <v>19</v>
      </c>
      <c r="L1907" s="11"/>
      <c r="M1907" s="1"/>
      <c r="N1907" s="113" t="s">
        <v>14</v>
      </c>
      <c r="O1907" s="122" t="s">
        <v>52</v>
      </c>
      <c r="P1907" s="122" t="s">
        <v>52</v>
      </c>
      <c r="Q1907" s="105"/>
      <c r="R1907" s="28"/>
      <c r="S1907" s="225" t="str">
        <f t="shared" si="29"/>
        <v/>
      </c>
      <c r="T1907" s="7" t="s">
        <v>7655</v>
      </c>
      <c r="U1907" s="7" t="s">
        <v>138</v>
      </c>
      <c r="V1907" s="171" t="str" cm="1">
        <f t="array" ref="V1907">_xlfn.IFS(C1907="","",COUNTIF(C1907,"ตำแหน่งว่าง*"),"ว่าง",COUNTIF(C1907,"&lt;&gt;ตำแหน่งว่าง*"),"คนครอง")</f>
        <v>ว่าง</v>
      </c>
      <c r="W1907" s="6" cm="1">
        <f t="array" ref="W1907">_xlfn.IFS(COUNTIF(F1907,"ผบ.หมู่*"),51,COUNTIF(F1907,"รอง สว.*"),43)</f>
        <v>51</v>
      </c>
      <c r="X1907" s="6" t="s">
        <v>5778</v>
      </c>
      <c r="Y1907" s="6" t="s">
        <v>52</v>
      </c>
    </row>
    <row r="1908" spans="1:25" s="10" customFormat="1" ht="21.3" customHeight="1">
      <c r="A1908" s="27"/>
      <c r="B1908" s="28"/>
      <c r="C1908" s="30" t="s">
        <v>18</v>
      </c>
      <c r="D1908" s="27"/>
      <c r="E1908" s="27"/>
      <c r="F1908" s="68" t="s">
        <v>5753</v>
      </c>
      <c r="G1908" s="121" t="s">
        <v>5781</v>
      </c>
      <c r="H1908" s="91" t="s">
        <v>19</v>
      </c>
      <c r="I1908" s="73" t="s">
        <v>19</v>
      </c>
      <c r="J1908" s="73" t="s">
        <v>19</v>
      </c>
      <c r="K1908" s="73" t="s">
        <v>19</v>
      </c>
      <c r="L1908" s="11"/>
      <c r="M1908" s="1"/>
      <c r="N1908" s="113" t="s">
        <v>14</v>
      </c>
      <c r="O1908" s="122" t="s">
        <v>52</v>
      </c>
      <c r="P1908" s="122" t="s">
        <v>52</v>
      </c>
      <c r="Q1908" s="105"/>
      <c r="R1908" s="28"/>
      <c r="S1908" s="225" t="str">
        <f t="shared" si="29"/>
        <v/>
      </c>
      <c r="T1908" s="7" t="s">
        <v>7655</v>
      </c>
      <c r="U1908" s="7" t="s">
        <v>138</v>
      </c>
      <c r="V1908" s="171" t="str" cm="1">
        <f t="array" ref="V1908">_xlfn.IFS(C1908="","",COUNTIF(C1908,"ตำแหน่งว่าง*"),"ว่าง",COUNTIF(C1908,"&lt;&gt;ตำแหน่งว่าง*"),"คนครอง")</f>
        <v>ว่าง</v>
      </c>
      <c r="W1908" s="6" cm="1">
        <f t="array" ref="W1908">_xlfn.IFS(COUNTIF(F1908,"ผบ.หมู่*"),51,COUNTIF(F1908,"รอง สว.*"),43)</f>
        <v>51</v>
      </c>
      <c r="X1908" s="6" t="s">
        <v>5780</v>
      </c>
      <c r="Y1908" s="6" t="s">
        <v>52</v>
      </c>
    </row>
    <row r="1909" spans="1:25" s="10" customFormat="1" ht="21.3" customHeight="1">
      <c r="A1909" s="27"/>
      <c r="B1909" s="28"/>
      <c r="C1909" s="30" t="s">
        <v>18</v>
      </c>
      <c r="D1909" s="27"/>
      <c r="E1909" s="27"/>
      <c r="F1909" s="68" t="s">
        <v>5753</v>
      </c>
      <c r="G1909" s="121" t="s">
        <v>5783</v>
      </c>
      <c r="H1909" s="91" t="s">
        <v>19</v>
      </c>
      <c r="I1909" s="73" t="s">
        <v>19</v>
      </c>
      <c r="J1909" s="73" t="s">
        <v>19</v>
      </c>
      <c r="K1909" s="73" t="s">
        <v>19</v>
      </c>
      <c r="L1909" s="11"/>
      <c r="M1909" s="1"/>
      <c r="N1909" s="113" t="s">
        <v>14</v>
      </c>
      <c r="O1909" s="122" t="s">
        <v>52</v>
      </c>
      <c r="P1909" s="122" t="s">
        <v>52</v>
      </c>
      <c r="Q1909" s="105"/>
      <c r="R1909" s="28"/>
      <c r="S1909" s="225" t="str">
        <f t="shared" si="29"/>
        <v/>
      </c>
      <c r="T1909" s="7" t="s">
        <v>7655</v>
      </c>
      <c r="U1909" s="7" t="s">
        <v>138</v>
      </c>
      <c r="V1909" s="171" t="str" cm="1">
        <f t="array" ref="V1909">_xlfn.IFS(C1909="","",COUNTIF(C1909,"ตำแหน่งว่าง*"),"ว่าง",COUNTIF(C1909,"&lt;&gt;ตำแหน่งว่าง*"),"คนครอง")</f>
        <v>ว่าง</v>
      </c>
      <c r="W1909" s="6" cm="1">
        <f t="array" ref="W1909">_xlfn.IFS(COUNTIF(F1909,"ผบ.หมู่*"),51,COUNTIF(F1909,"รอง สว.*"),43)</f>
        <v>51</v>
      </c>
      <c r="X1909" s="6" t="s">
        <v>5782</v>
      </c>
      <c r="Y1909" s="6" t="s">
        <v>52</v>
      </c>
    </row>
    <row r="1910" spans="1:25" s="12" customFormat="1" ht="21.3" customHeight="1">
      <c r="A1910" s="27" t="s">
        <v>44</v>
      </c>
      <c r="B1910" s="28" t="s">
        <v>21</v>
      </c>
      <c r="C1910" s="95" t="s">
        <v>5784</v>
      </c>
      <c r="D1910" s="27" t="s">
        <v>10018</v>
      </c>
      <c r="E1910" s="27" t="s">
        <v>10019</v>
      </c>
      <c r="F1910" s="95" t="s">
        <v>5771</v>
      </c>
      <c r="G1910" s="101" t="s">
        <v>5786</v>
      </c>
      <c r="H1910" s="91">
        <v>44286</v>
      </c>
      <c r="I1910" s="73">
        <v>44286</v>
      </c>
      <c r="J1910" s="73">
        <v>32174</v>
      </c>
      <c r="K1910" s="73">
        <v>25006</v>
      </c>
      <c r="L1910" s="11" t="s">
        <v>5787</v>
      </c>
      <c r="M1910" s="1" t="s">
        <v>39</v>
      </c>
      <c r="N1910" s="111" t="s">
        <v>14</v>
      </c>
      <c r="O1910" s="104" t="s">
        <v>52</v>
      </c>
      <c r="P1910" s="104" t="s">
        <v>52</v>
      </c>
      <c r="Q1910" s="105"/>
      <c r="R1910" s="28" t="s">
        <v>1313</v>
      </c>
      <c r="S1910" s="225">
        <f t="shared" si="29"/>
        <v>47027</v>
      </c>
      <c r="T1910" s="162" t="s">
        <v>7655</v>
      </c>
      <c r="U1910" s="7" t="s">
        <v>138</v>
      </c>
      <c r="V1910" s="162" t="str" cm="1">
        <f t="array" ref="V1910">_xlfn.IFS(C1910="","",COUNTIF(C1910,"ตำแหน่งว่าง*"),"ว่าง",COUNTIF(C1910,"&lt;&gt;ตำแหน่งว่าง*"),"คนครอง")</f>
        <v>คนครอง</v>
      </c>
      <c r="W1910" s="5" cm="1">
        <f t="array" ref="W1910">_xlfn.IFS(COUNTIF(F1910,"ผบ.หมู่*"),51,COUNTIF(F1910,"รอง สว.*"),43)</f>
        <v>43</v>
      </c>
      <c r="X1910" s="5" t="s">
        <v>5785</v>
      </c>
      <c r="Y1910" s="5" t="s">
        <v>52</v>
      </c>
    </row>
    <row r="1911" spans="1:25" s="10" customFormat="1" ht="21.3" customHeight="1">
      <c r="A1911" s="27"/>
      <c r="B1911" s="28"/>
      <c r="C1911" s="30" t="s">
        <v>18</v>
      </c>
      <c r="D1911" s="27"/>
      <c r="E1911" s="27"/>
      <c r="F1911" s="68" t="s">
        <v>5753</v>
      </c>
      <c r="G1911" s="121" t="s">
        <v>5789</v>
      </c>
      <c r="H1911" s="91" t="s">
        <v>19</v>
      </c>
      <c r="I1911" s="73" t="s">
        <v>19</v>
      </c>
      <c r="J1911" s="73" t="s">
        <v>19</v>
      </c>
      <c r="K1911" s="73" t="s">
        <v>19</v>
      </c>
      <c r="L1911" s="11"/>
      <c r="M1911" s="1"/>
      <c r="N1911" s="113" t="s">
        <v>14</v>
      </c>
      <c r="O1911" s="122" t="s">
        <v>52</v>
      </c>
      <c r="P1911" s="122" t="s">
        <v>52</v>
      </c>
      <c r="Q1911" s="105"/>
      <c r="R1911" s="28"/>
      <c r="S1911" s="225" t="str">
        <f t="shared" si="29"/>
        <v/>
      </c>
      <c r="T1911" s="7" t="s">
        <v>7655</v>
      </c>
      <c r="U1911" s="7" t="s">
        <v>138</v>
      </c>
      <c r="V1911" s="171" t="str" cm="1">
        <f t="array" ref="V1911">_xlfn.IFS(C1911="","",COUNTIF(C1911,"ตำแหน่งว่าง*"),"ว่าง",COUNTIF(C1911,"&lt;&gt;ตำแหน่งว่าง*"),"คนครอง")</f>
        <v>ว่าง</v>
      </c>
      <c r="W1911" s="6" cm="1">
        <f t="array" ref="W1911">_xlfn.IFS(COUNTIF(F1911,"ผบ.หมู่*"),51,COUNTIF(F1911,"รอง สว.*"),43)</f>
        <v>51</v>
      </c>
      <c r="X1911" s="6" t="s">
        <v>5788</v>
      </c>
      <c r="Y1911" s="6" t="s">
        <v>52</v>
      </c>
    </row>
    <row r="1912" spans="1:25" s="12" customFormat="1" ht="21.3" customHeight="1">
      <c r="A1912" s="27" t="s">
        <v>157</v>
      </c>
      <c r="B1912" s="28" t="s">
        <v>12</v>
      </c>
      <c r="C1912" s="95" t="s">
        <v>5570</v>
      </c>
      <c r="D1912" s="27" t="s">
        <v>10020</v>
      </c>
      <c r="E1912" s="27" t="s">
        <v>10021</v>
      </c>
      <c r="F1912" s="95" t="s">
        <v>5571</v>
      </c>
      <c r="G1912" s="101" t="s">
        <v>5573</v>
      </c>
      <c r="H1912" s="75">
        <v>42940</v>
      </c>
      <c r="I1912" s="73">
        <v>42940</v>
      </c>
      <c r="J1912" s="73">
        <v>40339</v>
      </c>
      <c r="K1912" s="73">
        <v>31671</v>
      </c>
      <c r="L1912" s="11" t="s">
        <v>31</v>
      </c>
      <c r="M1912" s="1" t="s">
        <v>89</v>
      </c>
      <c r="N1912" s="111" t="s">
        <v>14</v>
      </c>
      <c r="O1912" s="104" t="s">
        <v>52</v>
      </c>
      <c r="P1912" s="104" t="s">
        <v>52</v>
      </c>
      <c r="Q1912" s="105"/>
      <c r="R1912" s="28" t="s">
        <v>4298</v>
      </c>
      <c r="S1912" s="225">
        <f t="shared" si="29"/>
        <v>53601</v>
      </c>
      <c r="T1912" s="162" t="s">
        <v>7651</v>
      </c>
      <c r="U1912" s="7" t="s">
        <v>138</v>
      </c>
      <c r="V1912" s="162" t="str" cm="1">
        <f t="array" ref="V1912">_xlfn.IFS(C1912="","",COUNTIF(C1912,"ตำแหน่งว่าง*"),"ว่าง",COUNTIF(C1912,"&lt;&gt;ตำแหน่งว่าง*"),"คนครอง")</f>
        <v>คนครอง</v>
      </c>
      <c r="W1912" s="6" cm="1">
        <f t="array" ref="W1912">_xlfn.IFS(COUNTIF(F1912,"ผบ.หมู่*"),51,COUNTIF(F1912,"รอง สว.*"),43)</f>
        <v>51</v>
      </c>
      <c r="X1912" s="5" t="s">
        <v>5572</v>
      </c>
      <c r="Y1912" s="5" t="s">
        <v>52</v>
      </c>
    </row>
    <row r="1913" spans="1:25" s="10" customFormat="1" ht="21.3" customHeight="1">
      <c r="A1913" s="65" t="s">
        <v>169</v>
      </c>
      <c r="B1913" s="66" t="s">
        <v>12</v>
      </c>
      <c r="C1913" s="65" t="s">
        <v>5574</v>
      </c>
      <c r="D1913" s="27" t="s">
        <v>8955</v>
      </c>
      <c r="E1913" s="27" t="s">
        <v>10022</v>
      </c>
      <c r="F1913" s="65" t="s">
        <v>5571</v>
      </c>
      <c r="G1913" s="101" t="s">
        <v>5576</v>
      </c>
      <c r="H1913" s="81">
        <v>44986</v>
      </c>
      <c r="I1913" s="77">
        <v>44986</v>
      </c>
      <c r="J1913" s="77">
        <v>44986</v>
      </c>
      <c r="K1913" s="77">
        <v>33564</v>
      </c>
      <c r="L1913" s="63" t="s">
        <v>7861</v>
      </c>
      <c r="M1913" s="61" t="s">
        <v>89</v>
      </c>
      <c r="N1913" s="114" t="s">
        <v>14</v>
      </c>
      <c r="O1913" s="104" t="s">
        <v>52</v>
      </c>
      <c r="P1913" s="104" t="s">
        <v>52</v>
      </c>
      <c r="Q1913" s="107"/>
      <c r="R1913" s="66" t="s">
        <v>861</v>
      </c>
      <c r="S1913" s="225">
        <f t="shared" si="29"/>
        <v>55793</v>
      </c>
      <c r="T1913" s="7" t="s">
        <v>7651</v>
      </c>
      <c r="U1913" s="7" t="s">
        <v>138</v>
      </c>
      <c r="V1913" s="162" t="str" cm="1">
        <f t="array" ref="V1913">_xlfn.IFS(C1913="","",COUNTIF(C1913,"ตำแหน่งว่าง*"),"ว่าง",COUNTIF(C1913,"&lt;&gt;ตำแหน่งว่าง*"),"คนครอง")</f>
        <v>คนครอง</v>
      </c>
      <c r="W1913" s="6" cm="1">
        <f t="array" ref="W1913">_xlfn.IFS(COUNTIF(F1913,"ผบ.หมู่*"),51,COUNTIF(F1913,"รอง สว.*"),43)</f>
        <v>51</v>
      </c>
      <c r="X1913" s="61" t="s">
        <v>5575</v>
      </c>
      <c r="Y1913" s="61" t="s">
        <v>52</v>
      </c>
    </row>
    <row r="1914" spans="1:25" s="9" customFormat="1" ht="21.3" customHeight="1">
      <c r="A1914" s="27" t="s">
        <v>182</v>
      </c>
      <c r="B1914" s="28" t="s">
        <v>12</v>
      </c>
      <c r="C1914" s="27" t="s">
        <v>5577</v>
      </c>
      <c r="D1914" s="27" t="s">
        <v>10023</v>
      </c>
      <c r="E1914" s="27" t="s">
        <v>10024</v>
      </c>
      <c r="F1914" s="27" t="s">
        <v>5571</v>
      </c>
      <c r="G1914" s="101" t="s">
        <v>5579</v>
      </c>
      <c r="H1914" s="75">
        <v>44636</v>
      </c>
      <c r="I1914" s="73">
        <v>44636</v>
      </c>
      <c r="J1914" s="73">
        <v>44636</v>
      </c>
      <c r="K1914" s="73">
        <v>33516</v>
      </c>
      <c r="L1914" s="11" t="s">
        <v>82</v>
      </c>
      <c r="M1914" s="1" t="s">
        <v>47</v>
      </c>
      <c r="N1914" s="112" t="s">
        <v>14</v>
      </c>
      <c r="O1914" s="104" t="s">
        <v>52</v>
      </c>
      <c r="P1914" s="104" t="s">
        <v>52</v>
      </c>
      <c r="Q1914" s="105"/>
      <c r="R1914" s="28" t="s">
        <v>611</v>
      </c>
      <c r="S1914" s="225">
        <f t="shared" si="29"/>
        <v>55793</v>
      </c>
      <c r="T1914" s="2" t="s">
        <v>7651</v>
      </c>
      <c r="U1914" s="7" t="s">
        <v>138</v>
      </c>
      <c r="V1914" s="162" t="str" cm="1">
        <f t="array" ref="V1914">_xlfn.IFS(C1914="","",COUNTIF(C1914,"ตำแหน่งว่าง*"),"ว่าง",COUNTIF(C1914,"&lt;&gt;ตำแหน่งว่าง*"),"คนครอง")</f>
        <v>คนครอง</v>
      </c>
      <c r="W1914" s="6" cm="1">
        <f t="array" ref="W1914">_xlfn.IFS(COUNTIF(F1914,"ผบ.หมู่*"),51,COUNTIF(F1914,"รอง สว.*"),43)</f>
        <v>51</v>
      </c>
      <c r="X1914" s="1" t="s">
        <v>5578</v>
      </c>
      <c r="Y1914" s="1" t="s">
        <v>52</v>
      </c>
    </row>
    <row r="1915" spans="1:25" s="10" customFormat="1" ht="21.3" customHeight="1">
      <c r="A1915" s="65" t="s">
        <v>169</v>
      </c>
      <c r="B1915" s="66" t="s">
        <v>12</v>
      </c>
      <c r="C1915" s="65" t="s">
        <v>5580</v>
      </c>
      <c r="D1915" s="27" t="s">
        <v>10025</v>
      </c>
      <c r="E1915" s="27" t="s">
        <v>10026</v>
      </c>
      <c r="F1915" s="65" t="s">
        <v>5571</v>
      </c>
      <c r="G1915" s="101" t="s">
        <v>5582</v>
      </c>
      <c r="H1915" s="81">
        <v>44986</v>
      </c>
      <c r="I1915" s="77">
        <v>44986</v>
      </c>
      <c r="J1915" s="77">
        <v>44986</v>
      </c>
      <c r="K1915" s="77">
        <v>33583</v>
      </c>
      <c r="L1915" s="63" t="s">
        <v>7860</v>
      </c>
      <c r="M1915" s="61" t="s">
        <v>101</v>
      </c>
      <c r="N1915" s="114" t="s">
        <v>14</v>
      </c>
      <c r="O1915" s="104" t="s">
        <v>52</v>
      </c>
      <c r="P1915" s="104" t="s">
        <v>52</v>
      </c>
      <c r="Q1915" s="107"/>
      <c r="R1915" s="66" t="s">
        <v>861</v>
      </c>
      <c r="S1915" s="225">
        <f t="shared" si="29"/>
        <v>55793</v>
      </c>
      <c r="T1915" s="7" t="s">
        <v>7651</v>
      </c>
      <c r="U1915" s="7" t="s">
        <v>138</v>
      </c>
      <c r="V1915" s="162" t="str" cm="1">
        <f t="array" ref="V1915">_xlfn.IFS(C1915="","",COUNTIF(C1915,"ตำแหน่งว่าง*"),"ว่าง",COUNTIF(C1915,"&lt;&gt;ตำแหน่งว่าง*"),"คนครอง")</f>
        <v>คนครอง</v>
      </c>
      <c r="W1915" s="6" cm="1">
        <f t="array" ref="W1915">_xlfn.IFS(COUNTIF(F1915,"ผบ.หมู่*"),51,COUNTIF(F1915,"รอง สว.*"),43)</f>
        <v>51</v>
      </c>
      <c r="X1915" s="61" t="s">
        <v>5581</v>
      </c>
      <c r="Y1915" s="61" t="s">
        <v>52</v>
      </c>
    </row>
    <row r="1916" spans="1:25" s="10" customFormat="1" ht="21.3" customHeight="1">
      <c r="A1916" s="27" t="s">
        <v>157</v>
      </c>
      <c r="B1916" s="28" t="s">
        <v>12</v>
      </c>
      <c r="C1916" s="27" t="s">
        <v>5583</v>
      </c>
      <c r="D1916" s="27" t="s">
        <v>10027</v>
      </c>
      <c r="E1916" s="27" t="s">
        <v>10028</v>
      </c>
      <c r="F1916" s="27" t="s">
        <v>5571</v>
      </c>
      <c r="G1916" s="101" t="s">
        <v>5585</v>
      </c>
      <c r="H1916" s="91">
        <v>44999</v>
      </c>
      <c r="I1916" s="84">
        <v>43617</v>
      </c>
      <c r="J1916" s="84">
        <v>40339</v>
      </c>
      <c r="K1916" s="84">
        <v>29219</v>
      </c>
      <c r="L1916" s="70" t="s">
        <v>7847</v>
      </c>
      <c r="M1916" s="71" t="s">
        <v>89</v>
      </c>
      <c r="N1916" s="112" t="s">
        <v>14</v>
      </c>
      <c r="O1916" s="104" t="s">
        <v>52</v>
      </c>
      <c r="P1916" s="104" t="s">
        <v>52</v>
      </c>
      <c r="Q1916" s="109"/>
      <c r="R1916" s="28" t="s">
        <v>74</v>
      </c>
      <c r="S1916" s="225">
        <f t="shared" si="29"/>
        <v>51410</v>
      </c>
      <c r="T1916" s="7" t="s">
        <v>7651</v>
      </c>
      <c r="U1916" s="7" t="s">
        <v>138</v>
      </c>
      <c r="V1916" s="162" t="str" cm="1">
        <f t="array" ref="V1916">_xlfn.IFS(C1916="","",COUNTIF(C1916,"ตำแหน่งว่าง*"),"ว่าง",COUNTIF(C1916,"&lt;&gt;ตำแหน่งว่าง*"),"คนครอง")</f>
        <v>คนครอง</v>
      </c>
      <c r="W1916" s="6" cm="1">
        <f t="array" ref="W1916">_xlfn.IFS(COUNTIF(F1916,"ผบ.หมู่*"),51,COUNTIF(F1916,"รอง สว.*"),43)</f>
        <v>51</v>
      </c>
      <c r="X1916" s="28" t="s">
        <v>5584</v>
      </c>
      <c r="Y1916" s="28" t="s">
        <v>52</v>
      </c>
    </row>
    <row r="1917" spans="1:25" s="10" customFormat="1" ht="21.3" customHeight="1">
      <c r="A1917" s="27"/>
      <c r="B1917" s="28"/>
      <c r="C1917" s="30" t="s">
        <v>18</v>
      </c>
      <c r="D1917" s="27"/>
      <c r="E1917" s="27"/>
      <c r="F1917" s="27" t="s">
        <v>5571</v>
      </c>
      <c r="G1917" s="101" t="s">
        <v>5587</v>
      </c>
      <c r="H1917" s="91"/>
      <c r="I1917" s="73"/>
      <c r="J1917" s="73"/>
      <c r="K1917" s="73"/>
      <c r="L1917" s="11"/>
      <c r="M1917" s="1"/>
      <c r="N1917" s="112" t="s">
        <v>14</v>
      </c>
      <c r="O1917" s="104" t="s">
        <v>52</v>
      </c>
      <c r="P1917" s="104" t="s">
        <v>52</v>
      </c>
      <c r="Q1917" s="105"/>
      <c r="R1917" s="30"/>
      <c r="S1917" s="225" t="str">
        <f t="shared" si="29"/>
        <v/>
      </c>
      <c r="T1917" s="7" t="s">
        <v>7651</v>
      </c>
      <c r="U1917" s="7" t="s">
        <v>138</v>
      </c>
      <c r="V1917" s="162" t="str" cm="1">
        <f t="array" ref="V1917">_xlfn.IFS(C1917="","",COUNTIF(C1917,"ตำแหน่งว่าง*"),"ว่าง",COUNTIF(C1917,"&lt;&gt;ตำแหน่งว่าง*"),"คนครอง")</f>
        <v>ว่าง</v>
      </c>
      <c r="W1917" s="6" cm="1">
        <f t="array" ref="W1917">_xlfn.IFS(COUNTIF(F1917,"ผบ.หมู่*"),51,COUNTIF(F1917,"รอง สว.*"),43)</f>
        <v>51</v>
      </c>
      <c r="X1917" s="1" t="s">
        <v>5586</v>
      </c>
      <c r="Y1917" s="1" t="s">
        <v>52</v>
      </c>
    </row>
    <row r="1918" spans="1:25" s="10" customFormat="1" ht="21.3" customHeight="1">
      <c r="A1918" s="192" t="s">
        <v>169</v>
      </c>
      <c r="B1918" s="193" t="s">
        <v>21</v>
      </c>
      <c r="C1918" s="192" t="s">
        <v>7943</v>
      </c>
      <c r="D1918" s="27" t="s">
        <v>10029</v>
      </c>
      <c r="E1918" s="27" t="s">
        <v>10030</v>
      </c>
      <c r="F1918" s="192" t="s">
        <v>5571</v>
      </c>
      <c r="G1918" s="101" t="s">
        <v>5589</v>
      </c>
      <c r="H1918" s="73">
        <v>45463</v>
      </c>
      <c r="I1918" s="73">
        <v>45463</v>
      </c>
      <c r="J1918" s="73">
        <v>45463</v>
      </c>
      <c r="K1918" s="73">
        <v>37084</v>
      </c>
      <c r="L1918" s="2" t="s">
        <v>82</v>
      </c>
      <c r="M1918" s="1"/>
      <c r="N1918" s="112" t="s">
        <v>14</v>
      </c>
      <c r="O1918" s="104" t="s">
        <v>52</v>
      </c>
      <c r="P1918" s="104" t="s">
        <v>52</v>
      </c>
      <c r="Q1918" s="105"/>
      <c r="R1918" s="28" t="s">
        <v>7961</v>
      </c>
      <c r="S1918" s="174">
        <f t="shared" si="29"/>
        <v>59080</v>
      </c>
      <c r="T1918" s="2" t="s">
        <v>7651</v>
      </c>
      <c r="U1918" s="2" t="s">
        <v>138</v>
      </c>
      <c r="V1918" s="162" t="str" cm="1">
        <f t="array" ref="V1918">_xlfn.IFS(C1918="","",COUNTIF(C1918,"ตำแหน่งว่าง*"),"ว่าง",COUNTIF(C1918,"&lt;&gt;ตำแหน่งว่าง*"),"คนครอง")</f>
        <v>คนครอง</v>
      </c>
      <c r="W1918" s="1" cm="1">
        <f t="array" ref="W1918">_xlfn.IFS(COUNTIF(F1918,"ผบ.หมู่*"),51,COUNTIF(F1918,"รอง สว.*"),43)</f>
        <v>51</v>
      </c>
      <c r="X1918" s="1" t="s">
        <v>5588</v>
      </c>
      <c r="Y1918" s="1" t="s">
        <v>52</v>
      </c>
    </row>
    <row r="1919" spans="1:25" s="10" customFormat="1" ht="21.3" customHeight="1">
      <c r="A1919" s="192" t="s">
        <v>169</v>
      </c>
      <c r="B1919" s="193" t="s">
        <v>12</v>
      </c>
      <c r="C1919" s="192" t="s">
        <v>7944</v>
      </c>
      <c r="D1919" s="27" t="s">
        <v>10031</v>
      </c>
      <c r="E1919" s="27" t="s">
        <v>10032</v>
      </c>
      <c r="F1919" s="192" t="s">
        <v>5571</v>
      </c>
      <c r="G1919" s="101" t="s">
        <v>5591</v>
      </c>
      <c r="H1919" s="73">
        <v>45463</v>
      </c>
      <c r="I1919" s="73">
        <v>45463</v>
      </c>
      <c r="J1919" s="73">
        <v>45463</v>
      </c>
      <c r="K1919" s="73">
        <v>36916</v>
      </c>
      <c r="L1919" s="2" t="s">
        <v>82</v>
      </c>
      <c r="M1919" s="1"/>
      <c r="N1919" s="112" t="s">
        <v>14</v>
      </c>
      <c r="O1919" s="104" t="s">
        <v>52</v>
      </c>
      <c r="P1919" s="104" t="s">
        <v>52</v>
      </c>
      <c r="Q1919" s="105"/>
      <c r="R1919" s="28" t="s">
        <v>7961</v>
      </c>
      <c r="S1919" s="174">
        <f t="shared" si="29"/>
        <v>59080</v>
      </c>
      <c r="T1919" s="2" t="s">
        <v>7651</v>
      </c>
      <c r="U1919" s="2" t="s">
        <v>138</v>
      </c>
      <c r="V1919" s="162" t="str" cm="1">
        <f t="array" ref="V1919">_xlfn.IFS(C1919="","",COUNTIF(C1919,"ตำแหน่งว่าง*"),"ว่าง",COUNTIF(C1919,"&lt;&gt;ตำแหน่งว่าง*"),"คนครอง")</f>
        <v>คนครอง</v>
      </c>
      <c r="W1919" s="1" cm="1">
        <f t="array" ref="W1919">_xlfn.IFS(COUNTIF(F1919,"ผบ.หมู่*"),51,COUNTIF(F1919,"รอง สว.*"),43)</f>
        <v>51</v>
      </c>
      <c r="X1919" s="1" t="s">
        <v>5590</v>
      </c>
      <c r="Y1919" s="1" t="s">
        <v>52</v>
      </c>
    </row>
    <row r="1920" spans="1:25" s="10" customFormat="1" ht="21.3" customHeight="1">
      <c r="A1920" s="27"/>
      <c r="B1920" s="28"/>
      <c r="C1920" s="30" t="s">
        <v>18</v>
      </c>
      <c r="D1920" s="27"/>
      <c r="E1920" s="27"/>
      <c r="F1920" s="68" t="s">
        <v>5571</v>
      </c>
      <c r="G1920" s="121" t="s">
        <v>5593</v>
      </c>
      <c r="H1920" s="91" t="s">
        <v>19</v>
      </c>
      <c r="I1920" s="73" t="s">
        <v>19</v>
      </c>
      <c r="J1920" s="73" t="s">
        <v>19</v>
      </c>
      <c r="K1920" s="73" t="s">
        <v>19</v>
      </c>
      <c r="L1920" s="11"/>
      <c r="M1920" s="1"/>
      <c r="N1920" s="113" t="s">
        <v>14</v>
      </c>
      <c r="O1920" s="122" t="s">
        <v>52</v>
      </c>
      <c r="P1920" s="122" t="s">
        <v>52</v>
      </c>
      <c r="Q1920" s="105"/>
      <c r="R1920" s="28"/>
      <c r="S1920" s="225" t="str">
        <f t="shared" si="29"/>
        <v/>
      </c>
      <c r="T1920" s="7" t="s">
        <v>7651</v>
      </c>
      <c r="U1920" s="7" t="s">
        <v>138</v>
      </c>
      <c r="V1920" s="171" t="str" cm="1">
        <f t="array" ref="V1920">_xlfn.IFS(C1920="","",COUNTIF(C1920,"ตำแหน่งว่าง*"),"ว่าง",COUNTIF(C1920,"&lt;&gt;ตำแหน่งว่าง*"),"คนครอง")</f>
        <v>ว่าง</v>
      </c>
      <c r="W1920" s="6" cm="1">
        <f t="array" ref="W1920">_xlfn.IFS(COUNTIF(F1920,"ผบ.หมู่*"),51,COUNTIF(F1920,"รอง สว.*"),43)</f>
        <v>51</v>
      </c>
      <c r="X1920" s="6" t="s">
        <v>5592</v>
      </c>
      <c r="Y1920" s="6" t="s">
        <v>52</v>
      </c>
    </row>
    <row r="1921" spans="1:25" s="10" customFormat="1" ht="21.3" customHeight="1">
      <c r="A1921" s="68"/>
      <c r="B1921" s="30"/>
      <c r="C1921" s="30" t="s">
        <v>18</v>
      </c>
      <c r="D1921" s="27"/>
      <c r="E1921" s="27"/>
      <c r="F1921" s="68" t="s">
        <v>5571</v>
      </c>
      <c r="G1921" s="121" t="s">
        <v>5595</v>
      </c>
      <c r="H1921" s="91" t="s">
        <v>19</v>
      </c>
      <c r="I1921" s="73" t="s">
        <v>19</v>
      </c>
      <c r="J1921" s="73" t="s">
        <v>19</v>
      </c>
      <c r="K1921" s="73" t="s">
        <v>19</v>
      </c>
      <c r="L1921" s="11"/>
      <c r="M1921" s="6"/>
      <c r="N1921" s="113" t="s">
        <v>14</v>
      </c>
      <c r="O1921" s="122" t="s">
        <v>52</v>
      </c>
      <c r="P1921" s="122" t="s">
        <v>52</v>
      </c>
      <c r="Q1921" s="106"/>
      <c r="R1921" s="30"/>
      <c r="S1921" s="225" t="str">
        <f t="shared" si="29"/>
        <v/>
      </c>
      <c r="T1921" s="7" t="s">
        <v>7651</v>
      </c>
      <c r="U1921" s="7" t="s">
        <v>138</v>
      </c>
      <c r="V1921" s="171" t="str" cm="1">
        <f t="array" ref="V1921">_xlfn.IFS(C1921="","",COUNTIF(C1921,"ตำแหน่งว่าง*"),"ว่าง",COUNTIF(C1921,"&lt;&gt;ตำแหน่งว่าง*"),"คนครอง")</f>
        <v>ว่าง</v>
      </c>
      <c r="W1921" s="6" cm="1">
        <f t="array" ref="W1921">_xlfn.IFS(COUNTIF(F1921,"ผบ.หมู่*"),51,COUNTIF(F1921,"รอง สว.*"),43)</f>
        <v>51</v>
      </c>
      <c r="X1921" s="6" t="s">
        <v>5594</v>
      </c>
      <c r="Y1921" s="6" t="s">
        <v>52</v>
      </c>
    </row>
    <row r="1922" spans="1:25" s="10" customFormat="1" ht="21.3" customHeight="1">
      <c r="A1922" s="68"/>
      <c r="B1922" s="30"/>
      <c r="C1922" s="30" t="s">
        <v>18</v>
      </c>
      <c r="D1922" s="27"/>
      <c r="E1922" s="27"/>
      <c r="F1922" s="68" t="s">
        <v>5571</v>
      </c>
      <c r="G1922" s="121" t="s">
        <v>5597</v>
      </c>
      <c r="H1922" s="91" t="s">
        <v>19</v>
      </c>
      <c r="I1922" s="73" t="s">
        <v>19</v>
      </c>
      <c r="J1922" s="73" t="s">
        <v>19</v>
      </c>
      <c r="K1922" s="73" t="s">
        <v>19</v>
      </c>
      <c r="L1922" s="11"/>
      <c r="M1922" s="6"/>
      <c r="N1922" s="113" t="s">
        <v>14</v>
      </c>
      <c r="O1922" s="122" t="s">
        <v>52</v>
      </c>
      <c r="P1922" s="122" t="s">
        <v>52</v>
      </c>
      <c r="Q1922" s="106"/>
      <c r="R1922" s="30"/>
      <c r="S1922" s="225" t="str">
        <f t="shared" ref="S1922:S1985" si="30">IF(K1922&lt;&gt;"",DATE(YEAR(K1922)+60+(K1922&gt;=DATE(YEAR(K1922),10,2)),10,1),"")</f>
        <v/>
      </c>
      <c r="T1922" s="7" t="s">
        <v>7651</v>
      </c>
      <c r="U1922" s="7" t="s">
        <v>138</v>
      </c>
      <c r="V1922" s="171" t="str" cm="1">
        <f t="array" ref="V1922">_xlfn.IFS(C1922="","",COUNTIF(C1922,"ตำแหน่งว่าง*"),"ว่าง",COUNTIF(C1922,"&lt;&gt;ตำแหน่งว่าง*"),"คนครอง")</f>
        <v>ว่าง</v>
      </c>
      <c r="W1922" s="6" cm="1">
        <f t="array" ref="W1922">_xlfn.IFS(COUNTIF(F1922,"ผบ.หมู่*"),51,COUNTIF(F1922,"รอง สว.*"),43)</f>
        <v>51</v>
      </c>
      <c r="X1922" s="6" t="s">
        <v>5596</v>
      </c>
      <c r="Y1922" s="6" t="s">
        <v>52</v>
      </c>
    </row>
    <row r="1923" spans="1:25" s="10" customFormat="1" ht="21.3" customHeight="1">
      <c r="A1923" s="68"/>
      <c r="B1923" s="30"/>
      <c r="C1923" s="30" t="s">
        <v>18</v>
      </c>
      <c r="D1923" s="27"/>
      <c r="E1923" s="27"/>
      <c r="F1923" s="68" t="s">
        <v>5571</v>
      </c>
      <c r="G1923" s="121" t="s">
        <v>5599</v>
      </c>
      <c r="H1923" s="91" t="s">
        <v>19</v>
      </c>
      <c r="I1923" s="73" t="s">
        <v>19</v>
      </c>
      <c r="J1923" s="73" t="s">
        <v>19</v>
      </c>
      <c r="K1923" s="73" t="s">
        <v>19</v>
      </c>
      <c r="L1923" s="11"/>
      <c r="M1923" s="6"/>
      <c r="N1923" s="113" t="s">
        <v>14</v>
      </c>
      <c r="O1923" s="122" t="s">
        <v>52</v>
      </c>
      <c r="P1923" s="122" t="s">
        <v>52</v>
      </c>
      <c r="Q1923" s="106"/>
      <c r="R1923" s="30"/>
      <c r="S1923" s="225" t="str">
        <f t="shared" si="30"/>
        <v/>
      </c>
      <c r="T1923" s="7" t="s">
        <v>7651</v>
      </c>
      <c r="U1923" s="7" t="s">
        <v>138</v>
      </c>
      <c r="V1923" s="171" t="str" cm="1">
        <f t="array" ref="V1923">_xlfn.IFS(C1923="","",COUNTIF(C1923,"ตำแหน่งว่าง*"),"ว่าง",COUNTIF(C1923,"&lt;&gt;ตำแหน่งว่าง*"),"คนครอง")</f>
        <v>ว่าง</v>
      </c>
      <c r="W1923" s="6" cm="1">
        <f t="array" ref="W1923">_xlfn.IFS(COUNTIF(F1923,"ผบ.หมู่*"),51,COUNTIF(F1923,"รอง สว.*"),43)</f>
        <v>51</v>
      </c>
      <c r="X1923" s="6" t="s">
        <v>5598</v>
      </c>
      <c r="Y1923" s="6" t="s">
        <v>52</v>
      </c>
    </row>
    <row r="1924" spans="1:25" s="10" customFormat="1" ht="21.3" customHeight="1">
      <c r="A1924" s="27"/>
      <c r="B1924" s="28"/>
      <c r="C1924" s="30" t="s">
        <v>18</v>
      </c>
      <c r="D1924" s="27"/>
      <c r="E1924" s="27"/>
      <c r="F1924" s="68" t="s">
        <v>5571</v>
      </c>
      <c r="G1924" s="121" t="s">
        <v>5601</v>
      </c>
      <c r="H1924" s="91" t="s">
        <v>19</v>
      </c>
      <c r="I1924" s="73" t="s">
        <v>19</v>
      </c>
      <c r="J1924" s="73" t="s">
        <v>19</v>
      </c>
      <c r="K1924" s="73" t="s">
        <v>19</v>
      </c>
      <c r="L1924" s="11"/>
      <c r="M1924" s="1"/>
      <c r="N1924" s="113" t="s">
        <v>14</v>
      </c>
      <c r="O1924" s="122" t="s">
        <v>52</v>
      </c>
      <c r="P1924" s="122" t="s">
        <v>52</v>
      </c>
      <c r="Q1924" s="105"/>
      <c r="R1924" s="28"/>
      <c r="S1924" s="225" t="str">
        <f t="shared" si="30"/>
        <v/>
      </c>
      <c r="T1924" s="7" t="s">
        <v>7651</v>
      </c>
      <c r="U1924" s="7" t="s">
        <v>138</v>
      </c>
      <c r="V1924" s="171" t="str" cm="1">
        <f t="array" ref="V1924">_xlfn.IFS(C1924="","",COUNTIF(C1924,"ตำแหน่งว่าง*"),"ว่าง",COUNTIF(C1924,"&lt;&gt;ตำแหน่งว่าง*"),"คนครอง")</f>
        <v>ว่าง</v>
      </c>
      <c r="W1924" s="6" cm="1">
        <f t="array" ref="W1924">_xlfn.IFS(COUNTIF(F1924,"ผบ.หมู่*"),51,COUNTIF(F1924,"รอง สว.*"),43)</f>
        <v>51</v>
      </c>
      <c r="X1924" s="6" t="s">
        <v>5600</v>
      </c>
      <c r="Y1924" s="6" t="s">
        <v>52</v>
      </c>
    </row>
    <row r="1925" spans="1:25" s="10" customFormat="1" ht="21.3" customHeight="1">
      <c r="A1925" s="68"/>
      <c r="B1925" s="30"/>
      <c r="C1925" s="30" t="s">
        <v>18</v>
      </c>
      <c r="D1925" s="27"/>
      <c r="E1925" s="27"/>
      <c r="F1925" s="68" t="s">
        <v>5571</v>
      </c>
      <c r="G1925" s="121" t="s">
        <v>5603</v>
      </c>
      <c r="H1925" s="91" t="s">
        <v>19</v>
      </c>
      <c r="I1925" s="73" t="s">
        <v>19</v>
      </c>
      <c r="J1925" s="73" t="s">
        <v>19</v>
      </c>
      <c r="K1925" s="73" t="s">
        <v>19</v>
      </c>
      <c r="L1925" s="11"/>
      <c r="M1925" s="6"/>
      <c r="N1925" s="113" t="s">
        <v>14</v>
      </c>
      <c r="O1925" s="122" t="s">
        <v>52</v>
      </c>
      <c r="P1925" s="122" t="s">
        <v>52</v>
      </c>
      <c r="Q1925" s="106"/>
      <c r="R1925" s="30"/>
      <c r="S1925" s="225" t="str">
        <f t="shared" si="30"/>
        <v/>
      </c>
      <c r="T1925" s="7" t="s">
        <v>7651</v>
      </c>
      <c r="U1925" s="7" t="s">
        <v>138</v>
      </c>
      <c r="V1925" s="171" t="str" cm="1">
        <f t="array" ref="V1925">_xlfn.IFS(C1925="","",COUNTIF(C1925,"ตำแหน่งว่าง*"),"ว่าง",COUNTIF(C1925,"&lt;&gt;ตำแหน่งว่าง*"),"คนครอง")</f>
        <v>ว่าง</v>
      </c>
      <c r="W1925" s="6" cm="1">
        <f t="array" ref="W1925">_xlfn.IFS(COUNTIF(F1925,"ผบ.หมู่*"),51,COUNTIF(F1925,"รอง สว.*"),43)</f>
        <v>51</v>
      </c>
      <c r="X1925" s="6" t="s">
        <v>5602</v>
      </c>
      <c r="Y1925" s="6" t="s">
        <v>52</v>
      </c>
    </row>
    <row r="1926" spans="1:25" s="9" customFormat="1" ht="21.3" customHeight="1">
      <c r="A1926" s="68"/>
      <c r="B1926" s="30"/>
      <c r="C1926" s="68" t="s">
        <v>18</v>
      </c>
      <c r="D1926" s="27"/>
      <c r="E1926" s="27"/>
      <c r="F1926" s="68" t="s">
        <v>5571</v>
      </c>
      <c r="G1926" s="121" t="s">
        <v>5605</v>
      </c>
      <c r="H1926" s="93"/>
      <c r="I1926" s="74"/>
      <c r="J1926" s="74"/>
      <c r="K1926" s="74"/>
      <c r="L1926" s="16"/>
      <c r="M1926" s="6"/>
      <c r="N1926" s="113" t="s">
        <v>14</v>
      </c>
      <c r="O1926" s="122" t="s">
        <v>52</v>
      </c>
      <c r="P1926" s="122" t="s">
        <v>52</v>
      </c>
      <c r="Q1926" s="106"/>
      <c r="R1926" s="30"/>
      <c r="S1926" s="225" t="str">
        <f t="shared" si="30"/>
        <v/>
      </c>
      <c r="T1926" s="2" t="s">
        <v>7651</v>
      </c>
      <c r="U1926" s="7" t="s">
        <v>138</v>
      </c>
      <c r="V1926" s="171" t="str" cm="1">
        <f t="array" ref="V1926">_xlfn.IFS(C1926="","",COUNTIF(C1926,"ตำแหน่งว่าง*"),"ว่าง",COUNTIF(C1926,"&lt;&gt;ตำแหน่งว่าง*"),"คนครอง")</f>
        <v>ว่าง</v>
      </c>
      <c r="W1926" s="6" cm="1">
        <f t="array" ref="W1926">_xlfn.IFS(COUNTIF(F1926,"ผบ.หมู่*"),51,COUNTIF(F1926,"รอง สว.*"),43)</f>
        <v>51</v>
      </c>
      <c r="X1926" s="1" t="s">
        <v>5604</v>
      </c>
      <c r="Y1926" s="1" t="s">
        <v>52</v>
      </c>
    </row>
    <row r="1927" spans="1:25" s="10" customFormat="1" ht="21.3" customHeight="1">
      <c r="A1927" s="27"/>
      <c r="B1927" s="28"/>
      <c r="C1927" s="30" t="s">
        <v>18</v>
      </c>
      <c r="D1927" s="27"/>
      <c r="E1927" s="27"/>
      <c r="F1927" s="68" t="s">
        <v>5571</v>
      </c>
      <c r="G1927" s="121" t="s">
        <v>5607</v>
      </c>
      <c r="H1927" s="91" t="s">
        <v>19</v>
      </c>
      <c r="I1927" s="73" t="s">
        <v>19</v>
      </c>
      <c r="J1927" s="73" t="s">
        <v>19</v>
      </c>
      <c r="K1927" s="73" t="s">
        <v>19</v>
      </c>
      <c r="L1927" s="11"/>
      <c r="M1927" s="1"/>
      <c r="N1927" s="113" t="s">
        <v>14</v>
      </c>
      <c r="O1927" s="122" t="s">
        <v>52</v>
      </c>
      <c r="P1927" s="122" t="s">
        <v>52</v>
      </c>
      <c r="Q1927" s="105"/>
      <c r="R1927" s="28"/>
      <c r="S1927" s="225" t="str">
        <f t="shared" si="30"/>
        <v/>
      </c>
      <c r="T1927" s="7" t="s">
        <v>7651</v>
      </c>
      <c r="U1927" s="7" t="s">
        <v>138</v>
      </c>
      <c r="V1927" s="171" t="str" cm="1">
        <f t="array" ref="V1927">_xlfn.IFS(C1927="","",COUNTIF(C1927,"ตำแหน่งว่าง*"),"ว่าง",COUNTIF(C1927,"&lt;&gt;ตำแหน่งว่าง*"),"คนครอง")</f>
        <v>ว่าง</v>
      </c>
      <c r="W1927" s="6" cm="1">
        <f t="array" ref="W1927">_xlfn.IFS(COUNTIF(F1927,"ผบ.หมู่*"),51,COUNTIF(F1927,"รอง สว.*"),43)</f>
        <v>51</v>
      </c>
      <c r="X1927" s="6" t="s">
        <v>5606</v>
      </c>
      <c r="Y1927" s="6" t="s">
        <v>52</v>
      </c>
    </row>
    <row r="1928" spans="1:25" s="10" customFormat="1" ht="21.3" customHeight="1">
      <c r="A1928" s="27"/>
      <c r="B1928" s="28"/>
      <c r="C1928" s="30" t="s">
        <v>18</v>
      </c>
      <c r="D1928" s="27"/>
      <c r="E1928" s="27"/>
      <c r="F1928" s="68" t="s">
        <v>5571</v>
      </c>
      <c r="G1928" s="121" t="s">
        <v>5609</v>
      </c>
      <c r="H1928" s="91" t="s">
        <v>19</v>
      </c>
      <c r="I1928" s="73" t="s">
        <v>19</v>
      </c>
      <c r="J1928" s="73" t="s">
        <v>19</v>
      </c>
      <c r="K1928" s="73" t="s">
        <v>19</v>
      </c>
      <c r="L1928" s="11"/>
      <c r="M1928" s="1"/>
      <c r="N1928" s="113" t="s">
        <v>14</v>
      </c>
      <c r="O1928" s="122" t="s">
        <v>52</v>
      </c>
      <c r="P1928" s="122" t="s">
        <v>52</v>
      </c>
      <c r="Q1928" s="105"/>
      <c r="R1928" s="28"/>
      <c r="S1928" s="225" t="str">
        <f t="shared" si="30"/>
        <v/>
      </c>
      <c r="T1928" s="7" t="s">
        <v>7651</v>
      </c>
      <c r="U1928" s="7" t="s">
        <v>138</v>
      </c>
      <c r="V1928" s="171" t="str" cm="1">
        <f t="array" ref="V1928">_xlfn.IFS(C1928="","",COUNTIF(C1928,"ตำแหน่งว่าง*"),"ว่าง",COUNTIF(C1928,"&lt;&gt;ตำแหน่งว่าง*"),"คนครอง")</f>
        <v>ว่าง</v>
      </c>
      <c r="W1928" s="6" cm="1">
        <f t="array" ref="W1928">_xlfn.IFS(COUNTIF(F1928,"ผบ.หมู่*"),51,COUNTIF(F1928,"รอง สว.*"),43)</f>
        <v>51</v>
      </c>
      <c r="X1928" s="6" t="s">
        <v>5608</v>
      </c>
      <c r="Y1928" s="6" t="s">
        <v>52</v>
      </c>
    </row>
    <row r="1929" spans="1:25" s="12" customFormat="1" ht="21.3" customHeight="1">
      <c r="A1929" s="27"/>
      <c r="B1929" s="28"/>
      <c r="C1929" s="95" t="s">
        <v>18</v>
      </c>
      <c r="D1929" s="27"/>
      <c r="E1929" s="27"/>
      <c r="F1929" s="95" t="s">
        <v>5790</v>
      </c>
      <c r="G1929" s="101" t="s">
        <v>5792</v>
      </c>
      <c r="H1929" s="75"/>
      <c r="I1929" s="73"/>
      <c r="J1929" s="73"/>
      <c r="K1929" s="73"/>
      <c r="L1929" s="11"/>
      <c r="M1929" s="1"/>
      <c r="N1929" s="111" t="s">
        <v>14</v>
      </c>
      <c r="O1929" s="104" t="s">
        <v>52</v>
      </c>
      <c r="P1929" s="104" t="s">
        <v>52</v>
      </c>
      <c r="Q1929" s="105"/>
      <c r="R1929" s="28"/>
      <c r="S1929" s="225" t="str">
        <f t="shared" si="30"/>
        <v/>
      </c>
      <c r="T1929" s="162" t="s">
        <v>7656</v>
      </c>
      <c r="U1929" s="7" t="s">
        <v>138</v>
      </c>
      <c r="V1929" s="162" t="str" cm="1">
        <f t="array" ref="V1929">_xlfn.IFS(C1929="","",COUNTIF(C1929,"ตำแหน่งว่าง*"),"ว่าง",COUNTIF(C1929,"&lt;&gt;ตำแหน่งว่าง*"),"คนครอง")</f>
        <v>ว่าง</v>
      </c>
      <c r="W1929" s="6" cm="1">
        <f t="array" ref="W1929">_xlfn.IFS(COUNTIF(F1929,"ผบ.หมู่*"),51,COUNTIF(F1929,"รอง สว.*"),43)</f>
        <v>51</v>
      </c>
      <c r="X1929" s="5" t="s">
        <v>5791</v>
      </c>
      <c r="Y1929" s="5" t="s">
        <v>52</v>
      </c>
    </row>
    <row r="1930" spans="1:25" s="12" customFormat="1" ht="21.3" customHeight="1">
      <c r="A1930" s="27" t="s">
        <v>157</v>
      </c>
      <c r="B1930" s="28" t="s">
        <v>21</v>
      </c>
      <c r="C1930" s="95" t="s">
        <v>5793</v>
      </c>
      <c r="D1930" s="27" t="s">
        <v>9337</v>
      </c>
      <c r="E1930" s="27" t="s">
        <v>8288</v>
      </c>
      <c r="F1930" s="95" t="s">
        <v>5790</v>
      </c>
      <c r="G1930" s="101" t="s">
        <v>5795</v>
      </c>
      <c r="H1930" s="75">
        <v>42940</v>
      </c>
      <c r="I1930" s="73">
        <v>41214</v>
      </c>
      <c r="J1930" s="73">
        <v>41214</v>
      </c>
      <c r="K1930" s="73">
        <v>30809</v>
      </c>
      <c r="L1930" s="11" t="s">
        <v>4997</v>
      </c>
      <c r="M1930" s="1" t="s">
        <v>83</v>
      </c>
      <c r="N1930" s="111" t="s">
        <v>14</v>
      </c>
      <c r="O1930" s="104" t="s">
        <v>52</v>
      </c>
      <c r="P1930" s="104" t="s">
        <v>52</v>
      </c>
      <c r="Q1930" s="105"/>
      <c r="R1930" s="28" t="s">
        <v>718</v>
      </c>
      <c r="S1930" s="225">
        <f t="shared" si="30"/>
        <v>52871</v>
      </c>
      <c r="T1930" s="162" t="s">
        <v>7656</v>
      </c>
      <c r="U1930" s="7" t="s">
        <v>138</v>
      </c>
      <c r="V1930" s="162" t="str" cm="1">
        <f t="array" ref="V1930">_xlfn.IFS(C1930="","",COUNTIF(C1930,"ตำแหน่งว่าง*"),"ว่าง",COUNTIF(C1930,"&lt;&gt;ตำแหน่งว่าง*"),"คนครอง")</f>
        <v>คนครอง</v>
      </c>
      <c r="W1930" s="6" cm="1">
        <f t="array" ref="W1930">_xlfn.IFS(COUNTIF(F1930,"ผบ.หมู่*"),51,COUNTIF(F1930,"รอง สว.*"),43)</f>
        <v>51</v>
      </c>
      <c r="X1930" s="5" t="s">
        <v>5794</v>
      </c>
      <c r="Y1930" s="5" t="s">
        <v>52</v>
      </c>
    </row>
    <row r="1931" spans="1:25" s="12" customFormat="1" ht="21.3" customHeight="1">
      <c r="A1931" s="27" t="s">
        <v>157</v>
      </c>
      <c r="B1931" s="28" t="s">
        <v>12</v>
      </c>
      <c r="C1931" s="95" t="s">
        <v>5796</v>
      </c>
      <c r="D1931" s="27" t="s">
        <v>8018</v>
      </c>
      <c r="E1931" s="27" t="s">
        <v>10033</v>
      </c>
      <c r="F1931" s="95" t="s">
        <v>5790</v>
      </c>
      <c r="G1931" s="101" t="s">
        <v>5798</v>
      </c>
      <c r="H1931" s="75">
        <v>42501</v>
      </c>
      <c r="I1931" s="73">
        <v>35551</v>
      </c>
      <c r="J1931" s="73">
        <v>34366</v>
      </c>
      <c r="K1931" s="73">
        <v>26631</v>
      </c>
      <c r="L1931" s="11" t="s">
        <v>5799</v>
      </c>
      <c r="M1931" s="1" t="s">
        <v>83</v>
      </c>
      <c r="N1931" s="111" t="s">
        <v>14</v>
      </c>
      <c r="O1931" s="104" t="s">
        <v>52</v>
      </c>
      <c r="P1931" s="104" t="s">
        <v>52</v>
      </c>
      <c r="Q1931" s="105"/>
      <c r="R1931" s="28" t="s">
        <v>110</v>
      </c>
      <c r="S1931" s="225">
        <f t="shared" si="30"/>
        <v>48853</v>
      </c>
      <c r="T1931" s="162" t="s">
        <v>7656</v>
      </c>
      <c r="U1931" s="7" t="s">
        <v>138</v>
      </c>
      <c r="V1931" s="162" t="str" cm="1">
        <f t="array" ref="V1931">_xlfn.IFS(C1931="","",COUNTIF(C1931,"ตำแหน่งว่าง*"),"ว่าง",COUNTIF(C1931,"&lt;&gt;ตำแหน่งว่าง*"),"คนครอง")</f>
        <v>คนครอง</v>
      </c>
      <c r="W1931" s="6" cm="1">
        <f t="array" ref="W1931">_xlfn.IFS(COUNTIF(F1931,"ผบ.หมู่*"),51,COUNTIF(F1931,"รอง สว.*"),43)</f>
        <v>51</v>
      </c>
      <c r="X1931" s="5" t="s">
        <v>5797</v>
      </c>
      <c r="Y1931" s="5" t="s">
        <v>52</v>
      </c>
    </row>
    <row r="1932" spans="1:25" s="12" customFormat="1" ht="21.3" customHeight="1">
      <c r="A1932" s="27" t="s">
        <v>157</v>
      </c>
      <c r="B1932" s="28" t="s">
        <v>21</v>
      </c>
      <c r="C1932" s="95" t="s">
        <v>5800</v>
      </c>
      <c r="D1932" s="27" t="s">
        <v>10034</v>
      </c>
      <c r="E1932" s="27" t="s">
        <v>8108</v>
      </c>
      <c r="F1932" s="95" t="s">
        <v>5790</v>
      </c>
      <c r="G1932" s="101" t="s">
        <v>5802</v>
      </c>
      <c r="H1932" s="75">
        <v>42501</v>
      </c>
      <c r="I1932" s="73">
        <v>35186</v>
      </c>
      <c r="J1932" s="73">
        <v>34352</v>
      </c>
      <c r="K1932" s="73">
        <v>26716</v>
      </c>
      <c r="L1932" s="11" t="s">
        <v>5353</v>
      </c>
      <c r="M1932" s="1" t="s">
        <v>83</v>
      </c>
      <c r="N1932" s="111" t="s">
        <v>14</v>
      </c>
      <c r="O1932" s="104" t="s">
        <v>52</v>
      </c>
      <c r="P1932" s="104" t="s">
        <v>52</v>
      </c>
      <c r="Q1932" s="105"/>
      <c r="R1932" s="28" t="s">
        <v>110</v>
      </c>
      <c r="S1932" s="225">
        <f t="shared" si="30"/>
        <v>48853</v>
      </c>
      <c r="T1932" s="162" t="s">
        <v>7656</v>
      </c>
      <c r="U1932" s="7" t="s">
        <v>138</v>
      </c>
      <c r="V1932" s="162" t="str" cm="1">
        <f t="array" ref="V1932">_xlfn.IFS(C1932="","",COUNTIF(C1932,"ตำแหน่งว่าง*"),"ว่าง",COUNTIF(C1932,"&lt;&gt;ตำแหน่งว่าง*"),"คนครอง")</f>
        <v>คนครอง</v>
      </c>
      <c r="W1932" s="6" cm="1">
        <f t="array" ref="W1932">_xlfn.IFS(COUNTIF(F1932,"ผบ.หมู่*"),51,COUNTIF(F1932,"รอง สว.*"),43)</f>
        <v>51</v>
      </c>
      <c r="X1932" s="5" t="s">
        <v>5801</v>
      </c>
      <c r="Y1932" s="5" t="s">
        <v>52</v>
      </c>
    </row>
    <row r="1933" spans="1:25" s="10" customFormat="1" ht="21.3" customHeight="1">
      <c r="A1933" s="27" t="s">
        <v>157</v>
      </c>
      <c r="B1933" s="28" t="s">
        <v>21</v>
      </c>
      <c r="C1933" s="27" t="s">
        <v>5803</v>
      </c>
      <c r="D1933" s="27" t="s">
        <v>8224</v>
      </c>
      <c r="E1933" s="27" t="s">
        <v>10035</v>
      </c>
      <c r="F1933" s="27" t="s">
        <v>5790</v>
      </c>
      <c r="G1933" s="101" t="s">
        <v>5805</v>
      </c>
      <c r="H1933" s="75">
        <v>44999</v>
      </c>
      <c r="I1933" s="84">
        <v>41214</v>
      </c>
      <c r="J1933" s="84">
        <v>41214</v>
      </c>
      <c r="K1933" s="84">
        <v>32953</v>
      </c>
      <c r="L1933" s="70" t="s">
        <v>5806</v>
      </c>
      <c r="M1933" s="71" t="s">
        <v>83</v>
      </c>
      <c r="N1933" s="112" t="s">
        <v>14</v>
      </c>
      <c r="O1933" s="104" t="s">
        <v>52</v>
      </c>
      <c r="P1933" s="104" t="s">
        <v>52</v>
      </c>
      <c r="Q1933" s="109"/>
      <c r="R1933" s="28" t="s">
        <v>74</v>
      </c>
      <c r="S1933" s="225">
        <f t="shared" si="30"/>
        <v>55062</v>
      </c>
      <c r="T1933" s="7" t="s">
        <v>7656</v>
      </c>
      <c r="U1933" s="7" t="s">
        <v>138</v>
      </c>
      <c r="V1933" s="162" t="str" cm="1">
        <f t="array" ref="V1933">_xlfn.IFS(C1933="","",COUNTIF(C1933,"ตำแหน่งว่าง*"),"ว่าง",COUNTIF(C1933,"&lt;&gt;ตำแหน่งว่าง*"),"คนครอง")</f>
        <v>คนครอง</v>
      </c>
      <c r="W1933" s="6" cm="1">
        <f t="array" ref="W1933">_xlfn.IFS(COUNTIF(F1933,"ผบ.หมู่*"),51,COUNTIF(F1933,"รอง สว.*"),43)</f>
        <v>51</v>
      </c>
      <c r="X1933" s="28" t="s">
        <v>5804</v>
      </c>
      <c r="Y1933" s="28" t="s">
        <v>52</v>
      </c>
    </row>
    <row r="1934" spans="1:25" s="12" customFormat="1" ht="21.3" customHeight="1">
      <c r="A1934" s="27" t="s">
        <v>44</v>
      </c>
      <c r="B1934" s="31" t="s">
        <v>12</v>
      </c>
      <c r="C1934" s="95" t="s">
        <v>5807</v>
      </c>
      <c r="D1934" s="27" t="s">
        <v>8217</v>
      </c>
      <c r="E1934" s="27" t="s">
        <v>10036</v>
      </c>
      <c r="F1934" s="95" t="s">
        <v>5808</v>
      </c>
      <c r="G1934" s="101" t="s">
        <v>5810</v>
      </c>
      <c r="H1934" s="88">
        <v>44651</v>
      </c>
      <c r="I1934" s="76">
        <v>44651</v>
      </c>
      <c r="J1934" s="76">
        <v>35096</v>
      </c>
      <c r="K1934" s="76">
        <v>25309</v>
      </c>
      <c r="L1934" s="17" t="s">
        <v>5811</v>
      </c>
      <c r="M1934" s="5" t="s">
        <v>83</v>
      </c>
      <c r="N1934" s="111" t="s">
        <v>14</v>
      </c>
      <c r="O1934" s="104" t="s">
        <v>52</v>
      </c>
      <c r="P1934" s="104" t="s">
        <v>52</v>
      </c>
      <c r="Q1934" s="108"/>
      <c r="R1934" s="31" t="s">
        <v>2856</v>
      </c>
      <c r="S1934" s="225">
        <f t="shared" si="30"/>
        <v>47392</v>
      </c>
      <c r="T1934" s="162" t="s">
        <v>7656</v>
      </c>
      <c r="U1934" s="7" t="s">
        <v>138</v>
      </c>
      <c r="V1934" s="162" t="str" cm="1">
        <f t="array" ref="V1934">_xlfn.IFS(C1934="","",COUNTIF(C1934,"ตำแหน่งว่าง*"),"ว่าง",COUNTIF(C1934,"&lt;&gt;ตำแหน่งว่าง*"),"คนครอง")</f>
        <v>คนครอง</v>
      </c>
      <c r="W1934" s="5" cm="1">
        <f t="array" ref="W1934">_xlfn.IFS(COUNTIF(F1934,"ผบ.หมู่*"),51,COUNTIF(F1934,"รอง สว.*"),43)</f>
        <v>43</v>
      </c>
      <c r="X1934" s="5" t="s">
        <v>5809</v>
      </c>
      <c r="Y1934" s="5" t="s">
        <v>52</v>
      </c>
    </row>
    <row r="1935" spans="1:25" s="12" customFormat="1" ht="21.3" customHeight="1">
      <c r="A1935" s="27" t="s">
        <v>26</v>
      </c>
      <c r="B1935" s="28" t="s">
        <v>12</v>
      </c>
      <c r="C1935" s="95" t="s">
        <v>5812</v>
      </c>
      <c r="D1935" s="27" t="s">
        <v>10037</v>
      </c>
      <c r="E1935" s="27" t="s">
        <v>10038</v>
      </c>
      <c r="F1935" s="95" t="s">
        <v>5808</v>
      </c>
      <c r="G1935" s="101" t="s">
        <v>5814</v>
      </c>
      <c r="H1935" s="91">
        <v>43921</v>
      </c>
      <c r="I1935" s="73">
        <v>43921</v>
      </c>
      <c r="J1935" s="73">
        <v>33270</v>
      </c>
      <c r="K1935" s="73">
        <v>24519</v>
      </c>
      <c r="L1935" s="11" t="s">
        <v>5815</v>
      </c>
      <c r="M1935" s="1" t="s">
        <v>83</v>
      </c>
      <c r="N1935" s="111" t="s">
        <v>14</v>
      </c>
      <c r="O1935" s="104" t="s">
        <v>52</v>
      </c>
      <c r="P1935" s="104" t="s">
        <v>52</v>
      </c>
      <c r="Q1935" s="105"/>
      <c r="R1935" s="28" t="s">
        <v>2700</v>
      </c>
      <c r="S1935" s="225">
        <f t="shared" si="30"/>
        <v>46661</v>
      </c>
      <c r="T1935" s="162" t="s">
        <v>7656</v>
      </c>
      <c r="U1935" s="7" t="s">
        <v>138</v>
      </c>
      <c r="V1935" s="162" t="str" cm="1">
        <f t="array" ref="V1935">_xlfn.IFS(C1935="","",COUNTIF(C1935,"ตำแหน่งว่าง*"),"ว่าง",COUNTIF(C1935,"&lt;&gt;ตำแหน่งว่าง*"),"คนครอง")</f>
        <v>คนครอง</v>
      </c>
      <c r="W1935" s="5" cm="1">
        <f t="array" ref="W1935">_xlfn.IFS(COUNTIF(F1935,"ผบ.หมู่*"),51,COUNTIF(F1935,"รอง สว.*"),43)</f>
        <v>43</v>
      </c>
      <c r="X1935" s="5" t="s">
        <v>5813</v>
      </c>
      <c r="Y1935" s="5" t="s">
        <v>52</v>
      </c>
    </row>
    <row r="1936" spans="1:25" s="12" customFormat="1" ht="21.3" customHeight="1">
      <c r="A1936" s="27" t="s">
        <v>208</v>
      </c>
      <c r="B1936" s="28" t="s">
        <v>21</v>
      </c>
      <c r="C1936" s="27" t="s">
        <v>7761</v>
      </c>
      <c r="D1936" s="27" t="s">
        <v>10039</v>
      </c>
      <c r="E1936" s="27" t="s">
        <v>10040</v>
      </c>
      <c r="F1936" s="27" t="s">
        <v>5790</v>
      </c>
      <c r="G1936" s="101" t="s">
        <v>5817</v>
      </c>
      <c r="H1936" s="91">
        <v>45322</v>
      </c>
      <c r="I1936" s="73">
        <v>43693</v>
      </c>
      <c r="J1936" s="73">
        <v>43693</v>
      </c>
      <c r="K1936" s="73">
        <v>35941</v>
      </c>
      <c r="L1936" s="11" t="s">
        <v>82</v>
      </c>
      <c r="M1936" s="1" t="s">
        <v>83</v>
      </c>
      <c r="N1936" s="112" t="s">
        <v>14</v>
      </c>
      <c r="O1936" s="104" t="s">
        <v>52</v>
      </c>
      <c r="P1936" s="104" t="s">
        <v>52</v>
      </c>
      <c r="Q1936" s="105"/>
      <c r="R1936" s="30" t="s">
        <v>7708</v>
      </c>
      <c r="S1936" s="225">
        <f t="shared" si="30"/>
        <v>57984</v>
      </c>
      <c r="T1936" s="162" t="s">
        <v>7656</v>
      </c>
      <c r="U1936" s="7" t="s">
        <v>138</v>
      </c>
      <c r="V1936" s="162" t="str" cm="1">
        <f t="array" ref="V1936">_xlfn.IFS(C1936="","",COUNTIF(C1936,"ตำแหน่งว่าง*"),"ว่าง",COUNTIF(C1936,"&lt;&gt;ตำแหน่งว่าง*"),"คนครอง")</f>
        <v>คนครอง</v>
      </c>
      <c r="W1936" s="6" cm="1">
        <f t="array" ref="W1936">_xlfn.IFS(COUNTIF(F1936,"ผบ.หมู่*"),51,COUNTIF(F1936,"รอง สว.*"),43)</f>
        <v>51</v>
      </c>
      <c r="X1936" s="1" t="s">
        <v>5816</v>
      </c>
      <c r="Y1936" s="1" t="s">
        <v>52</v>
      </c>
    </row>
    <row r="1937" spans="1:25" s="12" customFormat="1" ht="21.3" customHeight="1">
      <c r="A1937" s="27" t="s">
        <v>157</v>
      </c>
      <c r="B1937" s="28" t="s">
        <v>21</v>
      </c>
      <c r="C1937" s="95" t="s">
        <v>5818</v>
      </c>
      <c r="D1937" s="27" t="s">
        <v>7970</v>
      </c>
      <c r="E1937" s="27" t="s">
        <v>10041</v>
      </c>
      <c r="F1937" s="95" t="s">
        <v>5790</v>
      </c>
      <c r="G1937" s="101" t="s">
        <v>5820</v>
      </c>
      <c r="H1937" s="75">
        <v>44651</v>
      </c>
      <c r="I1937" s="73">
        <v>44651</v>
      </c>
      <c r="J1937" s="73">
        <v>34729</v>
      </c>
      <c r="K1937" s="73">
        <v>27826</v>
      </c>
      <c r="L1937" s="11" t="s">
        <v>5821</v>
      </c>
      <c r="M1937" s="1" t="s">
        <v>83</v>
      </c>
      <c r="N1937" s="111" t="s">
        <v>14</v>
      </c>
      <c r="O1937" s="104" t="s">
        <v>52</v>
      </c>
      <c r="P1937" s="104" t="s">
        <v>52</v>
      </c>
      <c r="Q1937" s="105"/>
      <c r="R1937" s="28" t="s">
        <v>110</v>
      </c>
      <c r="S1937" s="225">
        <f t="shared" si="30"/>
        <v>49949</v>
      </c>
      <c r="T1937" s="162" t="s">
        <v>7656</v>
      </c>
      <c r="U1937" s="7" t="s">
        <v>138</v>
      </c>
      <c r="V1937" s="162" t="str" cm="1">
        <f t="array" ref="V1937">_xlfn.IFS(C1937="","",COUNTIF(C1937,"ตำแหน่งว่าง*"),"ว่าง",COUNTIF(C1937,"&lt;&gt;ตำแหน่งว่าง*"),"คนครอง")</f>
        <v>คนครอง</v>
      </c>
      <c r="W1937" s="6" cm="1">
        <f t="array" ref="W1937">_xlfn.IFS(COUNTIF(F1937,"ผบ.หมู่*"),51,COUNTIF(F1937,"รอง สว.*"),43)</f>
        <v>51</v>
      </c>
      <c r="X1937" s="5" t="s">
        <v>5819</v>
      </c>
      <c r="Y1937" s="5" t="s">
        <v>52</v>
      </c>
    </row>
    <row r="1938" spans="1:25" s="9" customFormat="1" ht="21.3" customHeight="1">
      <c r="A1938" s="132" t="s">
        <v>10753</v>
      </c>
      <c r="B1938" s="28" t="s">
        <v>12</v>
      </c>
      <c r="C1938" s="27" t="s">
        <v>5822</v>
      </c>
      <c r="D1938" s="27" t="s">
        <v>10042</v>
      </c>
      <c r="E1938" s="27" t="s">
        <v>10043</v>
      </c>
      <c r="F1938" s="27" t="s">
        <v>5808</v>
      </c>
      <c r="G1938" s="101" t="s">
        <v>5824</v>
      </c>
      <c r="H1938" s="91">
        <v>45382</v>
      </c>
      <c r="I1938" s="73">
        <v>45382</v>
      </c>
      <c r="J1938" s="73">
        <v>34366</v>
      </c>
      <c r="K1938" s="73">
        <v>26051</v>
      </c>
      <c r="L1938" s="11" t="s">
        <v>5825</v>
      </c>
      <c r="M1938" s="1" t="s">
        <v>83</v>
      </c>
      <c r="N1938" s="112" t="s">
        <v>14</v>
      </c>
      <c r="O1938" s="104" t="s">
        <v>52</v>
      </c>
      <c r="P1938" s="104" t="s">
        <v>52</v>
      </c>
      <c r="Q1938" s="105"/>
      <c r="R1938" s="33" t="s">
        <v>7801</v>
      </c>
      <c r="S1938" s="225">
        <f t="shared" si="30"/>
        <v>48122</v>
      </c>
      <c r="T1938" s="2" t="s">
        <v>7656</v>
      </c>
      <c r="U1938" s="7" t="s">
        <v>138</v>
      </c>
      <c r="V1938" s="162" t="str" cm="1">
        <f t="array" ref="V1938">_xlfn.IFS(C1938="","",COUNTIF(C1938,"ตำแหน่งว่าง*"),"ว่าง",COUNTIF(C1938,"&lt;&gt;ตำแหน่งว่าง*"),"คนครอง")</f>
        <v>คนครอง</v>
      </c>
      <c r="W1938" s="6" cm="1">
        <f t="array" ref="W1938">_xlfn.IFS(COUNTIF(F1938,"ผบ.หมู่*"),51,COUNTIF(F1938,"รอง สว.*"),43)</f>
        <v>43</v>
      </c>
      <c r="X1938" s="1" t="s">
        <v>5823</v>
      </c>
      <c r="Y1938" s="1" t="s">
        <v>52</v>
      </c>
    </row>
    <row r="1939" spans="1:25" s="10" customFormat="1" ht="21.3" customHeight="1">
      <c r="A1939" s="27" t="s">
        <v>26</v>
      </c>
      <c r="B1939" s="28" t="s">
        <v>12</v>
      </c>
      <c r="C1939" s="27" t="s">
        <v>5826</v>
      </c>
      <c r="D1939" s="27" t="s">
        <v>10044</v>
      </c>
      <c r="E1939" s="27" t="s">
        <v>10045</v>
      </c>
      <c r="F1939" s="27" t="s">
        <v>5808</v>
      </c>
      <c r="G1939" s="101" t="s">
        <v>5828</v>
      </c>
      <c r="H1939" s="91">
        <v>44999</v>
      </c>
      <c r="I1939" s="84">
        <v>44286</v>
      </c>
      <c r="J1939" s="84">
        <v>33635</v>
      </c>
      <c r="K1939" s="84">
        <v>25077</v>
      </c>
      <c r="L1939" s="70" t="s">
        <v>119</v>
      </c>
      <c r="M1939" s="71" t="s">
        <v>83</v>
      </c>
      <c r="N1939" s="112" t="s">
        <v>14</v>
      </c>
      <c r="O1939" s="104" t="s">
        <v>52</v>
      </c>
      <c r="P1939" s="104" t="s">
        <v>52</v>
      </c>
      <c r="Q1939" s="109"/>
      <c r="R1939" s="28" t="s">
        <v>440</v>
      </c>
      <c r="S1939" s="225">
        <f t="shared" si="30"/>
        <v>47027</v>
      </c>
      <c r="T1939" s="7" t="s">
        <v>7656</v>
      </c>
      <c r="U1939" s="7" t="s">
        <v>138</v>
      </c>
      <c r="V1939" s="162" t="str" cm="1">
        <f t="array" ref="V1939">_xlfn.IFS(C1939="","",COUNTIF(C1939,"ตำแหน่งว่าง*"),"ว่าง",COUNTIF(C1939,"&lt;&gt;ตำแหน่งว่าง*"),"คนครอง")</f>
        <v>คนครอง</v>
      </c>
      <c r="W1939" s="5" cm="1">
        <f t="array" ref="W1939">_xlfn.IFS(COUNTIF(F1939,"ผบ.หมู่*"),51,COUNTIF(F1939,"รอง สว.*"),43)</f>
        <v>43</v>
      </c>
      <c r="X1939" s="1" t="s">
        <v>5827</v>
      </c>
      <c r="Y1939" s="1" t="s">
        <v>52</v>
      </c>
    </row>
    <row r="1940" spans="1:25" s="12" customFormat="1" ht="21.3" customHeight="1">
      <c r="A1940" s="68"/>
      <c r="B1940" s="30"/>
      <c r="C1940" s="30" t="s">
        <v>18</v>
      </c>
      <c r="D1940" s="27"/>
      <c r="E1940" s="27"/>
      <c r="F1940" s="68" t="s">
        <v>5790</v>
      </c>
      <c r="G1940" s="121" t="s">
        <v>5830</v>
      </c>
      <c r="H1940" s="93" t="s">
        <v>19</v>
      </c>
      <c r="I1940" s="74" t="s">
        <v>19</v>
      </c>
      <c r="J1940" s="74" t="s">
        <v>19</v>
      </c>
      <c r="K1940" s="74" t="s">
        <v>19</v>
      </c>
      <c r="L1940" s="16"/>
      <c r="M1940" s="6"/>
      <c r="N1940" s="113" t="s">
        <v>14</v>
      </c>
      <c r="O1940" s="122" t="s">
        <v>52</v>
      </c>
      <c r="P1940" s="122" t="s">
        <v>52</v>
      </c>
      <c r="Q1940" s="106"/>
      <c r="R1940" s="30"/>
      <c r="S1940" s="225" t="str">
        <f t="shared" si="30"/>
        <v/>
      </c>
      <c r="T1940" s="162" t="s">
        <v>7656</v>
      </c>
      <c r="U1940" s="7" t="s">
        <v>138</v>
      </c>
      <c r="V1940" s="171" t="str" cm="1">
        <f t="array" ref="V1940">_xlfn.IFS(C1940="","",COUNTIF(C1940,"ตำแหน่งว่าง*"),"ว่าง",COUNTIF(C1940,"&lt;&gt;ตำแหน่งว่าง*"),"คนครอง")</f>
        <v>ว่าง</v>
      </c>
      <c r="W1940" s="6" cm="1">
        <f t="array" ref="W1940">_xlfn.IFS(COUNTIF(F1940,"ผบ.หมู่*"),51,COUNTIF(F1940,"รอง สว.*"),43)</f>
        <v>51</v>
      </c>
      <c r="X1940" s="6" t="s">
        <v>5829</v>
      </c>
      <c r="Y1940" s="6" t="s">
        <v>52</v>
      </c>
    </row>
    <row r="1941" spans="1:25" s="12" customFormat="1" ht="21.3" customHeight="1">
      <c r="A1941" s="27" t="s">
        <v>44</v>
      </c>
      <c r="B1941" s="31" t="s">
        <v>12</v>
      </c>
      <c r="C1941" s="95" t="s">
        <v>5831</v>
      </c>
      <c r="D1941" s="27" t="s">
        <v>8219</v>
      </c>
      <c r="E1941" s="27" t="s">
        <v>10046</v>
      </c>
      <c r="F1941" s="95" t="s">
        <v>5808</v>
      </c>
      <c r="G1941" s="101" t="s">
        <v>5833</v>
      </c>
      <c r="H1941" s="92">
        <v>44651</v>
      </c>
      <c r="I1941" s="76">
        <v>44651</v>
      </c>
      <c r="J1941" s="76">
        <v>34366</v>
      </c>
      <c r="K1941" s="76">
        <v>25324</v>
      </c>
      <c r="L1941" s="17" t="s">
        <v>82</v>
      </c>
      <c r="M1941" s="5" t="s">
        <v>83</v>
      </c>
      <c r="N1941" s="111" t="s">
        <v>14</v>
      </c>
      <c r="O1941" s="104" t="s">
        <v>52</v>
      </c>
      <c r="P1941" s="104" t="s">
        <v>52</v>
      </c>
      <c r="Q1941" s="108"/>
      <c r="R1941" s="31" t="s">
        <v>2856</v>
      </c>
      <c r="S1941" s="225">
        <f t="shared" si="30"/>
        <v>47392</v>
      </c>
      <c r="T1941" s="162" t="s">
        <v>7656</v>
      </c>
      <c r="U1941" s="7" t="s">
        <v>138</v>
      </c>
      <c r="V1941" s="162" t="str" cm="1">
        <f t="array" ref="V1941">_xlfn.IFS(C1941="","",COUNTIF(C1941,"ตำแหน่งว่าง*"),"ว่าง",COUNTIF(C1941,"&lt;&gt;ตำแหน่งว่าง*"),"คนครอง")</f>
        <v>คนครอง</v>
      </c>
      <c r="W1941" s="5" cm="1">
        <f t="array" ref="W1941">_xlfn.IFS(COUNTIF(F1941,"ผบ.หมู่*"),51,COUNTIF(F1941,"รอง สว.*"),43)</f>
        <v>43</v>
      </c>
      <c r="X1941" s="5" t="s">
        <v>5832</v>
      </c>
      <c r="Y1941" s="5" t="s">
        <v>52</v>
      </c>
    </row>
    <row r="1942" spans="1:25" s="12" customFormat="1" ht="21.3" customHeight="1">
      <c r="A1942" s="27" t="s">
        <v>157</v>
      </c>
      <c r="B1942" s="28" t="s">
        <v>21</v>
      </c>
      <c r="C1942" s="95" t="s">
        <v>5834</v>
      </c>
      <c r="D1942" s="27" t="s">
        <v>10047</v>
      </c>
      <c r="E1942" s="27" t="s">
        <v>10048</v>
      </c>
      <c r="F1942" s="95" t="s">
        <v>5790</v>
      </c>
      <c r="G1942" s="101" t="s">
        <v>5836</v>
      </c>
      <c r="H1942" s="91">
        <v>42501</v>
      </c>
      <c r="I1942" s="73">
        <v>35186</v>
      </c>
      <c r="J1942" s="73">
        <v>34352</v>
      </c>
      <c r="K1942" s="73">
        <v>27205</v>
      </c>
      <c r="L1942" s="11" t="s">
        <v>5353</v>
      </c>
      <c r="M1942" s="1" t="s">
        <v>83</v>
      </c>
      <c r="N1942" s="111" t="s">
        <v>14</v>
      </c>
      <c r="O1942" s="104" t="s">
        <v>52</v>
      </c>
      <c r="P1942" s="104" t="s">
        <v>52</v>
      </c>
      <c r="Q1942" s="105"/>
      <c r="R1942" s="28" t="s">
        <v>110</v>
      </c>
      <c r="S1942" s="225">
        <f t="shared" si="30"/>
        <v>49218</v>
      </c>
      <c r="T1942" s="162" t="s">
        <v>7656</v>
      </c>
      <c r="U1942" s="7" t="s">
        <v>138</v>
      </c>
      <c r="V1942" s="162" t="str" cm="1">
        <f t="array" ref="V1942">_xlfn.IFS(C1942="","",COUNTIF(C1942,"ตำแหน่งว่าง*"),"ว่าง",COUNTIF(C1942,"&lt;&gt;ตำแหน่งว่าง*"),"คนครอง")</f>
        <v>คนครอง</v>
      </c>
      <c r="W1942" s="6" cm="1">
        <f t="array" ref="W1942">_xlfn.IFS(COUNTIF(F1942,"ผบ.หมู่*"),51,COUNTIF(F1942,"รอง สว.*"),43)</f>
        <v>51</v>
      </c>
      <c r="X1942" s="5" t="s">
        <v>5835</v>
      </c>
      <c r="Y1942" s="5" t="s">
        <v>52</v>
      </c>
    </row>
    <row r="1943" spans="1:25" s="12" customFormat="1" ht="21.3" customHeight="1">
      <c r="A1943" s="27" t="s">
        <v>10753</v>
      </c>
      <c r="B1943" s="28" t="s">
        <v>21</v>
      </c>
      <c r="C1943" s="95" t="s">
        <v>5610</v>
      </c>
      <c r="D1943" s="27" t="s">
        <v>10049</v>
      </c>
      <c r="E1943" s="27" t="s">
        <v>10050</v>
      </c>
      <c r="F1943" s="95" t="s">
        <v>5611</v>
      </c>
      <c r="G1943" s="101" t="s">
        <v>5613</v>
      </c>
      <c r="H1943" s="75">
        <v>45016</v>
      </c>
      <c r="I1943" s="73">
        <v>45016</v>
      </c>
      <c r="J1943" s="73">
        <v>34729</v>
      </c>
      <c r="K1943" s="73">
        <v>25769</v>
      </c>
      <c r="L1943" s="11" t="s">
        <v>5614</v>
      </c>
      <c r="M1943" s="1" t="s">
        <v>95</v>
      </c>
      <c r="N1943" s="111" t="s">
        <v>14</v>
      </c>
      <c r="O1943" s="104" t="s">
        <v>52</v>
      </c>
      <c r="P1943" s="104" t="s">
        <v>52</v>
      </c>
      <c r="Q1943" s="105"/>
      <c r="R1943" s="28" t="s">
        <v>483</v>
      </c>
      <c r="S1943" s="225">
        <f t="shared" si="30"/>
        <v>47757</v>
      </c>
      <c r="T1943" s="162" t="s">
        <v>7652</v>
      </c>
      <c r="U1943" s="7" t="s">
        <v>138</v>
      </c>
      <c r="V1943" s="162" t="str" cm="1">
        <f t="array" ref="V1943">_xlfn.IFS(C1943="","",COUNTIF(C1943,"ตำแหน่งว่าง*"),"ว่าง",COUNTIF(C1943,"&lt;&gt;ตำแหน่งว่าง*"),"คนครอง")</f>
        <v>คนครอง</v>
      </c>
      <c r="W1943" s="5" cm="1">
        <f t="array" ref="W1943">_xlfn.IFS(COUNTIF(F1943,"ผบ.หมู่*"),51,COUNTIF(F1943,"รอง สว.*"),43)</f>
        <v>43</v>
      </c>
      <c r="X1943" s="5" t="s">
        <v>5612</v>
      </c>
      <c r="Y1943" s="5" t="s">
        <v>52</v>
      </c>
    </row>
    <row r="1944" spans="1:25" s="12" customFormat="1" ht="21.3" customHeight="1">
      <c r="A1944" s="27" t="s">
        <v>26</v>
      </c>
      <c r="B1944" s="28" t="s">
        <v>21</v>
      </c>
      <c r="C1944" s="95" t="s">
        <v>5615</v>
      </c>
      <c r="D1944" s="27" t="s">
        <v>8301</v>
      </c>
      <c r="E1944" s="27" t="s">
        <v>10051</v>
      </c>
      <c r="F1944" s="95" t="s">
        <v>5611</v>
      </c>
      <c r="G1944" s="101" t="s">
        <v>5617</v>
      </c>
      <c r="H1944" s="91">
        <v>44286</v>
      </c>
      <c r="I1944" s="73">
        <v>44286</v>
      </c>
      <c r="J1944" s="73">
        <v>34352</v>
      </c>
      <c r="K1944" s="73">
        <v>24959</v>
      </c>
      <c r="L1944" s="11" t="s">
        <v>5618</v>
      </c>
      <c r="M1944" s="1" t="s">
        <v>39</v>
      </c>
      <c r="N1944" s="111" t="s">
        <v>14</v>
      </c>
      <c r="O1944" s="104" t="s">
        <v>52</v>
      </c>
      <c r="P1944" s="104" t="s">
        <v>52</v>
      </c>
      <c r="Q1944" s="105"/>
      <c r="R1944" s="28" t="s">
        <v>1313</v>
      </c>
      <c r="S1944" s="225">
        <f t="shared" si="30"/>
        <v>47027</v>
      </c>
      <c r="T1944" s="162" t="s">
        <v>7652</v>
      </c>
      <c r="U1944" s="7" t="s">
        <v>138</v>
      </c>
      <c r="V1944" s="162" t="str" cm="1">
        <f t="array" ref="V1944">_xlfn.IFS(C1944="","",COUNTIF(C1944,"ตำแหน่งว่าง*"),"ว่าง",COUNTIF(C1944,"&lt;&gt;ตำแหน่งว่าง*"),"คนครอง")</f>
        <v>คนครอง</v>
      </c>
      <c r="W1944" s="5" cm="1">
        <f t="array" ref="W1944">_xlfn.IFS(COUNTIF(F1944,"ผบ.หมู่*"),51,COUNTIF(F1944,"รอง สว.*"),43)</f>
        <v>43</v>
      </c>
      <c r="X1944" s="5" t="s">
        <v>5616</v>
      </c>
      <c r="Y1944" s="5" t="s">
        <v>52</v>
      </c>
    </row>
    <row r="1945" spans="1:25" s="12" customFormat="1" ht="21.3" customHeight="1">
      <c r="A1945" s="27" t="s">
        <v>612</v>
      </c>
      <c r="B1945" s="28" t="s">
        <v>12</v>
      </c>
      <c r="C1945" s="27" t="s">
        <v>5619</v>
      </c>
      <c r="D1945" s="27" t="s">
        <v>8106</v>
      </c>
      <c r="E1945" s="27" t="s">
        <v>10052</v>
      </c>
      <c r="F1945" s="27" t="s">
        <v>5620</v>
      </c>
      <c r="G1945" s="101" t="s">
        <v>5622</v>
      </c>
      <c r="H1945" s="91">
        <v>44999</v>
      </c>
      <c r="I1945" s="73">
        <v>42675</v>
      </c>
      <c r="J1945" s="73">
        <v>42309</v>
      </c>
      <c r="K1945" s="73">
        <v>33662</v>
      </c>
      <c r="L1945" s="11" t="s">
        <v>7832</v>
      </c>
      <c r="M1945" s="1" t="s">
        <v>95</v>
      </c>
      <c r="N1945" s="112" t="s">
        <v>14</v>
      </c>
      <c r="O1945" s="104" t="s">
        <v>52</v>
      </c>
      <c r="P1945" s="104" t="s">
        <v>52</v>
      </c>
      <c r="Q1945" s="105"/>
      <c r="R1945" s="28" t="s">
        <v>74</v>
      </c>
      <c r="S1945" s="225">
        <f t="shared" si="30"/>
        <v>55793</v>
      </c>
      <c r="T1945" s="162" t="s">
        <v>7652</v>
      </c>
      <c r="U1945" s="7" t="s">
        <v>138</v>
      </c>
      <c r="V1945" s="162" t="str" cm="1">
        <f t="array" ref="V1945">_xlfn.IFS(C1945="","",COUNTIF(C1945,"ตำแหน่งว่าง*"),"ว่าง",COUNTIF(C1945,"&lt;&gt;ตำแหน่งว่าง*"),"คนครอง")</f>
        <v>คนครอง</v>
      </c>
      <c r="W1945" s="6" cm="1">
        <f t="array" ref="W1945">_xlfn.IFS(COUNTIF(F1945,"ผบ.หมู่*"),51,COUNTIF(F1945,"รอง สว.*"),43)</f>
        <v>51</v>
      </c>
      <c r="X1945" s="1" t="s">
        <v>5621</v>
      </c>
      <c r="Y1945" s="1" t="s">
        <v>52</v>
      </c>
    </row>
    <row r="1946" spans="1:25" s="10" customFormat="1" ht="21.3" customHeight="1">
      <c r="A1946" s="192" t="s">
        <v>169</v>
      </c>
      <c r="B1946" s="193" t="s">
        <v>21</v>
      </c>
      <c r="C1946" s="192" t="s">
        <v>7945</v>
      </c>
      <c r="D1946" s="27" t="s">
        <v>10053</v>
      </c>
      <c r="E1946" s="27" t="s">
        <v>10054</v>
      </c>
      <c r="F1946" s="192" t="s">
        <v>5620</v>
      </c>
      <c r="G1946" s="101" t="s">
        <v>5625</v>
      </c>
      <c r="H1946" s="73">
        <v>45463</v>
      </c>
      <c r="I1946" s="73">
        <v>45463</v>
      </c>
      <c r="J1946" s="73">
        <v>45463</v>
      </c>
      <c r="K1946" s="73">
        <v>35339</v>
      </c>
      <c r="L1946" s="2" t="s">
        <v>82</v>
      </c>
      <c r="M1946" s="1"/>
      <c r="N1946" s="112" t="s">
        <v>14</v>
      </c>
      <c r="O1946" s="104" t="s">
        <v>52</v>
      </c>
      <c r="P1946" s="104" t="s">
        <v>52</v>
      </c>
      <c r="Q1946" s="105"/>
      <c r="R1946" s="28" t="s">
        <v>7961</v>
      </c>
      <c r="S1946" s="174">
        <f t="shared" si="30"/>
        <v>57254</v>
      </c>
      <c r="T1946" s="2" t="s">
        <v>7652</v>
      </c>
      <c r="U1946" s="2" t="s">
        <v>138</v>
      </c>
      <c r="V1946" s="162" t="str" cm="1">
        <f t="array" ref="V1946">_xlfn.IFS(C1946="","",COUNTIF(C1946,"ตำแหน่งว่าง*"),"ว่าง",COUNTIF(C1946,"&lt;&gt;ตำแหน่งว่าง*"),"คนครอง")</f>
        <v>คนครอง</v>
      </c>
      <c r="W1946" s="1" cm="1">
        <f t="array" ref="W1946">_xlfn.IFS(COUNTIF(F1946,"ผบ.หมู่*"),51,COUNTIF(F1946,"รอง สว.*"),43)</f>
        <v>51</v>
      </c>
      <c r="X1946" s="1" t="s">
        <v>5624</v>
      </c>
      <c r="Y1946" s="1" t="s">
        <v>52</v>
      </c>
    </row>
    <row r="1947" spans="1:25" s="10" customFormat="1" ht="21.3" customHeight="1">
      <c r="A1947" s="27" t="s">
        <v>208</v>
      </c>
      <c r="B1947" s="28" t="s">
        <v>21</v>
      </c>
      <c r="C1947" s="27" t="s">
        <v>2524</v>
      </c>
      <c r="D1947" s="27" t="s">
        <v>8996</v>
      </c>
      <c r="E1947" s="27" t="s">
        <v>8997</v>
      </c>
      <c r="F1947" s="27" t="s">
        <v>5620</v>
      </c>
      <c r="G1947" s="101" t="s">
        <v>5627</v>
      </c>
      <c r="H1947" s="91">
        <v>45768</v>
      </c>
      <c r="I1947" s="73">
        <v>43693</v>
      </c>
      <c r="J1947" s="73">
        <v>43693</v>
      </c>
      <c r="K1947" s="73">
        <v>33978</v>
      </c>
      <c r="L1947" s="11" t="s">
        <v>82</v>
      </c>
      <c r="M1947" s="1" t="s">
        <v>35</v>
      </c>
      <c r="N1947" s="112" t="s">
        <v>14</v>
      </c>
      <c r="O1947" s="104" t="s">
        <v>52</v>
      </c>
      <c r="P1947" s="104" t="s">
        <v>52</v>
      </c>
      <c r="Q1947" s="105"/>
      <c r="R1947" s="28" t="s">
        <v>10804</v>
      </c>
      <c r="S1947" s="174">
        <f t="shared" si="30"/>
        <v>56158</v>
      </c>
      <c r="T1947" s="2" t="s">
        <v>7652</v>
      </c>
      <c r="U1947" s="2" t="s">
        <v>138</v>
      </c>
      <c r="V1947" s="203" t="str" cm="1">
        <f t="array" ref="V1947">_xlfn.IFS(C1947="","",COUNTIF(C1947,"ตำแหน่งว่าง*"),"ว่าง",COUNTIF(C1947,"&lt;&gt;ตำแหน่งว่าง*"),"คนครอง")</f>
        <v>คนครอง</v>
      </c>
      <c r="W1947" s="1" cm="1">
        <f t="array" ref="W1947">_xlfn.IFS(COUNTIF(F1947,"ผบ.หมู่*"),51,COUNTIF(F1947,"รอง สว.*"),43)</f>
        <v>51</v>
      </c>
      <c r="X1947" s="1" t="s">
        <v>5626</v>
      </c>
      <c r="Y1947" s="1" t="s">
        <v>52</v>
      </c>
    </row>
    <row r="1948" spans="1:25" s="10" customFormat="1" ht="21.3" customHeight="1">
      <c r="A1948" s="68"/>
      <c r="B1948" s="30"/>
      <c r="C1948" s="30" t="s">
        <v>18</v>
      </c>
      <c r="D1948" s="27"/>
      <c r="E1948" s="27"/>
      <c r="F1948" s="68" t="s">
        <v>5620</v>
      </c>
      <c r="G1948" s="121" t="s">
        <v>5629</v>
      </c>
      <c r="H1948" s="91" t="s">
        <v>19</v>
      </c>
      <c r="I1948" s="73" t="s">
        <v>19</v>
      </c>
      <c r="J1948" s="73" t="s">
        <v>19</v>
      </c>
      <c r="K1948" s="73" t="s">
        <v>19</v>
      </c>
      <c r="L1948" s="11"/>
      <c r="M1948" s="6"/>
      <c r="N1948" s="113" t="s">
        <v>14</v>
      </c>
      <c r="O1948" s="122" t="s">
        <v>52</v>
      </c>
      <c r="P1948" s="122" t="s">
        <v>52</v>
      </c>
      <c r="Q1948" s="106"/>
      <c r="R1948" s="30"/>
      <c r="S1948" s="225" t="str">
        <f t="shared" si="30"/>
        <v/>
      </c>
      <c r="T1948" s="7" t="s">
        <v>7652</v>
      </c>
      <c r="U1948" s="7" t="s">
        <v>138</v>
      </c>
      <c r="V1948" s="171" t="str" cm="1">
        <f t="array" ref="V1948">_xlfn.IFS(C1948="","",COUNTIF(C1948,"ตำแหน่งว่าง*"),"ว่าง",COUNTIF(C1948,"&lt;&gt;ตำแหน่งว่าง*"),"คนครอง")</f>
        <v>ว่าง</v>
      </c>
      <c r="W1948" s="6" cm="1">
        <f t="array" ref="W1948">_xlfn.IFS(COUNTIF(F1948,"ผบ.หมู่*"),51,COUNTIF(F1948,"รอง สว.*"),43)</f>
        <v>51</v>
      </c>
      <c r="X1948" s="6" t="s">
        <v>5628</v>
      </c>
      <c r="Y1948" s="6" t="s">
        <v>52</v>
      </c>
    </row>
    <row r="1949" spans="1:25" s="12" customFormat="1" ht="21.3" customHeight="1">
      <c r="A1949" s="27" t="s">
        <v>612</v>
      </c>
      <c r="B1949" s="28" t="s">
        <v>12</v>
      </c>
      <c r="C1949" s="95" t="s">
        <v>5630</v>
      </c>
      <c r="D1949" s="27" t="s">
        <v>10055</v>
      </c>
      <c r="E1949" s="27" t="s">
        <v>10056</v>
      </c>
      <c r="F1949" s="95" t="s">
        <v>5620</v>
      </c>
      <c r="G1949" s="101" t="s">
        <v>5632</v>
      </c>
      <c r="H1949" s="75">
        <v>42501</v>
      </c>
      <c r="I1949" s="73">
        <v>42416</v>
      </c>
      <c r="J1949" s="73">
        <v>42416</v>
      </c>
      <c r="K1949" s="73">
        <v>35177</v>
      </c>
      <c r="L1949" s="11" t="s">
        <v>3316</v>
      </c>
      <c r="M1949" s="1" t="s">
        <v>56</v>
      </c>
      <c r="N1949" s="111" t="s">
        <v>14</v>
      </c>
      <c r="O1949" s="104" t="s">
        <v>52</v>
      </c>
      <c r="P1949" s="104" t="s">
        <v>52</v>
      </c>
      <c r="Q1949" s="105"/>
      <c r="R1949" s="28" t="s">
        <v>110</v>
      </c>
      <c r="S1949" s="225">
        <f t="shared" si="30"/>
        <v>57254</v>
      </c>
      <c r="T1949" s="162" t="s">
        <v>7652</v>
      </c>
      <c r="U1949" s="7" t="s">
        <v>138</v>
      </c>
      <c r="V1949" s="162" t="str" cm="1">
        <f t="array" ref="V1949">_xlfn.IFS(C1949="","",COUNTIF(C1949,"ตำแหน่งว่าง*"),"ว่าง",COUNTIF(C1949,"&lt;&gt;ตำแหน่งว่าง*"),"คนครอง")</f>
        <v>คนครอง</v>
      </c>
      <c r="W1949" s="6" cm="1">
        <f t="array" ref="W1949">_xlfn.IFS(COUNTIF(F1949,"ผบ.หมู่*"),51,COUNTIF(F1949,"รอง สว.*"),43)</f>
        <v>51</v>
      </c>
      <c r="X1949" s="5" t="s">
        <v>5631</v>
      </c>
      <c r="Y1949" s="5" t="s">
        <v>52</v>
      </c>
    </row>
    <row r="1950" spans="1:25" s="12" customFormat="1" ht="21.3" customHeight="1">
      <c r="A1950" s="27" t="s">
        <v>157</v>
      </c>
      <c r="B1950" s="28" t="s">
        <v>21</v>
      </c>
      <c r="C1950" s="95" t="s">
        <v>5633</v>
      </c>
      <c r="D1950" s="27" t="s">
        <v>10057</v>
      </c>
      <c r="E1950" s="27" t="s">
        <v>7994</v>
      </c>
      <c r="F1950" s="95" t="s">
        <v>5620</v>
      </c>
      <c r="G1950" s="101" t="s">
        <v>5635</v>
      </c>
      <c r="H1950" s="75">
        <v>42501</v>
      </c>
      <c r="I1950" s="73">
        <v>34729</v>
      </c>
      <c r="J1950" s="73">
        <v>34729</v>
      </c>
      <c r="K1950" s="73">
        <v>24675</v>
      </c>
      <c r="L1950" s="11" t="s">
        <v>4073</v>
      </c>
      <c r="M1950" s="1" t="s">
        <v>95</v>
      </c>
      <c r="N1950" s="111" t="s">
        <v>14</v>
      </c>
      <c r="O1950" s="104" t="s">
        <v>52</v>
      </c>
      <c r="P1950" s="104" t="s">
        <v>52</v>
      </c>
      <c r="Q1950" s="105"/>
      <c r="R1950" s="28" t="s">
        <v>110</v>
      </c>
      <c r="S1950" s="225">
        <f t="shared" si="30"/>
        <v>46661</v>
      </c>
      <c r="T1950" s="162" t="s">
        <v>7652</v>
      </c>
      <c r="U1950" s="7" t="s">
        <v>138</v>
      </c>
      <c r="V1950" s="162" t="str" cm="1">
        <f t="array" ref="V1950">_xlfn.IFS(C1950="","",COUNTIF(C1950,"ตำแหน่งว่าง*"),"ว่าง",COUNTIF(C1950,"&lt;&gt;ตำแหน่งว่าง*"),"คนครอง")</f>
        <v>คนครอง</v>
      </c>
      <c r="W1950" s="6" cm="1">
        <f t="array" ref="W1950">_xlfn.IFS(COUNTIF(F1950,"ผบ.หมู่*"),51,COUNTIF(F1950,"รอง สว.*"),43)</f>
        <v>51</v>
      </c>
      <c r="X1950" s="5" t="s">
        <v>5634</v>
      </c>
      <c r="Y1950" s="5" t="s">
        <v>52</v>
      </c>
    </row>
    <row r="1951" spans="1:25" s="12" customFormat="1" ht="21.3" customHeight="1">
      <c r="A1951" s="95" t="s">
        <v>44</v>
      </c>
      <c r="B1951" s="31" t="s">
        <v>21</v>
      </c>
      <c r="C1951" s="95" t="s">
        <v>5636</v>
      </c>
      <c r="D1951" s="27" t="s">
        <v>10058</v>
      </c>
      <c r="E1951" s="27" t="s">
        <v>10059</v>
      </c>
      <c r="F1951" s="95" t="s">
        <v>5611</v>
      </c>
      <c r="G1951" s="101" t="s">
        <v>5638</v>
      </c>
      <c r="H1951" s="88">
        <v>44651</v>
      </c>
      <c r="I1951" s="76">
        <v>44651</v>
      </c>
      <c r="J1951" s="76">
        <v>34729</v>
      </c>
      <c r="K1951" s="76">
        <v>25417</v>
      </c>
      <c r="L1951" s="17" t="s">
        <v>5639</v>
      </c>
      <c r="M1951" s="5" t="s">
        <v>95</v>
      </c>
      <c r="N1951" s="111" t="s">
        <v>14</v>
      </c>
      <c r="O1951" s="104" t="s">
        <v>52</v>
      </c>
      <c r="P1951" s="104" t="s">
        <v>52</v>
      </c>
      <c r="Q1951" s="108"/>
      <c r="R1951" s="31" t="s">
        <v>2856</v>
      </c>
      <c r="S1951" s="225">
        <f t="shared" si="30"/>
        <v>47392</v>
      </c>
      <c r="T1951" s="162" t="s">
        <v>7652</v>
      </c>
      <c r="U1951" s="7" t="s">
        <v>138</v>
      </c>
      <c r="V1951" s="162" t="str" cm="1">
        <f t="array" ref="V1951">_xlfn.IFS(C1951="","",COUNTIF(C1951,"ตำแหน่งว่าง*"),"ว่าง",COUNTIF(C1951,"&lt;&gt;ตำแหน่งว่าง*"),"คนครอง")</f>
        <v>คนครอง</v>
      </c>
      <c r="W1951" s="5" cm="1">
        <f t="array" ref="W1951">_xlfn.IFS(COUNTIF(F1951,"ผบ.หมู่*"),51,COUNTIF(F1951,"รอง สว.*"),43)</f>
        <v>43</v>
      </c>
      <c r="X1951" s="5" t="s">
        <v>5637</v>
      </c>
      <c r="Y1951" s="5" t="s">
        <v>52</v>
      </c>
    </row>
    <row r="1952" spans="1:25" s="10" customFormat="1" ht="21.3" customHeight="1">
      <c r="A1952" s="27" t="s">
        <v>157</v>
      </c>
      <c r="B1952" s="28" t="s">
        <v>12</v>
      </c>
      <c r="C1952" s="27" t="s">
        <v>5640</v>
      </c>
      <c r="D1952" s="27" t="s">
        <v>10060</v>
      </c>
      <c r="E1952" s="27" t="s">
        <v>10061</v>
      </c>
      <c r="F1952" s="27" t="s">
        <v>5620</v>
      </c>
      <c r="G1952" s="101" t="s">
        <v>5642</v>
      </c>
      <c r="H1952" s="91">
        <v>43656</v>
      </c>
      <c r="I1952" s="73">
        <v>35825</v>
      </c>
      <c r="J1952" s="73">
        <v>35825</v>
      </c>
      <c r="K1952" s="73">
        <v>26157</v>
      </c>
      <c r="L1952" s="11" t="s">
        <v>3316</v>
      </c>
      <c r="M1952" s="1" t="s">
        <v>95</v>
      </c>
      <c r="N1952" s="112" t="s">
        <v>14</v>
      </c>
      <c r="O1952" s="104" t="s">
        <v>52</v>
      </c>
      <c r="P1952" s="104" t="s">
        <v>52</v>
      </c>
      <c r="Q1952" s="105"/>
      <c r="R1952" s="28" t="s">
        <v>2794</v>
      </c>
      <c r="S1952" s="225">
        <f t="shared" si="30"/>
        <v>48122</v>
      </c>
      <c r="T1952" s="7" t="s">
        <v>7652</v>
      </c>
      <c r="U1952" s="7" t="s">
        <v>138</v>
      </c>
      <c r="V1952" s="162" t="str" cm="1">
        <f t="array" ref="V1952">_xlfn.IFS(C1952="","",COUNTIF(C1952,"ตำแหน่งว่าง*"),"ว่าง",COUNTIF(C1952,"&lt;&gt;ตำแหน่งว่าง*"),"คนครอง")</f>
        <v>คนครอง</v>
      </c>
      <c r="W1952" s="6" cm="1">
        <f t="array" ref="W1952">_xlfn.IFS(COUNTIF(F1952,"ผบ.หมู่*"),51,COUNTIF(F1952,"รอง สว.*"),43)</f>
        <v>51</v>
      </c>
      <c r="X1952" s="1" t="s">
        <v>5641</v>
      </c>
      <c r="Y1952" s="1" t="s">
        <v>52</v>
      </c>
    </row>
    <row r="1953" spans="1:25" s="10" customFormat="1" ht="21.3" customHeight="1">
      <c r="A1953" s="27"/>
      <c r="B1953" s="28"/>
      <c r="C1953" s="30" t="s">
        <v>18</v>
      </c>
      <c r="D1953" s="27"/>
      <c r="E1953" s="27"/>
      <c r="F1953" s="68" t="s">
        <v>5620</v>
      </c>
      <c r="G1953" s="121" t="s">
        <v>5644</v>
      </c>
      <c r="H1953" s="91" t="s">
        <v>19</v>
      </c>
      <c r="I1953" s="73" t="s">
        <v>19</v>
      </c>
      <c r="J1953" s="73" t="s">
        <v>19</v>
      </c>
      <c r="K1953" s="73" t="s">
        <v>19</v>
      </c>
      <c r="L1953" s="11"/>
      <c r="M1953" s="1"/>
      <c r="N1953" s="113" t="s">
        <v>14</v>
      </c>
      <c r="O1953" s="122" t="s">
        <v>52</v>
      </c>
      <c r="P1953" s="122" t="s">
        <v>52</v>
      </c>
      <c r="Q1953" s="105"/>
      <c r="R1953" s="28"/>
      <c r="S1953" s="225" t="str">
        <f t="shared" si="30"/>
        <v/>
      </c>
      <c r="T1953" s="7" t="s">
        <v>7652</v>
      </c>
      <c r="U1953" s="7" t="s">
        <v>138</v>
      </c>
      <c r="V1953" s="171" t="str" cm="1">
        <f t="array" ref="V1953">_xlfn.IFS(C1953="","",COUNTIF(C1953,"ตำแหน่งว่าง*"),"ว่าง",COUNTIF(C1953,"&lt;&gt;ตำแหน่งว่าง*"),"คนครอง")</f>
        <v>ว่าง</v>
      </c>
      <c r="W1953" s="6" cm="1">
        <f t="array" ref="W1953">_xlfn.IFS(COUNTIF(F1953,"ผบ.หมู่*"),51,COUNTIF(F1953,"รอง สว.*"),43)</f>
        <v>51</v>
      </c>
      <c r="X1953" s="6" t="s">
        <v>5643</v>
      </c>
      <c r="Y1953" s="6" t="s">
        <v>52</v>
      </c>
    </row>
    <row r="1954" spans="1:25" s="10" customFormat="1" ht="21.3" customHeight="1">
      <c r="A1954" s="27"/>
      <c r="B1954" s="28"/>
      <c r="C1954" s="30" t="s">
        <v>18</v>
      </c>
      <c r="D1954" s="27"/>
      <c r="E1954" s="27"/>
      <c r="F1954" s="68" t="s">
        <v>5620</v>
      </c>
      <c r="G1954" s="121" t="s">
        <v>5646</v>
      </c>
      <c r="H1954" s="91" t="s">
        <v>19</v>
      </c>
      <c r="I1954" s="73" t="s">
        <v>19</v>
      </c>
      <c r="J1954" s="73" t="s">
        <v>19</v>
      </c>
      <c r="K1954" s="73" t="s">
        <v>19</v>
      </c>
      <c r="L1954" s="11"/>
      <c r="M1954" s="1"/>
      <c r="N1954" s="113" t="s">
        <v>14</v>
      </c>
      <c r="O1954" s="122" t="s">
        <v>52</v>
      </c>
      <c r="P1954" s="122" t="s">
        <v>52</v>
      </c>
      <c r="Q1954" s="105"/>
      <c r="R1954" s="28"/>
      <c r="S1954" s="225" t="str">
        <f t="shared" si="30"/>
        <v/>
      </c>
      <c r="T1954" s="7" t="s">
        <v>7652</v>
      </c>
      <c r="U1954" s="7" t="s">
        <v>138</v>
      </c>
      <c r="V1954" s="171" t="str" cm="1">
        <f t="array" ref="V1954">_xlfn.IFS(C1954="","",COUNTIF(C1954,"ตำแหน่งว่าง*"),"ว่าง",COUNTIF(C1954,"&lt;&gt;ตำแหน่งว่าง*"),"คนครอง")</f>
        <v>ว่าง</v>
      </c>
      <c r="W1954" s="6" cm="1">
        <f t="array" ref="W1954">_xlfn.IFS(COUNTIF(F1954,"ผบ.หมู่*"),51,COUNTIF(F1954,"รอง สว.*"),43)</f>
        <v>51</v>
      </c>
      <c r="X1954" s="6" t="s">
        <v>5645</v>
      </c>
      <c r="Y1954" s="6" t="s">
        <v>52</v>
      </c>
    </row>
    <row r="1955" spans="1:25" s="10" customFormat="1" ht="21.3" customHeight="1">
      <c r="A1955" s="27"/>
      <c r="B1955" s="28"/>
      <c r="C1955" s="30" t="s">
        <v>18</v>
      </c>
      <c r="D1955" s="27"/>
      <c r="E1955" s="27"/>
      <c r="F1955" s="68" t="s">
        <v>5620</v>
      </c>
      <c r="G1955" s="121" t="s">
        <v>5648</v>
      </c>
      <c r="H1955" s="91" t="s">
        <v>19</v>
      </c>
      <c r="I1955" s="73" t="s">
        <v>19</v>
      </c>
      <c r="J1955" s="73" t="s">
        <v>19</v>
      </c>
      <c r="K1955" s="73" t="s">
        <v>19</v>
      </c>
      <c r="L1955" s="11"/>
      <c r="M1955" s="1"/>
      <c r="N1955" s="113" t="s">
        <v>14</v>
      </c>
      <c r="O1955" s="122" t="s">
        <v>52</v>
      </c>
      <c r="P1955" s="122" t="s">
        <v>52</v>
      </c>
      <c r="Q1955" s="105"/>
      <c r="R1955" s="28"/>
      <c r="S1955" s="225" t="str">
        <f t="shared" si="30"/>
        <v/>
      </c>
      <c r="T1955" s="7" t="s">
        <v>7652</v>
      </c>
      <c r="U1955" s="7" t="s">
        <v>138</v>
      </c>
      <c r="V1955" s="171" t="str" cm="1">
        <f t="array" ref="V1955">_xlfn.IFS(C1955="","",COUNTIF(C1955,"ตำแหน่งว่าง*"),"ว่าง",COUNTIF(C1955,"&lt;&gt;ตำแหน่งว่าง*"),"คนครอง")</f>
        <v>ว่าง</v>
      </c>
      <c r="W1955" s="6" cm="1">
        <f t="array" ref="W1955">_xlfn.IFS(COUNTIF(F1955,"ผบ.หมู่*"),51,COUNTIF(F1955,"รอง สว.*"),43)</f>
        <v>51</v>
      </c>
      <c r="X1955" s="6" t="s">
        <v>5647</v>
      </c>
      <c r="Y1955" s="6" t="s">
        <v>52</v>
      </c>
    </row>
    <row r="1956" spans="1:25" s="10" customFormat="1" ht="21.3" customHeight="1">
      <c r="A1956" s="27"/>
      <c r="B1956" s="28"/>
      <c r="C1956" s="30" t="s">
        <v>18</v>
      </c>
      <c r="D1956" s="27"/>
      <c r="E1956" s="27"/>
      <c r="F1956" s="68" t="s">
        <v>5620</v>
      </c>
      <c r="G1956" s="121" t="s">
        <v>5650</v>
      </c>
      <c r="H1956" s="91" t="s">
        <v>19</v>
      </c>
      <c r="I1956" s="73" t="s">
        <v>19</v>
      </c>
      <c r="J1956" s="73" t="s">
        <v>19</v>
      </c>
      <c r="K1956" s="73" t="s">
        <v>19</v>
      </c>
      <c r="L1956" s="11"/>
      <c r="M1956" s="1"/>
      <c r="N1956" s="113" t="s">
        <v>14</v>
      </c>
      <c r="O1956" s="122" t="s">
        <v>52</v>
      </c>
      <c r="P1956" s="122" t="s">
        <v>52</v>
      </c>
      <c r="Q1956" s="105"/>
      <c r="R1956" s="28"/>
      <c r="S1956" s="225" t="str">
        <f t="shared" si="30"/>
        <v/>
      </c>
      <c r="T1956" s="7" t="s">
        <v>7652</v>
      </c>
      <c r="U1956" s="7" t="s">
        <v>138</v>
      </c>
      <c r="V1956" s="171" t="str" cm="1">
        <f t="array" ref="V1956">_xlfn.IFS(C1956="","",COUNTIF(C1956,"ตำแหน่งว่าง*"),"ว่าง",COUNTIF(C1956,"&lt;&gt;ตำแหน่งว่าง*"),"คนครอง")</f>
        <v>ว่าง</v>
      </c>
      <c r="W1956" s="6" cm="1">
        <f t="array" ref="W1956">_xlfn.IFS(COUNTIF(F1956,"ผบ.หมู่*"),51,COUNTIF(F1956,"รอง สว.*"),43)</f>
        <v>51</v>
      </c>
      <c r="X1956" s="6" t="s">
        <v>5649</v>
      </c>
      <c r="Y1956" s="6" t="s">
        <v>52</v>
      </c>
    </row>
    <row r="1957" spans="1:25" s="9" customFormat="1" ht="21.3" customHeight="1">
      <c r="A1957" s="27" t="s">
        <v>182</v>
      </c>
      <c r="B1957" s="28" t="s">
        <v>12</v>
      </c>
      <c r="C1957" s="27" t="s">
        <v>5837</v>
      </c>
      <c r="D1957" s="27" t="s">
        <v>10062</v>
      </c>
      <c r="E1957" s="27" t="s">
        <v>8246</v>
      </c>
      <c r="F1957" s="27" t="s">
        <v>5838</v>
      </c>
      <c r="G1957" s="101" t="s">
        <v>5840</v>
      </c>
      <c r="H1957" s="91">
        <v>44043</v>
      </c>
      <c r="I1957" s="73">
        <v>44043</v>
      </c>
      <c r="J1957" s="73">
        <v>44043</v>
      </c>
      <c r="K1957" s="73">
        <v>35333</v>
      </c>
      <c r="L1957" s="11" t="s">
        <v>3316</v>
      </c>
      <c r="M1957" s="1" t="s">
        <v>56</v>
      </c>
      <c r="N1957" s="112" t="s">
        <v>14</v>
      </c>
      <c r="O1957" s="104" t="s">
        <v>52</v>
      </c>
      <c r="P1957" s="104" t="s">
        <v>52</v>
      </c>
      <c r="Q1957" s="105"/>
      <c r="R1957" s="28" t="s">
        <v>2436</v>
      </c>
      <c r="S1957" s="225">
        <f t="shared" si="30"/>
        <v>57254</v>
      </c>
      <c r="T1957" s="2" t="s">
        <v>7657</v>
      </c>
      <c r="U1957" s="7" t="s">
        <v>138</v>
      </c>
      <c r="V1957" s="162" t="str" cm="1">
        <f t="array" ref="V1957">_xlfn.IFS(C1957="","",COUNTIF(C1957,"ตำแหน่งว่าง*"),"ว่าง",COUNTIF(C1957,"&lt;&gt;ตำแหน่งว่าง*"),"คนครอง")</f>
        <v>คนครอง</v>
      </c>
      <c r="W1957" s="6" cm="1">
        <f t="array" ref="W1957">_xlfn.IFS(COUNTIF(F1957,"ผบ.หมู่*"),51,COUNTIF(F1957,"รอง สว.*"),43)</f>
        <v>51</v>
      </c>
      <c r="X1957" s="1" t="s">
        <v>5839</v>
      </c>
      <c r="Y1957" s="1" t="s">
        <v>52</v>
      </c>
    </row>
    <row r="1958" spans="1:25" s="9" customFormat="1" ht="21.3" customHeight="1">
      <c r="A1958" s="27" t="s">
        <v>182</v>
      </c>
      <c r="B1958" s="28" t="s">
        <v>12</v>
      </c>
      <c r="C1958" s="27" t="s">
        <v>5841</v>
      </c>
      <c r="D1958" s="27" t="s">
        <v>8272</v>
      </c>
      <c r="E1958" s="27" t="s">
        <v>10063</v>
      </c>
      <c r="F1958" s="27" t="s">
        <v>5838</v>
      </c>
      <c r="G1958" s="101" t="s">
        <v>5843</v>
      </c>
      <c r="H1958" s="75">
        <v>44636</v>
      </c>
      <c r="I1958" s="73">
        <v>44636</v>
      </c>
      <c r="J1958" s="73">
        <v>44636</v>
      </c>
      <c r="K1958" s="73">
        <v>35366</v>
      </c>
      <c r="L1958" s="11" t="s">
        <v>82</v>
      </c>
      <c r="M1958" s="1" t="s">
        <v>47</v>
      </c>
      <c r="N1958" s="112" t="s">
        <v>14</v>
      </c>
      <c r="O1958" s="104" t="s">
        <v>52</v>
      </c>
      <c r="P1958" s="104" t="s">
        <v>52</v>
      </c>
      <c r="Q1958" s="105"/>
      <c r="R1958" s="28" t="s">
        <v>611</v>
      </c>
      <c r="S1958" s="225">
        <f t="shared" si="30"/>
        <v>57619</v>
      </c>
      <c r="T1958" s="2" t="s">
        <v>7657</v>
      </c>
      <c r="U1958" s="7" t="s">
        <v>138</v>
      </c>
      <c r="V1958" s="162" t="str" cm="1">
        <f t="array" ref="V1958">_xlfn.IFS(C1958="","",COUNTIF(C1958,"ตำแหน่งว่าง*"),"ว่าง",COUNTIF(C1958,"&lt;&gt;ตำแหน่งว่าง*"),"คนครอง")</f>
        <v>คนครอง</v>
      </c>
      <c r="W1958" s="6" cm="1">
        <f t="array" ref="W1958">_xlfn.IFS(COUNTIF(F1958,"ผบ.หมู่*"),51,COUNTIF(F1958,"รอง สว.*"),43)</f>
        <v>51</v>
      </c>
      <c r="X1958" s="1" t="s">
        <v>5842</v>
      </c>
      <c r="Y1958" s="1" t="s">
        <v>52</v>
      </c>
    </row>
    <row r="1959" spans="1:25" s="12" customFormat="1" ht="21.3" customHeight="1">
      <c r="A1959" s="27" t="s">
        <v>612</v>
      </c>
      <c r="B1959" s="28" t="s">
        <v>12</v>
      </c>
      <c r="C1959" s="95" t="s">
        <v>5844</v>
      </c>
      <c r="D1959" s="27" t="s">
        <v>8138</v>
      </c>
      <c r="E1959" s="27" t="s">
        <v>9387</v>
      </c>
      <c r="F1959" s="95" t="s">
        <v>5838</v>
      </c>
      <c r="G1959" s="101" t="s">
        <v>5846</v>
      </c>
      <c r="H1959" s="75">
        <v>42416</v>
      </c>
      <c r="I1959" s="73">
        <v>42416</v>
      </c>
      <c r="J1959" s="73">
        <v>42416</v>
      </c>
      <c r="K1959" s="73">
        <v>31463</v>
      </c>
      <c r="L1959" s="11" t="s">
        <v>1667</v>
      </c>
      <c r="M1959" s="1" t="s">
        <v>77</v>
      </c>
      <c r="N1959" s="111" t="s">
        <v>14</v>
      </c>
      <c r="O1959" s="104" t="s">
        <v>52</v>
      </c>
      <c r="P1959" s="104" t="s">
        <v>52</v>
      </c>
      <c r="Q1959" s="105"/>
      <c r="R1959" s="28" t="s">
        <v>110</v>
      </c>
      <c r="S1959" s="225">
        <f t="shared" si="30"/>
        <v>53601</v>
      </c>
      <c r="T1959" s="162" t="s">
        <v>7657</v>
      </c>
      <c r="U1959" s="7" t="s">
        <v>138</v>
      </c>
      <c r="V1959" s="162" t="str" cm="1">
        <f t="array" ref="V1959">_xlfn.IFS(C1959="","",COUNTIF(C1959,"ตำแหน่งว่าง*"),"ว่าง",COUNTIF(C1959,"&lt;&gt;ตำแหน่งว่าง*"),"คนครอง")</f>
        <v>คนครอง</v>
      </c>
      <c r="W1959" s="6" cm="1">
        <f t="array" ref="W1959">_xlfn.IFS(COUNTIF(F1959,"ผบ.หมู่*"),51,COUNTIF(F1959,"รอง สว.*"),43)</f>
        <v>51</v>
      </c>
      <c r="X1959" s="5" t="s">
        <v>5845</v>
      </c>
      <c r="Y1959" s="5" t="s">
        <v>52</v>
      </c>
    </row>
    <row r="1960" spans="1:25" s="10" customFormat="1" ht="21.3" customHeight="1">
      <c r="A1960" s="192" t="s">
        <v>169</v>
      </c>
      <c r="B1960" s="193" t="s">
        <v>21</v>
      </c>
      <c r="C1960" s="192" t="s">
        <v>10704</v>
      </c>
      <c r="D1960" s="27" t="s">
        <v>9301</v>
      </c>
      <c r="E1960" s="27" t="s">
        <v>10705</v>
      </c>
      <c r="F1960" s="192" t="s">
        <v>5838</v>
      </c>
      <c r="G1960" s="101" t="s">
        <v>5848</v>
      </c>
      <c r="H1960" s="73">
        <v>45463</v>
      </c>
      <c r="I1960" s="73">
        <v>45463</v>
      </c>
      <c r="J1960" s="73">
        <v>45463</v>
      </c>
      <c r="K1960" s="73">
        <v>36408</v>
      </c>
      <c r="L1960" s="2" t="s">
        <v>82</v>
      </c>
      <c r="M1960" s="1"/>
      <c r="N1960" s="112" t="s">
        <v>14</v>
      </c>
      <c r="O1960" s="104" t="s">
        <v>52</v>
      </c>
      <c r="P1960" s="104" t="s">
        <v>52</v>
      </c>
      <c r="Q1960" s="105"/>
      <c r="R1960" s="28" t="s">
        <v>7961</v>
      </c>
      <c r="S1960" s="174">
        <f t="shared" si="30"/>
        <v>58349</v>
      </c>
      <c r="T1960" s="2" t="s">
        <v>7657</v>
      </c>
      <c r="U1960" s="2" t="s">
        <v>138</v>
      </c>
      <c r="V1960" s="162" t="str" cm="1">
        <f t="array" ref="V1960">_xlfn.IFS(C1960="","",COUNTIF(C1960,"ตำแหน่งว่าง*"),"ว่าง",COUNTIF(C1960,"&lt;&gt;ตำแหน่งว่าง*"),"คนครอง")</f>
        <v>คนครอง</v>
      </c>
      <c r="W1960" s="1" cm="1">
        <f t="array" ref="W1960">_xlfn.IFS(COUNTIF(F1960,"ผบ.หมู่*"),51,COUNTIF(F1960,"รอง สว.*"),43)</f>
        <v>51</v>
      </c>
      <c r="X1960" s="1" t="s">
        <v>5847</v>
      </c>
      <c r="Y1960" s="1" t="s">
        <v>52</v>
      </c>
    </row>
    <row r="1961" spans="1:25" s="9" customFormat="1" ht="21.3" customHeight="1">
      <c r="A1961" s="27" t="s">
        <v>182</v>
      </c>
      <c r="B1961" s="28" t="s">
        <v>12</v>
      </c>
      <c r="C1961" s="27" t="s">
        <v>5849</v>
      </c>
      <c r="D1961" s="27" t="s">
        <v>10064</v>
      </c>
      <c r="E1961" s="27" t="s">
        <v>10065</v>
      </c>
      <c r="F1961" s="27" t="s">
        <v>5838</v>
      </c>
      <c r="G1961" s="101" t="s">
        <v>5851</v>
      </c>
      <c r="H1961" s="91">
        <v>44043</v>
      </c>
      <c r="I1961" s="73">
        <v>44043</v>
      </c>
      <c r="J1961" s="73">
        <v>44043</v>
      </c>
      <c r="K1961" s="73">
        <v>32924</v>
      </c>
      <c r="L1961" s="11" t="s">
        <v>3316</v>
      </c>
      <c r="M1961" s="1" t="s">
        <v>126</v>
      </c>
      <c r="N1961" s="112" t="s">
        <v>14</v>
      </c>
      <c r="O1961" s="104" t="s">
        <v>52</v>
      </c>
      <c r="P1961" s="104" t="s">
        <v>52</v>
      </c>
      <c r="Q1961" s="105"/>
      <c r="R1961" s="28" t="s">
        <v>2436</v>
      </c>
      <c r="S1961" s="225">
        <f t="shared" si="30"/>
        <v>55062</v>
      </c>
      <c r="T1961" s="2" t="s">
        <v>7657</v>
      </c>
      <c r="U1961" s="7" t="s">
        <v>138</v>
      </c>
      <c r="V1961" s="162" t="str" cm="1">
        <f t="array" ref="V1961">_xlfn.IFS(C1961="","",COUNTIF(C1961,"ตำแหน่งว่าง*"),"ว่าง",COUNTIF(C1961,"&lt;&gt;ตำแหน่งว่าง*"),"คนครอง")</f>
        <v>คนครอง</v>
      </c>
      <c r="W1961" s="6" cm="1">
        <f t="array" ref="W1961">_xlfn.IFS(COUNTIF(F1961,"ผบ.หมู่*"),51,COUNTIF(F1961,"รอง สว.*"),43)</f>
        <v>51</v>
      </c>
      <c r="X1961" s="1" t="s">
        <v>5850</v>
      </c>
      <c r="Y1961" s="1" t="s">
        <v>52</v>
      </c>
    </row>
    <row r="1962" spans="1:25" s="9" customFormat="1" ht="21.3" customHeight="1">
      <c r="A1962" s="27" t="s">
        <v>182</v>
      </c>
      <c r="B1962" s="28" t="s">
        <v>12</v>
      </c>
      <c r="C1962" s="27" t="s">
        <v>5852</v>
      </c>
      <c r="D1962" s="27" t="s">
        <v>10066</v>
      </c>
      <c r="E1962" s="27" t="s">
        <v>10067</v>
      </c>
      <c r="F1962" s="27" t="s">
        <v>5838</v>
      </c>
      <c r="G1962" s="101" t="s">
        <v>5854</v>
      </c>
      <c r="H1962" s="91">
        <v>44043</v>
      </c>
      <c r="I1962" s="73">
        <v>44043</v>
      </c>
      <c r="J1962" s="73">
        <v>44043</v>
      </c>
      <c r="K1962" s="73">
        <v>32129</v>
      </c>
      <c r="L1962" s="11" t="s">
        <v>3316</v>
      </c>
      <c r="M1962" s="1" t="s">
        <v>47</v>
      </c>
      <c r="N1962" s="112" t="s">
        <v>14</v>
      </c>
      <c r="O1962" s="104" t="s">
        <v>52</v>
      </c>
      <c r="P1962" s="104" t="s">
        <v>52</v>
      </c>
      <c r="Q1962" s="105"/>
      <c r="R1962" s="28" t="s">
        <v>2436</v>
      </c>
      <c r="S1962" s="225">
        <f t="shared" si="30"/>
        <v>54332</v>
      </c>
      <c r="T1962" s="2" t="s">
        <v>7657</v>
      </c>
      <c r="U1962" s="7" t="s">
        <v>138</v>
      </c>
      <c r="V1962" s="162" t="str" cm="1">
        <f t="array" ref="V1962">_xlfn.IFS(C1962="","",COUNTIF(C1962,"ตำแหน่งว่าง*"),"ว่าง",COUNTIF(C1962,"&lt;&gt;ตำแหน่งว่าง*"),"คนครอง")</f>
        <v>คนครอง</v>
      </c>
      <c r="W1962" s="6" cm="1">
        <f t="array" ref="W1962">_xlfn.IFS(COUNTIF(F1962,"ผบ.หมู่*"),51,COUNTIF(F1962,"รอง สว.*"),43)</f>
        <v>51</v>
      </c>
      <c r="X1962" s="1" t="s">
        <v>5853</v>
      </c>
      <c r="Y1962" s="1" t="s">
        <v>52</v>
      </c>
    </row>
    <row r="1963" spans="1:25" s="10" customFormat="1" ht="21.3" customHeight="1">
      <c r="A1963" s="192" t="s">
        <v>169</v>
      </c>
      <c r="B1963" s="193" t="s">
        <v>21</v>
      </c>
      <c r="C1963" s="192" t="s">
        <v>7946</v>
      </c>
      <c r="D1963" s="27" t="s">
        <v>8300</v>
      </c>
      <c r="E1963" s="27" t="s">
        <v>10068</v>
      </c>
      <c r="F1963" s="192" t="s">
        <v>5838</v>
      </c>
      <c r="G1963" s="101" t="s">
        <v>5856</v>
      </c>
      <c r="H1963" s="73">
        <v>45463</v>
      </c>
      <c r="I1963" s="73">
        <v>45463</v>
      </c>
      <c r="J1963" s="73">
        <v>45463</v>
      </c>
      <c r="K1963" s="73">
        <v>35362</v>
      </c>
      <c r="L1963" s="2" t="s">
        <v>82</v>
      </c>
      <c r="M1963" s="1"/>
      <c r="N1963" s="112" t="s">
        <v>14</v>
      </c>
      <c r="O1963" s="104" t="s">
        <v>52</v>
      </c>
      <c r="P1963" s="104" t="s">
        <v>52</v>
      </c>
      <c r="Q1963" s="105"/>
      <c r="R1963" s="28" t="s">
        <v>7961</v>
      </c>
      <c r="S1963" s="174">
        <f t="shared" si="30"/>
        <v>57619</v>
      </c>
      <c r="T1963" s="2" t="s">
        <v>7657</v>
      </c>
      <c r="U1963" s="2" t="s">
        <v>138</v>
      </c>
      <c r="V1963" s="162" t="str" cm="1">
        <f t="array" ref="V1963">_xlfn.IFS(C1963="","",COUNTIF(C1963,"ตำแหน่งว่าง*"),"ว่าง",COUNTIF(C1963,"&lt;&gt;ตำแหน่งว่าง*"),"คนครอง")</f>
        <v>คนครอง</v>
      </c>
      <c r="W1963" s="1" cm="1">
        <f t="array" ref="W1963">_xlfn.IFS(COUNTIF(F1963,"ผบ.หมู่*"),51,COUNTIF(F1963,"รอง สว.*"),43)</f>
        <v>51</v>
      </c>
      <c r="X1963" s="1" t="s">
        <v>5855</v>
      </c>
      <c r="Y1963" s="1" t="s">
        <v>52</v>
      </c>
    </row>
    <row r="1964" spans="1:25" s="12" customFormat="1" ht="21.3" customHeight="1">
      <c r="A1964" s="27" t="s">
        <v>44</v>
      </c>
      <c r="B1964" s="28" t="s">
        <v>21</v>
      </c>
      <c r="C1964" s="27" t="s">
        <v>10823</v>
      </c>
      <c r="D1964" s="27" t="s">
        <v>10824</v>
      </c>
      <c r="E1964" s="27" t="s">
        <v>10759</v>
      </c>
      <c r="F1964" s="27" t="s">
        <v>10760</v>
      </c>
      <c r="G1964" s="101" t="s">
        <v>5858</v>
      </c>
      <c r="H1964" s="91">
        <v>45768</v>
      </c>
      <c r="I1964" s="73">
        <v>32507</v>
      </c>
      <c r="J1964" s="73">
        <v>32507</v>
      </c>
      <c r="K1964" s="73">
        <v>25320</v>
      </c>
      <c r="L1964" s="11" t="s">
        <v>31</v>
      </c>
      <c r="M1964" s="1" t="s">
        <v>7609</v>
      </c>
      <c r="N1964" s="112" t="s">
        <v>14</v>
      </c>
      <c r="O1964" s="104" t="s">
        <v>52</v>
      </c>
      <c r="P1964" s="104" t="s">
        <v>52</v>
      </c>
      <c r="Q1964" s="105"/>
      <c r="R1964" s="28" t="s">
        <v>10804</v>
      </c>
      <c r="S1964" s="174">
        <f t="shared" si="30"/>
        <v>47392</v>
      </c>
      <c r="T1964" s="2" t="s">
        <v>7657</v>
      </c>
      <c r="U1964" s="2" t="s">
        <v>138</v>
      </c>
      <c r="V1964" s="203" t="str" cm="1">
        <f t="array" ref="V1964">_xlfn.IFS(C1964="","",COUNTIF(C1964,"ตำแหน่งว่าง*"),"ว่าง",COUNTIF(C1964,"&lt;&gt;ตำแหน่งว่าง*"),"คนครอง")</f>
        <v>คนครอง</v>
      </c>
      <c r="W1964" s="1" cm="1">
        <f t="array" ref="W1964">_xlfn.IFS(COUNTIF(F1964,"ผบ.หมู่*"),51,COUNTIF(F1964,"รอง สว.*"),43)</f>
        <v>43</v>
      </c>
      <c r="X1964" s="1" t="s">
        <v>5857</v>
      </c>
      <c r="Y1964" s="1" t="s">
        <v>52</v>
      </c>
    </row>
    <row r="1965" spans="1:25" s="12" customFormat="1" ht="21.3" customHeight="1">
      <c r="A1965" s="27"/>
      <c r="B1965" s="28"/>
      <c r="C1965" s="30" t="s">
        <v>18</v>
      </c>
      <c r="D1965" s="27"/>
      <c r="E1965" s="27"/>
      <c r="F1965" s="68" t="s">
        <v>5838</v>
      </c>
      <c r="G1965" s="121" t="s">
        <v>5860</v>
      </c>
      <c r="H1965" s="91" t="s">
        <v>19</v>
      </c>
      <c r="I1965" s="73" t="s">
        <v>19</v>
      </c>
      <c r="J1965" s="73" t="s">
        <v>19</v>
      </c>
      <c r="K1965" s="73" t="s">
        <v>19</v>
      </c>
      <c r="L1965" s="11"/>
      <c r="M1965" s="1"/>
      <c r="N1965" s="113" t="s">
        <v>14</v>
      </c>
      <c r="O1965" s="122" t="s">
        <v>52</v>
      </c>
      <c r="P1965" s="122" t="s">
        <v>52</v>
      </c>
      <c r="Q1965" s="105"/>
      <c r="R1965" s="28"/>
      <c r="S1965" s="225" t="str">
        <f t="shared" si="30"/>
        <v/>
      </c>
      <c r="T1965" s="162" t="s">
        <v>7657</v>
      </c>
      <c r="U1965" s="7" t="s">
        <v>138</v>
      </c>
      <c r="V1965" s="171" t="str" cm="1">
        <f t="array" ref="V1965">_xlfn.IFS(C1965="","",COUNTIF(C1965,"ตำแหน่งว่าง*"),"ว่าง",COUNTIF(C1965,"&lt;&gt;ตำแหน่งว่าง*"),"คนครอง")</f>
        <v>ว่าง</v>
      </c>
      <c r="W1965" s="6" cm="1">
        <f t="array" ref="W1965">_xlfn.IFS(COUNTIF(F1965,"ผบ.หมู่*"),51,COUNTIF(F1965,"รอง สว.*"),43)</f>
        <v>51</v>
      </c>
      <c r="X1965" s="6" t="s">
        <v>5859</v>
      </c>
      <c r="Y1965" s="6" t="s">
        <v>52</v>
      </c>
    </row>
    <row r="1966" spans="1:25" s="12" customFormat="1" ht="21.3" customHeight="1">
      <c r="A1966" s="27" t="s">
        <v>157</v>
      </c>
      <c r="B1966" s="28" t="s">
        <v>21</v>
      </c>
      <c r="C1966" s="95" t="s">
        <v>5861</v>
      </c>
      <c r="D1966" s="27" t="s">
        <v>8299</v>
      </c>
      <c r="E1966" s="27" t="s">
        <v>10069</v>
      </c>
      <c r="F1966" s="95" t="s">
        <v>5838</v>
      </c>
      <c r="G1966" s="101" t="s">
        <v>5863</v>
      </c>
      <c r="H1966" s="75">
        <v>42501</v>
      </c>
      <c r="I1966" s="73">
        <v>34729</v>
      </c>
      <c r="J1966" s="73">
        <v>34729</v>
      </c>
      <c r="K1966" s="73">
        <v>27109</v>
      </c>
      <c r="L1966" s="11" t="s">
        <v>5614</v>
      </c>
      <c r="M1966" s="1" t="s">
        <v>126</v>
      </c>
      <c r="N1966" s="111" t="s">
        <v>14</v>
      </c>
      <c r="O1966" s="104" t="s">
        <v>52</v>
      </c>
      <c r="P1966" s="104" t="s">
        <v>52</v>
      </c>
      <c r="Q1966" s="105"/>
      <c r="R1966" s="28" t="s">
        <v>110</v>
      </c>
      <c r="S1966" s="225">
        <f t="shared" si="30"/>
        <v>49218</v>
      </c>
      <c r="T1966" s="162" t="s">
        <v>7657</v>
      </c>
      <c r="U1966" s="7" t="s">
        <v>138</v>
      </c>
      <c r="V1966" s="162" t="str" cm="1">
        <f t="array" ref="V1966">_xlfn.IFS(C1966="","",COUNTIF(C1966,"ตำแหน่งว่าง*"),"ว่าง",COUNTIF(C1966,"&lt;&gt;ตำแหน่งว่าง*"),"คนครอง")</f>
        <v>คนครอง</v>
      </c>
      <c r="W1966" s="6" cm="1">
        <f t="array" ref="W1966">_xlfn.IFS(COUNTIF(F1966,"ผบ.หมู่*"),51,COUNTIF(F1966,"รอง สว.*"),43)</f>
        <v>51</v>
      </c>
      <c r="X1966" s="5" t="s">
        <v>5862</v>
      </c>
      <c r="Y1966" s="5" t="s">
        <v>52</v>
      </c>
    </row>
    <row r="1967" spans="1:25" s="10" customFormat="1" ht="21.3" customHeight="1">
      <c r="A1967" s="27"/>
      <c r="B1967" s="28"/>
      <c r="C1967" s="30" t="s">
        <v>18</v>
      </c>
      <c r="D1967" s="27"/>
      <c r="E1967" s="27"/>
      <c r="F1967" s="68" t="s">
        <v>5838</v>
      </c>
      <c r="G1967" s="121" t="s">
        <v>5865</v>
      </c>
      <c r="H1967" s="91" t="s">
        <v>19</v>
      </c>
      <c r="I1967" s="73" t="s">
        <v>19</v>
      </c>
      <c r="J1967" s="73" t="s">
        <v>19</v>
      </c>
      <c r="K1967" s="73" t="s">
        <v>19</v>
      </c>
      <c r="L1967" s="11"/>
      <c r="M1967" s="1"/>
      <c r="N1967" s="113" t="s">
        <v>14</v>
      </c>
      <c r="O1967" s="122" t="s">
        <v>52</v>
      </c>
      <c r="P1967" s="122" t="s">
        <v>52</v>
      </c>
      <c r="Q1967" s="105"/>
      <c r="R1967" s="28"/>
      <c r="S1967" s="225" t="str">
        <f t="shared" si="30"/>
        <v/>
      </c>
      <c r="T1967" s="7" t="s">
        <v>7657</v>
      </c>
      <c r="U1967" s="7" t="s">
        <v>138</v>
      </c>
      <c r="V1967" s="171" t="str" cm="1">
        <f t="array" ref="V1967">_xlfn.IFS(C1967="","",COUNTIF(C1967,"ตำแหน่งว่าง*"),"ว่าง",COUNTIF(C1967,"&lt;&gt;ตำแหน่งว่าง*"),"คนครอง")</f>
        <v>ว่าง</v>
      </c>
      <c r="W1967" s="6" cm="1">
        <f t="array" ref="W1967">_xlfn.IFS(COUNTIF(F1967,"ผบ.หมู่*"),51,COUNTIF(F1967,"รอง สว.*"),43)</f>
        <v>51</v>
      </c>
      <c r="X1967" s="6" t="s">
        <v>5864</v>
      </c>
      <c r="Y1967" s="6" t="s">
        <v>52</v>
      </c>
    </row>
    <row r="1968" spans="1:25" s="9" customFormat="1" ht="21.3" customHeight="1">
      <c r="A1968" s="95" t="s">
        <v>208</v>
      </c>
      <c r="B1968" s="28" t="s">
        <v>21</v>
      </c>
      <c r="C1968" s="27" t="s">
        <v>5866</v>
      </c>
      <c r="D1968" s="27" t="s">
        <v>8216</v>
      </c>
      <c r="E1968" s="27" t="s">
        <v>10070</v>
      </c>
      <c r="F1968" s="27" t="s">
        <v>5838</v>
      </c>
      <c r="G1968" s="101" t="s">
        <v>5868</v>
      </c>
      <c r="H1968" s="91">
        <v>43693</v>
      </c>
      <c r="I1968" s="73">
        <v>43693</v>
      </c>
      <c r="J1968" s="85">
        <v>43693</v>
      </c>
      <c r="K1968" s="73">
        <v>35251</v>
      </c>
      <c r="L1968" s="11" t="s">
        <v>3316</v>
      </c>
      <c r="M1968" s="1" t="s">
        <v>77</v>
      </c>
      <c r="N1968" s="112" t="s">
        <v>14</v>
      </c>
      <c r="O1968" s="104" t="s">
        <v>52</v>
      </c>
      <c r="P1968" s="104" t="s">
        <v>52</v>
      </c>
      <c r="Q1968" s="105"/>
      <c r="R1968" s="28" t="s">
        <v>645</v>
      </c>
      <c r="S1968" s="225">
        <f t="shared" si="30"/>
        <v>57254</v>
      </c>
      <c r="T1968" s="2" t="s">
        <v>7657</v>
      </c>
      <c r="U1968" s="7" t="s">
        <v>138</v>
      </c>
      <c r="V1968" s="162" t="str" cm="1">
        <f t="array" ref="V1968">_xlfn.IFS(C1968="","",COUNTIF(C1968,"ตำแหน่งว่าง*"),"ว่าง",COUNTIF(C1968,"&lt;&gt;ตำแหน่งว่าง*"),"คนครอง")</f>
        <v>คนครอง</v>
      </c>
      <c r="W1968" s="6" cm="1">
        <f t="array" ref="W1968">_xlfn.IFS(COUNTIF(F1968,"ผบ.หมู่*"),51,COUNTIF(F1968,"รอง สว.*"),43)</f>
        <v>51</v>
      </c>
      <c r="X1968" s="1" t="s">
        <v>5867</v>
      </c>
      <c r="Y1968" s="1" t="s">
        <v>52</v>
      </c>
    </row>
    <row r="1969" spans="1:25" s="10" customFormat="1" ht="21.3" customHeight="1">
      <c r="A1969" s="68"/>
      <c r="B1969" s="30"/>
      <c r="C1969" s="30" t="s">
        <v>18</v>
      </c>
      <c r="D1969" s="27"/>
      <c r="E1969" s="27"/>
      <c r="F1969" s="68" t="s">
        <v>5838</v>
      </c>
      <c r="G1969" s="121" t="s">
        <v>5870</v>
      </c>
      <c r="H1969" s="93" t="s">
        <v>19</v>
      </c>
      <c r="I1969" s="74" t="s">
        <v>19</v>
      </c>
      <c r="J1969" s="90" t="s">
        <v>19</v>
      </c>
      <c r="K1969" s="74" t="s">
        <v>19</v>
      </c>
      <c r="L1969" s="16"/>
      <c r="M1969" s="6"/>
      <c r="N1969" s="113" t="s">
        <v>14</v>
      </c>
      <c r="O1969" s="122" t="s">
        <v>52</v>
      </c>
      <c r="P1969" s="122" t="s">
        <v>52</v>
      </c>
      <c r="Q1969" s="106"/>
      <c r="R1969" s="30"/>
      <c r="S1969" s="225" t="str">
        <f t="shared" si="30"/>
        <v/>
      </c>
      <c r="T1969" s="7" t="s">
        <v>7657</v>
      </c>
      <c r="U1969" s="7" t="s">
        <v>138</v>
      </c>
      <c r="V1969" s="171" t="str" cm="1">
        <f t="array" ref="V1969">_xlfn.IFS(C1969="","",COUNTIF(C1969,"ตำแหน่งว่าง*"),"ว่าง",COUNTIF(C1969,"&lt;&gt;ตำแหน่งว่าง*"),"คนครอง")</f>
        <v>ว่าง</v>
      </c>
      <c r="W1969" s="6" cm="1">
        <f t="array" ref="W1969">_xlfn.IFS(COUNTIF(F1969,"ผบ.หมู่*"),51,COUNTIF(F1969,"รอง สว.*"),43)</f>
        <v>51</v>
      </c>
      <c r="X1969" s="6" t="s">
        <v>5869</v>
      </c>
      <c r="Y1969" s="6" t="s">
        <v>52</v>
      </c>
    </row>
    <row r="1970" spans="1:25" s="10" customFormat="1" ht="21.3" customHeight="1">
      <c r="A1970" s="27"/>
      <c r="B1970" s="28"/>
      <c r="C1970" s="30" t="s">
        <v>18</v>
      </c>
      <c r="D1970" s="27"/>
      <c r="E1970" s="27"/>
      <c r="F1970" s="68" t="s">
        <v>5838</v>
      </c>
      <c r="G1970" s="121" t="s">
        <v>5872</v>
      </c>
      <c r="H1970" s="91" t="s">
        <v>19</v>
      </c>
      <c r="I1970" s="73" t="s">
        <v>19</v>
      </c>
      <c r="J1970" s="73" t="s">
        <v>19</v>
      </c>
      <c r="K1970" s="73" t="s">
        <v>19</v>
      </c>
      <c r="L1970" s="11"/>
      <c r="M1970" s="1"/>
      <c r="N1970" s="113" t="s">
        <v>14</v>
      </c>
      <c r="O1970" s="122" t="s">
        <v>52</v>
      </c>
      <c r="P1970" s="122" t="s">
        <v>52</v>
      </c>
      <c r="Q1970" s="105"/>
      <c r="R1970" s="28"/>
      <c r="S1970" s="225" t="str">
        <f t="shared" si="30"/>
        <v/>
      </c>
      <c r="T1970" s="7" t="s">
        <v>7657</v>
      </c>
      <c r="U1970" s="7" t="s">
        <v>138</v>
      </c>
      <c r="V1970" s="171" t="str" cm="1">
        <f t="array" ref="V1970">_xlfn.IFS(C1970="","",COUNTIF(C1970,"ตำแหน่งว่าง*"),"ว่าง",COUNTIF(C1970,"&lt;&gt;ตำแหน่งว่าง*"),"คนครอง")</f>
        <v>ว่าง</v>
      </c>
      <c r="W1970" s="6" cm="1">
        <f t="array" ref="W1970">_xlfn.IFS(COUNTIF(F1970,"ผบ.หมู่*"),51,COUNTIF(F1970,"รอง สว.*"),43)</f>
        <v>51</v>
      </c>
      <c r="X1970" s="6" t="s">
        <v>5871</v>
      </c>
      <c r="Y1970" s="6" t="s">
        <v>52</v>
      </c>
    </row>
    <row r="1971" spans="1:25" s="10" customFormat="1" ht="21.3" customHeight="1">
      <c r="A1971" s="27"/>
      <c r="B1971" s="28"/>
      <c r="C1971" s="30" t="s">
        <v>18</v>
      </c>
      <c r="D1971" s="27"/>
      <c r="E1971" s="27"/>
      <c r="F1971" s="68" t="s">
        <v>5838</v>
      </c>
      <c r="G1971" s="121" t="s">
        <v>5874</v>
      </c>
      <c r="H1971" s="91" t="s">
        <v>19</v>
      </c>
      <c r="I1971" s="73" t="s">
        <v>19</v>
      </c>
      <c r="J1971" s="73" t="s">
        <v>19</v>
      </c>
      <c r="K1971" s="73" t="s">
        <v>19</v>
      </c>
      <c r="L1971" s="11"/>
      <c r="M1971" s="1"/>
      <c r="N1971" s="113" t="s">
        <v>14</v>
      </c>
      <c r="O1971" s="122" t="s">
        <v>52</v>
      </c>
      <c r="P1971" s="122" t="s">
        <v>52</v>
      </c>
      <c r="Q1971" s="105"/>
      <c r="R1971" s="28"/>
      <c r="S1971" s="225" t="str">
        <f t="shared" si="30"/>
        <v/>
      </c>
      <c r="T1971" s="7" t="s">
        <v>7657</v>
      </c>
      <c r="U1971" s="7" t="s">
        <v>138</v>
      </c>
      <c r="V1971" s="171" t="str" cm="1">
        <f t="array" ref="V1971">_xlfn.IFS(C1971="","",COUNTIF(C1971,"ตำแหน่งว่าง*"),"ว่าง",COUNTIF(C1971,"&lt;&gt;ตำแหน่งว่าง*"),"คนครอง")</f>
        <v>ว่าง</v>
      </c>
      <c r="W1971" s="6" cm="1">
        <f t="array" ref="W1971">_xlfn.IFS(COUNTIF(F1971,"ผบ.หมู่*"),51,COUNTIF(F1971,"รอง สว.*"),43)</f>
        <v>51</v>
      </c>
      <c r="X1971" s="6" t="s">
        <v>5873</v>
      </c>
      <c r="Y1971" s="6" t="s">
        <v>52</v>
      </c>
    </row>
    <row r="1972" spans="1:25" s="10" customFormat="1" ht="21.3" customHeight="1">
      <c r="A1972" s="27"/>
      <c r="B1972" s="28"/>
      <c r="C1972" s="30" t="s">
        <v>18</v>
      </c>
      <c r="D1972" s="27"/>
      <c r="E1972" s="27"/>
      <c r="F1972" s="68" t="s">
        <v>5838</v>
      </c>
      <c r="G1972" s="121" t="s">
        <v>5876</v>
      </c>
      <c r="H1972" s="91" t="s">
        <v>19</v>
      </c>
      <c r="I1972" s="73" t="s">
        <v>19</v>
      </c>
      <c r="J1972" s="73" t="s">
        <v>19</v>
      </c>
      <c r="K1972" s="73" t="s">
        <v>19</v>
      </c>
      <c r="L1972" s="11"/>
      <c r="M1972" s="1"/>
      <c r="N1972" s="113" t="s">
        <v>14</v>
      </c>
      <c r="O1972" s="122" t="s">
        <v>52</v>
      </c>
      <c r="P1972" s="122" t="s">
        <v>52</v>
      </c>
      <c r="Q1972" s="105"/>
      <c r="R1972" s="28"/>
      <c r="S1972" s="225" t="str">
        <f t="shared" si="30"/>
        <v/>
      </c>
      <c r="T1972" s="7" t="s">
        <v>7657</v>
      </c>
      <c r="U1972" s="7" t="s">
        <v>138</v>
      </c>
      <c r="V1972" s="171" t="str" cm="1">
        <f t="array" ref="V1972">_xlfn.IFS(C1972="","",COUNTIF(C1972,"ตำแหน่งว่าง*"),"ว่าง",COUNTIF(C1972,"&lt;&gt;ตำแหน่งว่าง*"),"คนครอง")</f>
        <v>ว่าง</v>
      </c>
      <c r="W1972" s="6" cm="1">
        <f t="array" ref="W1972">_xlfn.IFS(COUNTIF(F1972,"ผบ.หมู่*"),51,COUNTIF(F1972,"รอง สว.*"),43)</f>
        <v>51</v>
      </c>
      <c r="X1972" s="6" t="s">
        <v>5875</v>
      </c>
      <c r="Y1972" s="6" t="s">
        <v>52</v>
      </c>
    </row>
    <row r="1973" spans="1:25" s="10" customFormat="1" ht="21.3" customHeight="1">
      <c r="A1973" s="27"/>
      <c r="B1973" s="28"/>
      <c r="C1973" s="30" t="s">
        <v>18</v>
      </c>
      <c r="D1973" s="27"/>
      <c r="E1973" s="27"/>
      <c r="F1973" s="68" t="s">
        <v>5838</v>
      </c>
      <c r="G1973" s="121" t="s">
        <v>5878</v>
      </c>
      <c r="H1973" s="91" t="s">
        <v>19</v>
      </c>
      <c r="I1973" s="73" t="s">
        <v>19</v>
      </c>
      <c r="J1973" s="73" t="s">
        <v>19</v>
      </c>
      <c r="K1973" s="73" t="s">
        <v>19</v>
      </c>
      <c r="L1973" s="11"/>
      <c r="M1973" s="1"/>
      <c r="N1973" s="113" t="s">
        <v>14</v>
      </c>
      <c r="O1973" s="122" t="s">
        <v>52</v>
      </c>
      <c r="P1973" s="122" t="s">
        <v>52</v>
      </c>
      <c r="Q1973" s="105"/>
      <c r="R1973" s="28"/>
      <c r="S1973" s="225" t="str">
        <f t="shared" si="30"/>
        <v/>
      </c>
      <c r="T1973" s="7" t="s">
        <v>7657</v>
      </c>
      <c r="U1973" s="7" t="s">
        <v>138</v>
      </c>
      <c r="V1973" s="171" t="str" cm="1">
        <f t="array" ref="V1973">_xlfn.IFS(C1973="","",COUNTIF(C1973,"ตำแหน่งว่าง*"),"ว่าง",COUNTIF(C1973,"&lt;&gt;ตำแหน่งว่าง*"),"คนครอง")</f>
        <v>ว่าง</v>
      </c>
      <c r="W1973" s="6" cm="1">
        <f t="array" ref="W1973">_xlfn.IFS(COUNTIF(F1973,"ผบ.หมู่*"),51,COUNTIF(F1973,"รอง สว.*"),43)</f>
        <v>51</v>
      </c>
      <c r="X1973" s="6" t="s">
        <v>5877</v>
      </c>
      <c r="Y1973" s="6" t="s">
        <v>52</v>
      </c>
    </row>
    <row r="1974" spans="1:25" s="10" customFormat="1" ht="21.3" customHeight="1">
      <c r="A1974" s="27" t="s">
        <v>10753</v>
      </c>
      <c r="B1974" s="28" t="s">
        <v>12</v>
      </c>
      <c r="C1974" s="27" t="s">
        <v>5651</v>
      </c>
      <c r="D1974" s="27" t="s">
        <v>10071</v>
      </c>
      <c r="E1974" s="27" t="s">
        <v>10072</v>
      </c>
      <c r="F1974" s="27" t="s">
        <v>5652</v>
      </c>
      <c r="G1974" s="101" t="s">
        <v>5654</v>
      </c>
      <c r="H1974" s="91">
        <v>45016</v>
      </c>
      <c r="I1974" s="84">
        <v>45016</v>
      </c>
      <c r="J1974" s="84">
        <v>34001</v>
      </c>
      <c r="K1974" s="84">
        <v>25830</v>
      </c>
      <c r="L1974" s="70" t="s">
        <v>82</v>
      </c>
      <c r="M1974" s="71" t="s">
        <v>104</v>
      </c>
      <c r="N1974" s="112" t="s">
        <v>14</v>
      </c>
      <c r="O1974" s="104" t="s">
        <v>52</v>
      </c>
      <c r="P1974" s="104" t="s">
        <v>52</v>
      </c>
      <c r="Q1974" s="105"/>
      <c r="R1974" s="28" t="s">
        <v>483</v>
      </c>
      <c r="S1974" s="225">
        <f t="shared" si="30"/>
        <v>47757</v>
      </c>
      <c r="T1974" s="7" t="s">
        <v>7653</v>
      </c>
      <c r="U1974" s="7" t="s">
        <v>138</v>
      </c>
      <c r="V1974" s="162" t="str" cm="1">
        <f t="array" ref="V1974">_xlfn.IFS(C1974="","",COUNTIF(C1974,"ตำแหน่งว่าง*"),"ว่าง",COUNTIF(C1974,"&lt;&gt;ตำแหน่งว่าง*"),"คนครอง")</f>
        <v>คนครอง</v>
      </c>
      <c r="W1974" s="5" cm="1">
        <f t="array" ref="W1974">_xlfn.IFS(COUNTIF(F1974,"ผบ.หมู่*"),51,COUNTIF(F1974,"รอง สว.*"),43)</f>
        <v>43</v>
      </c>
      <c r="X1974" s="1" t="s">
        <v>5653</v>
      </c>
      <c r="Y1974" s="1" t="s">
        <v>52</v>
      </c>
    </row>
    <row r="1975" spans="1:25" s="12" customFormat="1" ht="21.3" customHeight="1">
      <c r="A1975" s="27" t="s">
        <v>60</v>
      </c>
      <c r="B1975" s="28" t="s">
        <v>12</v>
      </c>
      <c r="C1975" s="95" t="s">
        <v>5655</v>
      </c>
      <c r="D1975" s="27" t="s">
        <v>10073</v>
      </c>
      <c r="E1975" s="27" t="s">
        <v>10074</v>
      </c>
      <c r="F1975" s="95" t="s">
        <v>5652</v>
      </c>
      <c r="G1975" s="101" t="s">
        <v>5658</v>
      </c>
      <c r="H1975" s="75">
        <v>42501</v>
      </c>
      <c r="I1975" s="73">
        <v>34366</v>
      </c>
      <c r="J1975" s="73">
        <v>34366</v>
      </c>
      <c r="K1975" s="73">
        <v>26292</v>
      </c>
      <c r="L1975" s="11" t="s">
        <v>5052</v>
      </c>
      <c r="M1975" s="1" t="s">
        <v>104</v>
      </c>
      <c r="N1975" s="111" t="s">
        <v>14</v>
      </c>
      <c r="O1975" s="104" t="s">
        <v>52</v>
      </c>
      <c r="P1975" s="104" t="s">
        <v>52</v>
      </c>
      <c r="Q1975" s="105"/>
      <c r="R1975" s="28" t="s">
        <v>110</v>
      </c>
      <c r="S1975" s="225">
        <f t="shared" si="30"/>
        <v>48488</v>
      </c>
      <c r="T1975" s="162" t="s">
        <v>7653</v>
      </c>
      <c r="U1975" s="7" t="s">
        <v>138</v>
      </c>
      <c r="V1975" s="162" t="str" cm="1">
        <f t="array" ref="V1975">_xlfn.IFS(C1975="","",COUNTIF(C1975,"ตำแหน่งว่าง*"),"ว่าง",COUNTIF(C1975,"&lt;&gt;ตำแหน่งว่าง*"),"คนครอง")</f>
        <v>คนครอง</v>
      </c>
      <c r="W1975" s="6" cm="1">
        <f t="array" ref="W1975">_xlfn.IFS(COUNTIF(F1975,"ผบ.หมู่*"),51,COUNTIF(F1975,"รอง สว.*"),43)</f>
        <v>43</v>
      </c>
      <c r="X1975" s="5" t="s">
        <v>5657</v>
      </c>
      <c r="Y1975" s="5" t="s">
        <v>52</v>
      </c>
    </row>
    <row r="1976" spans="1:25" s="9" customFormat="1" ht="21.3" customHeight="1">
      <c r="A1976" s="27" t="s">
        <v>60</v>
      </c>
      <c r="B1976" s="28" t="s">
        <v>12</v>
      </c>
      <c r="C1976" s="27" t="s">
        <v>5659</v>
      </c>
      <c r="D1976" s="27" t="s">
        <v>10075</v>
      </c>
      <c r="E1976" s="27" t="s">
        <v>10076</v>
      </c>
      <c r="F1976" s="27" t="s">
        <v>5652</v>
      </c>
      <c r="G1976" s="101" t="s">
        <v>5661</v>
      </c>
      <c r="H1976" s="91">
        <v>44243</v>
      </c>
      <c r="I1976" s="73">
        <v>34001</v>
      </c>
      <c r="J1976" s="73">
        <v>34001</v>
      </c>
      <c r="K1976" s="73">
        <v>26390</v>
      </c>
      <c r="L1976" s="70" t="s">
        <v>31</v>
      </c>
      <c r="M1976" s="1" t="s">
        <v>104</v>
      </c>
      <c r="N1976" s="112" t="s">
        <v>14</v>
      </c>
      <c r="O1976" s="104" t="s">
        <v>52</v>
      </c>
      <c r="P1976" s="104" t="s">
        <v>52</v>
      </c>
      <c r="Q1976" s="109"/>
      <c r="R1976" s="28" t="s">
        <v>617</v>
      </c>
      <c r="S1976" s="225">
        <f t="shared" si="30"/>
        <v>48488</v>
      </c>
      <c r="T1976" s="2" t="s">
        <v>7653</v>
      </c>
      <c r="U1976" s="7" t="s">
        <v>138</v>
      </c>
      <c r="V1976" s="162" t="str" cm="1">
        <f t="array" ref="V1976">_xlfn.IFS(C1976="","",COUNTIF(C1976,"ตำแหน่งว่าง*"),"ว่าง",COUNTIF(C1976,"&lt;&gt;ตำแหน่งว่าง*"),"คนครอง")</f>
        <v>คนครอง</v>
      </c>
      <c r="W1976" s="6" cm="1">
        <f t="array" ref="W1976">_xlfn.IFS(COUNTIF(F1976,"ผบ.หมู่*"),51,COUNTIF(F1976,"รอง สว.*"),43)</f>
        <v>43</v>
      </c>
      <c r="X1976" s="1" t="s">
        <v>5660</v>
      </c>
      <c r="Y1976" s="1" t="s">
        <v>52</v>
      </c>
    </row>
    <row r="1977" spans="1:25" s="10" customFormat="1" ht="21.3" customHeight="1">
      <c r="A1977" s="27" t="s">
        <v>208</v>
      </c>
      <c r="B1977" s="28" t="s">
        <v>12</v>
      </c>
      <c r="C1977" s="27" t="s">
        <v>7765</v>
      </c>
      <c r="D1977" s="27" t="s">
        <v>10077</v>
      </c>
      <c r="E1977" s="27" t="s">
        <v>10078</v>
      </c>
      <c r="F1977" s="27" t="s">
        <v>5656</v>
      </c>
      <c r="G1977" s="101" t="s">
        <v>5663</v>
      </c>
      <c r="H1977" s="91">
        <v>45322</v>
      </c>
      <c r="I1977" s="73">
        <v>43693</v>
      </c>
      <c r="J1977" s="73">
        <v>43693</v>
      </c>
      <c r="K1977" s="73">
        <v>31311</v>
      </c>
      <c r="L1977" s="11" t="s">
        <v>82</v>
      </c>
      <c r="M1977" s="1" t="s">
        <v>104</v>
      </c>
      <c r="N1977" s="112" t="s">
        <v>14</v>
      </c>
      <c r="O1977" s="104" t="s">
        <v>52</v>
      </c>
      <c r="P1977" s="104" t="s">
        <v>52</v>
      </c>
      <c r="Q1977" s="105"/>
      <c r="R1977" s="30" t="s">
        <v>7708</v>
      </c>
      <c r="S1977" s="225">
        <f t="shared" si="30"/>
        <v>53236</v>
      </c>
      <c r="T1977" s="7" t="s">
        <v>7653</v>
      </c>
      <c r="U1977" s="7" t="s">
        <v>138</v>
      </c>
      <c r="V1977" s="162" t="str" cm="1">
        <f t="array" ref="V1977">_xlfn.IFS(C1977="","",COUNTIF(C1977,"ตำแหน่งว่าง*"),"ว่าง",COUNTIF(C1977,"&lt;&gt;ตำแหน่งว่าง*"),"คนครอง")</f>
        <v>คนครอง</v>
      </c>
      <c r="W1977" s="6" cm="1">
        <f t="array" ref="W1977">_xlfn.IFS(COUNTIF(F1977,"ผบ.หมู่*"),51,COUNTIF(F1977,"รอง สว.*"),43)</f>
        <v>51</v>
      </c>
      <c r="X1977" s="1" t="s">
        <v>5662</v>
      </c>
      <c r="Y1977" s="1" t="s">
        <v>52</v>
      </c>
    </row>
    <row r="1978" spans="1:25" s="12" customFormat="1" ht="21.3" customHeight="1">
      <c r="A1978" s="132" t="s">
        <v>10753</v>
      </c>
      <c r="B1978" s="28" t="s">
        <v>12</v>
      </c>
      <c r="C1978" s="95" t="s">
        <v>5664</v>
      </c>
      <c r="D1978" s="27" t="s">
        <v>10042</v>
      </c>
      <c r="E1978" s="27" t="s">
        <v>10079</v>
      </c>
      <c r="F1978" s="95" t="s">
        <v>5652</v>
      </c>
      <c r="G1978" s="101" t="s">
        <v>5666</v>
      </c>
      <c r="H1978" s="91">
        <v>45382</v>
      </c>
      <c r="I1978" s="73">
        <v>45382</v>
      </c>
      <c r="J1978" s="73">
        <v>34001</v>
      </c>
      <c r="K1978" s="73">
        <v>26104</v>
      </c>
      <c r="L1978" s="11" t="s">
        <v>5667</v>
      </c>
      <c r="M1978" s="1" t="s">
        <v>104</v>
      </c>
      <c r="N1978" s="111" t="s">
        <v>14</v>
      </c>
      <c r="O1978" s="104" t="s">
        <v>52</v>
      </c>
      <c r="P1978" s="104" t="s">
        <v>52</v>
      </c>
      <c r="Q1978" s="105"/>
      <c r="R1978" s="33" t="s">
        <v>7801</v>
      </c>
      <c r="S1978" s="225">
        <f t="shared" si="30"/>
        <v>48122</v>
      </c>
      <c r="T1978" s="162" t="s">
        <v>7653</v>
      </c>
      <c r="U1978" s="7" t="s">
        <v>138</v>
      </c>
      <c r="V1978" s="162" t="str" cm="1">
        <f t="array" ref="V1978">_xlfn.IFS(C1978="","",COUNTIF(C1978,"ตำแหน่งว่าง*"),"ว่าง",COUNTIF(C1978,"&lt;&gt;ตำแหน่งว่าง*"),"คนครอง")</f>
        <v>คนครอง</v>
      </c>
      <c r="W1978" s="6" cm="1">
        <f t="array" ref="W1978">_xlfn.IFS(COUNTIF(F1978,"ผบ.หมู่*"),51,COUNTIF(F1978,"รอง สว.*"),43)</f>
        <v>43</v>
      </c>
      <c r="X1978" s="5" t="s">
        <v>5665</v>
      </c>
      <c r="Y1978" s="5" t="s">
        <v>52</v>
      </c>
    </row>
    <row r="1979" spans="1:25" s="9" customFormat="1" ht="21.3" customHeight="1">
      <c r="A1979" s="27" t="s">
        <v>26</v>
      </c>
      <c r="B1979" s="28" t="s">
        <v>21</v>
      </c>
      <c r="C1979" s="27" t="s">
        <v>5668</v>
      </c>
      <c r="D1979" s="27" t="s">
        <v>8247</v>
      </c>
      <c r="E1979" s="27" t="s">
        <v>10080</v>
      </c>
      <c r="F1979" s="95" t="s">
        <v>5652</v>
      </c>
      <c r="G1979" s="101" t="s">
        <v>5670</v>
      </c>
      <c r="H1979" s="91">
        <v>43921</v>
      </c>
      <c r="I1979" s="73">
        <v>43921</v>
      </c>
      <c r="J1979" s="73">
        <v>32174</v>
      </c>
      <c r="K1979" s="73">
        <v>24636</v>
      </c>
      <c r="L1979" s="11" t="s">
        <v>5671</v>
      </c>
      <c r="M1979" s="1" t="s">
        <v>56</v>
      </c>
      <c r="N1979" s="112" t="s">
        <v>14</v>
      </c>
      <c r="O1979" s="104" t="s">
        <v>52</v>
      </c>
      <c r="P1979" s="104" t="s">
        <v>52</v>
      </c>
      <c r="Q1979" s="105"/>
      <c r="R1979" s="28" t="s">
        <v>924</v>
      </c>
      <c r="S1979" s="225">
        <f t="shared" si="30"/>
        <v>46661</v>
      </c>
      <c r="T1979" s="2" t="s">
        <v>7653</v>
      </c>
      <c r="U1979" s="7" t="s">
        <v>138</v>
      </c>
      <c r="V1979" s="162" t="str" cm="1">
        <f t="array" ref="V1979">_xlfn.IFS(C1979="","",COUNTIF(C1979,"ตำแหน่งว่าง*"),"ว่าง",COUNTIF(C1979,"&lt;&gt;ตำแหน่งว่าง*"),"คนครอง")</f>
        <v>คนครอง</v>
      </c>
      <c r="W1979" s="5" cm="1">
        <f t="array" ref="W1979">_xlfn.IFS(COUNTIF(F1979,"ผบ.หมู่*"),51,COUNTIF(F1979,"รอง สว.*"),43)</f>
        <v>43</v>
      </c>
      <c r="X1979" s="1" t="s">
        <v>5669</v>
      </c>
      <c r="Y1979" s="1" t="s">
        <v>52</v>
      </c>
    </row>
    <row r="1980" spans="1:25" s="12" customFormat="1" ht="21.3" customHeight="1">
      <c r="A1980" s="27"/>
      <c r="B1980" s="28"/>
      <c r="C1980" s="95" t="s">
        <v>18</v>
      </c>
      <c r="D1980" s="27"/>
      <c r="E1980" s="27"/>
      <c r="F1980" s="27" t="s">
        <v>5656</v>
      </c>
      <c r="G1980" s="101" t="s">
        <v>5673</v>
      </c>
      <c r="H1980" s="75"/>
      <c r="I1980" s="73"/>
      <c r="J1980" s="73"/>
      <c r="K1980" s="73"/>
      <c r="L1980" s="11"/>
      <c r="M1980" s="1"/>
      <c r="N1980" s="111" t="s">
        <v>14</v>
      </c>
      <c r="O1980" s="104" t="s">
        <v>52</v>
      </c>
      <c r="P1980" s="104" t="s">
        <v>52</v>
      </c>
      <c r="Q1980" s="105"/>
      <c r="R1980" s="28"/>
      <c r="S1980" s="225" t="str">
        <f t="shared" si="30"/>
        <v/>
      </c>
      <c r="T1980" s="162" t="s">
        <v>7653</v>
      </c>
      <c r="U1980" s="7" t="s">
        <v>138</v>
      </c>
      <c r="V1980" s="162" t="str" cm="1">
        <f t="array" ref="V1980">_xlfn.IFS(C1980="","",COUNTIF(C1980,"ตำแหน่งว่าง*"),"ว่าง",COUNTIF(C1980,"&lt;&gt;ตำแหน่งว่าง*"),"คนครอง")</f>
        <v>ว่าง</v>
      </c>
      <c r="W1980" s="5" cm="1">
        <f t="array" ref="W1980">_xlfn.IFS(COUNTIF(F1980,"ผบ.หมู่*"),51,COUNTIF(F1980,"รอง สว.*"),43)</f>
        <v>51</v>
      </c>
      <c r="X1980" s="5" t="s">
        <v>5672</v>
      </c>
      <c r="Y1980" s="5" t="s">
        <v>52</v>
      </c>
    </row>
    <row r="1981" spans="1:25" s="10" customFormat="1" ht="21.3" customHeight="1">
      <c r="A1981" s="27" t="s">
        <v>612</v>
      </c>
      <c r="B1981" s="28" t="s">
        <v>12</v>
      </c>
      <c r="C1981" s="27" t="s">
        <v>7741</v>
      </c>
      <c r="D1981" s="27" t="s">
        <v>10081</v>
      </c>
      <c r="E1981" s="27" t="s">
        <v>10082</v>
      </c>
      <c r="F1981" s="27" t="s">
        <v>5656</v>
      </c>
      <c r="G1981" s="101" t="s">
        <v>5675</v>
      </c>
      <c r="H1981" s="75">
        <v>45322</v>
      </c>
      <c r="I1981" s="73">
        <v>42309</v>
      </c>
      <c r="J1981" s="73">
        <v>42309</v>
      </c>
      <c r="K1981" s="73">
        <v>35013</v>
      </c>
      <c r="L1981" s="11" t="s">
        <v>7742</v>
      </c>
      <c r="M1981" s="1"/>
      <c r="N1981" s="112" t="s">
        <v>14</v>
      </c>
      <c r="O1981" s="104" t="s">
        <v>52</v>
      </c>
      <c r="P1981" s="104" t="s">
        <v>52</v>
      </c>
      <c r="Q1981" s="105"/>
      <c r="R1981" s="30" t="s">
        <v>7708</v>
      </c>
      <c r="S1981" s="225">
        <f t="shared" si="30"/>
        <v>57254</v>
      </c>
      <c r="T1981" s="7" t="s">
        <v>7653</v>
      </c>
      <c r="U1981" s="7" t="s">
        <v>138</v>
      </c>
      <c r="V1981" s="162" t="str" cm="1">
        <f t="array" ref="V1981">_xlfn.IFS(C1981="","",COUNTIF(C1981,"ตำแหน่งว่าง*"),"ว่าง",COUNTIF(C1981,"&lt;&gt;ตำแหน่งว่าง*"),"คนครอง")</f>
        <v>คนครอง</v>
      </c>
      <c r="W1981" s="6" cm="1">
        <f t="array" ref="W1981">_xlfn.IFS(COUNTIF(F1981,"ผบ.หมู่*"),51,COUNTIF(F1981,"รอง สว.*"),43)</f>
        <v>51</v>
      </c>
      <c r="X1981" s="1" t="s">
        <v>5674</v>
      </c>
      <c r="Y1981" s="1" t="s">
        <v>52</v>
      </c>
    </row>
    <row r="1982" spans="1:25" s="12" customFormat="1" ht="21.3" customHeight="1">
      <c r="A1982" s="27" t="s">
        <v>26</v>
      </c>
      <c r="B1982" s="28" t="s">
        <v>12</v>
      </c>
      <c r="C1982" s="95" t="s">
        <v>5676</v>
      </c>
      <c r="D1982" s="27" t="s">
        <v>8099</v>
      </c>
      <c r="E1982" s="27" t="s">
        <v>10083</v>
      </c>
      <c r="F1982" s="95" t="s">
        <v>5652</v>
      </c>
      <c r="G1982" s="101" t="s">
        <v>5678</v>
      </c>
      <c r="H1982" s="91">
        <v>43921</v>
      </c>
      <c r="I1982" s="73">
        <v>43921</v>
      </c>
      <c r="J1982" s="73">
        <v>34366</v>
      </c>
      <c r="K1982" s="73">
        <v>24496</v>
      </c>
      <c r="L1982" s="11" t="s">
        <v>31</v>
      </c>
      <c r="M1982" s="1" t="s">
        <v>104</v>
      </c>
      <c r="N1982" s="111" t="s">
        <v>14</v>
      </c>
      <c r="O1982" s="104" t="s">
        <v>52</v>
      </c>
      <c r="P1982" s="104" t="s">
        <v>52</v>
      </c>
      <c r="Q1982" s="105"/>
      <c r="R1982" s="28" t="s">
        <v>726</v>
      </c>
      <c r="S1982" s="225">
        <f t="shared" si="30"/>
        <v>46661</v>
      </c>
      <c r="T1982" s="162" t="s">
        <v>7653</v>
      </c>
      <c r="U1982" s="7" t="s">
        <v>138</v>
      </c>
      <c r="V1982" s="162" t="str" cm="1">
        <f t="array" ref="V1982">_xlfn.IFS(C1982="","",COUNTIF(C1982,"ตำแหน่งว่าง*"),"ว่าง",COUNTIF(C1982,"&lt;&gt;ตำแหน่งว่าง*"),"คนครอง")</f>
        <v>คนครอง</v>
      </c>
      <c r="W1982" s="5" cm="1">
        <f t="array" ref="W1982">_xlfn.IFS(COUNTIF(F1982,"ผบ.หมู่*"),51,COUNTIF(F1982,"รอง สว.*"),43)</f>
        <v>43</v>
      </c>
      <c r="X1982" s="5" t="s">
        <v>5677</v>
      </c>
      <c r="Y1982" s="5" t="s">
        <v>52</v>
      </c>
    </row>
    <row r="1983" spans="1:25" s="12" customFormat="1" ht="21.3" customHeight="1">
      <c r="A1983" s="27" t="s">
        <v>10753</v>
      </c>
      <c r="B1983" s="28" t="s">
        <v>12</v>
      </c>
      <c r="C1983" s="95" t="s">
        <v>5679</v>
      </c>
      <c r="D1983" s="27" t="s">
        <v>9185</v>
      </c>
      <c r="E1983" s="27" t="s">
        <v>10084</v>
      </c>
      <c r="F1983" s="95" t="s">
        <v>5652</v>
      </c>
      <c r="G1983" s="101" t="s">
        <v>5681</v>
      </c>
      <c r="H1983" s="91">
        <v>45016</v>
      </c>
      <c r="I1983" s="73">
        <v>45016</v>
      </c>
      <c r="J1983" s="73">
        <v>34729</v>
      </c>
      <c r="K1983" s="73">
        <v>25604</v>
      </c>
      <c r="L1983" s="11" t="s">
        <v>3421</v>
      </c>
      <c r="M1983" s="1" t="s">
        <v>104</v>
      </c>
      <c r="N1983" s="111" t="s">
        <v>14</v>
      </c>
      <c r="O1983" s="104" t="s">
        <v>52</v>
      </c>
      <c r="P1983" s="104" t="s">
        <v>52</v>
      </c>
      <c r="Q1983" s="105"/>
      <c r="R1983" s="28" t="s">
        <v>483</v>
      </c>
      <c r="S1983" s="225">
        <f t="shared" si="30"/>
        <v>47757</v>
      </c>
      <c r="T1983" s="162" t="s">
        <v>7653</v>
      </c>
      <c r="U1983" s="7" t="s">
        <v>138</v>
      </c>
      <c r="V1983" s="162" t="str" cm="1">
        <f t="array" ref="V1983">_xlfn.IFS(C1983="","",COUNTIF(C1983,"ตำแหน่งว่าง*"),"ว่าง",COUNTIF(C1983,"&lt;&gt;ตำแหน่งว่าง*"),"คนครอง")</f>
        <v>คนครอง</v>
      </c>
      <c r="W1983" s="5" cm="1">
        <f t="array" ref="W1983">_xlfn.IFS(COUNTIF(F1983,"ผบ.หมู่*"),51,COUNTIF(F1983,"รอง สว.*"),43)</f>
        <v>43</v>
      </c>
      <c r="X1983" s="5" t="s">
        <v>5680</v>
      </c>
      <c r="Y1983" s="5" t="s">
        <v>52</v>
      </c>
    </row>
    <row r="1984" spans="1:25" s="9" customFormat="1" ht="21.3" customHeight="1">
      <c r="A1984" s="27" t="s">
        <v>612</v>
      </c>
      <c r="B1984" s="28" t="s">
        <v>12</v>
      </c>
      <c r="C1984" s="27" t="s">
        <v>5682</v>
      </c>
      <c r="D1984" s="27" t="s">
        <v>10085</v>
      </c>
      <c r="E1984" s="27" t="s">
        <v>8270</v>
      </c>
      <c r="F1984" s="27" t="s">
        <v>5656</v>
      </c>
      <c r="G1984" s="101" t="s">
        <v>5684</v>
      </c>
      <c r="H1984" s="75">
        <v>42416</v>
      </c>
      <c r="I1984" s="73">
        <v>42416</v>
      </c>
      <c r="J1984" s="73">
        <v>42416</v>
      </c>
      <c r="K1984" s="73">
        <v>33923</v>
      </c>
      <c r="L1984" s="11" t="s">
        <v>1667</v>
      </c>
      <c r="M1984" s="1" t="s">
        <v>104</v>
      </c>
      <c r="N1984" s="112" t="s">
        <v>14</v>
      </c>
      <c r="O1984" s="104" t="s">
        <v>52</v>
      </c>
      <c r="P1984" s="104" t="s">
        <v>52</v>
      </c>
      <c r="Q1984" s="105"/>
      <c r="R1984" s="28" t="s">
        <v>617</v>
      </c>
      <c r="S1984" s="225">
        <f t="shared" si="30"/>
        <v>56158</v>
      </c>
      <c r="T1984" s="2" t="s">
        <v>7653</v>
      </c>
      <c r="U1984" s="7" t="s">
        <v>138</v>
      </c>
      <c r="V1984" s="162" t="str" cm="1">
        <f t="array" ref="V1984">_xlfn.IFS(C1984="","",COUNTIF(C1984,"ตำแหน่งว่าง*"),"ว่าง",COUNTIF(C1984,"&lt;&gt;ตำแหน่งว่าง*"),"คนครอง")</f>
        <v>คนครอง</v>
      </c>
      <c r="W1984" s="6" cm="1">
        <f t="array" ref="W1984">_xlfn.IFS(COUNTIF(F1984,"ผบ.หมู่*"),51,COUNTIF(F1984,"รอง สว.*"),43)</f>
        <v>51</v>
      </c>
      <c r="X1984" s="1" t="s">
        <v>5683</v>
      </c>
      <c r="Y1984" s="1" t="s">
        <v>52</v>
      </c>
    </row>
    <row r="1985" spans="1:25" s="12" customFormat="1" ht="21.3" customHeight="1">
      <c r="A1985" s="27" t="s">
        <v>157</v>
      </c>
      <c r="B1985" s="28" t="s">
        <v>21</v>
      </c>
      <c r="C1985" s="95" t="s">
        <v>5685</v>
      </c>
      <c r="D1985" s="27" t="s">
        <v>8133</v>
      </c>
      <c r="E1985" s="27" t="s">
        <v>10086</v>
      </c>
      <c r="F1985" s="95" t="s">
        <v>5656</v>
      </c>
      <c r="G1985" s="101" t="s">
        <v>5687</v>
      </c>
      <c r="H1985" s="75">
        <v>42501</v>
      </c>
      <c r="I1985" s="73">
        <v>34352</v>
      </c>
      <c r="J1985" s="73">
        <v>34352</v>
      </c>
      <c r="K1985" s="73">
        <v>27166</v>
      </c>
      <c r="L1985" s="11" t="s">
        <v>5353</v>
      </c>
      <c r="M1985" s="1" t="s">
        <v>104</v>
      </c>
      <c r="N1985" s="111" t="s">
        <v>14</v>
      </c>
      <c r="O1985" s="104" t="s">
        <v>52</v>
      </c>
      <c r="P1985" s="104" t="s">
        <v>52</v>
      </c>
      <c r="Q1985" s="105"/>
      <c r="R1985" s="28" t="s">
        <v>110</v>
      </c>
      <c r="S1985" s="225">
        <f t="shared" si="30"/>
        <v>49218</v>
      </c>
      <c r="T1985" s="162" t="s">
        <v>7653</v>
      </c>
      <c r="U1985" s="7" t="s">
        <v>138</v>
      </c>
      <c r="V1985" s="162" t="str" cm="1">
        <f t="array" ref="V1985">_xlfn.IFS(C1985="","",COUNTIF(C1985,"ตำแหน่งว่าง*"),"ว่าง",COUNTIF(C1985,"&lt;&gt;ตำแหน่งว่าง*"),"คนครอง")</f>
        <v>คนครอง</v>
      </c>
      <c r="W1985" s="6" cm="1">
        <f t="array" ref="W1985">_xlfn.IFS(COUNTIF(F1985,"ผบ.หมู่*"),51,COUNTIF(F1985,"รอง สว.*"),43)</f>
        <v>51</v>
      </c>
      <c r="X1985" s="5" t="s">
        <v>5686</v>
      </c>
      <c r="Y1985" s="5" t="s">
        <v>52</v>
      </c>
    </row>
    <row r="1986" spans="1:25" s="12" customFormat="1" ht="21.3" customHeight="1">
      <c r="A1986" s="132" t="s">
        <v>10753</v>
      </c>
      <c r="B1986" s="28" t="s">
        <v>21</v>
      </c>
      <c r="C1986" s="95" t="s">
        <v>5688</v>
      </c>
      <c r="D1986" s="27" t="s">
        <v>10087</v>
      </c>
      <c r="E1986" s="27" t="s">
        <v>10088</v>
      </c>
      <c r="F1986" s="95" t="s">
        <v>5652</v>
      </c>
      <c r="G1986" s="101" t="s">
        <v>5690</v>
      </c>
      <c r="H1986" s="91">
        <v>45382</v>
      </c>
      <c r="I1986" s="73">
        <v>45382</v>
      </c>
      <c r="J1986" s="73">
        <v>37316</v>
      </c>
      <c r="K1986" s="73">
        <v>26053</v>
      </c>
      <c r="L1986" s="11" t="s">
        <v>5691</v>
      </c>
      <c r="M1986" s="1" t="s">
        <v>95</v>
      </c>
      <c r="N1986" s="111" t="s">
        <v>14</v>
      </c>
      <c r="O1986" s="104" t="s">
        <v>52</v>
      </c>
      <c r="P1986" s="104" t="s">
        <v>52</v>
      </c>
      <c r="Q1986" s="105"/>
      <c r="R1986" s="33" t="s">
        <v>7801</v>
      </c>
      <c r="S1986" s="225">
        <f t="shared" ref="S1986:S2049" si="31">IF(K1986&lt;&gt;"",DATE(YEAR(K1986)+60+(K1986&gt;=DATE(YEAR(K1986),10,2)),10,1),"")</f>
        <v>48122</v>
      </c>
      <c r="T1986" s="162" t="s">
        <v>7653</v>
      </c>
      <c r="U1986" s="7" t="s">
        <v>138</v>
      </c>
      <c r="V1986" s="162" t="str" cm="1">
        <f t="array" ref="V1986">_xlfn.IFS(C1986="","",COUNTIF(C1986,"ตำแหน่งว่าง*"),"ว่าง",COUNTIF(C1986,"&lt;&gt;ตำแหน่งว่าง*"),"คนครอง")</f>
        <v>คนครอง</v>
      </c>
      <c r="W1986" s="6" cm="1">
        <f t="array" ref="W1986">_xlfn.IFS(COUNTIF(F1986,"ผบ.หมู่*"),51,COUNTIF(F1986,"รอง สว.*"),43)</f>
        <v>43</v>
      </c>
      <c r="X1986" s="5" t="s">
        <v>5689</v>
      </c>
      <c r="Y1986" s="5" t="s">
        <v>52</v>
      </c>
    </row>
    <row r="1987" spans="1:25" s="12" customFormat="1" ht="21.3" customHeight="1">
      <c r="A1987" s="27" t="s">
        <v>157</v>
      </c>
      <c r="B1987" s="28" t="s">
        <v>21</v>
      </c>
      <c r="C1987" s="95" t="s">
        <v>5692</v>
      </c>
      <c r="D1987" s="27" t="s">
        <v>8074</v>
      </c>
      <c r="E1987" s="27" t="s">
        <v>10089</v>
      </c>
      <c r="F1987" s="95" t="s">
        <v>5656</v>
      </c>
      <c r="G1987" s="101" t="s">
        <v>5694</v>
      </c>
      <c r="H1987" s="91">
        <v>42940</v>
      </c>
      <c r="I1987" s="73">
        <v>41214</v>
      </c>
      <c r="J1987" s="73">
        <v>41214</v>
      </c>
      <c r="K1987" s="73">
        <v>28688</v>
      </c>
      <c r="L1987" s="11" t="s">
        <v>5695</v>
      </c>
      <c r="M1987" s="1" t="s">
        <v>104</v>
      </c>
      <c r="N1987" s="111" t="s">
        <v>14</v>
      </c>
      <c r="O1987" s="104" t="s">
        <v>52</v>
      </c>
      <c r="P1987" s="104" t="s">
        <v>52</v>
      </c>
      <c r="Q1987" s="105"/>
      <c r="R1987" s="28" t="s">
        <v>1125</v>
      </c>
      <c r="S1987" s="225">
        <f t="shared" si="31"/>
        <v>50679</v>
      </c>
      <c r="T1987" s="162" t="s">
        <v>7653</v>
      </c>
      <c r="U1987" s="7" t="s">
        <v>138</v>
      </c>
      <c r="V1987" s="162" t="str" cm="1">
        <f t="array" ref="V1987">_xlfn.IFS(C1987="","",COUNTIF(C1987,"ตำแหน่งว่าง*"),"ว่าง",COUNTIF(C1987,"&lt;&gt;ตำแหน่งว่าง*"),"คนครอง")</f>
        <v>คนครอง</v>
      </c>
      <c r="W1987" s="6" cm="1">
        <f t="array" ref="W1987">_xlfn.IFS(COUNTIF(F1987,"ผบ.หมู่*"),51,COUNTIF(F1987,"รอง สว.*"),43)</f>
        <v>51</v>
      </c>
      <c r="X1987" s="5" t="s">
        <v>5693</v>
      </c>
      <c r="Y1987" s="5" t="s">
        <v>52</v>
      </c>
    </row>
    <row r="1988" spans="1:25" s="10" customFormat="1" ht="21.3" customHeight="1">
      <c r="A1988" s="156" t="s">
        <v>139</v>
      </c>
      <c r="B1988" s="157"/>
      <c r="C1988" s="125"/>
      <c r="D1988" s="27"/>
      <c r="E1988" s="158"/>
      <c r="F1988" s="158"/>
      <c r="G1988" s="125"/>
      <c r="H1988" s="154" t="s">
        <v>19</v>
      </c>
      <c r="I1988" s="126" t="s">
        <v>19</v>
      </c>
      <c r="J1988" s="126" t="s">
        <v>19</v>
      </c>
      <c r="K1988" s="126" t="s">
        <v>19</v>
      </c>
      <c r="L1988" s="127"/>
      <c r="M1988" s="128"/>
      <c r="N1988" s="125"/>
      <c r="O1988" s="125"/>
      <c r="P1988" s="125"/>
      <c r="Q1988" s="160"/>
      <c r="R1988" s="128"/>
      <c r="S1988" s="226" t="str">
        <f t="shared" si="31"/>
        <v/>
      </c>
      <c r="T1988" s="158"/>
      <c r="U1988" s="158"/>
      <c r="V1988" s="171" t="str" cm="1">
        <f t="array" ref="V1988">_xlfn.IFS(C1988="","",COUNTIF(C1988,"ตำแหน่งว่าง*"),"ว่าง",COUNTIF(C1988,"&lt;&gt;ตำแหน่งว่าง*"),"คนครอง")</f>
        <v/>
      </c>
      <c r="W1988" s="125"/>
      <c r="X1988" s="125"/>
      <c r="Y1988" s="125"/>
    </row>
    <row r="1989" spans="1:25" s="10" customFormat="1" ht="21.3" customHeight="1">
      <c r="A1989" s="27"/>
      <c r="B1989" s="28"/>
      <c r="C1989" s="30" t="s">
        <v>18</v>
      </c>
      <c r="D1989" s="27"/>
      <c r="E1989" s="27"/>
      <c r="F1989" s="68" t="s">
        <v>5879</v>
      </c>
      <c r="G1989" s="121" t="s">
        <v>5881</v>
      </c>
      <c r="H1989" s="91" t="s">
        <v>19</v>
      </c>
      <c r="I1989" s="73" t="s">
        <v>19</v>
      </c>
      <c r="J1989" s="73" t="s">
        <v>19</v>
      </c>
      <c r="K1989" s="73" t="s">
        <v>19</v>
      </c>
      <c r="L1989" s="11"/>
      <c r="M1989" s="1"/>
      <c r="N1989" s="113" t="s">
        <v>14</v>
      </c>
      <c r="O1989" s="122" t="s">
        <v>27</v>
      </c>
      <c r="P1989" s="122"/>
      <c r="Q1989" s="105"/>
      <c r="R1989" s="28"/>
      <c r="S1989" s="225" t="str">
        <f t="shared" si="31"/>
        <v/>
      </c>
      <c r="T1989" s="7" t="s">
        <v>139</v>
      </c>
      <c r="U1989" s="7" t="s">
        <v>139</v>
      </c>
      <c r="V1989" s="171" t="str" cm="1">
        <f t="array" ref="V1989">_xlfn.IFS(C1989="","",COUNTIF(C1989,"ตำแหน่งว่าง*"),"ว่าง",COUNTIF(C1989,"&lt;&gt;ตำแหน่งว่าง*"),"คนครอง")</f>
        <v>ว่าง</v>
      </c>
      <c r="W1989" s="6" cm="1">
        <f t="array" ref="W1989">_xlfn.IFS(COUNTIF(F1989,"ผบ.หมู่*"),51,COUNTIF(F1989,"รอง สว.*"),43)</f>
        <v>51</v>
      </c>
      <c r="X1989" s="6" t="s">
        <v>5880</v>
      </c>
      <c r="Y1989" s="6" t="s">
        <v>27</v>
      </c>
    </row>
    <row r="1990" spans="1:25" s="10" customFormat="1" ht="21.3" customHeight="1">
      <c r="A1990" s="27"/>
      <c r="B1990" s="28"/>
      <c r="C1990" s="30" t="s">
        <v>18</v>
      </c>
      <c r="D1990" s="27"/>
      <c r="E1990" s="27"/>
      <c r="F1990" s="68" t="s">
        <v>5879</v>
      </c>
      <c r="G1990" s="121" t="s">
        <v>5883</v>
      </c>
      <c r="H1990" s="91" t="s">
        <v>19</v>
      </c>
      <c r="I1990" s="73" t="s">
        <v>19</v>
      </c>
      <c r="J1990" s="73" t="s">
        <v>19</v>
      </c>
      <c r="K1990" s="73" t="s">
        <v>19</v>
      </c>
      <c r="L1990" s="11"/>
      <c r="M1990" s="1"/>
      <c r="N1990" s="113" t="s">
        <v>14</v>
      </c>
      <c r="O1990" s="122" t="s">
        <v>27</v>
      </c>
      <c r="P1990" s="122"/>
      <c r="Q1990" s="105"/>
      <c r="R1990" s="28"/>
      <c r="S1990" s="225" t="str">
        <f t="shared" si="31"/>
        <v/>
      </c>
      <c r="T1990" s="7" t="s">
        <v>139</v>
      </c>
      <c r="U1990" s="7" t="s">
        <v>139</v>
      </c>
      <c r="V1990" s="171" t="str" cm="1">
        <f t="array" ref="V1990">_xlfn.IFS(C1990="","",COUNTIF(C1990,"ตำแหน่งว่าง*"),"ว่าง",COUNTIF(C1990,"&lt;&gt;ตำแหน่งว่าง*"),"คนครอง")</f>
        <v>ว่าง</v>
      </c>
      <c r="W1990" s="6" cm="1">
        <f t="array" ref="W1990">_xlfn.IFS(COUNTIF(F1990,"ผบ.หมู่*"),51,COUNTIF(F1990,"รอง สว.*"),43)</f>
        <v>51</v>
      </c>
      <c r="X1990" s="6" t="s">
        <v>5882</v>
      </c>
      <c r="Y1990" s="6" t="s">
        <v>27</v>
      </c>
    </row>
    <row r="1991" spans="1:25" s="9" customFormat="1" ht="21.3" customHeight="1">
      <c r="A1991" s="68"/>
      <c r="B1991" s="30"/>
      <c r="C1991" s="30" t="s">
        <v>18</v>
      </c>
      <c r="D1991" s="27"/>
      <c r="E1991" s="27"/>
      <c r="F1991" s="68" t="s">
        <v>5884</v>
      </c>
      <c r="G1991" s="121" t="s">
        <v>5886</v>
      </c>
      <c r="H1991" s="93"/>
      <c r="I1991" s="74"/>
      <c r="J1991" s="90"/>
      <c r="K1991" s="74"/>
      <c r="L1991" s="16"/>
      <c r="M1991" s="6"/>
      <c r="N1991" s="113" t="s">
        <v>14</v>
      </c>
      <c r="O1991" s="122" t="s">
        <v>27</v>
      </c>
      <c r="P1991" s="122"/>
      <c r="Q1991" s="106"/>
      <c r="R1991" s="30"/>
      <c r="S1991" s="225" t="str">
        <f t="shared" si="31"/>
        <v/>
      </c>
      <c r="T1991" s="2" t="s">
        <v>7698</v>
      </c>
      <c r="U1991" s="7" t="s">
        <v>139</v>
      </c>
      <c r="V1991" s="171" t="str" cm="1">
        <f t="array" ref="V1991">_xlfn.IFS(C1991="","",COUNTIF(C1991,"ตำแหน่งว่าง*"),"ว่าง",COUNTIF(C1991,"&lt;&gt;ตำแหน่งว่าง*"),"คนครอง")</f>
        <v>ว่าง</v>
      </c>
      <c r="W1991" s="6" cm="1">
        <f t="array" ref="W1991">_xlfn.IFS(COUNTIF(F1991,"ผบ.หมู่*"),51,COUNTIF(F1991,"รอง สว.*"),43)</f>
        <v>51</v>
      </c>
      <c r="X1991" s="1" t="s">
        <v>5885</v>
      </c>
      <c r="Y1991" s="1" t="s">
        <v>27</v>
      </c>
    </row>
    <row r="1992" spans="1:25" s="9" customFormat="1" ht="21.3" customHeight="1">
      <c r="A1992" s="68"/>
      <c r="B1992" s="30"/>
      <c r="C1992" s="30" t="s">
        <v>18</v>
      </c>
      <c r="D1992" s="27"/>
      <c r="E1992" s="27"/>
      <c r="F1992" s="68" t="s">
        <v>5884</v>
      </c>
      <c r="G1992" s="121" t="s">
        <v>5888</v>
      </c>
      <c r="H1992" s="93"/>
      <c r="I1992" s="74"/>
      <c r="J1992" s="90"/>
      <c r="K1992" s="74"/>
      <c r="L1992" s="16"/>
      <c r="M1992" s="6"/>
      <c r="N1992" s="113" t="s">
        <v>14</v>
      </c>
      <c r="O1992" s="122" t="s">
        <v>27</v>
      </c>
      <c r="P1992" s="122"/>
      <c r="Q1992" s="106"/>
      <c r="R1992" s="30"/>
      <c r="S1992" s="225" t="str">
        <f t="shared" si="31"/>
        <v/>
      </c>
      <c r="T1992" s="2" t="s">
        <v>7698</v>
      </c>
      <c r="U1992" s="7" t="s">
        <v>139</v>
      </c>
      <c r="V1992" s="171" t="str" cm="1">
        <f t="array" ref="V1992">_xlfn.IFS(C1992="","",COUNTIF(C1992,"ตำแหน่งว่าง*"),"ว่าง",COUNTIF(C1992,"&lt;&gt;ตำแหน่งว่าง*"),"คนครอง")</f>
        <v>ว่าง</v>
      </c>
      <c r="W1992" s="6" cm="1">
        <f t="array" ref="W1992">_xlfn.IFS(COUNTIF(F1992,"ผบ.หมู่*"),51,COUNTIF(F1992,"รอง สว.*"),43)</f>
        <v>51</v>
      </c>
      <c r="X1992" s="1" t="s">
        <v>5887</v>
      </c>
      <c r="Y1992" s="1" t="s">
        <v>27</v>
      </c>
    </row>
    <row r="1993" spans="1:25" s="10" customFormat="1" ht="21.3" customHeight="1">
      <c r="A1993" s="27"/>
      <c r="B1993" s="28"/>
      <c r="C1993" s="30" t="s">
        <v>18</v>
      </c>
      <c r="D1993" s="27"/>
      <c r="E1993" s="27"/>
      <c r="F1993" s="68" t="s">
        <v>5884</v>
      </c>
      <c r="G1993" s="121" t="s">
        <v>5890</v>
      </c>
      <c r="H1993" s="91" t="s">
        <v>19</v>
      </c>
      <c r="I1993" s="73" t="s">
        <v>19</v>
      </c>
      <c r="J1993" s="73" t="s">
        <v>19</v>
      </c>
      <c r="K1993" s="73" t="s">
        <v>19</v>
      </c>
      <c r="L1993" s="11"/>
      <c r="M1993" s="1"/>
      <c r="N1993" s="113" t="s">
        <v>14</v>
      </c>
      <c r="O1993" s="122" t="s">
        <v>27</v>
      </c>
      <c r="P1993" s="122"/>
      <c r="Q1993" s="105"/>
      <c r="R1993" s="28"/>
      <c r="S1993" s="225" t="str">
        <f t="shared" si="31"/>
        <v/>
      </c>
      <c r="T1993" s="7" t="s">
        <v>7698</v>
      </c>
      <c r="U1993" s="7" t="s">
        <v>139</v>
      </c>
      <c r="V1993" s="171" t="str" cm="1">
        <f t="array" ref="V1993">_xlfn.IFS(C1993="","",COUNTIF(C1993,"ตำแหน่งว่าง*"),"ว่าง",COUNTIF(C1993,"&lt;&gt;ตำแหน่งว่าง*"),"คนครอง")</f>
        <v>ว่าง</v>
      </c>
      <c r="W1993" s="6" cm="1">
        <f t="array" ref="W1993">_xlfn.IFS(COUNTIF(F1993,"ผบ.หมู่*"),51,COUNTIF(F1993,"รอง สว.*"),43)</f>
        <v>51</v>
      </c>
      <c r="X1993" s="6" t="s">
        <v>5889</v>
      </c>
      <c r="Y1993" s="6" t="s">
        <v>27</v>
      </c>
    </row>
    <row r="1994" spans="1:25" s="10" customFormat="1" ht="21.3" customHeight="1">
      <c r="A1994" s="27"/>
      <c r="B1994" s="28"/>
      <c r="C1994" s="30" t="s">
        <v>18</v>
      </c>
      <c r="D1994" s="27"/>
      <c r="E1994" s="27"/>
      <c r="F1994" s="68" t="s">
        <v>5884</v>
      </c>
      <c r="G1994" s="121" t="s">
        <v>5892</v>
      </c>
      <c r="H1994" s="91" t="s">
        <v>19</v>
      </c>
      <c r="I1994" s="73" t="s">
        <v>19</v>
      </c>
      <c r="J1994" s="73" t="s">
        <v>19</v>
      </c>
      <c r="K1994" s="73" t="s">
        <v>19</v>
      </c>
      <c r="L1994" s="11"/>
      <c r="M1994" s="1"/>
      <c r="N1994" s="113" t="s">
        <v>14</v>
      </c>
      <c r="O1994" s="122" t="s">
        <v>27</v>
      </c>
      <c r="P1994" s="122"/>
      <c r="Q1994" s="105"/>
      <c r="R1994" s="28"/>
      <c r="S1994" s="225" t="str">
        <f t="shared" si="31"/>
        <v/>
      </c>
      <c r="T1994" s="7" t="s">
        <v>7698</v>
      </c>
      <c r="U1994" s="7" t="s">
        <v>139</v>
      </c>
      <c r="V1994" s="171" t="str" cm="1">
        <f t="array" ref="V1994">_xlfn.IFS(C1994="","",COUNTIF(C1994,"ตำแหน่งว่าง*"),"ว่าง",COUNTIF(C1994,"&lt;&gt;ตำแหน่งว่าง*"),"คนครอง")</f>
        <v>ว่าง</v>
      </c>
      <c r="W1994" s="6" cm="1">
        <f t="array" ref="W1994">_xlfn.IFS(COUNTIF(F1994,"ผบ.หมู่*"),51,COUNTIF(F1994,"รอง สว.*"),43)</f>
        <v>51</v>
      </c>
      <c r="X1994" s="6" t="s">
        <v>5891</v>
      </c>
      <c r="Y1994" s="6" t="s">
        <v>27</v>
      </c>
    </row>
    <row r="1995" spans="1:25" s="10" customFormat="1" ht="21.3" customHeight="1">
      <c r="A1995" s="27"/>
      <c r="B1995" s="28"/>
      <c r="C1995" s="30" t="s">
        <v>18</v>
      </c>
      <c r="D1995" s="27"/>
      <c r="E1995" s="27"/>
      <c r="F1995" s="68" t="s">
        <v>5884</v>
      </c>
      <c r="G1995" s="121" t="s">
        <v>5894</v>
      </c>
      <c r="H1995" s="91" t="s">
        <v>19</v>
      </c>
      <c r="I1995" s="73" t="s">
        <v>19</v>
      </c>
      <c r="J1995" s="73" t="s">
        <v>19</v>
      </c>
      <c r="K1995" s="73" t="s">
        <v>19</v>
      </c>
      <c r="L1995" s="11"/>
      <c r="M1995" s="1"/>
      <c r="N1995" s="113" t="s">
        <v>14</v>
      </c>
      <c r="O1995" s="122" t="s">
        <v>27</v>
      </c>
      <c r="P1995" s="122"/>
      <c r="Q1995" s="105"/>
      <c r="R1995" s="28"/>
      <c r="S1995" s="225" t="str">
        <f t="shared" si="31"/>
        <v/>
      </c>
      <c r="T1995" s="7" t="s">
        <v>7698</v>
      </c>
      <c r="U1995" s="7" t="s">
        <v>139</v>
      </c>
      <c r="V1995" s="171" t="str" cm="1">
        <f t="array" ref="V1995">_xlfn.IFS(C1995="","",COUNTIF(C1995,"ตำแหน่งว่าง*"),"ว่าง",COUNTIF(C1995,"&lt;&gt;ตำแหน่งว่าง*"),"คนครอง")</f>
        <v>ว่าง</v>
      </c>
      <c r="W1995" s="6" cm="1">
        <f t="array" ref="W1995">_xlfn.IFS(COUNTIF(F1995,"ผบ.หมู่*"),51,COUNTIF(F1995,"รอง สว.*"),43)</f>
        <v>51</v>
      </c>
      <c r="X1995" s="6" t="s">
        <v>5893</v>
      </c>
      <c r="Y1995" s="6" t="s">
        <v>27</v>
      </c>
    </row>
    <row r="1996" spans="1:25" s="10" customFormat="1" ht="21.3" customHeight="1">
      <c r="A1996" s="27"/>
      <c r="B1996" s="28"/>
      <c r="C1996" s="30" t="s">
        <v>18</v>
      </c>
      <c r="D1996" s="27"/>
      <c r="E1996" s="27"/>
      <c r="F1996" s="68" t="s">
        <v>5884</v>
      </c>
      <c r="G1996" s="121" t="s">
        <v>5896</v>
      </c>
      <c r="H1996" s="91" t="s">
        <v>19</v>
      </c>
      <c r="I1996" s="73" t="s">
        <v>19</v>
      </c>
      <c r="J1996" s="73" t="s">
        <v>19</v>
      </c>
      <c r="K1996" s="73" t="s">
        <v>19</v>
      </c>
      <c r="L1996" s="11"/>
      <c r="M1996" s="1"/>
      <c r="N1996" s="113" t="s">
        <v>14</v>
      </c>
      <c r="O1996" s="122" t="s">
        <v>27</v>
      </c>
      <c r="P1996" s="122"/>
      <c r="Q1996" s="105"/>
      <c r="R1996" s="28"/>
      <c r="S1996" s="225" t="str">
        <f t="shared" si="31"/>
        <v/>
      </c>
      <c r="T1996" s="7" t="s">
        <v>7698</v>
      </c>
      <c r="U1996" s="7" t="s">
        <v>139</v>
      </c>
      <c r="V1996" s="171" t="str" cm="1">
        <f t="array" ref="V1996">_xlfn.IFS(C1996="","",COUNTIF(C1996,"ตำแหน่งว่าง*"),"ว่าง",COUNTIF(C1996,"&lt;&gt;ตำแหน่งว่าง*"),"คนครอง")</f>
        <v>ว่าง</v>
      </c>
      <c r="W1996" s="6" cm="1">
        <f t="array" ref="W1996">_xlfn.IFS(COUNTIF(F1996,"ผบ.หมู่*"),51,COUNTIF(F1996,"รอง สว.*"),43)</f>
        <v>51</v>
      </c>
      <c r="X1996" s="6" t="s">
        <v>5895</v>
      </c>
      <c r="Y1996" s="6" t="s">
        <v>27</v>
      </c>
    </row>
    <row r="1997" spans="1:25" s="10" customFormat="1" ht="21.3" customHeight="1">
      <c r="A1997" s="27"/>
      <c r="B1997" s="28"/>
      <c r="C1997" s="30" t="s">
        <v>18</v>
      </c>
      <c r="D1997" s="27"/>
      <c r="E1997" s="27"/>
      <c r="F1997" s="68" t="s">
        <v>5884</v>
      </c>
      <c r="G1997" s="121" t="s">
        <v>5898</v>
      </c>
      <c r="H1997" s="91" t="s">
        <v>19</v>
      </c>
      <c r="I1997" s="73" t="s">
        <v>19</v>
      </c>
      <c r="J1997" s="73" t="s">
        <v>19</v>
      </c>
      <c r="K1997" s="73" t="s">
        <v>19</v>
      </c>
      <c r="L1997" s="11"/>
      <c r="M1997" s="1"/>
      <c r="N1997" s="113" t="s">
        <v>14</v>
      </c>
      <c r="O1997" s="122" t="s">
        <v>27</v>
      </c>
      <c r="P1997" s="122"/>
      <c r="Q1997" s="105"/>
      <c r="R1997" s="28"/>
      <c r="S1997" s="225" t="str">
        <f t="shared" si="31"/>
        <v/>
      </c>
      <c r="T1997" s="7" t="s">
        <v>7698</v>
      </c>
      <c r="U1997" s="7" t="s">
        <v>139</v>
      </c>
      <c r="V1997" s="171" t="str" cm="1">
        <f t="array" ref="V1997">_xlfn.IFS(C1997="","",COUNTIF(C1997,"ตำแหน่งว่าง*"),"ว่าง",COUNTIF(C1997,"&lt;&gt;ตำแหน่งว่าง*"),"คนครอง")</f>
        <v>ว่าง</v>
      </c>
      <c r="W1997" s="6" cm="1">
        <f t="array" ref="W1997">_xlfn.IFS(COUNTIF(F1997,"ผบ.หมู่*"),51,COUNTIF(F1997,"รอง สว.*"),43)</f>
        <v>51</v>
      </c>
      <c r="X1997" s="6" t="s">
        <v>5897</v>
      </c>
      <c r="Y1997" s="6" t="s">
        <v>27</v>
      </c>
    </row>
    <row r="1998" spans="1:25" s="10" customFormat="1" ht="21.3" customHeight="1">
      <c r="A1998" s="27"/>
      <c r="B1998" s="28"/>
      <c r="C1998" s="30" t="s">
        <v>18</v>
      </c>
      <c r="D1998" s="27"/>
      <c r="E1998" s="27"/>
      <c r="F1998" s="68" t="s">
        <v>5884</v>
      </c>
      <c r="G1998" s="121" t="s">
        <v>5900</v>
      </c>
      <c r="H1998" s="91" t="s">
        <v>19</v>
      </c>
      <c r="I1998" s="73" t="s">
        <v>19</v>
      </c>
      <c r="J1998" s="73" t="s">
        <v>19</v>
      </c>
      <c r="K1998" s="73" t="s">
        <v>19</v>
      </c>
      <c r="L1998" s="11"/>
      <c r="M1998" s="1"/>
      <c r="N1998" s="113" t="s">
        <v>14</v>
      </c>
      <c r="O1998" s="122" t="s">
        <v>27</v>
      </c>
      <c r="P1998" s="122"/>
      <c r="Q1998" s="105"/>
      <c r="R1998" s="28"/>
      <c r="S1998" s="225" t="str">
        <f t="shared" si="31"/>
        <v/>
      </c>
      <c r="T1998" s="7" t="s">
        <v>7698</v>
      </c>
      <c r="U1998" s="7" t="s">
        <v>139</v>
      </c>
      <c r="V1998" s="171" t="str" cm="1">
        <f t="array" ref="V1998">_xlfn.IFS(C1998="","",COUNTIF(C1998,"ตำแหน่งว่าง*"),"ว่าง",COUNTIF(C1998,"&lt;&gt;ตำแหน่งว่าง*"),"คนครอง")</f>
        <v>ว่าง</v>
      </c>
      <c r="W1998" s="6" cm="1">
        <f t="array" ref="W1998">_xlfn.IFS(COUNTIF(F1998,"ผบ.หมู่*"),51,COUNTIF(F1998,"รอง สว.*"),43)</f>
        <v>51</v>
      </c>
      <c r="X1998" s="6" t="s">
        <v>5899</v>
      </c>
      <c r="Y1998" s="6" t="s">
        <v>27</v>
      </c>
    </row>
    <row r="1999" spans="1:25" s="10" customFormat="1" ht="21.3" customHeight="1">
      <c r="A1999" s="27"/>
      <c r="B1999" s="28"/>
      <c r="C1999" s="30" t="s">
        <v>18</v>
      </c>
      <c r="D1999" s="27"/>
      <c r="E1999" s="27"/>
      <c r="F1999" s="68" t="s">
        <v>5884</v>
      </c>
      <c r="G1999" s="121" t="s">
        <v>5902</v>
      </c>
      <c r="H1999" s="91" t="s">
        <v>19</v>
      </c>
      <c r="I1999" s="73" t="s">
        <v>19</v>
      </c>
      <c r="J1999" s="73" t="s">
        <v>19</v>
      </c>
      <c r="K1999" s="73" t="s">
        <v>19</v>
      </c>
      <c r="L1999" s="11"/>
      <c r="M1999" s="1"/>
      <c r="N1999" s="113" t="s">
        <v>14</v>
      </c>
      <c r="O1999" s="122" t="s">
        <v>27</v>
      </c>
      <c r="P1999" s="122"/>
      <c r="Q1999" s="105"/>
      <c r="R1999" s="28"/>
      <c r="S1999" s="225" t="str">
        <f t="shared" si="31"/>
        <v/>
      </c>
      <c r="T1999" s="7" t="s">
        <v>7698</v>
      </c>
      <c r="U1999" s="7" t="s">
        <v>139</v>
      </c>
      <c r="V1999" s="171" t="str" cm="1">
        <f t="array" ref="V1999">_xlfn.IFS(C1999="","",COUNTIF(C1999,"ตำแหน่งว่าง*"),"ว่าง",COUNTIF(C1999,"&lt;&gt;ตำแหน่งว่าง*"),"คนครอง")</f>
        <v>ว่าง</v>
      </c>
      <c r="W1999" s="6" cm="1">
        <f t="array" ref="W1999">_xlfn.IFS(COUNTIF(F1999,"ผบ.หมู่*"),51,COUNTIF(F1999,"รอง สว.*"),43)</f>
        <v>51</v>
      </c>
      <c r="X1999" s="6" t="s">
        <v>5901</v>
      </c>
      <c r="Y1999" s="6" t="s">
        <v>27</v>
      </c>
    </row>
    <row r="2000" spans="1:25" s="9" customFormat="1" ht="21.3" customHeight="1">
      <c r="A2000" s="95"/>
      <c r="B2000" s="28"/>
      <c r="C2000" s="30" t="s">
        <v>18</v>
      </c>
      <c r="D2000" s="27"/>
      <c r="E2000" s="27"/>
      <c r="F2000" s="68" t="s">
        <v>5884</v>
      </c>
      <c r="G2000" s="121" t="s">
        <v>5932</v>
      </c>
      <c r="H2000" s="80"/>
      <c r="I2000" s="74"/>
      <c r="J2000" s="74"/>
      <c r="K2000" s="74"/>
      <c r="L2000" s="16"/>
      <c r="M2000" s="6"/>
      <c r="N2000" s="113" t="s">
        <v>14</v>
      </c>
      <c r="O2000" s="122" t="s">
        <v>43</v>
      </c>
      <c r="P2000" s="122"/>
      <c r="Q2000" s="106"/>
      <c r="R2000" s="30"/>
      <c r="S2000" s="225" t="str">
        <f t="shared" si="31"/>
        <v/>
      </c>
      <c r="T2000" s="2" t="s">
        <v>7698</v>
      </c>
      <c r="U2000" s="7" t="s">
        <v>139</v>
      </c>
      <c r="V2000" s="171" t="str" cm="1">
        <f t="array" ref="V2000">_xlfn.IFS(C2000="","",COUNTIF(C2000,"ตำแหน่งว่าง*"),"ว่าง",COUNTIF(C2000,"&lt;&gt;ตำแหน่งว่าง*"),"คนครอง")</f>
        <v>ว่าง</v>
      </c>
      <c r="W2000" s="6" cm="1">
        <f t="array" ref="W2000">_xlfn.IFS(COUNTIF(F2000,"ผบ.หมู่*"),51,COUNTIF(F2000,"รอง สว.*"),43)</f>
        <v>51</v>
      </c>
      <c r="X2000" s="6" t="s">
        <v>5931</v>
      </c>
      <c r="Y2000" s="6" t="s">
        <v>48</v>
      </c>
    </row>
    <row r="2001" spans="1:25" s="10" customFormat="1" ht="21.3" customHeight="1">
      <c r="A2001" s="27" t="s">
        <v>157</v>
      </c>
      <c r="B2001" s="28" t="s">
        <v>21</v>
      </c>
      <c r="C2001" s="27" t="s">
        <v>5903</v>
      </c>
      <c r="D2001" s="27" t="s">
        <v>10090</v>
      </c>
      <c r="E2001" s="27" t="s">
        <v>10091</v>
      </c>
      <c r="F2001" s="27" t="s">
        <v>5884</v>
      </c>
      <c r="G2001" s="101" t="s">
        <v>5905</v>
      </c>
      <c r="H2001" s="91">
        <v>44999</v>
      </c>
      <c r="I2001" s="73">
        <v>40339</v>
      </c>
      <c r="J2001" s="73">
        <v>40339</v>
      </c>
      <c r="K2001" s="73">
        <v>31841</v>
      </c>
      <c r="L2001" s="11" t="s">
        <v>5906</v>
      </c>
      <c r="M2001" s="1" t="s">
        <v>15</v>
      </c>
      <c r="N2001" s="112" t="s">
        <v>14</v>
      </c>
      <c r="O2001" s="104" t="s">
        <v>52</v>
      </c>
      <c r="P2001" s="104" t="s">
        <v>52</v>
      </c>
      <c r="Q2001" s="105"/>
      <c r="R2001" s="28" t="s">
        <v>74</v>
      </c>
      <c r="S2001" s="225">
        <f t="shared" si="31"/>
        <v>53966</v>
      </c>
      <c r="T2001" s="7" t="s">
        <v>7698</v>
      </c>
      <c r="U2001" s="7" t="s">
        <v>139</v>
      </c>
      <c r="V2001" s="162" t="str" cm="1">
        <f t="array" ref="V2001">_xlfn.IFS(C2001="","",COUNTIF(C2001,"ตำแหน่งว่าง*"),"ว่าง",COUNTIF(C2001,"&lt;&gt;ตำแหน่งว่าง*"),"คนครอง")</f>
        <v>คนครอง</v>
      </c>
      <c r="W2001" s="6" cm="1">
        <f t="array" ref="W2001">_xlfn.IFS(COUNTIF(F2001,"ผบ.หมู่*"),51,COUNTIF(F2001,"รอง สว.*"),43)</f>
        <v>51</v>
      </c>
      <c r="X2001" s="1" t="s">
        <v>5904</v>
      </c>
      <c r="Y2001" s="1" t="s">
        <v>52</v>
      </c>
    </row>
    <row r="2002" spans="1:25" s="9" customFormat="1" ht="21.3" customHeight="1">
      <c r="A2002" s="27" t="s">
        <v>44</v>
      </c>
      <c r="B2002" s="28" t="s">
        <v>12</v>
      </c>
      <c r="C2002" s="27" t="s">
        <v>7789</v>
      </c>
      <c r="D2002" s="27" t="s">
        <v>8106</v>
      </c>
      <c r="E2002" s="27" t="s">
        <v>10092</v>
      </c>
      <c r="F2002" s="27" t="s">
        <v>5909</v>
      </c>
      <c r="G2002" s="101" t="s">
        <v>5908</v>
      </c>
      <c r="H2002" s="91">
        <v>45322</v>
      </c>
      <c r="I2002" s="73">
        <v>44651</v>
      </c>
      <c r="J2002" s="73">
        <v>33415</v>
      </c>
      <c r="K2002" s="73">
        <v>25461</v>
      </c>
      <c r="L2002" s="11" t="s">
        <v>1671</v>
      </c>
      <c r="M2002" s="1" t="s">
        <v>15</v>
      </c>
      <c r="N2002" s="112" t="s">
        <v>14</v>
      </c>
      <c r="O2002" s="104" t="s">
        <v>52</v>
      </c>
      <c r="P2002" s="104" t="s">
        <v>52</v>
      </c>
      <c r="Q2002" s="105"/>
      <c r="R2002" s="30" t="s">
        <v>7790</v>
      </c>
      <c r="S2002" s="225">
        <f t="shared" si="31"/>
        <v>47392</v>
      </c>
      <c r="T2002" s="2" t="s">
        <v>7698</v>
      </c>
      <c r="U2002" s="7" t="s">
        <v>139</v>
      </c>
      <c r="V2002" s="162" t="str" cm="1">
        <f t="array" ref="V2002">_xlfn.IFS(C2002="","",COUNTIF(C2002,"ตำแหน่งว่าง*"),"ว่าง",COUNTIF(C2002,"&lt;&gt;ตำแหน่งว่าง*"),"คนครอง")</f>
        <v>คนครอง</v>
      </c>
      <c r="W2002" s="6" cm="1">
        <f t="array" ref="W2002">_xlfn.IFS(COUNTIF(F2002,"ผบ.หมู่*"),51,COUNTIF(F2002,"รอง สว.*"),43)</f>
        <v>43</v>
      </c>
      <c r="X2002" s="1" t="s">
        <v>5907</v>
      </c>
      <c r="Y2002" s="1" t="s">
        <v>52</v>
      </c>
    </row>
    <row r="2003" spans="1:25" s="12" customFormat="1" ht="21.3" customHeight="1">
      <c r="A2003" s="27"/>
      <c r="B2003" s="28"/>
      <c r="C2003" s="30" t="s">
        <v>18</v>
      </c>
      <c r="D2003" s="27"/>
      <c r="E2003" s="27"/>
      <c r="F2003" s="27" t="s">
        <v>5884</v>
      </c>
      <c r="G2003" s="101" t="s">
        <v>5911</v>
      </c>
      <c r="H2003" s="75"/>
      <c r="I2003" s="73"/>
      <c r="J2003" s="73"/>
      <c r="K2003" s="73"/>
      <c r="L2003" s="2"/>
      <c r="M2003" s="1"/>
      <c r="N2003" s="111" t="s">
        <v>14</v>
      </c>
      <c r="O2003" s="104" t="s">
        <v>52</v>
      </c>
      <c r="P2003" s="104" t="s">
        <v>52</v>
      </c>
      <c r="Q2003" s="105"/>
      <c r="R2003" s="28"/>
      <c r="S2003" s="225" t="str">
        <f t="shared" si="31"/>
        <v/>
      </c>
      <c r="T2003" s="162" t="s">
        <v>7698</v>
      </c>
      <c r="U2003" s="7" t="s">
        <v>139</v>
      </c>
      <c r="V2003" s="162" t="str" cm="1">
        <f t="array" ref="V2003">_xlfn.IFS(C2003="","",COUNTIF(C2003,"ตำแหน่งว่าง*"),"ว่าง",COUNTIF(C2003,"&lt;&gt;ตำแหน่งว่าง*"),"คนครอง")</f>
        <v>ว่าง</v>
      </c>
      <c r="W2003" s="5" cm="1">
        <f t="array" ref="W2003">_xlfn.IFS(COUNTIF(F2003,"ผบ.หมู่*"),51,COUNTIF(F2003,"รอง สว.*"),43)</f>
        <v>51</v>
      </c>
      <c r="X2003" s="5" t="s">
        <v>5910</v>
      </c>
      <c r="Y2003" s="5" t="s">
        <v>52</v>
      </c>
    </row>
    <row r="2004" spans="1:25" s="12" customFormat="1" ht="21.3" customHeight="1">
      <c r="A2004" s="27"/>
      <c r="B2004" s="28"/>
      <c r="C2004" s="95" t="s">
        <v>18</v>
      </c>
      <c r="D2004" s="27"/>
      <c r="E2004" s="27"/>
      <c r="F2004" s="27" t="s">
        <v>5884</v>
      </c>
      <c r="G2004" s="101" t="s">
        <v>5913</v>
      </c>
      <c r="H2004" s="75"/>
      <c r="I2004" s="73"/>
      <c r="J2004" s="73"/>
      <c r="K2004" s="73"/>
      <c r="L2004" s="11"/>
      <c r="M2004" s="1"/>
      <c r="N2004" s="111" t="s">
        <v>14</v>
      </c>
      <c r="O2004" s="104" t="s">
        <v>52</v>
      </c>
      <c r="P2004" s="104" t="s">
        <v>52</v>
      </c>
      <c r="Q2004" s="105"/>
      <c r="R2004" s="28"/>
      <c r="S2004" s="225" t="str">
        <f t="shared" si="31"/>
        <v/>
      </c>
      <c r="T2004" s="162" t="s">
        <v>7698</v>
      </c>
      <c r="U2004" s="7" t="s">
        <v>139</v>
      </c>
      <c r="V2004" s="162" t="str" cm="1">
        <f t="array" ref="V2004">_xlfn.IFS(C2004="","",COUNTIF(C2004,"ตำแหน่งว่าง*"),"ว่าง",COUNTIF(C2004,"&lt;&gt;ตำแหน่งว่าง*"),"คนครอง")</f>
        <v>ว่าง</v>
      </c>
      <c r="W2004" s="5" cm="1">
        <f t="array" ref="W2004">_xlfn.IFS(COUNTIF(F2004,"ผบ.หมู่*"),51,COUNTIF(F2004,"รอง สว.*"),43)</f>
        <v>51</v>
      </c>
      <c r="X2004" s="5" t="s">
        <v>5912</v>
      </c>
      <c r="Y2004" s="5" t="s">
        <v>52</v>
      </c>
    </row>
    <row r="2005" spans="1:25" s="12" customFormat="1" ht="21.3" customHeight="1">
      <c r="A2005" s="27" t="s">
        <v>10753</v>
      </c>
      <c r="B2005" s="28" t="s">
        <v>21</v>
      </c>
      <c r="C2005" s="95" t="s">
        <v>5914</v>
      </c>
      <c r="D2005" s="27" t="s">
        <v>9680</v>
      </c>
      <c r="E2005" s="27" t="s">
        <v>10092</v>
      </c>
      <c r="F2005" s="95" t="s">
        <v>5909</v>
      </c>
      <c r="G2005" s="101" t="s">
        <v>5916</v>
      </c>
      <c r="H2005" s="75">
        <v>45016</v>
      </c>
      <c r="I2005" s="73">
        <v>45016</v>
      </c>
      <c r="J2005" s="73">
        <v>34352</v>
      </c>
      <c r="K2005" s="73">
        <v>25793</v>
      </c>
      <c r="L2005" s="11" t="s">
        <v>5917</v>
      </c>
      <c r="M2005" s="1" t="s">
        <v>15</v>
      </c>
      <c r="N2005" s="111" t="s">
        <v>14</v>
      </c>
      <c r="O2005" s="104" t="s">
        <v>52</v>
      </c>
      <c r="P2005" s="104" t="s">
        <v>52</v>
      </c>
      <c r="Q2005" s="105"/>
      <c r="R2005" s="28" t="s">
        <v>483</v>
      </c>
      <c r="S2005" s="225">
        <f t="shared" si="31"/>
        <v>47757</v>
      </c>
      <c r="T2005" s="162" t="s">
        <v>7698</v>
      </c>
      <c r="U2005" s="7" t="s">
        <v>139</v>
      </c>
      <c r="V2005" s="162" t="str" cm="1">
        <f t="array" ref="V2005">_xlfn.IFS(C2005="","",COUNTIF(C2005,"ตำแหน่งว่าง*"),"ว่าง",COUNTIF(C2005,"&lt;&gt;ตำแหน่งว่าง*"),"คนครอง")</f>
        <v>คนครอง</v>
      </c>
      <c r="W2005" s="5" cm="1">
        <f t="array" ref="W2005">_xlfn.IFS(COUNTIF(F2005,"ผบ.หมู่*"),51,COUNTIF(F2005,"รอง สว.*"),43)</f>
        <v>43</v>
      </c>
      <c r="X2005" s="5" t="s">
        <v>5915</v>
      </c>
      <c r="Y2005" s="5" t="s">
        <v>52</v>
      </c>
    </row>
    <row r="2006" spans="1:25" s="10" customFormat="1" ht="21.3" customHeight="1">
      <c r="A2006" s="27" t="s">
        <v>157</v>
      </c>
      <c r="B2006" s="28" t="s">
        <v>12</v>
      </c>
      <c r="C2006" s="27" t="s">
        <v>7714</v>
      </c>
      <c r="D2006" s="27" t="s">
        <v>8080</v>
      </c>
      <c r="E2006" s="27" t="s">
        <v>10093</v>
      </c>
      <c r="F2006" s="27" t="s">
        <v>5884</v>
      </c>
      <c r="G2006" s="101" t="s">
        <v>5919</v>
      </c>
      <c r="H2006" s="75">
        <v>45322</v>
      </c>
      <c r="I2006" s="73">
        <v>37653</v>
      </c>
      <c r="J2006" s="73">
        <v>38533</v>
      </c>
      <c r="K2006" s="73">
        <v>30407</v>
      </c>
      <c r="L2006" s="11" t="s">
        <v>7715</v>
      </c>
      <c r="M2006" s="1" t="s">
        <v>15</v>
      </c>
      <c r="N2006" s="112" t="s">
        <v>14</v>
      </c>
      <c r="O2006" s="104" t="s">
        <v>52</v>
      </c>
      <c r="P2006" s="104" t="s">
        <v>52</v>
      </c>
      <c r="Q2006" s="105"/>
      <c r="R2006" s="30" t="s">
        <v>7708</v>
      </c>
      <c r="S2006" s="225">
        <f t="shared" si="31"/>
        <v>52505</v>
      </c>
      <c r="T2006" s="7" t="s">
        <v>7698</v>
      </c>
      <c r="U2006" s="7" t="s">
        <v>139</v>
      </c>
      <c r="V2006" s="162" t="str" cm="1">
        <f t="array" ref="V2006">_xlfn.IFS(C2006="","",COUNTIF(C2006,"ตำแหน่งว่าง*"),"ว่าง",COUNTIF(C2006,"&lt;&gt;ตำแหน่งว่าง*"),"คนครอง")</f>
        <v>คนครอง</v>
      </c>
      <c r="W2006" s="6" cm="1">
        <f t="array" ref="W2006">_xlfn.IFS(COUNTIF(F2006,"ผบ.หมู่*"),51,COUNTIF(F2006,"รอง สว.*"),43)</f>
        <v>51</v>
      </c>
      <c r="X2006" s="1" t="s">
        <v>5918</v>
      </c>
      <c r="Y2006" s="1" t="s">
        <v>52</v>
      </c>
    </row>
    <row r="2007" spans="1:25" s="10" customFormat="1" ht="21.3" customHeight="1">
      <c r="A2007" s="27"/>
      <c r="B2007" s="28"/>
      <c r="C2007" s="30" t="s">
        <v>18</v>
      </c>
      <c r="D2007" s="27"/>
      <c r="E2007" s="27"/>
      <c r="F2007" s="68" t="s">
        <v>5884</v>
      </c>
      <c r="G2007" s="121" t="s">
        <v>5921</v>
      </c>
      <c r="H2007" s="91" t="s">
        <v>19</v>
      </c>
      <c r="I2007" s="73" t="s">
        <v>19</v>
      </c>
      <c r="J2007" s="73" t="s">
        <v>19</v>
      </c>
      <c r="K2007" s="73" t="s">
        <v>19</v>
      </c>
      <c r="L2007" s="11"/>
      <c r="M2007" s="1"/>
      <c r="N2007" s="113" t="s">
        <v>14</v>
      </c>
      <c r="O2007" s="122" t="s">
        <v>52</v>
      </c>
      <c r="P2007" s="122" t="s">
        <v>52</v>
      </c>
      <c r="Q2007" s="105"/>
      <c r="R2007" s="28"/>
      <c r="S2007" s="225" t="str">
        <f t="shared" si="31"/>
        <v/>
      </c>
      <c r="T2007" s="7" t="s">
        <v>7698</v>
      </c>
      <c r="U2007" s="7" t="s">
        <v>139</v>
      </c>
      <c r="V2007" s="171" t="str" cm="1">
        <f t="array" ref="V2007">_xlfn.IFS(C2007="","",COUNTIF(C2007,"ตำแหน่งว่าง*"),"ว่าง",COUNTIF(C2007,"&lt;&gt;ตำแหน่งว่าง*"),"คนครอง")</f>
        <v>ว่าง</v>
      </c>
      <c r="W2007" s="6" cm="1">
        <f t="array" ref="W2007">_xlfn.IFS(COUNTIF(F2007,"ผบ.หมู่*"),51,COUNTIF(F2007,"รอง สว.*"),43)</f>
        <v>51</v>
      </c>
      <c r="X2007" s="6" t="s">
        <v>5920</v>
      </c>
      <c r="Y2007" s="6" t="s">
        <v>52</v>
      </c>
    </row>
    <row r="2008" spans="1:25" s="9" customFormat="1" ht="21.3" customHeight="1">
      <c r="A2008" s="27" t="s">
        <v>10753</v>
      </c>
      <c r="B2008" s="28" t="s">
        <v>12</v>
      </c>
      <c r="C2008" s="27" t="s">
        <v>5922</v>
      </c>
      <c r="D2008" s="27" t="s">
        <v>10094</v>
      </c>
      <c r="E2008" s="27" t="s">
        <v>8053</v>
      </c>
      <c r="F2008" s="27" t="s">
        <v>5909</v>
      </c>
      <c r="G2008" s="101" t="s">
        <v>5924</v>
      </c>
      <c r="H2008" s="75">
        <v>45016</v>
      </c>
      <c r="I2008" s="73">
        <v>45016</v>
      </c>
      <c r="J2008" s="73">
        <v>34352</v>
      </c>
      <c r="K2008" s="73">
        <v>25660</v>
      </c>
      <c r="L2008" s="11" t="s">
        <v>4073</v>
      </c>
      <c r="M2008" s="1" t="s">
        <v>15</v>
      </c>
      <c r="N2008" s="112" t="s">
        <v>14</v>
      </c>
      <c r="O2008" s="104" t="s">
        <v>52</v>
      </c>
      <c r="P2008" s="104" t="s">
        <v>52</v>
      </c>
      <c r="Q2008" s="105"/>
      <c r="R2008" s="28" t="s">
        <v>483</v>
      </c>
      <c r="S2008" s="225">
        <f t="shared" si="31"/>
        <v>47757</v>
      </c>
      <c r="T2008" s="2" t="s">
        <v>7698</v>
      </c>
      <c r="U2008" s="7" t="s">
        <v>139</v>
      </c>
      <c r="V2008" s="162" t="str" cm="1">
        <f t="array" ref="V2008">_xlfn.IFS(C2008="","",COUNTIF(C2008,"ตำแหน่งว่าง*"),"ว่าง",COUNTIF(C2008,"&lt;&gt;ตำแหน่งว่าง*"),"คนครอง")</f>
        <v>คนครอง</v>
      </c>
      <c r="W2008" s="5" cm="1">
        <f t="array" ref="W2008">_xlfn.IFS(COUNTIF(F2008,"ผบ.หมู่*"),51,COUNTIF(F2008,"รอง สว.*"),43)</f>
        <v>43</v>
      </c>
      <c r="X2008" s="1" t="s">
        <v>5923</v>
      </c>
      <c r="Y2008" s="1" t="s">
        <v>52</v>
      </c>
    </row>
    <row r="2009" spans="1:25" s="9" customFormat="1" ht="21.3" customHeight="1">
      <c r="A2009" s="27" t="s">
        <v>612</v>
      </c>
      <c r="B2009" s="28" t="s">
        <v>12</v>
      </c>
      <c r="C2009" s="27" t="s">
        <v>5925</v>
      </c>
      <c r="D2009" s="27" t="s">
        <v>8093</v>
      </c>
      <c r="E2009" s="27" t="s">
        <v>10095</v>
      </c>
      <c r="F2009" s="27" t="s">
        <v>5884</v>
      </c>
      <c r="G2009" s="101" t="s">
        <v>5927</v>
      </c>
      <c r="H2009" s="75">
        <v>42501</v>
      </c>
      <c r="I2009" s="73">
        <v>41944</v>
      </c>
      <c r="J2009" s="73">
        <v>41944</v>
      </c>
      <c r="K2009" s="73">
        <v>31163</v>
      </c>
      <c r="L2009" s="11" t="s">
        <v>3165</v>
      </c>
      <c r="M2009" s="1" t="s">
        <v>15</v>
      </c>
      <c r="N2009" s="112" t="s">
        <v>14</v>
      </c>
      <c r="O2009" s="104" t="s">
        <v>52</v>
      </c>
      <c r="P2009" s="104" t="s">
        <v>52</v>
      </c>
      <c r="Q2009" s="105"/>
      <c r="R2009" s="28" t="s">
        <v>110</v>
      </c>
      <c r="S2009" s="225">
        <f t="shared" si="31"/>
        <v>53236</v>
      </c>
      <c r="T2009" s="2" t="s">
        <v>7698</v>
      </c>
      <c r="U2009" s="7" t="s">
        <v>139</v>
      </c>
      <c r="V2009" s="162" t="str" cm="1">
        <f t="array" ref="V2009">_xlfn.IFS(C2009="","",COUNTIF(C2009,"ตำแหน่งว่าง*"),"ว่าง",COUNTIF(C2009,"&lt;&gt;ตำแหน่งว่าง*"),"คนครอง")</f>
        <v>คนครอง</v>
      </c>
      <c r="W2009" s="6" cm="1">
        <f t="array" ref="W2009">_xlfn.IFS(COUNTIF(F2009,"ผบ.หมู่*"),51,COUNTIF(F2009,"รอง สว.*"),43)</f>
        <v>51</v>
      </c>
      <c r="X2009" s="1" t="s">
        <v>5926</v>
      </c>
      <c r="Y2009" s="1" t="s">
        <v>52</v>
      </c>
    </row>
    <row r="2010" spans="1:25" s="12" customFormat="1" ht="21.3" customHeight="1">
      <c r="A2010" s="27" t="s">
        <v>157</v>
      </c>
      <c r="B2010" s="28" t="s">
        <v>12</v>
      </c>
      <c r="C2010" s="95" t="s">
        <v>5928</v>
      </c>
      <c r="D2010" s="27" t="s">
        <v>10096</v>
      </c>
      <c r="E2010" s="27" t="s">
        <v>10097</v>
      </c>
      <c r="F2010" s="95" t="s">
        <v>5884</v>
      </c>
      <c r="G2010" s="101" t="s">
        <v>5930</v>
      </c>
      <c r="H2010" s="75">
        <v>42604</v>
      </c>
      <c r="I2010" s="73">
        <v>34366</v>
      </c>
      <c r="J2010" s="73">
        <v>34366</v>
      </c>
      <c r="K2010" s="73">
        <v>26742</v>
      </c>
      <c r="L2010" s="11" t="s">
        <v>4826</v>
      </c>
      <c r="M2010" s="1" t="s">
        <v>15</v>
      </c>
      <c r="N2010" s="111" t="s">
        <v>14</v>
      </c>
      <c r="O2010" s="104" t="s">
        <v>52</v>
      </c>
      <c r="P2010" s="104" t="s">
        <v>52</v>
      </c>
      <c r="Q2010" s="105"/>
      <c r="R2010" s="28" t="s">
        <v>76</v>
      </c>
      <c r="S2010" s="225">
        <f t="shared" si="31"/>
        <v>48853</v>
      </c>
      <c r="T2010" s="162" t="s">
        <v>7698</v>
      </c>
      <c r="U2010" s="7" t="s">
        <v>139</v>
      </c>
      <c r="V2010" s="162" t="str" cm="1">
        <f t="array" ref="V2010">_xlfn.IFS(C2010="","",COUNTIF(C2010,"ตำแหน่งว่าง*"),"ว่าง",COUNTIF(C2010,"&lt;&gt;ตำแหน่งว่าง*"),"คนครอง")</f>
        <v>คนครอง</v>
      </c>
      <c r="W2010" s="6" cm="1">
        <f t="array" ref="W2010">_xlfn.IFS(COUNTIF(F2010,"ผบ.หมู่*"),51,COUNTIF(F2010,"รอง สว.*"),43)</f>
        <v>51</v>
      </c>
      <c r="X2010" s="5" t="s">
        <v>5929</v>
      </c>
      <c r="Y2010" s="5" t="s">
        <v>52</v>
      </c>
    </row>
    <row r="2011" spans="1:25" s="9" customFormat="1" ht="21.3" customHeight="1">
      <c r="A2011" s="27" t="s">
        <v>182</v>
      </c>
      <c r="B2011" s="28" t="s">
        <v>12</v>
      </c>
      <c r="C2011" s="27" t="s">
        <v>5933</v>
      </c>
      <c r="D2011" s="27" t="s">
        <v>10098</v>
      </c>
      <c r="E2011" s="27" t="s">
        <v>10099</v>
      </c>
      <c r="F2011" s="27" t="s">
        <v>5934</v>
      </c>
      <c r="G2011" s="101" t="s">
        <v>5936</v>
      </c>
      <c r="H2011" s="75">
        <v>44043</v>
      </c>
      <c r="I2011" s="73">
        <v>44043</v>
      </c>
      <c r="J2011" s="73">
        <v>44043</v>
      </c>
      <c r="K2011" s="73">
        <v>34398</v>
      </c>
      <c r="L2011" s="11" t="s">
        <v>82</v>
      </c>
      <c r="M2011" s="1" t="s">
        <v>163</v>
      </c>
      <c r="N2011" s="112" t="s">
        <v>14</v>
      </c>
      <c r="O2011" s="104" t="s">
        <v>52</v>
      </c>
      <c r="P2011" s="104" t="s">
        <v>52</v>
      </c>
      <c r="Q2011" s="105"/>
      <c r="R2011" s="28" t="s">
        <v>2436</v>
      </c>
      <c r="S2011" s="225">
        <f t="shared" si="31"/>
        <v>56523</v>
      </c>
      <c r="T2011" s="2" t="s">
        <v>7690</v>
      </c>
      <c r="U2011" s="7" t="s">
        <v>139</v>
      </c>
      <c r="V2011" s="162" t="str" cm="1">
        <f t="array" ref="V2011">_xlfn.IFS(C2011="","",COUNTIF(C2011,"ตำแหน่งว่าง*"),"ว่าง",COUNTIF(C2011,"&lt;&gt;ตำแหน่งว่าง*"),"คนครอง")</f>
        <v>คนครอง</v>
      </c>
      <c r="W2011" s="6" cm="1">
        <f t="array" ref="W2011">_xlfn.IFS(COUNTIF(F2011,"ผบ.หมู่*"),51,COUNTIF(F2011,"รอง สว.*"),43)</f>
        <v>51</v>
      </c>
      <c r="X2011" s="1" t="s">
        <v>5935</v>
      </c>
      <c r="Y2011" s="1" t="s">
        <v>52</v>
      </c>
    </row>
    <row r="2012" spans="1:25" s="10" customFormat="1" ht="21.3" customHeight="1">
      <c r="A2012" s="192" t="s">
        <v>169</v>
      </c>
      <c r="B2012" s="193" t="s">
        <v>21</v>
      </c>
      <c r="C2012" s="192" t="s">
        <v>7947</v>
      </c>
      <c r="D2012" s="27" t="s">
        <v>8316</v>
      </c>
      <c r="E2012" s="27" t="s">
        <v>10100</v>
      </c>
      <c r="F2012" s="192" t="s">
        <v>5937</v>
      </c>
      <c r="G2012" s="101" t="s">
        <v>5939</v>
      </c>
      <c r="H2012" s="73">
        <v>45463</v>
      </c>
      <c r="I2012" s="73">
        <v>45463</v>
      </c>
      <c r="J2012" s="73">
        <v>45463</v>
      </c>
      <c r="K2012" s="73">
        <v>36510</v>
      </c>
      <c r="L2012" s="2" t="s">
        <v>82</v>
      </c>
      <c r="M2012" s="1"/>
      <c r="N2012" s="112" t="s">
        <v>14</v>
      </c>
      <c r="O2012" s="104" t="s">
        <v>52</v>
      </c>
      <c r="P2012" s="104" t="s">
        <v>52</v>
      </c>
      <c r="Q2012" s="105"/>
      <c r="R2012" s="28" t="s">
        <v>7961</v>
      </c>
      <c r="S2012" s="174">
        <f t="shared" si="31"/>
        <v>58715</v>
      </c>
      <c r="T2012" s="2" t="s">
        <v>7690</v>
      </c>
      <c r="U2012" s="2" t="s">
        <v>139</v>
      </c>
      <c r="V2012" s="162" t="str" cm="1">
        <f t="array" ref="V2012">_xlfn.IFS(C2012="","",COUNTIF(C2012,"ตำแหน่งว่าง*"),"ว่าง",COUNTIF(C2012,"&lt;&gt;ตำแหน่งว่าง*"),"คนครอง")</f>
        <v>คนครอง</v>
      </c>
      <c r="W2012" s="1" cm="1">
        <f t="array" ref="W2012">_xlfn.IFS(COUNTIF(F2012,"ผบ.หมู่*"),51,COUNTIF(F2012,"รอง สว.*"),43)</f>
        <v>51</v>
      </c>
      <c r="X2012" s="1" t="s">
        <v>5938</v>
      </c>
      <c r="Y2012" s="1" t="s">
        <v>52</v>
      </c>
    </row>
    <row r="2013" spans="1:25" s="9" customFormat="1" ht="21.3" customHeight="1">
      <c r="A2013" s="27" t="s">
        <v>182</v>
      </c>
      <c r="B2013" s="28" t="s">
        <v>12</v>
      </c>
      <c r="C2013" s="27" t="s">
        <v>5940</v>
      </c>
      <c r="D2013" s="27" t="s">
        <v>8005</v>
      </c>
      <c r="E2013" s="27" t="s">
        <v>10101</v>
      </c>
      <c r="F2013" s="27" t="s">
        <v>5934</v>
      </c>
      <c r="G2013" s="101" t="s">
        <v>5942</v>
      </c>
      <c r="H2013" s="75">
        <v>44636</v>
      </c>
      <c r="I2013" s="73">
        <v>44636</v>
      </c>
      <c r="J2013" s="73">
        <v>44636</v>
      </c>
      <c r="K2013" s="73">
        <v>34988</v>
      </c>
      <c r="L2013" s="11" t="s">
        <v>82</v>
      </c>
      <c r="M2013" s="1" t="s">
        <v>17</v>
      </c>
      <c r="N2013" s="112" t="s">
        <v>14</v>
      </c>
      <c r="O2013" s="104" t="s">
        <v>52</v>
      </c>
      <c r="P2013" s="104" t="s">
        <v>52</v>
      </c>
      <c r="Q2013" s="105"/>
      <c r="R2013" s="28" t="s">
        <v>611</v>
      </c>
      <c r="S2013" s="225">
        <f t="shared" si="31"/>
        <v>57254</v>
      </c>
      <c r="T2013" s="2" t="s">
        <v>7690</v>
      </c>
      <c r="U2013" s="7" t="s">
        <v>139</v>
      </c>
      <c r="V2013" s="162" t="str" cm="1">
        <f t="array" ref="V2013">_xlfn.IFS(C2013="","",COUNTIF(C2013,"ตำแหน่งว่าง*"),"ว่าง",COUNTIF(C2013,"&lt;&gt;ตำแหน่งว่าง*"),"คนครอง")</f>
        <v>คนครอง</v>
      </c>
      <c r="W2013" s="6" cm="1">
        <f t="array" ref="W2013">_xlfn.IFS(COUNTIF(F2013,"ผบ.หมู่*"),51,COUNTIF(F2013,"รอง สว.*"),43)</f>
        <v>51</v>
      </c>
      <c r="X2013" s="1" t="s">
        <v>5941</v>
      </c>
      <c r="Y2013" s="1" t="s">
        <v>52</v>
      </c>
    </row>
    <row r="2014" spans="1:25" s="9" customFormat="1" ht="21.3" customHeight="1">
      <c r="A2014" s="27" t="s">
        <v>182</v>
      </c>
      <c r="B2014" s="28" t="s">
        <v>12</v>
      </c>
      <c r="C2014" s="27" t="s">
        <v>5943</v>
      </c>
      <c r="D2014" s="27" t="s">
        <v>10102</v>
      </c>
      <c r="E2014" s="27" t="s">
        <v>10103</v>
      </c>
      <c r="F2014" s="27" t="s">
        <v>5934</v>
      </c>
      <c r="G2014" s="101" t="s">
        <v>5945</v>
      </c>
      <c r="H2014" s="75">
        <v>44636</v>
      </c>
      <c r="I2014" s="73">
        <v>44636</v>
      </c>
      <c r="J2014" s="73">
        <v>44636</v>
      </c>
      <c r="K2014" s="73">
        <v>37700</v>
      </c>
      <c r="L2014" s="11" t="s">
        <v>82</v>
      </c>
      <c r="M2014" s="1" t="s">
        <v>64</v>
      </c>
      <c r="N2014" s="112" t="s">
        <v>14</v>
      </c>
      <c r="O2014" s="104" t="s">
        <v>52</v>
      </c>
      <c r="P2014" s="104" t="s">
        <v>52</v>
      </c>
      <c r="Q2014" s="105"/>
      <c r="R2014" s="28" t="s">
        <v>611</v>
      </c>
      <c r="S2014" s="225">
        <f t="shared" si="31"/>
        <v>59810</v>
      </c>
      <c r="T2014" s="2" t="s">
        <v>7690</v>
      </c>
      <c r="U2014" s="7" t="s">
        <v>139</v>
      </c>
      <c r="V2014" s="162" t="str" cm="1">
        <f t="array" ref="V2014">_xlfn.IFS(C2014="","",COUNTIF(C2014,"ตำแหน่งว่าง*"),"ว่าง",COUNTIF(C2014,"&lt;&gt;ตำแหน่งว่าง*"),"คนครอง")</f>
        <v>คนครอง</v>
      </c>
      <c r="W2014" s="6" cm="1">
        <f t="array" ref="W2014">_xlfn.IFS(COUNTIF(F2014,"ผบ.หมู่*"),51,COUNTIF(F2014,"รอง สว.*"),43)</f>
        <v>51</v>
      </c>
      <c r="X2014" s="1" t="s">
        <v>5944</v>
      </c>
      <c r="Y2014" s="1" t="s">
        <v>52</v>
      </c>
    </row>
    <row r="2015" spans="1:25" s="9" customFormat="1" ht="21.3" customHeight="1">
      <c r="A2015" s="95"/>
      <c r="B2015" s="28"/>
      <c r="C2015" s="30" t="s">
        <v>18</v>
      </c>
      <c r="D2015" s="27"/>
      <c r="E2015" s="27"/>
      <c r="F2015" s="68" t="s">
        <v>5934</v>
      </c>
      <c r="G2015" s="121" t="s">
        <v>5947</v>
      </c>
      <c r="H2015" s="93"/>
      <c r="I2015" s="74"/>
      <c r="J2015" s="74"/>
      <c r="K2015" s="74"/>
      <c r="L2015" s="16"/>
      <c r="M2015" s="6"/>
      <c r="N2015" s="113" t="s">
        <v>14</v>
      </c>
      <c r="O2015" s="122" t="s">
        <v>52</v>
      </c>
      <c r="P2015" s="122" t="s">
        <v>52</v>
      </c>
      <c r="Q2015" s="106"/>
      <c r="R2015" s="30"/>
      <c r="S2015" s="225" t="str">
        <f t="shared" si="31"/>
        <v/>
      </c>
      <c r="T2015" s="2" t="s">
        <v>7690</v>
      </c>
      <c r="U2015" s="7" t="s">
        <v>139</v>
      </c>
      <c r="V2015" s="171" t="str" cm="1">
        <f t="array" ref="V2015">_xlfn.IFS(C2015="","",COUNTIF(C2015,"ตำแหน่งว่าง*"),"ว่าง",COUNTIF(C2015,"&lt;&gt;ตำแหน่งว่าง*"),"คนครอง")</f>
        <v>ว่าง</v>
      </c>
      <c r="W2015" s="6" cm="1">
        <f t="array" ref="W2015">_xlfn.IFS(COUNTIF(F2015,"ผบ.หมู่*"),51,COUNTIF(F2015,"รอง สว.*"),43)</f>
        <v>51</v>
      </c>
      <c r="X2015" s="6" t="s">
        <v>5946</v>
      </c>
      <c r="Y2015" s="6" t="s">
        <v>52</v>
      </c>
    </row>
    <row r="2016" spans="1:25" s="9" customFormat="1" ht="21.3" customHeight="1">
      <c r="A2016" s="27" t="s">
        <v>208</v>
      </c>
      <c r="B2016" s="233" t="s">
        <v>12</v>
      </c>
      <c r="C2016" s="27" t="s">
        <v>5948</v>
      </c>
      <c r="D2016" s="27" t="s">
        <v>10104</v>
      </c>
      <c r="E2016" s="27" t="s">
        <v>10105</v>
      </c>
      <c r="F2016" s="27" t="s">
        <v>5934</v>
      </c>
      <c r="G2016" s="101" t="s">
        <v>5950</v>
      </c>
      <c r="H2016" s="91">
        <v>43871</v>
      </c>
      <c r="I2016" s="73">
        <v>43132</v>
      </c>
      <c r="J2016" s="73">
        <v>42767</v>
      </c>
      <c r="K2016" s="73">
        <v>35677</v>
      </c>
      <c r="L2016" s="11" t="s">
        <v>5951</v>
      </c>
      <c r="M2016" s="1" t="s">
        <v>15</v>
      </c>
      <c r="N2016" s="112" t="s">
        <v>14</v>
      </c>
      <c r="O2016" s="104" t="s">
        <v>52</v>
      </c>
      <c r="P2016" s="104" t="s">
        <v>52</v>
      </c>
      <c r="Q2016" s="105"/>
      <c r="R2016" s="28" t="s">
        <v>688</v>
      </c>
      <c r="S2016" s="225">
        <f t="shared" si="31"/>
        <v>57619</v>
      </c>
      <c r="T2016" s="2" t="s">
        <v>7690</v>
      </c>
      <c r="U2016" s="7" t="s">
        <v>139</v>
      </c>
      <c r="V2016" s="162" t="str" cm="1">
        <f t="array" ref="V2016">_xlfn.IFS(C2016="","",COUNTIF(C2016,"ตำแหน่งว่าง*"),"ว่าง",COUNTIF(C2016,"&lt;&gt;ตำแหน่งว่าง*"),"คนครอง")</f>
        <v>คนครอง</v>
      </c>
      <c r="W2016" s="6" cm="1">
        <f t="array" ref="W2016">_xlfn.IFS(COUNTIF(F2016,"ผบ.หมู่*"),51,COUNTIF(F2016,"รอง สว.*"),43)</f>
        <v>51</v>
      </c>
      <c r="X2016" s="1" t="s">
        <v>5949</v>
      </c>
      <c r="Y2016" s="1" t="s">
        <v>52</v>
      </c>
    </row>
    <row r="2017" spans="1:25" s="9" customFormat="1" ht="21.3" customHeight="1">
      <c r="A2017" s="27"/>
      <c r="B2017" s="28"/>
      <c r="C2017" s="27" t="s">
        <v>18</v>
      </c>
      <c r="D2017" s="27"/>
      <c r="E2017" s="27"/>
      <c r="F2017" s="27" t="s">
        <v>5934</v>
      </c>
      <c r="G2017" s="101" t="s">
        <v>5954</v>
      </c>
      <c r="H2017" s="91"/>
      <c r="I2017" s="73"/>
      <c r="J2017" s="85"/>
      <c r="K2017" s="73"/>
      <c r="L2017" s="11"/>
      <c r="M2017" s="1"/>
      <c r="N2017" s="112" t="s">
        <v>14</v>
      </c>
      <c r="O2017" s="104" t="s">
        <v>52</v>
      </c>
      <c r="P2017" s="104" t="s">
        <v>52</v>
      </c>
      <c r="Q2017" s="105"/>
      <c r="R2017" s="28"/>
      <c r="S2017" s="174" t="str">
        <f t="shared" si="31"/>
        <v/>
      </c>
      <c r="T2017" s="2" t="s">
        <v>7690</v>
      </c>
      <c r="U2017" s="2" t="s">
        <v>139</v>
      </c>
      <c r="V2017" s="2" t="str" cm="1">
        <f t="array" ref="V2017">_xlfn.IFS(C2017="","",COUNTIF(C2017,"ตำแหน่งว่าง*"),"ว่าง",COUNTIF(C2017,"&lt;&gt;ตำแหน่งว่าง*"),"คนครอง")</f>
        <v>ว่าง</v>
      </c>
      <c r="W2017" s="1" cm="1">
        <f t="array" ref="W2017">_xlfn.IFS(COUNTIF(F2017,"ผบ.หมู่*"),51,COUNTIF(F2017,"รอง สว.*"),43)</f>
        <v>51</v>
      </c>
      <c r="X2017" s="1" t="s">
        <v>5953</v>
      </c>
      <c r="Y2017" s="1" t="s">
        <v>52</v>
      </c>
    </row>
    <row r="2018" spans="1:25" s="9" customFormat="1" ht="21.3" customHeight="1">
      <c r="A2018" s="27" t="s">
        <v>182</v>
      </c>
      <c r="B2018" s="28" t="s">
        <v>12</v>
      </c>
      <c r="C2018" s="27" t="s">
        <v>5955</v>
      </c>
      <c r="D2018" s="27" t="s">
        <v>10108</v>
      </c>
      <c r="E2018" s="27" t="s">
        <v>10109</v>
      </c>
      <c r="F2018" s="27" t="s">
        <v>5934</v>
      </c>
      <c r="G2018" s="101" t="s">
        <v>5957</v>
      </c>
      <c r="H2018" s="91">
        <v>44043</v>
      </c>
      <c r="I2018" s="73">
        <v>44043</v>
      </c>
      <c r="J2018" s="85">
        <v>44043</v>
      </c>
      <c r="K2018" s="73">
        <v>32691</v>
      </c>
      <c r="L2018" s="11" t="s">
        <v>82</v>
      </c>
      <c r="M2018" s="1" t="s">
        <v>15</v>
      </c>
      <c r="N2018" s="112" t="s">
        <v>14</v>
      </c>
      <c r="O2018" s="104" t="s">
        <v>52</v>
      </c>
      <c r="P2018" s="104" t="s">
        <v>52</v>
      </c>
      <c r="Q2018" s="105"/>
      <c r="R2018" s="28" t="s">
        <v>2436</v>
      </c>
      <c r="S2018" s="225">
        <f t="shared" si="31"/>
        <v>54697</v>
      </c>
      <c r="T2018" s="2" t="s">
        <v>7690</v>
      </c>
      <c r="U2018" s="7" t="s">
        <v>139</v>
      </c>
      <c r="V2018" s="162" t="str" cm="1">
        <f t="array" ref="V2018">_xlfn.IFS(C2018="","",COUNTIF(C2018,"ตำแหน่งว่าง*"),"ว่าง",COUNTIF(C2018,"&lt;&gt;ตำแหน่งว่าง*"),"คนครอง")</f>
        <v>คนครอง</v>
      </c>
      <c r="W2018" s="6" cm="1">
        <f t="array" ref="W2018">_xlfn.IFS(COUNTIF(F2018,"ผบ.หมู่*"),51,COUNTIF(F2018,"รอง สว.*"),43)</f>
        <v>51</v>
      </c>
      <c r="X2018" s="1" t="s">
        <v>5956</v>
      </c>
      <c r="Y2018" s="1" t="s">
        <v>52</v>
      </c>
    </row>
    <row r="2019" spans="1:25" s="9" customFormat="1" ht="21.3" customHeight="1">
      <c r="A2019" s="27" t="s">
        <v>182</v>
      </c>
      <c r="B2019" s="28" t="s">
        <v>21</v>
      </c>
      <c r="C2019" s="27" t="s">
        <v>5958</v>
      </c>
      <c r="D2019" s="27" t="s">
        <v>8212</v>
      </c>
      <c r="E2019" s="27" t="s">
        <v>9215</v>
      </c>
      <c r="F2019" s="27" t="s">
        <v>5934</v>
      </c>
      <c r="G2019" s="101" t="s">
        <v>5960</v>
      </c>
      <c r="H2019" s="91">
        <v>44043</v>
      </c>
      <c r="I2019" s="73">
        <v>44043</v>
      </c>
      <c r="J2019" s="85">
        <v>44043</v>
      </c>
      <c r="K2019" s="73">
        <v>34252</v>
      </c>
      <c r="L2019" s="11" t="s">
        <v>82</v>
      </c>
      <c r="M2019" s="1" t="s">
        <v>126</v>
      </c>
      <c r="N2019" s="112" t="s">
        <v>14</v>
      </c>
      <c r="O2019" s="104" t="s">
        <v>52</v>
      </c>
      <c r="P2019" s="104" t="s">
        <v>52</v>
      </c>
      <c r="Q2019" s="105"/>
      <c r="R2019" s="28" t="s">
        <v>2436</v>
      </c>
      <c r="S2019" s="225">
        <f t="shared" si="31"/>
        <v>56523</v>
      </c>
      <c r="T2019" s="2" t="s">
        <v>7690</v>
      </c>
      <c r="U2019" s="7" t="s">
        <v>139</v>
      </c>
      <c r="V2019" s="162" t="str" cm="1">
        <f t="array" ref="V2019">_xlfn.IFS(C2019="","",COUNTIF(C2019,"ตำแหน่งว่าง*"),"ว่าง",COUNTIF(C2019,"&lt;&gt;ตำแหน่งว่าง*"),"คนครอง")</f>
        <v>คนครอง</v>
      </c>
      <c r="W2019" s="6" cm="1">
        <f t="array" ref="W2019">_xlfn.IFS(COUNTIF(F2019,"ผบ.หมู่*"),51,COUNTIF(F2019,"รอง สว.*"),43)</f>
        <v>51</v>
      </c>
      <c r="X2019" s="1" t="s">
        <v>5959</v>
      </c>
      <c r="Y2019" s="1" t="s">
        <v>52</v>
      </c>
    </row>
    <row r="2020" spans="1:25" s="9" customFormat="1" ht="21.3" customHeight="1">
      <c r="A2020" s="27" t="s">
        <v>182</v>
      </c>
      <c r="B2020" s="28" t="s">
        <v>12</v>
      </c>
      <c r="C2020" s="27" t="s">
        <v>7848</v>
      </c>
      <c r="D2020" s="27" t="s">
        <v>10110</v>
      </c>
      <c r="E2020" s="27" t="s">
        <v>10111</v>
      </c>
      <c r="F2020" s="27" t="s">
        <v>5934</v>
      </c>
      <c r="G2020" s="101" t="s">
        <v>5962</v>
      </c>
      <c r="H2020" s="75">
        <v>44636</v>
      </c>
      <c r="I2020" s="73">
        <v>44636</v>
      </c>
      <c r="J2020" s="73">
        <v>44636</v>
      </c>
      <c r="K2020" s="73">
        <v>36689</v>
      </c>
      <c r="L2020" s="11" t="s">
        <v>82</v>
      </c>
      <c r="M2020" s="1" t="s">
        <v>15</v>
      </c>
      <c r="N2020" s="112" t="s">
        <v>14</v>
      </c>
      <c r="O2020" s="104" t="s">
        <v>52</v>
      </c>
      <c r="P2020" s="104" t="s">
        <v>52</v>
      </c>
      <c r="Q2020" s="105"/>
      <c r="R2020" s="28" t="s">
        <v>611</v>
      </c>
      <c r="S2020" s="225">
        <f t="shared" si="31"/>
        <v>58715</v>
      </c>
      <c r="T2020" s="2" t="s">
        <v>7690</v>
      </c>
      <c r="U2020" s="7" t="s">
        <v>139</v>
      </c>
      <c r="V2020" s="162" t="str" cm="1">
        <f t="array" ref="V2020">_xlfn.IFS(C2020="","",COUNTIF(C2020,"ตำแหน่งว่าง*"),"ว่าง",COUNTIF(C2020,"&lt;&gt;ตำแหน่งว่าง*"),"คนครอง")</f>
        <v>คนครอง</v>
      </c>
      <c r="W2020" s="6" cm="1">
        <f t="array" ref="W2020">_xlfn.IFS(COUNTIF(F2020,"ผบ.หมู่*"),51,COUNTIF(F2020,"รอง สว.*"),43)</f>
        <v>51</v>
      </c>
      <c r="X2020" s="1" t="s">
        <v>5961</v>
      </c>
      <c r="Y2020" s="1" t="s">
        <v>52</v>
      </c>
    </row>
    <row r="2021" spans="1:25" s="10" customFormat="1" ht="21.3" customHeight="1">
      <c r="A2021" s="65" t="s">
        <v>169</v>
      </c>
      <c r="B2021" s="66" t="s">
        <v>12</v>
      </c>
      <c r="C2021" s="65" t="s">
        <v>5963</v>
      </c>
      <c r="D2021" s="27" t="s">
        <v>10112</v>
      </c>
      <c r="E2021" s="27" t="s">
        <v>10113</v>
      </c>
      <c r="F2021" s="65" t="s">
        <v>5934</v>
      </c>
      <c r="G2021" s="101" t="s">
        <v>5965</v>
      </c>
      <c r="H2021" s="81">
        <v>44986</v>
      </c>
      <c r="I2021" s="77">
        <v>44986</v>
      </c>
      <c r="J2021" s="77">
        <v>44986</v>
      </c>
      <c r="K2021" s="77">
        <v>36136</v>
      </c>
      <c r="L2021" s="63" t="s">
        <v>82</v>
      </c>
      <c r="M2021" s="61" t="s">
        <v>16</v>
      </c>
      <c r="N2021" s="114" t="s">
        <v>14</v>
      </c>
      <c r="O2021" s="104" t="s">
        <v>52</v>
      </c>
      <c r="P2021" s="104" t="s">
        <v>52</v>
      </c>
      <c r="Q2021" s="107"/>
      <c r="R2021" s="66" t="s">
        <v>861</v>
      </c>
      <c r="S2021" s="225">
        <f t="shared" si="31"/>
        <v>58349</v>
      </c>
      <c r="T2021" s="7" t="s">
        <v>7690</v>
      </c>
      <c r="U2021" s="7" t="s">
        <v>139</v>
      </c>
      <c r="V2021" s="162" t="str" cm="1">
        <f t="array" ref="V2021">_xlfn.IFS(C2021="","",COUNTIF(C2021,"ตำแหน่งว่าง*"),"ว่าง",COUNTIF(C2021,"&lt;&gt;ตำแหน่งว่าง*"),"คนครอง")</f>
        <v>คนครอง</v>
      </c>
      <c r="W2021" s="6" cm="1">
        <f t="array" ref="W2021">_xlfn.IFS(COUNTIF(F2021,"ผบ.หมู่*"),51,COUNTIF(F2021,"รอง สว.*"),43)</f>
        <v>51</v>
      </c>
      <c r="X2021" s="61" t="s">
        <v>5964</v>
      </c>
      <c r="Y2021" s="61" t="s">
        <v>52</v>
      </c>
    </row>
    <row r="2022" spans="1:25" s="12" customFormat="1" ht="21.3" customHeight="1">
      <c r="A2022" s="95" t="s">
        <v>208</v>
      </c>
      <c r="B2022" s="31" t="s">
        <v>12</v>
      </c>
      <c r="C2022" s="95" t="s">
        <v>5966</v>
      </c>
      <c r="D2022" s="27" t="s">
        <v>10114</v>
      </c>
      <c r="E2022" s="27" t="s">
        <v>10115</v>
      </c>
      <c r="F2022" s="95" t="s">
        <v>5967</v>
      </c>
      <c r="G2022" s="101" t="s">
        <v>5969</v>
      </c>
      <c r="H2022" s="92">
        <v>44599</v>
      </c>
      <c r="I2022" s="76">
        <v>43739</v>
      </c>
      <c r="J2022" s="76">
        <v>43191</v>
      </c>
      <c r="K2022" s="76">
        <v>35332</v>
      </c>
      <c r="L2022" s="17" t="s">
        <v>82</v>
      </c>
      <c r="M2022" s="5" t="s">
        <v>15</v>
      </c>
      <c r="N2022" s="111" t="s">
        <v>14</v>
      </c>
      <c r="O2022" s="104" t="s">
        <v>52</v>
      </c>
      <c r="P2022" s="104" t="s">
        <v>52</v>
      </c>
      <c r="Q2022" s="108"/>
      <c r="R2022" s="31" t="s">
        <v>607</v>
      </c>
      <c r="S2022" s="225">
        <f t="shared" si="31"/>
        <v>57254</v>
      </c>
      <c r="T2022" s="162" t="s">
        <v>115</v>
      </c>
      <c r="U2022" s="7" t="s">
        <v>139</v>
      </c>
      <c r="V2022" s="162" t="str" cm="1">
        <f t="array" ref="V2022">_xlfn.IFS(C2022="","",COUNTIF(C2022,"ตำแหน่งว่าง*"),"ว่าง",COUNTIF(C2022,"&lt;&gt;ตำแหน่งว่าง*"),"คนครอง")</f>
        <v>คนครอง</v>
      </c>
      <c r="W2022" s="6" cm="1">
        <f t="array" ref="W2022">_xlfn.IFS(COUNTIF(F2022,"ผบ.หมู่*"),51,COUNTIF(F2022,"รอง สว.*"),43)</f>
        <v>51</v>
      </c>
      <c r="X2022" s="5" t="s">
        <v>5968</v>
      </c>
      <c r="Y2022" s="5" t="s">
        <v>52</v>
      </c>
    </row>
    <row r="2023" spans="1:25" s="10" customFormat="1" ht="21.3" customHeight="1">
      <c r="A2023" s="27" t="s">
        <v>208</v>
      </c>
      <c r="B2023" s="28" t="s">
        <v>21</v>
      </c>
      <c r="C2023" s="27" t="s">
        <v>7740</v>
      </c>
      <c r="D2023" s="27" t="s">
        <v>10116</v>
      </c>
      <c r="E2023" s="27" t="s">
        <v>10117</v>
      </c>
      <c r="F2023" s="27" t="s">
        <v>5967</v>
      </c>
      <c r="G2023" s="101" t="s">
        <v>5971</v>
      </c>
      <c r="H2023" s="91">
        <v>45322</v>
      </c>
      <c r="I2023" s="73">
        <v>43132</v>
      </c>
      <c r="J2023" s="73">
        <v>43132</v>
      </c>
      <c r="K2023" s="73">
        <v>32589</v>
      </c>
      <c r="L2023" s="11" t="s">
        <v>7739</v>
      </c>
      <c r="M2023" s="1" t="s">
        <v>13</v>
      </c>
      <c r="N2023" s="112" t="s">
        <v>14</v>
      </c>
      <c r="O2023" s="104" t="s">
        <v>52</v>
      </c>
      <c r="P2023" s="104" t="s">
        <v>52</v>
      </c>
      <c r="Q2023" s="105"/>
      <c r="R2023" s="28" t="s">
        <v>7708</v>
      </c>
      <c r="S2023" s="225">
        <f t="shared" si="31"/>
        <v>54697</v>
      </c>
      <c r="T2023" s="7" t="s">
        <v>115</v>
      </c>
      <c r="U2023" s="7" t="s">
        <v>139</v>
      </c>
      <c r="V2023" s="162" t="str" cm="1">
        <f t="array" ref="V2023">_xlfn.IFS(C2023="","",COUNTIF(C2023,"ตำแหน่งว่าง*"),"ว่าง",COUNTIF(C2023,"&lt;&gt;ตำแหน่งว่าง*"),"คนครอง")</f>
        <v>คนครอง</v>
      </c>
      <c r="W2023" s="6" cm="1">
        <f t="array" ref="W2023">_xlfn.IFS(COUNTIF(F2023,"ผบ.หมู่*"),51,COUNTIF(F2023,"รอง สว.*"),43)</f>
        <v>51</v>
      </c>
      <c r="X2023" s="1" t="s">
        <v>5970</v>
      </c>
      <c r="Y2023" s="1" t="s">
        <v>52</v>
      </c>
    </row>
    <row r="2024" spans="1:25" s="10" customFormat="1" ht="21.3" customHeight="1">
      <c r="A2024" s="192" t="s">
        <v>169</v>
      </c>
      <c r="B2024" s="193" t="s">
        <v>12</v>
      </c>
      <c r="C2024" s="192" t="s">
        <v>7948</v>
      </c>
      <c r="D2024" s="27" t="s">
        <v>10118</v>
      </c>
      <c r="E2024" s="27" t="s">
        <v>10119</v>
      </c>
      <c r="F2024" s="192" t="s">
        <v>5967</v>
      </c>
      <c r="G2024" s="101" t="s">
        <v>5973</v>
      </c>
      <c r="H2024" s="73">
        <v>45463</v>
      </c>
      <c r="I2024" s="73">
        <v>45463</v>
      </c>
      <c r="J2024" s="73">
        <v>45463</v>
      </c>
      <c r="K2024" s="73">
        <v>33571</v>
      </c>
      <c r="L2024" s="2" t="s">
        <v>82</v>
      </c>
      <c r="M2024" s="1"/>
      <c r="N2024" s="112" t="s">
        <v>14</v>
      </c>
      <c r="O2024" s="104" t="s">
        <v>52</v>
      </c>
      <c r="P2024" s="104" t="s">
        <v>52</v>
      </c>
      <c r="Q2024" s="105"/>
      <c r="R2024" s="28" t="s">
        <v>7961</v>
      </c>
      <c r="S2024" s="174">
        <f t="shared" si="31"/>
        <v>55793</v>
      </c>
      <c r="T2024" s="2" t="s">
        <v>115</v>
      </c>
      <c r="U2024" s="2" t="s">
        <v>139</v>
      </c>
      <c r="V2024" s="162" t="str" cm="1">
        <f t="array" ref="V2024">_xlfn.IFS(C2024="","",COUNTIF(C2024,"ตำแหน่งว่าง*"),"ว่าง",COUNTIF(C2024,"&lt;&gt;ตำแหน่งว่าง*"),"คนครอง")</f>
        <v>คนครอง</v>
      </c>
      <c r="W2024" s="1" cm="1">
        <f t="array" ref="W2024">_xlfn.IFS(COUNTIF(F2024,"ผบ.หมู่*"),51,COUNTIF(F2024,"รอง สว.*"),43)</f>
        <v>51</v>
      </c>
      <c r="X2024" s="1" t="s">
        <v>5972</v>
      </c>
      <c r="Y2024" s="1" t="s">
        <v>52</v>
      </c>
    </row>
    <row r="2025" spans="1:25" s="10" customFormat="1" ht="21.3" customHeight="1">
      <c r="A2025" s="27"/>
      <c r="B2025" s="28"/>
      <c r="C2025" s="30" t="s">
        <v>18</v>
      </c>
      <c r="D2025" s="27"/>
      <c r="E2025" s="27"/>
      <c r="F2025" s="68" t="s">
        <v>5967</v>
      </c>
      <c r="G2025" s="121" t="s">
        <v>5975</v>
      </c>
      <c r="H2025" s="91" t="s">
        <v>19</v>
      </c>
      <c r="I2025" s="73" t="s">
        <v>19</v>
      </c>
      <c r="J2025" s="73" t="s">
        <v>19</v>
      </c>
      <c r="K2025" s="73" t="s">
        <v>19</v>
      </c>
      <c r="L2025" s="11"/>
      <c r="M2025" s="1"/>
      <c r="N2025" s="113" t="s">
        <v>14</v>
      </c>
      <c r="O2025" s="122" t="s">
        <v>52</v>
      </c>
      <c r="P2025" s="122" t="s">
        <v>52</v>
      </c>
      <c r="Q2025" s="105"/>
      <c r="R2025" s="28"/>
      <c r="S2025" s="225" t="str">
        <f t="shared" si="31"/>
        <v/>
      </c>
      <c r="T2025" s="7" t="s">
        <v>115</v>
      </c>
      <c r="U2025" s="7" t="s">
        <v>139</v>
      </c>
      <c r="V2025" s="171" t="str" cm="1">
        <f t="array" ref="V2025">_xlfn.IFS(C2025="","",COUNTIF(C2025,"ตำแหน่งว่าง*"),"ว่าง",COUNTIF(C2025,"&lt;&gt;ตำแหน่งว่าง*"),"คนครอง")</f>
        <v>ว่าง</v>
      </c>
      <c r="W2025" s="6" cm="1">
        <f t="array" ref="W2025">_xlfn.IFS(COUNTIF(F2025,"ผบ.หมู่*"),51,COUNTIF(F2025,"รอง สว.*"),43)</f>
        <v>51</v>
      </c>
      <c r="X2025" s="6" t="s">
        <v>5974</v>
      </c>
      <c r="Y2025" s="6" t="s">
        <v>52</v>
      </c>
    </row>
    <row r="2026" spans="1:25" s="10" customFormat="1" ht="21.3" customHeight="1">
      <c r="A2026" s="65" t="s">
        <v>169</v>
      </c>
      <c r="B2026" s="66" t="s">
        <v>12</v>
      </c>
      <c r="C2026" s="65" t="s">
        <v>5976</v>
      </c>
      <c r="D2026" s="27" t="s">
        <v>9823</v>
      </c>
      <c r="E2026" s="27" t="s">
        <v>10120</v>
      </c>
      <c r="F2026" s="65" t="s">
        <v>5977</v>
      </c>
      <c r="G2026" s="101" t="s">
        <v>5979</v>
      </c>
      <c r="H2026" s="81">
        <v>44986</v>
      </c>
      <c r="I2026" s="77">
        <v>44986</v>
      </c>
      <c r="J2026" s="77">
        <v>44986</v>
      </c>
      <c r="K2026" s="77">
        <v>38013</v>
      </c>
      <c r="L2026" s="63" t="s">
        <v>82</v>
      </c>
      <c r="M2026" s="61" t="s">
        <v>33</v>
      </c>
      <c r="N2026" s="114" t="s">
        <v>14</v>
      </c>
      <c r="O2026" s="104" t="s">
        <v>52</v>
      </c>
      <c r="P2026" s="104" t="s">
        <v>52</v>
      </c>
      <c r="Q2026" s="107"/>
      <c r="R2026" s="66" t="s">
        <v>861</v>
      </c>
      <c r="S2026" s="225">
        <f t="shared" si="31"/>
        <v>60176</v>
      </c>
      <c r="T2026" s="7" t="s">
        <v>7691</v>
      </c>
      <c r="U2026" s="7" t="s">
        <v>139</v>
      </c>
      <c r="V2026" s="162" t="str" cm="1">
        <f t="array" ref="V2026">_xlfn.IFS(C2026="","",COUNTIF(C2026,"ตำแหน่งว่าง*"),"ว่าง",COUNTIF(C2026,"&lt;&gt;ตำแหน่งว่าง*"),"คนครอง")</f>
        <v>คนครอง</v>
      </c>
      <c r="W2026" s="6" cm="1">
        <f t="array" ref="W2026">_xlfn.IFS(COUNTIF(F2026,"ผบ.หมู่*"),51,COUNTIF(F2026,"รอง สว.*"),43)</f>
        <v>51</v>
      </c>
      <c r="X2026" s="61" t="s">
        <v>5978</v>
      </c>
      <c r="Y2026" s="61" t="s">
        <v>52</v>
      </c>
    </row>
    <row r="2027" spans="1:25" s="12" customFormat="1" ht="21.3" customHeight="1">
      <c r="A2027" s="27" t="s">
        <v>157</v>
      </c>
      <c r="B2027" s="28" t="s">
        <v>12</v>
      </c>
      <c r="C2027" s="27" t="s">
        <v>5980</v>
      </c>
      <c r="D2027" s="27" t="s">
        <v>10121</v>
      </c>
      <c r="E2027" s="27" t="s">
        <v>10122</v>
      </c>
      <c r="F2027" s="27" t="s">
        <v>5977</v>
      </c>
      <c r="G2027" s="101" t="s">
        <v>5982</v>
      </c>
      <c r="H2027" s="75">
        <v>44999</v>
      </c>
      <c r="I2027" s="73">
        <v>40814</v>
      </c>
      <c r="J2027" s="73">
        <v>40814</v>
      </c>
      <c r="K2027" s="73">
        <v>30462</v>
      </c>
      <c r="L2027" s="11" t="s">
        <v>68</v>
      </c>
      <c r="M2027" s="1" t="s">
        <v>25</v>
      </c>
      <c r="N2027" s="112" t="s">
        <v>14</v>
      </c>
      <c r="O2027" s="104" t="s">
        <v>52</v>
      </c>
      <c r="P2027" s="104" t="s">
        <v>52</v>
      </c>
      <c r="Q2027" s="105"/>
      <c r="R2027" s="28" t="s">
        <v>74</v>
      </c>
      <c r="S2027" s="225">
        <f t="shared" si="31"/>
        <v>52505</v>
      </c>
      <c r="T2027" s="162" t="s">
        <v>7691</v>
      </c>
      <c r="U2027" s="7" t="s">
        <v>139</v>
      </c>
      <c r="V2027" s="162" t="str" cm="1">
        <f t="array" ref="V2027">_xlfn.IFS(C2027="","",COUNTIF(C2027,"ตำแหน่งว่าง*"),"ว่าง",COUNTIF(C2027,"&lt;&gt;ตำแหน่งว่าง*"),"คนครอง")</f>
        <v>คนครอง</v>
      </c>
      <c r="W2027" s="6" cm="1">
        <f t="array" ref="W2027">_xlfn.IFS(COUNTIF(F2027,"ผบ.หมู่*"),51,COUNTIF(F2027,"รอง สว.*"),43)</f>
        <v>51</v>
      </c>
      <c r="X2027" s="1" t="s">
        <v>5981</v>
      </c>
      <c r="Y2027" s="1" t="s">
        <v>52</v>
      </c>
    </row>
    <row r="2028" spans="1:25" s="12" customFormat="1" ht="21.3" customHeight="1">
      <c r="A2028" s="192" t="s">
        <v>169</v>
      </c>
      <c r="B2028" s="193" t="s">
        <v>21</v>
      </c>
      <c r="C2028" s="192" t="s">
        <v>7949</v>
      </c>
      <c r="D2028" s="27" t="s">
        <v>8359</v>
      </c>
      <c r="E2028" s="27" t="s">
        <v>10123</v>
      </c>
      <c r="F2028" s="192" t="s">
        <v>5977</v>
      </c>
      <c r="G2028" s="101" t="s">
        <v>5984</v>
      </c>
      <c r="H2028" s="73">
        <v>45463</v>
      </c>
      <c r="I2028" s="73">
        <v>45463</v>
      </c>
      <c r="J2028" s="73">
        <v>45463</v>
      </c>
      <c r="K2028" s="73">
        <v>36958</v>
      </c>
      <c r="L2028" s="2" t="s">
        <v>82</v>
      </c>
      <c r="M2028" s="1"/>
      <c r="N2028" s="112" t="s">
        <v>14</v>
      </c>
      <c r="O2028" s="104" t="s">
        <v>52</v>
      </c>
      <c r="P2028" s="104" t="s">
        <v>52</v>
      </c>
      <c r="Q2028" s="105"/>
      <c r="R2028" s="28" t="s">
        <v>7961</v>
      </c>
      <c r="S2028" s="174">
        <f t="shared" si="31"/>
        <v>59080</v>
      </c>
      <c r="T2028" s="2" t="s">
        <v>7691</v>
      </c>
      <c r="U2028" s="2" t="s">
        <v>139</v>
      </c>
      <c r="V2028" s="162" t="str" cm="1">
        <f t="array" ref="V2028">_xlfn.IFS(C2028="","",COUNTIF(C2028,"ตำแหน่งว่าง*"),"ว่าง",COUNTIF(C2028,"&lt;&gt;ตำแหน่งว่าง*"),"คนครอง")</f>
        <v>คนครอง</v>
      </c>
      <c r="W2028" s="1" cm="1">
        <f t="array" ref="W2028">_xlfn.IFS(COUNTIF(F2028,"ผบ.หมู่*"),51,COUNTIF(F2028,"รอง สว.*"),43)</f>
        <v>51</v>
      </c>
      <c r="X2028" s="1" t="s">
        <v>5983</v>
      </c>
      <c r="Y2028" s="1" t="s">
        <v>52</v>
      </c>
    </row>
    <row r="2029" spans="1:25" s="10" customFormat="1" ht="21.3" customHeight="1">
      <c r="A2029" s="27"/>
      <c r="B2029" s="28"/>
      <c r="C2029" s="30" t="s">
        <v>18</v>
      </c>
      <c r="D2029" s="27"/>
      <c r="E2029" s="27"/>
      <c r="F2029" s="68" t="s">
        <v>5977</v>
      </c>
      <c r="G2029" s="121" t="s">
        <v>5986</v>
      </c>
      <c r="H2029" s="91" t="s">
        <v>19</v>
      </c>
      <c r="I2029" s="73" t="s">
        <v>19</v>
      </c>
      <c r="J2029" s="73" t="s">
        <v>19</v>
      </c>
      <c r="K2029" s="73" t="s">
        <v>19</v>
      </c>
      <c r="L2029" s="11"/>
      <c r="M2029" s="1"/>
      <c r="N2029" s="113" t="s">
        <v>14</v>
      </c>
      <c r="O2029" s="122" t="s">
        <v>52</v>
      </c>
      <c r="P2029" s="122" t="s">
        <v>52</v>
      </c>
      <c r="Q2029" s="106"/>
      <c r="R2029" s="30"/>
      <c r="S2029" s="225" t="str">
        <f t="shared" si="31"/>
        <v/>
      </c>
      <c r="T2029" s="7" t="s">
        <v>7691</v>
      </c>
      <c r="U2029" s="7" t="s">
        <v>139</v>
      </c>
      <c r="V2029" s="171" t="str" cm="1">
        <f t="array" ref="V2029">_xlfn.IFS(C2029="","",COUNTIF(C2029,"ตำแหน่งว่าง*"),"ว่าง",COUNTIF(C2029,"&lt;&gt;ตำแหน่งว่าง*"),"คนครอง")</f>
        <v>ว่าง</v>
      </c>
      <c r="W2029" s="6" cm="1">
        <f t="array" ref="W2029">_xlfn.IFS(COUNTIF(F2029,"ผบ.หมู่*"),51,COUNTIF(F2029,"รอง สว.*"),43)</f>
        <v>51</v>
      </c>
      <c r="X2029" s="6" t="s">
        <v>5985</v>
      </c>
      <c r="Y2029" s="6" t="s">
        <v>52</v>
      </c>
    </row>
    <row r="2030" spans="1:25" s="12" customFormat="1" ht="21.3" customHeight="1">
      <c r="A2030" s="27"/>
      <c r="B2030" s="28"/>
      <c r="C2030" s="30" t="s">
        <v>18</v>
      </c>
      <c r="D2030" s="27"/>
      <c r="E2030" s="27"/>
      <c r="F2030" s="68" t="s">
        <v>5977</v>
      </c>
      <c r="G2030" s="121" t="s">
        <v>5988</v>
      </c>
      <c r="H2030" s="75" t="s">
        <v>19</v>
      </c>
      <c r="I2030" s="73" t="s">
        <v>19</v>
      </c>
      <c r="J2030" s="73" t="s">
        <v>19</v>
      </c>
      <c r="K2030" s="73" t="s">
        <v>19</v>
      </c>
      <c r="L2030" s="11"/>
      <c r="M2030" s="1"/>
      <c r="N2030" s="113" t="s">
        <v>14</v>
      </c>
      <c r="O2030" s="122" t="s">
        <v>52</v>
      </c>
      <c r="P2030" s="122" t="s">
        <v>52</v>
      </c>
      <c r="Q2030" s="105"/>
      <c r="R2030" s="28"/>
      <c r="S2030" s="225" t="str">
        <f t="shared" si="31"/>
        <v/>
      </c>
      <c r="T2030" s="162" t="s">
        <v>7691</v>
      </c>
      <c r="U2030" s="7" t="s">
        <v>139</v>
      </c>
      <c r="V2030" s="171" t="str" cm="1">
        <f t="array" ref="V2030">_xlfn.IFS(C2030="","",COUNTIF(C2030,"ตำแหน่งว่าง*"),"ว่าง",COUNTIF(C2030,"&lt;&gt;ตำแหน่งว่าง*"),"คนครอง")</f>
        <v>ว่าง</v>
      </c>
      <c r="W2030" s="6" cm="1">
        <f t="array" ref="W2030">_xlfn.IFS(COUNTIF(F2030,"ผบ.หมู่*"),51,COUNTIF(F2030,"รอง สว.*"),43)</f>
        <v>51</v>
      </c>
      <c r="X2030" s="6" t="s">
        <v>5987</v>
      </c>
      <c r="Y2030" s="6" t="s">
        <v>52</v>
      </c>
    </row>
    <row r="2031" spans="1:25" s="9" customFormat="1" ht="21.3" customHeight="1">
      <c r="A2031" s="134" t="s">
        <v>612</v>
      </c>
      <c r="B2031" s="28" t="s">
        <v>12</v>
      </c>
      <c r="C2031" s="134" t="s">
        <v>5989</v>
      </c>
      <c r="D2031" s="27" t="s">
        <v>10124</v>
      </c>
      <c r="E2031" s="27" t="s">
        <v>10125</v>
      </c>
      <c r="F2031" s="27" t="s">
        <v>5977</v>
      </c>
      <c r="G2031" s="101" t="s">
        <v>5991</v>
      </c>
      <c r="H2031" s="75">
        <v>43656</v>
      </c>
      <c r="I2031" s="73">
        <v>41944</v>
      </c>
      <c r="J2031" s="73">
        <v>41944</v>
      </c>
      <c r="K2031" s="73">
        <v>31747</v>
      </c>
      <c r="L2031" s="19" t="s">
        <v>1101</v>
      </c>
      <c r="M2031" s="3" t="s">
        <v>91</v>
      </c>
      <c r="N2031" s="112" t="s">
        <v>14</v>
      </c>
      <c r="O2031" s="104" t="s">
        <v>52</v>
      </c>
      <c r="P2031" s="104" t="s">
        <v>52</v>
      </c>
      <c r="Q2031" s="105"/>
      <c r="R2031" s="26" t="s">
        <v>713</v>
      </c>
      <c r="S2031" s="225">
        <f t="shared" si="31"/>
        <v>53966</v>
      </c>
      <c r="T2031" s="2" t="s">
        <v>7691</v>
      </c>
      <c r="U2031" s="7" t="s">
        <v>139</v>
      </c>
      <c r="V2031" s="162" t="str" cm="1">
        <f t="array" ref="V2031">_xlfn.IFS(C2031="","",COUNTIF(C2031,"ตำแหน่งว่าง*"),"ว่าง",COUNTIF(C2031,"&lt;&gt;ตำแหน่งว่าง*"),"คนครอง")</f>
        <v>คนครอง</v>
      </c>
      <c r="W2031" s="6" cm="1">
        <f t="array" ref="W2031">_xlfn.IFS(COUNTIF(F2031,"ผบ.หมู่*"),51,COUNTIF(F2031,"รอง สว.*"),43)</f>
        <v>51</v>
      </c>
      <c r="X2031" s="1" t="s">
        <v>5990</v>
      </c>
      <c r="Y2031" s="1" t="s">
        <v>52</v>
      </c>
    </row>
    <row r="2032" spans="1:25" s="10" customFormat="1" ht="21.3" customHeight="1">
      <c r="A2032" s="27"/>
      <c r="B2032" s="28"/>
      <c r="C2032" s="30" t="s">
        <v>18</v>
      </c>
      <c r="D2032" s="27"/>
      <c r="E2032" s="27"/>
      <c r="F2032" s="68" t="s">
        <v>5977</v>
      </c>
      <c r="G2032" s="121" t="s">
        <v>5993</v>
      </c>
      <c r="H2032" s="91" t="s">
        <v>19</v>
      </c>
      <c r="I2032" s="73" t="s">
        <v>19</v>
      </c>
      <c r="J2032" s="73" t="s">
        <v>19</v>
      </c>
      <c r="K2032" s="73" t="s">
        <v>19</v>
      </c>
      <c r="L2032" s="11"/>
      <c r="M2032" s="1"/>
      <c r="N2032" s="113" t="s">
        <v>14</v>
      </c>
      <c r="O2032" s="122" t="s">
        <v>52</v>
      </c>
      <c r="P2032" s="122" t="s">
        <v>52</v>
      </c>
      <c r="Q2032" s="105"/>
      <c r="R2032" s="28"/>
      <c r="S2032" s="225" t="str">
        <f t="shared" si="31"/>
        <v/>
      </c>
      <c r="T2032" s="7" t="s">
        <v>7691</v>
      </c>
      <c r="U2032" s="7" t="s">
        <v>139</v>
      </c>
      <c r="V2032" s="171" t="str" cm="1">
        <f t="array" ref="V2032">_xlfn.IFS(C2032="","",COUNTIF(C2032,"ตำแหน่งว่าง*"),"ว่าง",COUNTIF(C2032,"&lt;&gt;ตำแหน่งว่าง*"),"คนครอง")</f>
        <v>ว่าง</v>
      </c>
      <c r="W2032" s="6" cm="1">
        <f t="array" ref="W2032">_xlfn.IFS(COUNTIF(F2032,"ผบ.หมู่*"),51,COUNTIF(F2032,"รอง สว.*"),43)</f>
        <v>51</v>
      </c>
      <c r="X2032" s="6" t="s">
        <v>5992</v>
      </c>
      <c r="Y2032" s="6" t="s">
        <v>52</v>
      </c>
    </row>
    <row r="2033" spans="1:25" s="9" customFormat="1" ht="21.3" customHeight="1">
      <c r="A2033" s="27" t="s">
        <v>182</v>
      </c>
      <c r="B2033" s="28" t="s">
        <v>12</v>
      </c>
      <c r="C2033" s="27" t="s">
        <v>10775</v>
      </c>
      <c r="D2033" s="27" t="s">
        <v>8273</v>
      </c>
      <c r="E2033" s="27" t="s">
        <v>10776</v>
      </c>
      <c r="F2033" s="27" t="s">
        <v>5994</v>
      </c>
      <c r="G2033" s="101" t="s">
        <v>5996</v>
      </c>
      <c r="H2033" s="91">
        <v>45768</v>
      </c>
      <c r="I2033" s="73">
        <v>43497</v>
      </c>
      <c r="J2033" s="85">
        <v>43497</v>
      </c>
      <c r="K2033" s="73">
        <v>33790</v>
      </c>
      <c r="L2033" s="11" t="s">
        <v>82</v>
      </c>
      <c r="M2033" s="1" t="s">
        <v>7609</v>
      </c>
      <c r="N2033" s="112" t="s">
        <v>14</v>
      </c>
      <c r="O2033" s="104" t="s">
        <v>52</v>
      </c>
      <c r="P2033" s="104" t="s">
        <v>52</v>
      </c>
      <c r="Q2033" s="105"/>
      <c r="R2033" s="28" t="s">
        <v>10804</v>
      </c>
      <c r="S2033" s="174">
        <f t="shared" si="31"/>
        <v>55793</v>
      </c>
      <c r="T2033" s="2" t="s">
        <v>7692</v>
      </c>
      <c r="U2033" s="2" t="s">
        <v>139</v>
      </c>
      <c r="V2033" s="203" t="str" cm="1">
        <f t="array" ref="V2033">_xlfn.IFS(C2033="","",COUNTIF(C2033,"ตำแหน่งว่าง*"),"ว่าง",COUNTIF(C2033,"&lt;&gt;ตำแหน่งว่าง*"),"คนครอง")</f>
        <v>คนครอง</v>
      </c>
      <c r="W2033" s="1" cm="1">
        <f t="array" ref="W2033">_xlfn.IFS(COUNTIF(F2033,"ผบ.หมู่*"),51,COUNTIF(F2033,"รอง สว.*"),43)</f>
        <v>51</v>
      </c>
      <c r="X2033" s="1" t="s">
        <v>5995</v>
      </c>
      <c r="Y2033" s="1" t="s">
        <v>52</v>
      </c>
    </row>
    <row r="2034" spans="1:25" s="9" customFormat="1" ht="21.3" customHeight="1">
      <c r="A2034" s="27"/>
      <c r="B2034" s="28"/>
      <c r="C2034" s="27" t="s">
        <v>18</v>
      </c>
      <c r="D2034" s="27"/>
      <c r="E2034" s="27"/>
      <c r="F2034" s="27" t="s">
        <v>5994</v>
      </c>
      <c r="G2034" s="101" t="s">
        <v>5998</v>
      </c>
      <c r="H2034" s="91"/>
      <c r="I2034" s="73"/>
      <c r="J2034" s="85"/>
      <c r="K2034" s="73"/>
      <c r="L2034" s="11"/>
      <c r="M2034" s="1"/>
      <c r="N2034" s="112" t="s">
        <v>14</v>
      </c>
      <c r="O2034" s="104" t="s">
        <v>52</v>
      </c>
      <c r="P2034" s="104" t="s">
        <v>52</v>
      </c>
      <c r="Q2034" s="105"/>
      <c r="R2034" s="28"/>
      <c r="S2034" s="174" t="str">
        <f t="shared" si="31"/>
        <v/>
      </c>
      <c r="T2034" s="2" t="s">
        <v>7692</v>
      </c>
      <c r="U2034" s="2" t="s">
        <v>139</v>
      </c>
      <c r="V2034" s="2" t="str" cm="1">
        <f t="array" ref="V2034">_xlfn.IFS(C2034="","",COUNTIF(C2034,"ตำแหน่งว่าง*"),"ว่าง",COUNTIF(C2034,"&lt;&gt;ตำแหน่งว่าง*"),"คนครอง")</f>
        <v>ว่าง</v>
      </c>
      <c r="W2034" s="1" cm="1">
        <f t="array" ref="W2034">_xlfn.IFS(COUNTIF(F2034,"ผบ.หมู่*"),51,COUNTIF(F2034,"รอง สว.*"),43)</f>
        <v>51</v>
      </c>
      <c r="X2034" s="1" t="s">
        <v>5997</v>
      </c>
      <c r="Y2034" s="1" t="s">
        <v>52</v>
      </c>
    </row>
    <row r="2035" spans="1:25" s="9" customFormat="1" ht="21.3" customHeight="1">
      <c r="A2035" s="27" t="s">
        <v>157</v>
      </c>
      <c r="B2035" s="28" t="s">
        <v>21</v>
      </c>
      <c r="C2035" s="27" t="s">
        <v>5999</v>
      </c>
      <c r="D2035" s="27" t="s">
        <v>10128</v>
      </c>
      <c r="E2035" s="27" t="s">
        <v>10129</v>
      </c>
      <c r="F2035" s="27" t="s">
        <v>5994</v>
      </c>
      <c r="G2035" s="101" t="s">
        <v>6001</v>
      </c>
      <c r="H2035" s="91">
        <v>44599</v>
      </c>
      <c r="I2035" s="73">
        <v>40814</v>
      </c>
      <c r="J2035" s="73">
        <v>40814</v>
      </c>
      <c r="K2035" s="73">
        <v>28490</v>
      </c>
      <c r="L2035" s="11" t="s">
        <v>6002</v>
      </c>
      <c r="M2035" s="1" t="s">
        <v>15</v>
      </c>
      <c r="N2035" s="112" t="s">
        <v>14</v>
      </c>
      <c r="O2035" s="104" t="s">
        <v>52</v>
      </c>
      <c r="P2035" s="104" t="s">
        <v>52</v>
      </c>
      <c r="Q2035" s="105"/>
      <c r="R2035" s="28" t="s">
        <v>607</v>
      </c>
      <c r="S2035" s="225">
        <f t="shared" si="31"/>
        <v>50679</v>
      </c>
      <c r="T2035" s="2" t="s">
        <v>7692</v>
      </c>
      <c r="U2035" s="7" t="s">
        <v>139</v>
      </c>
      <c r="V2035" s="162" t="str" cm="1">
        <f t="array" ref="V2035">_xlfn.IFS(C2035="","",COUNTIF(C2035,"ตำแหน่งว่าง*"),"ว่าง",COUNTIF(C2035,"&lt;&gt;ตำแหน่งว่าง*"),"คนครอง")</f>
        <v>คนครอง</v>
      </c>
      <c r="W2035" s="6" cm="1">
        <f t="array" ref="W2035">_xlfn.IFS(COUNTIF(F2035,"ผบ.หมู่*"),51,COUNTIF(F2035,"รอง สว.*"),43)</f>
        <v>51</v>
      </c>
      <c r="X2035" s="1" t="s">
        <v>6000</v>
      </c>
      <c r="Y2035" s="1" t="s">
        <v>52</v>
      </c>
    </row>
    <row r="2036" spans="1:25" s="10" customFormat="1" ht="21.3" customHeight="1">
      <c r="A2036" s="27"/>
      <c r="B2036" s="28"/>
      <c r="C2036" s="30" t="s">
        <v>18</v>
      </c>
      <c r="D2036" s="27"/>
      <c r="E2036" s="27"/>
      <c r="F2036" s="27" t="s">
        <v>5994</v>
      </c>
      <c r="G2036" s="101" t="s">
        <v>6004</v>
      </c>
      <c r="H2036" s="91"/>
      <c r="I2036" s="73"/>
      <c r="J2036" s="73"/>
      <c r="K2036" s="73"/>
      <c r="L2036" s="11"/>
      <c r="M2036" s="1"/>
      <c r="N2036" s="112" t="s">
        <v>14</v>
      </c>
      <c r="O2036" s="104" t="s">
        <v>52</v>
      </c>
      <c r="P2036" s="104" t="s">
        <v>52</v>
      </c>
      <c r="Q2036" s="105"/>
      <c r="R2036" s="28" t="s">
        <v>74</v>
      </c>
      <c r="S2036" s="225" t="str">
        <f t="shared" si="31"/>
        <v/>
      </c>
      <c r="T2036" s="7" t="s">
        <v>7692</v>
      </c>
      <c r="U2036" s="7" t="s">
        <v>139</v>
      </c>
      <c r="V2036" s="162" t="str" cm="1">
        <f t="array" ref="V2036">_xlfn.IFS(C2036="","",COUNTIF(C2036,"ตำแหน่งว่าง*"),"ว่าง",COUNTIF(C2036,"&lt;&gt;ตำแหน่งว่าง*"),"คนครอง")</f>
        <v>ว่าง</v>
      </c>
      <c r="W2036" s="6" cm="1">
        <f t="array" ref="W2036">_xlfn.IFS(COUNTIF(F2036,"ผบ.หมู่*"),51,COUNTIF(F2036,"รอง สว.*"),43)</f>
        <v>51</v>
      </c>
      <c r="X2036" s="1" t="s">
        <v>6003</v>
      </c>
      <c r="Y2036" s="1" t="s">
        <v>52</v>
      </c>
    </row>
    <row r="2037" spans="1:25" s="10" customFormat="1" ht="21.3" customHeight="1">
      <c r="A2037" s="65" t="s">
        <v>169</v>
      </c>
      <c r="B2037" s="66" t="s">
        <v>21</v>
      </c>
      <c r="C2037" s="65" t="s">
        <v>6005</v>
      </c>
      <c r="D2037" s="27" t="s">
        <v>10130</v>
      </c>
      <c r="E2037" s="27" t="s">
        <v>10131</v>
      </c>
      <c r="F2037" s="65" t="s">
        <v>6006</v>
      </c>
      <c r="G2037" s="101" t="s">
        <v>6008</v>
      </c>
      <c r="H2037" s="81">
        <v>44986</v>
      </c>
      <c r="I2037" s="77">
        <v>44986</v>
      </c>
      <c r="J2037" s="77">
        <v>44986</v>
      </c>
      <c r="K2037" s="77">
        <v>35552</v>
      </c>
      <c r="L2037" s="63" t="s">
        <v>82</v>
      </c>
      <c r="M2037" s="61" t="s">
        <v>57</v>
      </c>
      <c r="N2037" s="114" t="s">
        <v>14</v>
      </c>
      <c r="O2037" s="104" t="s">
        <v>52</v>
      </c>
      <c r="P2037" s="104" t="s">
        <v>52</v>
      </c>
      <c r="Q2037" s="107"/>
      <c r="R2037" s="66" t="s">
        <v>861</v>
      </c>
      <c r="S2037" s="225">
        <f t="shared" si="31"/>
        <v>57619</v>
      </c>
      <c r="T2037" s="7" t="s">
        <v>7693</v>
      </c>
      <c r="U2037" s="7" t="s">
        <v>139</v>
      </c>
      <c r="V2037" s="162" t="str" cm="1">
        <f t="array" ref="V2037">_xlfn.IFS(C2037="","",COUNTIF(C2037,"ตำแหน่งว่าง*"),"ว่าง",COUNTIF(C2037,"&lt;&gt;ตำแหน่งว่าง*"),"คนครอง")</f>
        <v>คนครอง</v>
      </c>
      <c r="W2037" s="6" cm="1">
        <f t="array" ref="W2037">_xlfn.IFS(COUNTIF(F2037,"ผบ.หมู่*"),51,COUNTIF(F2037,"รอง สว.*"),43)</f>
        <v>51</v>
      </c>
      <c r="X2037" s="61" t="s">
        <v>6007</v>
      </c>
      <c r="Y2037" s="61" t="s">
        <v>52</v>
      </c>
    </row>
    <row r="2038" spans="1:25" s="10" customFormat="1" ht="21.3" customHeight="1">
      <c r="A2038" s="192" t="s">
        <v>169</v>
      </c>
      <c r="B2038" s="193" t="s">
        <v>21</v>
      </c>
      <c r="C2038" s="192" t="s">
        <v>7950</v>
      </c>
      <c r="D2038" s="27" t="s">
        <v>10132</v>
      </c>
      <c r="E2038" s="27" t="s">
        <v>10133</v>
      </c>
      <c r="F2038" s="192" t="s">
        <v>6006</v>
      </c>
      <c r="G2038" s="101" t="s">
        <v>6010</v>
      </c>
      <c r="H2038" s="73">
        <v>45463</v>
      </c>
      <c r="I2038" s="73">
        <v>45463</v>
      </c>
      <c r="J2038" s="73">
        <v>45463</v>
      </c>
      <c r="K2038" s="73">
        <v>36346</v>
      </c>
      <c r="L2038" s="2" t="s">
        <v>82</v>
      </c>
      <c r="M2038" s="1"/>
      <c r="N2038" s="112" t="s">
        <v>14</v>
      </c>
      <c r="O2038" s="104" t="s">
        <v>52</v>
      </c>
      <c r="P2038" s="104" t="s">
        <v>52</v>
      </c>
      <c r="Q2038" s="105"/>
      <c r="R2038" s="28" t="s">
        <v>7961</v>
      </c>
      <c r="S2038" s="174">
        <f t="shared" si="31"/>
        <v>58349</v>
      </c>
      <c r="T2038" s="2" t="s">
        <v>7693</v>
      </c>
      <c r="U2038" s="2" t="s">
        <v>139</v>
      </c>
      <c r="V2038" s="162" t="str" cm="1">
        <f t="array" ref="V2038">_xlfn.IFS(C2038="","",COUNTIF(C2038,"ตำแหน่งว่าง*"),"ว่าง",COUNTIF(C2038,"&lt;&gt;ตำแหน่งว่าง*"),"คนครอง")</f>
        <v>คนครอง</v>
      </c>
      <c r="W2038" s="1" cm="1">
        <f t="array" ref="W2038">_xlfn.IFS(COUNTIF(F2038,"ผบ.หมู่*"),51,COUNTIF(F2038,"รอง สว.*"),43)</f>
        <v>51</v>
      </c>
      <c r="X2038" s="1" t="s">
        <v>6009</v>
      </c>
      <c r="Y2038" s="1" t="s">
        <v>52</v>
      </c>
    </row>
    <row r="2039" spans="1:25" s="9" customFormat="1" ht="21.3" customHeight="1">
      <c r="A2039" s="95" t="s">
        <v>208</v>
      </c>
      <c r="B2039" s="28" t="s">
        <v>12</v>
      </c>
      <c r="C2039" s="27" t="s">
        <v>6011</v>
      </c>
      <c r="D2039" s="27" t="s">
        <v>9245</v>
      </c>
      <c r="E2039" s="27" t="s">
        <v>10134</v>
      </c>
      <c r="F2039" s="27" t="s">
        <v>6006</v>
      </c>
      <c r="G2039" s="101" t="s">
        <v>6013</v>
      </c>
      <c r="H2039" s="91">
        <v>43693</v>
      </c>
      <c r="I2039" s="73">
        <v>43693</v>
      </c>
      <c r="J2039" s="73">
        <v>43693</v>
      </c>
      <c r="K2039" s="73">
        <v>36960</v>
      </c>
      <c r="L2039" s="11" t="s">
        <v>82</v>
      </c>
      <c r="M2039" s="1" t="s">
        <v>91</v>
      </c>
      <c r="N2039" s="112" t="s">
        <v>14</v>
      </c>
      <c r="O2039" s="104" t="s">
        <v>52</v>
      </c>
      <c r="P2039" s="104" t="s">
        <v>52</v>
      </c>
      <c r="Q2039" s="105"/>
      <c r="R2039" s="28" t="s">
        <v>645</v>
      </c>
      <c r="S2039" s="225">
        <f t="shared" si="31"/>
        <v>59080</v>
      </c>
      <c r="T2039" s="2" t="s">
        <v>7693</v>
      </c>
      <c r="U2039" s="7" t="s">
        <v>139</v>
      </c>
      <c r="V2039" s="162" t="str" cm="1">
        <f t="array" ref="V2039">_xlfn.IFS(C2039="","",COUNTIF(C2039,"ตำแหน่งว่าง*"),"ว่าง",COUNTIF(C2039,"&lt;&gt;ตำแหน่งว่าง*"),"คนครอง")</f>
        <v>คนครอง</v>
      </c>
      <c r="W2039" s="6" cm="1">
        <f t="array" ref="W2039">_xlfn.IFS(COUNTIF(F2039,"ผบ.หมู่*"),51,COUNTIF(F2039,"รอง สว.*"),43)</f>
        <v>51</v>
      </c>
      <c r="X2039" s="1" t="s">
        <v>6012</v>
      </c>
      <c r="Y2039" s="1" t="s">
        <v>52</v>
      </c>
    </row>
    <row r="2040" spans="1:25" s="12" customFormat="1" ht="21.3" customHeight="1">
      <c r="A2040" s="95"/>
      <c r="B2040" s="31"/>
      <c r="C2040" s="30" t="s">
        <v>18</v>
      </c>
      <c r="D2040" s="27"/>
      <c r="E2040" s="27"/>
      <c r="F2040" s="68" t="s">
        <v>6006</v>
      </c>
      <c r="G2040" s="121" t="s">
        <v>6015</v>
      </c>
      <c r="H2040" s="93"/>
      <c r="I2040" s="74"/>
      <c r="J2040" s="74"/>
      <c r="K2040" s="74"/>
      <c r="L2040" s="16"/>
      <c r="M2040" s="6"/>
      <c r="N2040" s="113" t="s">
        <v>14</v>
      </c>
      <c r="O2040" s="122" t="s">
        <v>52</v>
      </c>
      <c r="P2040" s="122" t="s">
        <v>52</v>
      </c>
      <c r="Q2040" s="106"/>
      <c r="R2040" s="30"/>
      <c r="S2040" s="225" t="str">
        <f t="shared" si="31"/>
        <v/>
      </c>
      <c r="T2040" s="162" t="s">
        <v>7693</v>
      </c>
      <c r="U2040" s="7" t="s">
        <v>139</v>
      </c>
      <c r="V2040" s="171" t="str" cm="1">
        <f t="array" ref="V2040">_xlfn.IFS(C2040="","",COUNTIF(C2040,"ตำแหน่งว่าง*"),"ว่าง",COUNTIF(C2040,"&lt;&gt;ตำแหน่งว่าง*"),"คนครอง")</f>
        <v>ว่าง</v>
      </c>
      <c r="W2040" s="5" cm="1">
        <f t="array" ref="W2040">_xlfn.IFS(COUNTIF(F2040,"ผบ.หมู่*"),51,COUNTIF(F2040,"รอง สว.*"),43)</f>
        <v>51</v>
      </c>
      <c r="X2040" s="6" t="s">
        <v>6014</v>
      </c>
      <c r="Y2040" s="6" t="s">
        <v>52</v>
      </c>
    </row>
    <row r="2041" spans="1:25" s="12" customFormat="1" ht="21.3" customHeight="1">
      <c r="A2041" s="27" t="s">
        <v>26</v>
      </c>
      <c r="B2041" s="28" t="s">
        <v>21</v>
      </c>
      <c r="C2041" s="95" t="s">
        <v>6016</v>
      </c>
      <c r="D2041" s="27" t="s">
        <v>10135</v>
      </c>
      <c r="E2041" s="27" t="s">
        <v>10136</v>
      </c>
      <c r="F2041" s="95" t="s">
        <v>6017</v>
      </c>
      <c r="G2041" s="101" t="s">
        <v>6019</v>
      </c>
      <c r="H2041" s="91">
        <v>44286</v>
      </c>
      <c r="I2041" s="73">
        <v>44286</v>
      </c>
      <c r="J2041" s="73">
        <v>32689</v>
      </c>
      <c r="K2041" s="73">
        <v>25012</v>
      </c>
      <c r="L2041" s="11" t="s">
        <v>6020</v>
      </c>
      <c r="M2041" s="1" t="s">
        <v>15</v>
      </c>
      <c r="N2041" s="111" t="s">
        <v>14</v>
      </c>
      <c r="O2041" s="104" t="s">
        <v>52</v>
      </c>
      <c r="P2041" s="104" t="s">
        <v>52</v>
      </c>
      <c r="Q2041" s="105"/>
      <c r="R2041" s="28" t="s">
        <v>1313</v>
      </c>
      <c r="S2041" s="225">
        <f t="shared" si="31"/>
        <v>47027</v>
      </c>
      <c r="T2041" s="162" t="s">
        <v>7694</v>
      </c>
      <c r="U2041" s="7" t="s">
        <v>139</v>
      </c>
      <c r="V2041" s="162" t="str" cm="1">
        <f t="array" ref="V2041">_xlfn.IFS(C2041="","",COUNTIF(C2041,"ตำแหน่งว่าง*"),"ว่าง",COUNTIF(C2041,"&lt;&gt;ตำแหน่งว่าง*"),"คนครอง")</f>
        <v>คนครอง</v>
      </c>
      <c r="W2041" s="5" cm="1">
        <f t="array" ref="W2041">_xlfn.IFS(COUNTIF(F2041,"ผบ.หมู่*"),51,COUNTIF(F2041,"รอง สว.*"),43)</f>
        <v>43</v>
      </c>
      <c r="X2041" s="5" t="s">
        <v>6018</v>
      </c>
      <c r="Y2041" s="5" t="s">
        <v>52</v>
      </c>
    </row>
    <row r="2042" spans="1:25" s="9" customFormat="1" ht="21.3" customHeight="1">
      <c r="A2042" s="27"/>
      <c r="B2042" s="28"/>
      <c r="C2042" s="30" t="s">
        <v>18</v>
      </c>
      <c r="D2042" s="27"/>
      <c r="E2042" s="27"/>
      <c r="F2042" s="27" t="s">
        <v>6021</v>
      </c>
      <c r="G2042" s="101" t="s">
        <v>6023</v>
      </c>
      <c r="H2042" s="75"/>
      <c r="I2042" s="85"/>
      <c r="J2042" s="73"/>
      <c r="K2042" s="85"/>
      <c r="L2042" s="11"/>
      <c r="M2042" s="1"/>
      <c r="N2042" s="112" t="s">
        <v>14</v>
      </c>
      <c r="O2042" s="104" t="s">
        <v>52</v>
      </c>
      <c r="P2042" s="104" t="s">
        <v>52</v>
      </c>
      <c r="Q2042" s="105"/>
      <c r="R2042" s="28"/>
      <c r="S2042" s="225" t="str">
        <f t="shared" si="31"/>
        <v/>
      </c>
      <c r="T2042" s="2" t="s">
        <v>7694</v>
      </c>
      <c r="U2042" s="7" t="s">
        <v>139</v>
      </c>
      <c r="V2042" s="162" t="str" cm="1">
        <f t="array" ref="V2042">_xlfn.IFS(C2042="","",COUNTIF(C2042,"ตำแหน่งว่าง*"),"ว่าง",COUNTIF(C2042,"&lt;&gt;ตำแหน่งว่าง*"),"คนครอง")</f>
        <v>ว่าง</v>
      </c>
      <c r="W2042" s="6" cm="1">
        <f t="array" ref="W2042">_xlfn.IFS(COUNTIF(F2042,"ผบ.หมู่*"),51,COUNTIF(F2042,"รอง สว.*"),43)</f>
        <v>51</v>
      </c>
      <c r="X2042" s="1" t="s">
        <v>6022</v>
      </c>
      <c r="Y2042" s="1" t="s">
        <v>52</v>
      </c>
    </row>
    <row r="2043" spans="1:25" s="9" customFormat="1" ht="21.3" customHeight="1">
      <c r="A2043" s="192" t="s">
        <v>169</v>
      </c>
      <c r="B2043" s="193" t="s">
        <v>21</v>
      </c>
      <c r="C2043" s="192" t="s">
        <v>7951</v>
      </c>
      <c r="D2043" s="27" t="s">
        <v>10137</v>
      </c>
      <c r="E2043" s="27" t="s">
        <v>10138</v>
      </c>
      <c r="F2043" s="192" t="s">
        <v>6021</v>
      </c>
      <c r="G2043" s="101" t="s">
        <v>6025</v>
      </c>
      <c r="H2043" s="73">
        <v>45463</v>
      </c>
      <c r="I2043" s="73">
        <v>45463</v>
      </c>
      <c r="J2043" s="73">
        <v>45463</v>
      </c>
      <c r="K2043" s="73">
        <v>36993</v>
      </c>
      <c r="L2043" s="2" t="s">
        <v>82</v>
      </c>
      <c r="M2043" s="1"/>
      <c r="N2043" s="112" t="s">
        <v>14</v>
      </c>
      <c r="O2043" s="104" t="s">
        <v>52</v>
      </c>
      <c r="P2043" s="104" t="s">
        <v>52</v>
      </c>
      <c r="Q2043" s="105"/>
      <c r="R2043" s="28" t="s">
        <v>7961</v>
      </c>
      <c r="S2043" s="174">
        <f t="shared" si="31"/>
        <v>59080</v>
      </c>
      <c r="T2043" s="2" t="s">
        <v>7694</v>
      </c>
      <c r="U2043" s="2" t="s">
        <v>139</v>
      </c>
      <c r="V2043" s="162" t="str" cm="1">
        <f t="array" ref="V2043">_xlfn.IFS(C2043="","",COUNTIF(C2043,"ตำแหน่งว่าง*"),"ว่าง",COUNTIF(C2043,"&lt;&gt;ตำแหน่งว่าง*"),"คนครอง")</f>
        <v>คนครอง</v>
      </c>
      <c r="W2043" s="1" cm="1">
        <f t="array" ref="W2043">_xlfn.IFS(COUNTIF(F2043,"ผบ.หมู่*"),51,COUNTIF(F2043,"รอง สว.*"),43)</f>
        <v>51</v>
      </c>
      <c r="X2043" s="1" t="s">
        <v>6024</v>
      </c>
      <c r="Y2043" s="1" t="s">
        <v>52</v>
      </c>
    </row>
    <row r="2044" spans="1:25" s="10" customFormat="1" ht="21.3" customHeight="1">
      <c r="A2044" s="65" t="s">
        <v>169</v>
      </c>
      <c r="B2044" s="66" t="s">
        <v>21</v>
      </c>
      <c r="C2044" s="65" t="s">
        <v>6026</v>
      </c>
      <c r="D2044" s="27" t="s">
        <v>10139</v>
      </c>
      <c r="E2044" s="27" t="s">
        <v>10140</v>
      </c>
      <c r="F2044" s="65" t="s">
        <v>6021</v>
      </c>
      <c r="G2044" s="101" t="s">
        <v>6028</v>
      </c>
      <c r="H2044" s="81">
        <v>44986</v>
      </c>
      <c r="I2044" s="77">
        <v>44986</v>
      </c>
      <c r="J2044" s="77">
        <v>44986</v>
      </c>
      <c r="K2044" s="77">
        <v>33945</v>
      </c>
      <c r="L2044" s="63" t="s">
        <v>82</v>
      </c>
      <c r="M2044" s="61" t="s">
        <v>16</v>
      </c>
      <c r="N2044" s="114" t="s">
        <v>14</v>
      </c>
      <c r="O2044" s="104" t="s">
        <v>52</v>
      </c>
      <c r="P2044" s="104" t="s">
        <v>52</v>
      </c>
      <c r="Q2044" s="107"/>
      <c r="R2044" s="66" t="s">
        <v>861</v>
      </c>
      <c r="S2044" s="225">
        <f t="shared" si="31"/>
        <v>56158</v>
      </c>
      <c r="T2044" s="7" t="s">
        <v>7694</v>
      </c>
      <c r="U2044" s="7" t="s">
        <v>139</v>
      </c>
      <c r="V2044" s="162" t="str" cm="1">
        <f t="array" ref="V2044">_xlfn.IFS(C2044="","",COUNTIF(C2044,"ตำแหน่งว่าง*"),"ว่าง",COUNTIF(C2044,"&lt;&gt;ตำแหน่งว่าง*"),"คนครอง")</f>
        <v>คนครอง</v>
      </c>
      <c r="W2044" s="6" cm="1">
        <f t="array" ref="W2044">_xlfn.IFS(COUNTIF(F2044,"ผบ.หมู่*"),51,COUNTIF(F2044,"รอง สว.*"),43)</f>
        <v>51</v>
      </c>
      <c r="X2044" s="61" t="s">
        <v>6027</v>
      </c>
      <c r="Y2044" s="61" t="s">
        <v>52</v>
      </c>
    </row>
    <row r="2045" spans="1:25" s="10" customFormat="1" ht="21.3" customHeight="1">
      <c r="A2045" s="27"/>
      <c r="B2045" s="28"/>
      <c r="C2045" s="30" t="s">
        <v>18</v>
      </c>
      <c r="D2045" s="27"/>
      <c r="E2045" s="27"/>
      <c r="F2045" s="68" t="s">
        <v>6021</v>
      </c>
      <c r="G2045" s="121" t="s">
        <v>6030</v>
      </c>
      <c r="H2045" s="91" t="s">
        <v>19</v>
      </c>
      <c r="I2045" s="73" t="s">
        <v>19</v>
      </c>
      <c r="J2045" s="73" t="s">
        <v>19</v>
      </c>
      <c r="K2045" s="73" t="s">
        <v>19</v>
      </c>
      <c r="L2045" s="11"/>
      <c r="M2045" s="1"/>
      <c r="N2045" s="113" t="s">
        <v>14</v>
      </c>
      <c r="O2045" s="122" t="s">
        <v>52</v>
      </c>
      <c r="P2045" s="122" t="s">
        <v>52</v>
      </c>
      <c r="Q2045" s="105"/>
      <c r="R2045" s="28"/>
      <c r="S2045" s="225" t="str">
        <f t="shared" si="31"/>
        <v/>
      </c>
      <c r="T2045" s="7" t="s">
        <v>7694</v>
      </c>
      <c r="U2045" s="7" t="s">
        <v>139</v>
      </c>
      <c r="V2045" s="171" t="str" cm="1">
        <f t="array" ref="V2045">_xlfn.IFS(C2045="","",COUNTIF(C2045,"ตำแหน่งว่าง*"),"ว่าง",COUNTIF(C2045,"&lt;&gt;ตำแหน่งว่าง*"),"คนครอง")</f>
        <v>ว่าง</v>
      </c>
      <c r="W2045" s="6" cm="1">
        <f t="array" ref="W2045">_xlfn.IFS(COUNTIF(F2045,"ผบ.หมู่*"),51,COUNTIF(F2045,"รอง สว.*"),43)</f>
        <v>51</v>
      </c>
      <c r="X2045" s="6" t="s">
        <v>6029</v>
      </c>
      <c r="Y2045" s="6" t="s">
        <v>52</v>
      </c>
    </row>
    <row r="2046" spans="1:25" s="10" customFormat="1" ht="21.3" customHeight="1">
      <c r="A2046" s="65" t="s">
        <v>169</v>
      </c>
      <c r="B2046" s="66" t="s">
        <v>12</v>
      </c>
      <c r="C2046" s="65" t="s">
        <v>6031</v>
      </c>
      <c r="D2046" s="27" t="s">
        <v>10141</v>
      </c>
      <c r="E2046" s="27" t="s">
        <v>10142</v>
      </c>
      <c r="F2046" s="65" t="s">
        <v>6032</v>
      </c>
      <c r="G2046" s="101" t="s">
        <v>6034</v>
      </c>
      <c r="H2046" s="81">
        <v>44986</v>
      </c>
      <c r="I2046" s="77">
        <v>44986</v>
      </c>
      <c r="J2046" s="77">
        <v>44986</v>
      </c>
      <c r="K2046" s="77">
        <v>37773</v>
      </c>
      <c r="L2046" s="63" t="s">
        <v>82</v>
      </c>
      <c r="M2046" s="61" t="s">
        <v>16</v>
      </c>
      <c r="N2046" s="114" t="s">
        <v>14</v>
      </c>
      <c r="O2046" s="104" t="s">
        <v>52</v>
      </c>
      <c r="P2046" s="104" t="s">
        <v>52</v>
      </c>
      <c r="Q2046" s="107"/>
      <c r="R2046" s="66" t="s">
        <v>861</v>
      </c>
      <c r="S2046" s="225">
        <f t="shared" si="31"/>
        <v>59810</v>
      </c>
      <c r="T2046" s="7" t="s">
        <v>7695</v>
      </c>
      <c r="U2046" s="7" t="s">
        <v>139</v>
      </c>
      <c r="V2046" s="162" t="str" cm="1">
        <f t="array" ref="V2046">_xlfn.IFS(C2046="","",COUNTIF(C2046,"ตำแหน่งว่าง*"),"ว่าง",COUNTIF(C2046,"&lt;&gt;ตำแหน่งว่าง*"),"คนครอง")</f>
        <v>คนครอง</v>
      </c>
      <c r="W2046" s="6" cm="1">
        <f t="array" ref="W2046">_xlfn.IFS(COUNTIF(F2046,"ผบ.หมู่*"),51,COUNTIF(F2046,"รอง สว.*"),43)</f>
        <v>51</v>
      </c>
      <c r="X2046" s="61" t="s">
        <v>6033</v>
      </c>
      <c r="Y2046" s="61" t="s">
        <v>52</v>
      </c>
    </row>
    <row r="2047" spans="1:25" s="10" customFormat="1" ht="21.3" customHeight="1">
      <c r="A2047" s="65" t="s">
        <v>169</v>
      </c>
      <c r="B2047" s="66" t="s">
        <v>12</v>
      </c>
      <c r="C2047" s="65" t="s">
        <v>6035</v>
      </c>
      <c r="D2047" s="27" t="s">
        <v>10143</v>
      </c>
      <c r="E2047" s="27" t="s">
        <v>10144</v>
      </c>
      <c r="F2047" s="65" t="s">
        <v>6032</v>
      </c>
      <c r="G2047" s="101" t="s">
        <v>6037</v>
      </c>
      <c r="H2047" s="81">
        <v>44986</v>
      </c>
      <c r="I2047" s="77">
        <v>44986</v>
      </c>
      <c r="J2047" s="77">
        <v>44986</v>
      </c>
      <c r="K2047" s="77">
        <v>37809</v>
      </c>
      <c r="L2047" s="63" t="s">
        <v>82</v>
      </c>
      <c r="M2047" s="61" t="s">
        <v>57</v>
      </c>
      <c r="N2047" s="114" t="s">
        <v>14</v>
      </c>
      <c r="O2047" s="104" t="s">
        <v>52</v>
      </c>
      <c r="P2047" s="104" t="s">
        <v>52</v>
      </c>
      <c r="Q2047" s="107"/>
      <c r="R2047" s="66" t="s">
        <v>861</v>
      </c>
      <c r="S2047" s="225">
        <f t="shared" si="31"/>
        <v>59810</v>
      </c>
      <c r="T2047" s="7" t="s">
        <v>7695</v>
      </c>
      <c r="U2047" s="7" t="s">
        <v>139</v>
      </c>
      <c r="V2047" s="162" t="str" cm="1">
        <f t="array" ref="V2047">_xlfn.IFS(C2047="","",COUNTIF(C2047,"ตำแหน่งว่าง*"),"ว่าง",COUNTIF(C2047,"&lt;&gt;ตำแหน่งว่าง*"),"คนครอง")</f>
        <v>คนครอง</v>
      </c>
      <c r="W2047" s="6" cm="1">
        <f t="array" ref="W2047">_xlfn.IFS(COUNTIF(F2047,"ผบ.หมู่*"),51,COUNTIF(F2047,"รอง สว.*"),43)</f>
        <v>51</v>
      </c>
      <c r="X2047" s="61" t="s">
        <v>6036</v>
      </c>
      <c r="Y2047" s="61" t="s">
        <v>52</v>
      </c>
    </row>
    <row r="2048" spans="1:25" s="10" customFormat="1" ht="21.3" customHeight="1">
      <c r="A2048" s="192" t="s">
        <v>169</v>
      </c>
      <c r="B2048" s="193" t="s">
        <v>21</v>
      </c>
      <c r="C2048" s="192" t="s">
        <v>7952</v>
      </c>
      <c r="D2048" s="27" t="s">
        <v>10145</v>
      </c>
      <c r="E2048" s="27" t="s">
        <v>10146</v>
      </c>
      <c r="F2048" s="192" t="s">
        <v>6032</v>
      </c>
      <c r="G2048" s="101" t="s">
        <v>6039</v>
      </c>
      <c r="H2048" s="73">
        <v>45463</v>
      </c>
      <c r="I2048" s="73">
        <v>45463</v>
      </c>
      <c r="J2048" s="73">
        <v>45463</v>
      </c>
      <c r="K2048" s="73">
        <v>35995</v>
      </c>
      <c r="L2048" s="2" t="s">
        <v>82</v>
      </c>
      <c r="M2048" s="1"/>
      <c r="N2048" s="112" t="s">
        <v>14</v>
      </c>
      <c r="O2048" s="104" t="s">
        <v>52</v>
      </c>
      <c r="P2048" s="104" t="s">
        <v>52</v>
      </c>
      <c r="Q2048" s="105"/>
      <c r="R2048" s="28" t="s">
        <v>7961</v>
      </c>
      <c r="S2048" s="174">
        <f t="shared" si="31"/>
        <v>57984</v>
      </c>
      <c r="T2048" s="2" t="s">
        <v>7695</v>
      </c>
      <c r="U2048" s="2" t="s">
        <v>139</v>
      </c>
      <c r="V2048" s="162" t="str" cm="1">
        <f t="array" ref="V2048">_xlfn.IFS(C2048="","",COUNTIF(C2048,"ตำแหน่งว่าง*"),"ว่าง",COUNTIF(C2048,"&lt;&gt;ตำแหน่งว่าง*"),"คนครอง")</f>
        <v>คนครอง</v>
      </c>
      <c r="W2048" s="1" cm="1">
        <f t="array" ref="W2048">_xlfn.IFS(COUNTIF(F2048,"ผบ.หมู่*"),51,COUNTIF(F2048,"รอง สว.*"),43)</f>
        <v>51</v>
      </c>
      <c r="X2048" s="1" t="s">
        <v>6038</v>
      </c>
      <c r="Y2048" s="1" t="s">
        <v>52</v>
      </c>
    </row>
    <row r="2049" spans="1:25" s="10" customFormat="1" ht="21.3" customHeight="1">
      <c r="A2049" s="27"/>
      <c r="B2049" s="28"/>
      <c r="C2049" s="30" t="s">
        <v>18</v>
      </c>
      <c r="D2049" s="27"/>
      <c r="E2049" s="27"/>
      <c r="F2049" s="68" t="s">
        <v>6032</v>
      </c>
      <c r="G2049" s="121" t="s">
        <v>6041</v>
      </c>
      <c r="H2049" s="91" t="s">
        <v>19</v>
      </c>
      <c r="I2049" s="73" t="s">
        <v>19</v>
      </c>
      <c r="J2049" s="73" t="s">
        <v>19</v>
      </c>
      <c r="K2049" s="73" t="s">
        <v>19</v>
      </c>
      <c r="L2049" s="11"/>
      <c r="M2049" s="1"/>
      <c r="N2049" s="113" t="s">
        <v>14</v>
      </c>
      <c r="O2049" s="122" t="s">
        <v>52</v>
      </c>
      <c r="P2049" s="122" t="s">
        <v>52</v>
      </c>
      <c r="Q2049" s="105"/>
      <c r="R2049" s="28"/>
      <c r="S2049" s="225" t="str">
        <f t="shared" si="31"/>
        <v/>
      </c>
      <c r="T2049" s="7" t="s">
        <v>7695</v>
      </c>
      <c r="U2049" s="7" t="s">
        <v>139</v>
      </c>
      <c r="V2049" s="171" t="str" cm="1">
        <f t="array" ref="V2049">_xlfn.IFS(C2049="","",COUNTIF(C2049,"ตำแหน่งว่าง*"),"ว่าง",COUNTIF(C2049,"&lt;&gt;ตำแหน่งว่าง*"),"คนครอง")</f>
        <v>ว่าง</v>
      </c>
      <c r="W2049" s="6" cm="1">
        <f t="array" ref="W2049">_xlfn.IFS(COUNTIF(F2049,"ผบ.หมู่*"),51,COUNTIF(F2049,"รอง สว.*"),43)</f>
        <v>51</v>
      </c>
      <c r="X2049" s="6" t="s">
        <v>6040</v>
      </c>
      <c r="Y2049" s="6" t="s">
        <v>52</v>
      </c>
    </row>
    <row r="2050" spans="1:25" s="9" customFormat="1" ht="21.3" customHeight="1">
      <c r="A2050" s="95" t="s">
        <v>208</v>
      </c>
      <c r="B2050" s="28" t="s">
        <v>21</v>
      </c>
      <c r="C2050" s="27" t="s">
        <v>6042</v>
      </c>
      <c r="D2050" s="27" t="s">
        <v>10147</v>
      </c>
      <c r="E2050" s="27" t="s">
        <v>10148</v>
      </c>
      <c r="F2050" s="27" t="s">
        <v>6043</v>
      </c>
      <c r="G2050" s="101" t="s">
        <v>6045</v>
      </c>
      <c r="H2050" s="91">
        <v>43693</v>
      </c>
      <c r="I2050" s="73">
        <v>43693</v>
      </c>
      <c r="J2050" s="85">
        <v>43693</v>
      </c>
      <c r="K2050" s="73">
        <v>32913</v>
      </c>
      <c r="L2050" s="11" t="s">
        <v>82</v>
      </c>
      <c r="M2050" s="1" t="s">
        <v>15</v>
      </c>
      <c r="N2050" s="112" t="s">
        <v>14</v>
      </c>
      <c r="O2050" s="104" t="s">
        <v>52</v>
      </c>
      <c r="P2050" s="104" t="s">
        <v>52</v>
      </c>
      <c r="Q2050" s="105"/>
      <c r="R2050" s="28" t="s">
        <v>645</v>
      </c>
      <c r="S2050" s="225">
        <f t="shared" ref="S2050:S2113" si="32">IF(K2050&lt;&gt;"",DATE(YEAR(K2050)+60+(K2050&gt;=DATE(YEAR(K2050),10,2)),10,1),"")</f>
        <v>55062</v>
      </c>
      <c r="T2050" s="2" t="s">
        <v>7696</v>
      </c>
      <c r="U2050" s="7" t="s">
        <v>139</v>
      </c>
      <c r="V2050" s="162" t="str" cm="1">
        <f t="array" ref="V2050">_xlfn.IFS(C2050="","",COUNTIF(C2050,"ตำแหน่งว่าง*"),"ว่าง",COUNTIF(C2050,"&lt;&gt;ตำแหน่งว่าง*"),"คนครอง")</f>
        <v>คนครอง</v>
      </c>
      <c r="W2050" s="6" cm="1">
        <f t="array" ref="W2050">_xlfn.IFS(COUNTIF(F2050,"ผบ.หมู่*"),51,COUNTIF(F2050,"รอง สว.*"),43)</f>
        <v>51</v>
      </c>
      <c r="X2050" s="1" t="s">
        <v>6044</v>
      </c>
      <c r="Y2050" s="1" t="s">
        <v>52</v>
      </c>
    </row>
    <row r="2051" spans="1:25" s="9" customFormat="1" ht="21.3" customHeight="1">
      <c r="A2051" s="95" t="s">
        <v>208</v>
      </c>
      <c r="B2051" s="28" t="s">
        <v>21</v>
      </c>
      <c r="C2051" s="27" t="s">
        <v>6046</v>
      </c>
      <c r="D2051" s="27" t="s">
        <v>8081</v>
      </c>
      <c r="E2051" s="27" t="s">
        <v>10149</v>
      </c>
      <c r="F2051" s="27" t="s">
        <v>6043</v>
      </c>
      <c r="G2051" s="101" t="s">
        <v>6048</v>
      </c>
      <c r="H2051" s="91">
        <v>43693</v>
      </c>
      <c r="I2051" s="73">
        <v>43693</v>
      </c>
      <c r="J2051" s="85">
        <v>43693</v>
      </c>
      <c r="K2051" s="73">
        <v>36269</v>
      </c>
      <c r="L2051" s="11" t="s">
        <v>82</v>
      </c>
      <c r="M2051" s="1" t="s">
        <v>15</v>
      </c>
      <c r="N2051" s="112" t="s">
        <v>14</v>
      </c>
      <c r="O2051" s="104" t="s">
        <v>52</v>
      </c>
      <c r="P2051" s="104" t="s">
        <v>52</v>
      </c>
      <c r="Q2051" s="105"/>
      <c r="R2051" s="28" t="s">
        <v>645</v>
      </c>
      <c r="S2051" s="225">
        <f t="shared" si="32"/>
        <v>58349</v>
      </c>
      <c r="T2051" s="2" t="s">
        <v>7696</v>
      </c>
      <c r="U2051" s="7" t="s">
        <v>139</v>
      </c>
      <c r="V2051" s="162" t="str" cm="1">
        <f t="array" ref="V2051">_xlfn.IFS(C2051="","",COUNTIF(C2051,"ตำแหน่งว่าง*"),"ว่าง",COUNTIF(C2051,"&lt;&gt;ตำแหน่งว่าง*"),"คนครอง")</f>
        <v>คนครอง</v>
      </c>
      <c r="W2051" s="6" cm="1">
        <f t="array" ref="W2051">_xlfn.IFS(COUNTIF(F2051,"ผบ.หมู่*"),51,COUNTIF(F2051,"รอง สว.*"),43)</f>
        <v>51</v>
      </c>
      <c r="X2051" s="1" t="s">
        <v>6047</v>
      </c>
      <c r="Y2051" s="1" t="s">
        <v>52</v>
      </c>
    </row>
    <row r="2052" spans="1:25" s="10" customFormat="1" ht="21.3" customHeight="1">
      <c r="A2052" s="65" t="s">
        <v>169</v>
      </c>
      <c r="B2052" s="66" t="s">
        <v>12</v>
      </c>
      <c r="C2052" s="65" t="s">
        <v>6049</v>
      </c>
      <c r="D2052" s="27" t="s">
        <v>9388</v>
      </c>
      <c r="E2052" s="27" t="s">
        <v>10150</v>
      </c>
      <c r="F2052" s="65" t="s">
        <v>6043</v>
      </c>
      <c r="G2052" s="101" t="s">
        <v>6051</v>
      </c>
      <c r="H2052" s="81">
        <v>44986</v>
      </c>
      <c r="I2052" s="77">
        <v>44986</v>
      </c>
      <c r="J2052" s="77">
        <v>44986</v>
      </c>
      <c r="K2052" s="77">
        <v>33803</v>
      </c>
      <c r="L2052" s="63" t="s">
        <v>82</v>
      </c>
      <c r="M2052" s="61" t="s">
        <v>93</v>
      </c>
      <c r="N2052" s="114" t="s">
        <v>14</v>
      </c>
      <c r="O2052" s="104" t="s">
        <v>52</v>
      </c>
      <c r="P2052" s="104" t="s">
        <v>52</v>
      </c>
      <c r="Q2052" s="107"/>
      <c r="R2052" s="66" t="s">
        <v>861</v>
      </c>
      <c r="S2052" s="225">
        <f t="shared" si="32"/>
        <v>55793</v>
      </c>
      <c r="T2052" s="7" t="s">
        <v>7696</v>
      </c>
      <c r="U2052" s="7" t="s">
        <v>139</v>
      </c>
      <c r="V2052" s="162" t="str" cm="1">
        <f t="array" ref="V2052">_xlfn.IFS(C2052="","",COUNTIF(C2052,"ตำแหน่งว่าง*"),"ว่าง",COUNTIF(C2052,"&lt;&gt;ตำแหน่งว่าง*"),"คนครอง")</f>
        <v>คนครอง</v>
      </c>
      <c r="W2052" s="6" cm="1">
        <f t="array" ref="W2052">_xlfn.IFS(COUNTIF(F2052,"ผบ.หมู่*"),51,COUNTIF(F2052,"รอง สว.*"),43)</f>
        <v>51</v>
      </c>
      <c r="X2052" s="61" t="s">
        <v>6050</v>
      </c>
      <c r="Y2052" s="61" t="s">
        <v>52</v>
      </c>
    </row>
    <row r="2053" spans="1:25" s="10" customFormat="1" ht="21.3" customHeight="1">
      <c r="A2053" s="27"/>
      <c r="B2053" s="28"/>
      <c r="C2053" s="30" t="s">
        <v>18</v>
      </c>
      <c r="D2053" s="27"/>
      <c r="E2053" s="27"/>
      <c r="F2053" s="68" t="s">
        <v>6043</v>
      </c>
      <c r="G2053" s="121" t="s">
        <v>6053</v>
      </c>
      <c r="H2053" s="91" t="s">
        <v>19</v>
      </c>
      <c r="I2053" s="73" t="s">
        <v>19</v>
      </c>
      <c r="J2053" s="73" t="s">
        <v>19</v>
      </c>
      <c r="K2053" s="73" t="s">
        <v>19</v>
      </c>
      <c r="L2053" s="11"/>
      <c r="M2053" s="1"/>
      <c r="N2053" s="113" t="s">
        <v>14</v>
      </c>
      <c r="O2053" s="122" t="s">
        <v>52</v>
      </c>
      <c r="P2053" s="122" t="s">
        <v>52</v>
      </c>
      <c r="Q2053" s="105"/>
      <c r="R2053" s="28"/>
      <c r="S2053" s="225" t="str">
        <f t="shared" si="32"/>
        <v/>
      </c>
      <c r="T2053" s="7" t="s">
        <v>7696</v>
      </c>
      <c r="U2053" s="7" t="s">
        <v>139</v>
      </c>
      <c r="V2053" s="171" t="str" cm="1">
        <f t="array" ref="V2053">_xlfn.IFS(C2053="","",COUNTIF(C2053,"ตำแหน่งว่าง*"),"ว่าง",COUNTIF(C2053,"&lt;&gt;ตำแหน่งว่าง*"),"คนครอง")</f>
        <v>ว่าง</v>
      </c>
      <c r="W2053" s="6" cm="1">
        <f t="array" ref="W2053">_xlfn.IFS(COUNTIF(F2053,"ผบ.หมู่*"),51,COUNTIF(F2053,"รอง สว.*"),43)</f>
        <v>51</v>
      </c>
      <c r="X2053" s="6" t="s">
        <v>6052</v>
      </c>
      <c r="Y2053" s="6" t="s">
        <v>52</v>
      </c>
    </row>
    <row r="2054" spans="1:25" s="10" customFormat="1" ht="21.3" customHeight="1">
      <c r="A2054" s="27"/>
      <c r="B2054" s="28"/>
      <c r="C2054" s="30" t="s">
        <v>18</v>
      </c>
      <c r="D2054" s="27"/>
      <c r="E2054" s="27"/>
      <c r="F2054" s="68" t="s">
        <v>6054</v>
      </c>
      <c r="G2054" s="121" t="s">
        <v>6056</v>
      </c>
      <c r="H2054" s="91" t="s">
        <v>19</v>
      </c>
      <c r="I2054" s="73" t="s">
        <v>19</v>
      </c>
      <c r="J2054" s="73" t="s">
        <v>19</v>
      </c>
      <c r="K2054" s="73" t="s">
        <v>19</v>
      </c>
      <c r="L2054" s="11"/>
      <c r="M2054" s="1"/>
      <c r="N2054" s="113" t="s">
        <v>14</v>
      </c>
      <c r="O2054" s="122" t="s">
        <v>52</v>
      </c>
      <c r="P2054" s="122" t="s">
        <v>52</v>
      </c>
      <c r="Q2054" s="105"/>
      <c r="R2054" s="28"/>
      <c r="S2054" s="225" t="str">
        <f t="shared" si="32"/>
        <v/>
      </c>
      <c r="T2054" s="7" t="s">
        <v>7697</v>
      </c>
      <c r="U2054" s="7" t="s">
        <v>139</v>
      </c>
      <c r="V2054" s="171" t="str" cm="1">
        <f t="array" ref="V2054">_xlfn.IFS(C2054="","",COUNTIF(C2054,"ตำแหน่งว่าง*"),"ว่าง",COUNTIF(C2054,"&lt;&gt;ตำแหน่งว่าง*"),"คนครอง")</f>
        <v>ว่าง</v>
      </c>
      <c r="W2054" s="6" cm="1">
        <f t="array" ref="W2054">_xlfn.IFS(COUNTIF(F2054,"ผบ.หมู่*"),51,COUNTIF(F2054,"รอง สว.*"),43)</f>
        <v>51</v>
      </c>
      <c r="X2054" s="6" t="s">
        <v>6055</v>
      </c>
      <c r="Y2054" s="6" t="s">
        <v>52</v>
      </c>
    </row>
    <row r="2055" spans="1:25" s="12" customFormat="1" ht="21.3" customHeight="1">
      <c r="A2055" s="27" t="s">
        <v>157</v>
      </c>
      <c r="B2055" s="28" t="s">
        <v>21</v>
      </c>
      <c r="C2055" s="95" t="s">
        <v>6057</v>
      </c>
      <c r="D2055" s="27" t="s">
        <v>8221</v>
      </c>
      <c r="E2055" s="27" t="s">
        <v>10151</v>
      </c>
      <c r="F2055" s="95" t="s">
        <v>6058</v>
      </c>
      <c r="G2055" s="101" t="s">
        <v>6060</v>
      </c>
      <c r="H2055" s="75">
        <v>42501</v>
      </c>
      <c r="I2055" s="73">
        <v>40084</v>
      </c>
      <c r="J2055" s="73">
        <v>40084</v>
      </c>
      <c r="K2055" s="73">
        <v>31979</v>
      </c>
      <c r="L2055" s="11" t="s">
        <v>5012</v>
      </c>
      <c r="M2055" s="1" t="s">
        <v>49</v>
      </c>
      <c r="N2055" s="111" t="s">
        <v>14</v>
      </c>
      <c r="O2055" s="104" t="s">
        <v>52</v>
      </c>
      <c r="P2055" s="104" t="s">
        <v>52</v>
      </c>
      <c r="Q2055" s="105"/>
      <c r="R2055" s="28" t="s">
        <v>110</v>
      </c>
      <c r="S2055" s="225">
        <f t="shared" si="32"/>
        <v>53966</v>
      </c>
      <c r="T2055" s="162" t="s">
        <v>7658</v>
      </c>
      <c r="U2055" s="7" t="s">
        <v>139</v>
      </c>
      <c r="V2055" s="162" t="str" cm="1">
        <f t="array" ref="V2055">_xlfn.IFS(C2055="","",COUNTIF(C2055,"ตำแหน่งว่าง*"),"ว่าง",COUNTIF(C2055,"&lt;&gt;ตำแหน่งว่าง*"),"คนครอง")</f>
        <v>คนครอง</v>
      </c>
      <c r="W2055" s="6" cm="1">
        <f t="array" ref="W2055">_xlfn.IFS(COUNTIF(F2055,"ผบ.หมู่*"),51,COUNTIF(F2055,"รอง สว.*"),43)</f>
        <v>51</v>
      </c>
      <c r="X2055" s="5" t="s">
        <v>6059</v>
      </c>
      <c r="Y2055" s="5" t="s">
        <v>52</v>
      </c>
    </row>
    <row r="2056" spans="1:25" s="10" customFormat="1" ht="21.3" customHeight="1">
      <c r="A2056" s="192" t="s">
        <v>169</v>
      </c>
      <c r="B2056" s="193" t="s">
        <v>21</v>
      </c>
      <c r="C2056" s="192" t="s">
        <v>7953</v>
      </c>
      <c r="D2056" s="27" t="s">
        <v>9955</v>
      </c>
      <c r="E2056" s="27" t="s">
        <v>10152</v>
      </c>
      <c r="F2056" s="192" t="s">
        <v>6058</v>
      </c>
      <c r="G2056" s="101" t="s">
        <v>6062</v>
      </c>
      <c r="H2056" s="73">
        <v>45463</v>
      </c>
      <c r="I2056" s="73">
        <v>45463</v>
      </c>
      <c r="J2056" s="73">
        <v>45463</v>
      </c>
      <c r="K2056" s="73">
        <v>36345</v>
      </c>
      <c r="L2056" s="2" t="s">
        <v>82</v>
      </c>
      <c r="M2056" s="1"/>
      <c r="N2056" s="112" t="s">
        <v>14</v>
      </c>
      <c r="O2056" s="104" t="s">
        <v>52</v>
      </c>
      <c r="P2056" s="104" t="s">
        <v>52</v>
      </c>
      <c r="Q2056" s="105"/>
      <c r="R2056" s="28" t="s">
        <v>7961</v>
      </c>
      <c r="S2056" s="174">
        <f t="shared" si="32"/>
        <v>58349</v>
      </c>
      <c r="T2056" s="2" t="s">
        <v>7658</v>
      </c>
      <c r="U2056" s="2" t="s">
        <v>139</v>
      </c>
      <c r="V2056" s="162" t="str" cm="1">
        <f t="array" ref="V2056">_xlfn.IFS(C2056="","",COUNTIF(C2056,"ตำแหน่งว่าง*"),"ว่าง",COUNTIF(C2056,"&lt;&gt;ตำแหน่งว่าง*"),"คนครอง")</f>
        <v>คนครอง</v>
      </c>
      <c r="W2056" s="1" cm="1">
        <f t="array" ref="W2056">_xlfn.IFS(COUNTIF(F2056,"ผบ.หมู่*"),51,COUNTIF(F2056,"รอง สว.*"),43)</f>
        <v>51</v>
      </c>
      <c r="X2056" s="1" t="s">
        <v>6061</v>
      </c>
      <c r="Y2056" s="1" t="s">
        <v>52</v>
      </c>
    </row>
    <row r="2057" spans="1:25" s="9" customFormat="1" ht="21.3" customHeight="1">
      <c r="A2057" s="27" t="s">
        <v>182</v>
      </c>
      <c r="B2057" s="28" t="s">
        <v>12</v>
      </c>
      <c r="C2057" s="27" t="s">
        <v>6063</v>
      </c>
      <c r="D2057" s="27" t="s">
        <v>10153</v>
      </c>
      <c r="E2057" s="27" t="s">
        <v>10154</v>
      </c>
      <c r="F2057" s="27" t="s">
        <v>6058</v>
      </c>
      <c r="G2057" s="101" t="s">
        <v>6065</v>
      </c>
      <c r="H2057" s="91">
        <v>44043</v>
      </c>
      <c r="I2057" s="73">
        <v>44043</v>
      </c>
      <c r="J2057" s="73">
        <v>44043</v>
      </c>
      <c r="K2057" s="73">
        <v>35530</v>
      </c>
      <c r="L2057" s="11" t="s">
        <v>82</v>
      </c>
      <c r="M2057" s="1" t="s">
        <v>49</v>
      </c>
      <c r="N2057" s="112" t="s">
        <v>14</v>
      </c>
      <c r="O2057" s="104" t="s">
        <v>52</v>
      </c>
      <c r="P2057" s="104" t="s">
        <v>52</v>
      </c>
      <c r="Q2057" s="105"/>
      <c r="R2057" s="28" t="s">
        <v>2436</v>
      </c>
      <c r="S2057" s="225">
        <f t="shared" si="32"/>
        <v>57619</v>
      </c>
      <c r="T2057" s="2" t="s">
        <v>7658</v>
      </c>
      <c r="U2057" s="7" t="s">
        <v>139</v>
      </c>
      <c r="V2057" s="162" t="str" cm="1">
        <f t="array" ref="V2057">_xlfn.IFS(C2057="","",COUNTIF(C2057,"ตำแหน่งว่าง*"),"ว่าง",COUNTIF(C2057,"&lt;&gt;ตำแหน่งว่าง*"),"คนครอง")</f>
        <v>คนครอง</v>
      </c>
      <c r="W2057" s="6" cm="1">
        <f t="array" ref="W2057">_xlfn.IFS(COUNTIF(F2057,"ผบ.หมู่*"),51,COUNTIF(F2057,"รอง สว.*"),43)</f>
        <v>51</v>
      </c>
      <c r="X2057" s="1" t="s">
        <v>6064</v>
      </c>
      <c r="Y2057" s="1" t="s">
        <v>52</v>
      </c>
    </row>
    <row r="2058" spans="1:25" s="10" customFormat="1" ht="21.3" customHeight="1">
      <c r="A2058" s="192" t="s">
        <v>169</v>
      </c>
      <c r="B2058" s="193" t="s">
        <v>21</v>
      </c>
      <c r="C2058" s="192" t="s">
        <v>7954</v>
      </c>
      <c r="D2058" s="27" t="s">
        <v>8653</v>
      </c>
      <c r="E2058" s="27" t="s">
        <v>10155</v>
      </c>
      <c r="F2058" s="192" t="s">
        <v>6058</v>
      </c>
      <c r="G2058" s="101" t="s">
        <v>6067</v>
      </c>
      <c r="H2058" s="73">
        <v>45463</v>
      </c>
      <c r="I2058" s="73">
        <v>45463</v>
      </c>
      <c r="J2058" s="73">
        <v>45463</v>
      </c>
      <c r="K2058" s="73">
        <v>36230</v>
      </c>
      <c r="L2058" s="2" t="s">
        <v>82</v>
      </c>
      <c r="M2058" s="1"/>
      <c r="N2058" s="112" t="s">
        <v>14</v>
      </c>
      <c r="O2058" s="104" t="s">
        <v>52</v>
      </c>
      <c r="P2058" s="104" t="s">
        <v>52</v>
      </c>
      <c r="Q2058" s="105"/>
      <c r="R2058" s="28" t="s">
        <v>7961</v>
      </c>
      <c r="S2058" s="174">
        <f t="shared" si="32"/>
        <v>58349</v>
      </c>
      <c r="T2058" s="2" t="s">
        <v>7658</v>
      </c>
      <c r="U2058" s="2" t="s">
        <v>139</v>
      </c>
      <c r="V2058" s="162" t="str" cm="1">
        <f t="array" ref="V2058">_xlfn.IFS(C2058="","",COUNTIF(C2058,"ตำแหน่งว่าง*"),"ว่าง",COUNTIF(C2058,"&lt;&gt;ตำแหน่งว่าง*"),"คนครอง")</f>
        <v>คนครอง</v>
      </c>
      <c r="W2058" s="1" cm="1">
        <f t="array" ref="W2058">_xlfn.IFS(COUNTIF(F2058,"ผบ.หมู่*"),51,COUNTIF(F2058,"รอง สว.*"),43)</f>
        <v>51</v>
      </c>
      <c r="X2058" s="1" t="s">
        <v>6066</v>
      </c>
      <c r="Y2058" s="1" t="s">
        <v>52</v>
      </c>
    </row>
    <row r="2059" spans="1:25" s="10" customFormat="1" ht="21.3" customHeight="1">
      <c r="A2059" s="192" t="s">
        <v>169</v>
      </c>
      <c r="B2059" s="193" t="s">
        <v>21</v>
      </c>
      <c r="C2059" s="192" t="s">
        <v>7955</v>
      </c>
      <c r="D2059" s="27" t="s">
        <v>10156</v>
      </c>
      <c r="E2059" s="27" t="s">
        <v>10157</v>
      </c>
      <c r="F2059" s="192" t="s">
        <v>6058</v>
      </c>
      <c r="G2059" s="101" t="s">
        <v>6069</v>
      </c>
      <c r="H2059" s="73">
        <v>45463</v>
      </c>
      <c r="I2059" s="73">
        <v>45463</v>
      </c>
      <c r="J2059" s="73">
        <v>45463</v>
      </c>
      <c r="K2059" s="73">
        <v>33932</v>
      </c>
      <c r="L2059" s="2" t="s">
        <v>82</v>
      </c>
      <c r="M2059" s="1"/>
      <c r="N2059" s="112" t="s">
        <v>14</v>
      </c>
      <c r="O2059" s="104" t="s">
        <v>52</v>
      </c>
      <c r="P2059" s="104" t="s">
        <v>52</v>
      </c>
      <c r="Q2059" s="105"/>
      <c r="R2059" s="28" t="s">
        <v>7961</v>
      </c>
      <c r="S2059" s="174">
        <f t="shared" si="32"/>
        <v>56158</v>
      </c>
      <c r="T2059" s="2" t="s">
        <v>7658</v>
      </c>
      <c r="U2059" s="2" t="s">
        <v>139</v>
      </c>
      <c r="V2059" s="162" t="str" cm="1">
        <f t="array" ref="V2059">_xlfn.IFS(C2059="","",COUNTIF(C2059,"ตำแหน่งว่าง*"),"ว่าง",COUNTIF(C2059,"&lt;&gt;ตำแหน่งว่าง*"),"คนครอง")</f>
        <v>คนครอง</v>
      </c>
      <c r="W2059" s="1" cm="1">
        <f t="array" ref="W2059">_xlfn.IFS(COUNTIF(F2059,"ผบ.หมู่*"),51,COUNTIF(F2059,"รอง สว.*"),43)</f>
        <v>51</v>
      </c>
      <c r="X2059" s="1" t="s">
        <v>6068</v>
      </c>
      <c r="Y2059" s="1" t="s">
        <v>52</v>
      </c>
    </row>
    <row r="2060" spans="1:25" s="12" customFormat="1" ht="21.3" customHeight="1">
      <c r="A2060" s="27" t="s">
        <v>157</v>
      </c>
      <c r="B2060" s="28" t="s">
        <v>21</v>
      </c>
      <c r="C2060" s="95" t="s">
        <v>6070</v>
      </c>
      <c r="D2060" s="27" t="s">
        <v>10158</v>
      </c>
      <c r="E2060" s="27" t="s">
        <v>10159</v>
      </c>
      <c r="F2060" s="95" t="s">
        <v>6058</v>
      </c>
      <c r="G2060" s="101" t="s">
        <v>6072</v>
      </c>
      <c r="H2060" s="91">
        <v>42501</v>
      </c>
      <c r="I2060" s="73">
        <v>39707</v>
      </c>
      <c r="J2060" s="73">
        <v>39707</v>
      </c>
      <c r="K2060" s="73">
        <v>27395</v>
      </c>
      <c r="L2060" s="11" t="s">
        <v>3421</v>
      </c>
      <c r="M2060" s="1" t="s">
        <v>49</v>
      </c>
      <c r="N2060" s="111" t="s">
        <v>14</v>
      </c>
      <c r="O2060" s="104" t="s">
        <v>52</v>
      </c>
      <c r="P2060" s="104" t="s">
        <v>52</v>
      </c>
      <c r="Q2060" s="105"/>
      <c r="R2060" s="28" t="s">
        <v>110</v>
      </c>
      <c r="S2060" s="225">
        <f t="shared" si="32"/>
        <v>49583</v>
      </c>
      <c r="T2060" s="162" t="s">
        <v>7658</v>
      </c>
      <c r="U2060" s="7" t="s">
        <v>139</v>
      </c>
      <c r="V2060" s="162" t="str" cm="1">
        <f t="array" ref="V2060">_xlfn.IFS(C2060="","",COUNTIF(C2060,"ตำแหน่งว่าง*"),"ว่าง",COUNTIF(C2060,"&lt;&gt;ตำแหน่งว่าง*"),"คนครอง")</f>
        <v>คนครอง</v>
      </c>
      <c r="W2060" s="6" cm="1">
        <f t="array" ref="W2060">_xlfn.IFS(COUNTIF(F2060,"ผบ.หมู่*"),51,COUNTIF(F2060,"รอง สว.*"),43)</f>
        <v>51</v>
      </c>
      <c r="X2060" s="5" t="s">
        <v>6071</v>
      </c>
      <c r="Y2060" s="5" t="s">
        <v>52</v>
      </c>
    </row>
    <row r="2061" spans="1:25" s="10" customFormat="1" ht="21.3" customHeight="1">
      <c r="A2061" s="27"/>
      <c r="B2061" s="30"/>
      <c r="C2061" s="30" t="s">
        <v>18</v>
      </c>
      <c r="D2061" s="27"/>
      <c r="E2061" s="27"/>
      <c r="F2061" s="68" t="s">
        <v>6058</v>
      </c>
      <c r="G2061" s="121" t="s">
        <v>6074</v>
      </c>
      <c r="H2061" s="91" t="s">
        <v>19</v>
      </c>
      <c r="I2061" s="73" t="s">
        <v>19</v>
      </c>
      <c r="J2061" s="73" t="s">
        <v>19</v>
      </c>
      <c r="K2061" s="73" t="s">
        <v>19</v>
      </c>
      <c r="L2061" s="11"/>
      <c r="M2061" s="1"/>
      <c r="N2061" s="113" t="s">
        <v>14</v>
      </c>
      <c r="O2061" s="122" t="s">
        <v>52</v>
      </c>
      <c r="P2061" s="122" t="s">
        <v>52</v>
      </c>
      <c r="Q2061" s="105"/>
      <c r="R2061" s="28"/>
      <c r="S2061" s="225" t="str">
        <f t="shared" si="32"/>
        <v/>
      </c>
      <c r="T2061" s="7" t="s">
        <v>7658</v>
      </c>
      <c r="U2061" s="7" t="s">
        <v>139</v>
      </c>
      <c r="V2061" s="171" t="str" cm="1">
        <f t="array" ref="V2061">_xlfn.IFS(C2061="","",COUNTIF(C2061,"ตำแหน่งว่าง*"),"ว่าง",COUNTIF(C2061,"&lt;&gt;ตำแหน่งว่าง*"),"คนครอง")</f>
        <v>ว่าง</v>
      </c>
      <c r="W2061" s="6" cm="1">
        <f t="array" ref="W2061">_xlfn.IFS(COUNTIF(F2061,"ผบ.หมู่*"),51,COUNTIF(F2061,"รอง สว.*"),43)</f>
        <v>51</v>
      </c>
      <c r="X2061" s="6" t="s">
        <v>6073</v>
      </c>
      <c r="Y2061" s="6" t="s">
        <v>52</v>
      </c>
    </row>
    <row r="2062" spans="1:25" s="9" customFormat="1" ht="21.3" customHeight="1">
      <c r="A2062" s="27" t="s">
        <v>182</v>
      </c>
      <c r="B2062" s="28" t="s">
        <v>12</v>
      </c>
      <c r="C2062" s="27" t="s">
        <v>6075</v>
      </c>
      <c r="D2062" s="27" t="s">
        <v>9930</v>
      </c>
      <c r="E2062" s="27" t="s">
        <v>10160</v>
      </c>
      <c r="F2062" s="27" t="s">
        <v>6058</v>
      </c>
      <c r="G2062" s="101" t="s">
        <v>6077</v>
      </c>
      <c r="H2062" s="91">
        <v>44043</v>
      </c>
      <c r="I2062" s="73">
        <v>44043</v>
      </c>
      <c r="J2062" s="73">
        <v>44043</v>
      </c>
      <c r="K2062" s="73">
        <v>34002</v>
      </c>
      <c r="L2062" s="19" t="s">
        <v>82</v>
      </c>
      <c r="M2062" s="1" t="s">
        <v>58</v>
      </c>
      <c r="N2062" s="112" t="s">
        <v>14</v>
      </c>
      <c r="O2062" s="104" t="s">
        <v>52</v>
      </c>
      <c r="P2062" s="104" t="s">
        <v>52</v>
      </c>
      <c r="Q2062" s="105"/>
      <c r="R2062" s="28" t="s">
        <v>2436</v>
      </c>
      <c r="S2062" s="225">
        <f t="shared" si="32"/>
        <v>56158</v>
      </c>
      <c r="T2062" s="2" t="s">
        <v>7658</v>
      </c>
      <c r="U2062" s="7" t="s">
        <v>139</v>
      </c>
      <c r="V2062" s="162" t="str" cm="1">
        <f t="array" ref="V2062">_xlfn.IFS(C2062="","",COUNTIF(C2062,"ตำแหน่งว่าง*"),"ว่าง",COUNTIF(C2062,"&lt;&gt;ตำแหน่งว่าง*"),"คนครอง")</f>
        <v>คนครอง</v>
      </c>
      <c r="W2062" s="6" cm="1">
        <f t="array" ref="W2062">_xlfn.IFS(COUNTIF(F2062,"ผบ.หมู่*"),51,COUNTIF(F2062,"รอง สว.*"),43)</f>
        <v>51</v>
      </c>
      <c r="X2062" s="1" t="s">
        <v>6076</v>
      </c>
      <c r="Y2062" s="1" t="s">
        <v>52</v>
      </c>
    </row>
    <row r="2063" spans="1:25" s="9" customFormat="1" ht="21.3" customHeight="1">
      <c r="A2063" s="68"/>
      <c r="B2063" s="30"/>
      <c r="C2063" s="68" t="s">
        <v>18</v>
      </c>
      <c r="D2063" s="27"/>
      <c r="E2063" s="27"/>
      <c r="F2063" s="68" t="s">
        <v>6058</v>
      </c>
      <c r="G2063" s="121" t="s">
        <v>6079</v>
      </c>
      <c r="H2063" s="93"/>
      <c r="I2063" s="74"/>
      <c r="J2063" s="74"/>
      <c r="K2063" s="74"/>
      <c r="L2063" s="16"/>
      <c r="M2063" s="8"/>
      <c r="N2063" s="113" t="s">
        <v>14</v>
      </c>
      <c r="O2063" s="122" t="s">
        <v>52</v>
      </c>
      <c r="P2063" s="122" t="s">
        <v>52</v>
      </c>
      <c r="Q2063" s="106"/>
      <c r="R2063" s="30"/>
      <c r="S2063" s="225" t="str">
        <f t="shared" si="32"/>
        <v/>
      </c>
      <c r="T2063" s="2" t="s">
        <v>7658</v>
      </c>
      <c r="U2063" s="7" t="s">
        <v>139</v>
      </c>
      <c r="V2063" s="171" t="str" cm="1">
        <f t="array" ref="V2063">_xlfn.IFS(C2063="","",COUNTIF(C2063,"ตำแหน่งว่าง*"),"ว่าง",COUNTIF(C2063,"&lt;&gt;ตำแหน่งว่าง*"),"คนครอง")</f>
        <v>ว่าง</v>
      </c>
      <c r="W2063" s="6" cm="1">
        <f t="array" ref="W2063">_xlfn.IFS(COUNTIF(F2063,"ผบ.หมู่*"),51,COUNTIF(F2063,"รอง สว.*"),43)</f>
        <v>51</v>
      </c>
      <c r="X2063" s="1" t="s">
        <v>6078</v>
      </c>
      <c r="Y2063" s="1" t="s">
        <v>52</v>
      </c>
    </row>
    <row r="2064" spans="1:25" s="9" customFormat="1" ht="21.3" customHeight="1">
      <c r="A2064" s="27"/>
      <c r="B2064" s="28"/>
      <c r="C2064" s="30" t="s">
        <v>18</v>
      </c>
      <c r="D2064" s="27"/>
      <c r="E2064" s="27"/>
      <c r="F2064" s="68" t="s">
        <v>6058</v>
      </c>
      <c r="G2064" s="121" t="s">
        <v>6081</v>
      </c>
      <c r="H2064" s="91" t="s">
        <v>19</v>
      </c>
      <c r="I2064" s="73" t="s">
        <v>19</v>
      </c>
      <c r="J2064" s="85" t="s">
        <v>19</v>
      </c>
      <c r="K2064" s="73" t="s">
        <v>19</v>
      </c>
      <c r="L2064" s="11"/>
      <c r="M2064" s="1"/>
      <c r="N2064" s="113" t="s">
        <v>14</v>
      </c>
      <c r="O2064" s="122" t="s">
        <v>52</v>
      </c>
      <c r="P2064" s="122" t="s">
        <v>52</v>
      </c>
      <c r="Q2064" s="105"/>
      <c r="R2064" s="28"/>
      <c r="S2064" s="225" t="str">
        <f t="shared" si="32"/>
        <v/>
      </c>
      <c r="T2064" s="2" t="s">
        <v>7658</v>
      </c>
      <c r="U2064" s="7" t="s">
        <v>139</v>
      </c>
      <c r="V2064" s="171" t="str" cm="1">
        <f t="array" ref="V2064">_xlfn.IFS(C2064="","",COUNTIF(C2064,"ตำแหน่งว่าง*"),"ว่าง",COUNTIF(C2064,"&lt;&gt;ตำแหน่งว่าง*"),"คนครอง")</f>
        <v>ว่าง</v>
      </c>
      <c r="W2064" s="6" cm="1">
        <f t="array" ref="W2064">_xlfn.IFS(COUNTIF(F2064,"ผบ.หมู่*"),51,COUNTIF(F2064,"รอง สว.*"),43)</f>
        <v>51</v>
      </c>
      <c r="X2064" s="6" t="s">
        <v>6080</v>
      </c>
      <c r="Y2064" s="6" t="s">
        <v>52</v>
      </c>
    </row>
    <row r="2065" spans="1:25" s="9" customFormat="1" ht="21.3" customHeight="1">
      <c r="A2065" s="68"/>
      <c r="B2065" s="30"/>
      <c r="C2065" s="68" t="s">
        <v>18</v>
      </c>
      <c r="D2065" s="27"/>
      <c r="E2065" s="27"/>
      <c r="F2065" s="68" t="s">
        <v>6058</v>
      </c>
      <c r="G2065" s="121" t="s">
        <v>6083</v>
      </c>
      <c r="H2065" s="93"/>
      <c r="I2065" s="74"/>
      <c r="J2065" s="90"/>
      <c r="K2065" s="74"/>
      <c r="L2065" s="16"/>
      <c r="M2065" s="6"/>
      <c r="N2065" s="113" t="s">
        <v>14</v>
      </c>
      <c r="O2065" s="122" t="s">
        <v>52</v>
      </c>
      <c r="P2065" s="122" t="s">
        <v>52</v>
      </c>
      <c r="Q2065" s="106"/>
      <c r="R2065" s="30"/>
      <c r="S2065" s="229" t="str">
        <f t="shared" si="32"/>
        <v/>
      </c>
      <c r="T2065" s="2" t="s">
        <v>7658</v>
      </c>
      <c r="U2065" s="7" t="s">
        <v>139</v>
      </c>
      <c r="V2065" s="171" t="str" cm="1">
        <f t="array" ref="V2065">_xlfn.IFS(C2065="","",COUNTIF(C2065,"ตำแหน่งว่าง*"),"ว่าง",COUNTIF(C2065,"&lt;&gt;ตำแหน่งว่าง*"),"คนครอง")</f>
        <v>ว่าง</v>
      </c>
      <c r="W2065" s="6" cm="1">
        <f t="array" ref="W2065">_xlfn.IFS(COUNTIF(F2065,"ผบ.หมู่*"),51,COUNTIF(F2065,"รอง สว.*"),43)</f>
        <v>51</v>
      </c>
      <c r="X2065" s="1" t="s">
        <v>6082</v>
      </c>
      <c r="Y2065" s="1" t="s">
        <v>52</v>
      </c>
    </row>
    <row r="2066" spans="1:25" s="10" customFormat="1" ht="21.3" customHeight="1">
      <c r="A2066" s="68"/>
      <c r="B2066" s="30"/>
      <c r="C2066" s="30" t="s">
        <v>18</v>
      </c>
      <c r="D2066" s="27"/>
      <c r="E2066" s="27"/>
      <c r="F2066" s="68" t="s">
        <v>6058</v>
      </c>
      <c r="G2066" s="121" t="s">
        <v>6085</v>
      </c>
      <c r="H2066" s="93" t="s">
        <v>19</v>
      </c>
      <c r="I2066" s="74" t="s">
        <v>19</v>
      </c>
      <c r="J2066" s="90" t="s">
        <v>19</v>
      </c>
      <c r="K2066" s="74" t="s">
        <v>19</v>
      </c>
      <c r="L2066" s="16"/>
      <c r="M2066" s="6"/>
      <c r="N2066" s="113" t="s">
        <v>14</v>
      </c>
      <c r="O2066" s="122" t="s">
        <v>52</v>
      </c>
      <c r="P2066" s="122" t="s">
        <v>52</v>
      </c>
      <c r="Q2066" s="106"/>
      <c r="R2066" s="30"/>
      <c r="S2066" s="225" t="str">
        <f t="shared" si="32"/>
        <v/>
      </c>
      <c r="T2066" s="7" t="s">
        <v>7658</v>
      </c>
      <c r="U2066" s="7" t="s">
        <v>139</v>
      </c>
      <c r="V2066" s="171" t="str" cm="1">
        <f t="array" ref="V2066">_xlfn.IFS(C2066="","",COUNTIF(C2066,"ตำแหน่งว่าง*"),"ว่าง",COUNTIF(C2066,"&lt;&gt;ตำแหน่งว่าง*"),"คนครอง")</f>
        <v>ว่าง</v>
      </c>
      <c r="W2066" s="6" cm="1">
        <f t="array" ref="W2066">_xlfn.IFS(COUNTIF(F2066,"ผบ.หมู่*"),51,COUNTIF(F2066,"รอง สว.*"),43)</f>
        <v>51</v>
      </c>
      <c r="X2066" s="6" t="s">
        <v>6084</v>
      </c>
      <c r="Y2066" s="6" t="s">
        <v>52</v>
      </c>
    </row>
    <row r="2067" spans="1:25" s="10" customFormat="1" ht="21.3" customHeight="1">
      <c r="A2067" s="27"/>
      <c r="B2067" s="28"/>
      <c r="C2067" s="30" t="s">
        <v>18</v>
      </c>
      <c r="D2067" s="27"/>
      <c r="E2067" s="27"/>
      <c r="F2067" s="68" t="s">
        <v>6058</v>
      </c>
      <c r="G2067" s="121" t="s">
        <v>6087</v>
      </c>
      <c r="H2067" s="91" t="s">
        <v>19</v>
      </c>
      <c r="I2067" s="73" t="s">
        <v>19</v>
      </c>
      <c r="J2067" s="73" t="s">
        <v>19</v>
      </c>
      <c r="K2067" s="73" t="s">
        <v>19</v>
      </c>
      <c r="L2067" s="11"/>
      <c r="M2067" s="1"/>
      <c r="N2067" s="113" t="s">
        <v>14</v>
      </c>
      <c r="O2067" s="122" t="s">
        <v>52</v>
      </c>
      <c r="P2067" s="122" t="s">
        <v>52</v>
      </c>
      <c r="Q2067" s="105"/>
      <c r="R2067" s="28"/>
      <c r="S2067" s="225" t="str">
        <f t="shared" si="32"/>
        <v/>
      </c>
      <c r="T2067" s="7" t="s">
        <v>7658</v>
      </c>
      <c r="U2067" s="7" t="s">
        <v>139</v>
      </c>
      <c r="V2067" s="171" t="str" cm="1">
        <f t="array" ref="V2067">_xlfn.IFS(C2067="","",COUNTIF(C2067,"ตำแหน่งว่าง*"),"ว่าง",COUNTIF(C2067,"&lt;&gt;ตำแหน่งว่าง*"),"คนครอง")</f>
        <v>ว่าง</v>
      </c>
      <c r="W2067" s="6" cm="1">
        <f t="array" ref="W2067">_xlfn.IFS(COUNTIF(F2067,"ผบ.หมู่*"),51,COUNTIF(F2067,"รอง สว.*"),43)</f>
        <v>51</v>
      </c>
      <c r="X2067" s="6" t="s">
        <v>6086</v>
      </c>
      <c r="Y2067" s="6" t="s">
        <v>52</v>
      </c>
    </row>
    <row r="2068" spans="1:25" s="10" customFormat="1" ht="21.3" customHeight="1">
      <c r="A2068" s="27"/>
      <c r="B2068" s="28"/>
      <c r="C2068" s="30" t="s">
        <v>18</v>
      </c>
      <c r="D2068" s="27"/>
      <c r="E2068" s="27"/>
      <c r="F2068" s="68" t="s">
        <v>6058</v>
      </c>
      <c r="G2068" s="121" t="s">
        <v>6089</v>
      </c>
      <c r="H2068" s="91" t="s">
        <v>19</v>
      </c>
      <c r="I2068" s="73" t="s">
        <v>19</v>
      </c>
      <c r="J2068" s="73" t="s">
        <v>19</v>
      </c>
      <c r="K2068" s="73" t="s">
        <v>19</v>
      </c>
      <c r="L2068" s="11"/>
      <c r="M2068" s="1"/>
      <c r="N2068" s="113" t="s">
        <v>14</v>
      </c>
      <c r="O2068" s="122" t="s">
        <v>52</v>
      </c>
      <c r="P2068" s="122" t="s">
        <v>52</v>
      </c>
      <c r="Q2068" s="105"/>
      <c r="R2068" s="28"/>
      <c r="S2068" s="225" t="str">
        <f t="shared" si="32"/>
        <v/>
      </c>
      <c r="T2068" s="7" t="s">
        <v>7658</v>
      </c>
      <c r="U2068" s="7" t="s">
        <v>139</v>
      </c>
      <c r="V2068" s="171" t="str" cm="1">
        <f t="array" ref="V2068">_xlfn.IFS(C2068="","",COUNTIF(C2068,"ตำแหน่งว่าง*"),"ว่าง",COUNTIF(C2068,"&lt;&gt;ตำแหน่งว่าง*"),"คนครอง")</f>
        <v>ว่าง</v>
      </c>
      <c r="W2068" s="6" cm="1">
        <f t="array" ref="W2068">_xlfn.IFS(COUNTIF(F2068,"ผบ.หมู่*"),51,COUNTIF(F2068,"รอง สว.*"),43)</f>
        <v>51</v>
      </c>
      <c r="X2068" s="6" t="s">
        <v>6088</v>
      </c>
      <c r="Y2068" s="6" t="s">
        <v>52</v>
      </c>
    </row>
    <row r="2069" spans="1:25" s="10" customFormat="1" ht="21.3" customHeight="1">
      <c r="A2069" s="27"/>
      <c r="B2069" s="28"/>
      <c r="C2069" s="30" t="s">
        <v>18</v>
      </c>
      <c r="D2069" s="27"/>
      <c r="E2069" s="27"/>
      <c r="F2069" s="68" t="s">
        <v>6058</v>
      </c>
      <c r="G2069" s="121" t="s">
        <v>6091</v>
      </c>
      <c r="H2069" s="91" t="s">
        <v>19</v>
      </c>
      <c r="I2069" s="73" t="s">
        <v>19</v>
      </c>
      <c r="J2069" s="73" t="s">
        <v>19</v>
      </c>
      <c r="K2069" s="73" t="s">
        <v>19</v>
      </c>
      <c r="L2069" s="11"/>
      <c r="M2069" s="1"/>
      <c r="N2069" s="113" t="s">
        <v>14</v>
      </c>
      <c r="O2069" s="122" t="s">
        <v>52</v>
      </c>
      <c r="P2069" s="122" t="s">
        <v>52</v>
      </c>
      <c r="Q2069" s="105"/>
      <c r="R2069" s="28"/>
      <c r="S2069" s="225" t="str">
        <f t="shared" si="32"/>
        <v/>
      </c>
      <c r="T2069" s="7" t="s">
        <v>7658</v>
      </c>
      <c r="U2069" s="7" t="s">
        <v>139</v>
      </c>
      <c r="V2069" s="171" t="str" cm="1">
        <f t="array" ref="V2069">_xlfn.IFS(C2069="","",COUNTIF(C2069,"ตำแหน่งว่าง*"),"ว่าง",COUNTIF(C2069,"&lt;&gt;ตำแหน่งว่าง*"),"คนครอง")</f>
        <v>ว่าง</v>
      </c>
      <c r="W2069" s="6" cm="1">
        <f t="array" ref="W2069">_xlfn.IFS(COUNTIF(F2069,"ผบ.หมู่*"),51,COUNTIF(F2069,"รอง สว.*"),43)</f>
        <v>51</v>
      </c>
      <c r="X2069" s="6" t="s">
        <v>6090</v>
      </c>
      <c r="Y2069" s="6" t="s">
        <v>52</v>
      </c>
    </row>
    <row r="2070" spans="1:25" s="10" customFormat="1" ht="21.3" customHeight="1">
      <c r="A2070" s="27"/>
      <c r="B2070" s="28"/>
      <c r="C2070" s="30" t="s">
        <v>18</v>
      </c>
      <c r="D2070" s="27"/>
      <c r="E2070" s="27"/>
      <c r="F2070" s="68" t="s">
        <v>6058</v>
      </c>
      <c r="G2070" s="121" t="s">
        <v>6093</v>
      </c>
      <c r="H2070" s="91" t="s">
        <v>19</v>
      </c>
      <c r="I2070" s="73" t="s">
        <v>19</v>
      </c>
      <c r="J2070" s="73" t="s">
        <v>19</v>
      </c>
      <c r="K2070" s="73" t="s">
        <v>19</v>
      </c>
      <c r="L2070" s="11"/>
      <c r="M2070" s="1"/>
      <c r="N2070" s="113" t="s">
        <v>14</v>
      </c>
      <c r="O2070" s="122" t="s">
        <v>52</v>
      </c>
      <c r="P2070" s="122" t="s">
        <v>52</v>
      </c>
      <c r="Q2070" s="105"/>
      <c r="R2070" s="28"/>
      <c r="S2070" s="225" t="str">
        <f t="shared" si="32"/>
        <v/>
      </c>
      <c r="T2070" s="7" t="s">
        <v>7658</v>
      </c>
      <c r="U2070" s="7" t="s">
        <v>139</v>
      </c>
      <c r="V2070" s="171" t="str" cm="1">
        <f t="array" ref="V2070">_xlfn.IFS(C2070="","",COUNTIF(C2070,"ตำแหน่งว่าง*"),"ว่าง",COUNTIF(C2070,"&lt;&gt;ตำแหน่งว่าง*"),"คนครอง")</f>
        <v>ว่าง</v>
      </c>
      <c r="W2070" s="6" cm="1">
        <f t="array" ref="W2070">_xlfn.IFS(COUNTIF(F2070,"ผบ.หมู่*"),51,COUNTIF(F2070,"รอง สว.*"),43)</f>
        <v>51</v>
      </c>
      <c r="X2070" s="6" t="s">
        <v>6092</v>
      </c>
      <c r="Y2070" s="6" t="s">
        <v>52</v>
      </c>
    </row>
    <row r="2071" spans="1:25" s="10" customFormat="1" ht="21.3" customHeight="1">
      <c r="A2071" s="27"/>
      <c r="B2071" s="28"/>
      <c r="C2071" s="30" t="s">
        <v>18</v>
      </c>
      <c r="D2071" s="27"/>
      <c r="E2071" s="27"/>
      <c r="F2071" s="68" t="s">
        <v>6058</v>
      </c>
      <c r="G2071" s="121" t="s">
        <v>6095</v>
      </c>
      <c r="H2071" s="91" t="s">
        <v>19</v>
      </c>
      <c r="I2071" s="73" t="s">
        <v>19</v>
      </c>
      <c r="J2071" s="73" t="s">
        <v>19</v>
      </c>
      <c r="K2071" s="73" t="s">
        <v>19</v>
      </c>
      <c r="L2071" s="11"/>
      <c r="M2071" s="1"/>
      <c r="N2071" s="113" t="s">
        <v>14</v>
      </c>
      <c r="O2071" s="122" t="s">
        <v>52</v>
      </c>
      <c r="P2071" s="122" t="s">
        <v>52</v>
      </c>
      <c r="Q2071" s="105"/>
      <c r="R2071" s="28"/>
      <c r="S2071" s="225" t="str">
        <f t="shared" si="32"/>
        <v/>
      </c>
      <c r="T2071" s="7" t="s">
        <v>7658</v>
      </c>
      <c r="U2071" s="7" t="s">
        <v>139</v>
      </c>
      <c r="V2071" s="171" t="str" cm="1">
        <f t="array" ref="V2071">_xlfn.IFS(C2071="","",COUNTIF(C2071,"ตำแหน่งว่าง*"),"ว่าง",COUNTIF(C2071,"&lt;&gt;ตำแหน่งว่าง*"),"คนครอง")</f>
        <v>ว่าง</v>
      </c>
      <c r="W2071" s="6" cm="1">
        <f t="array" ref="W2071">_xlfn.IFS(COUNTIF(F2071,"ผบ.หมู่*"),51,COUNTIF(F2071,"รอง สว.*"),43)</f>
        <v>51</v>
      </c>
      <c r="X2071" s="6" t="s">
        <v>6094</v>
      </c>
      <c r="Y2071" s="6" t="s">
        <v>52</v>
      </c>
    </row>
    <row r="2072" spans="1:25" s="9" customFormat="1" ht="21.3" customHeight="1">
      <c r="A2072" s="27" t="s">
        <v>157</v>
      </c>
      <c r="B2072" s="28" t="s">
        <v>21</v>
      </c>
      <c r="C2072" s="27" t="s">
        <v>6273</v>
      </c>
      <c r="D2072" s="27" t="s">
        <v>10161</v>
      </c>
      <c r="E2072" s="27" t="s">
        <v>10162</v>
      </c>
      <c r="F2072" s="27" t="s">
        <v>6274</v>
      </c>
      <c r="G2072" s="101" t="s">
        <v>6276</v>
      </c>
      <c r="H2072" s="91">
        <v>43235</v>
      </c>
      <c r="I2072" s="73">
        <v>40339</v>
      </c>
      <c r="J2072" s="73">
        <v>40339</v>
      </c>
      <c r="K2072" s="73">
        <v>30026</v>
      </c>
      <c r="L2072" s="11" t="s">
        <v>68</v>
      </c>
      <c r="M2072" s="1" t="s">
        <v>140</v>
      </c>
      <c r="N2072" s="112" t="s">
        <v>14</v>
      </c>
      <c r="O2072" s="104" t="s">
        <v>52</v>
      </c>
      <c r="P2072" s="104" t="s">
        <v>52</v>
      </c>
      <c r="Q2072" s="105"/>
      <c r="R2072" s="28" t="s">
        <v>4018</v>
      </c>
      <c r="S2072" s="225">
        <f t="shared" si="32"/>
        <v>52140</v>
      </c>
      <c r="T2072" s="2" t="s">
        <v>7659</v>
      </c>
      <c r="U2072" s="7" t="s">
        <v>139</v>
      </c>
      <c r="V2072" s="162" t="str" cm="1">
        <f t="array" ref="V2072">_xlfn.IFS(C2072="","",COUNTIF(C2072,"ตำแหน่งว่าง*"),"ว่าง",COUNTIF(C2072,"&lt;&gt;ตำแหน่งว่าง*"),"คนครอง")</f>
        <v>คนครอง</v>
      </c>
      <c r="W2072" s="6" cm="1">
        <f t="array" ref="W2072">_xlfn.IFS(COUNTIF(F2072,"ผบ.หมู่*"),51,COUNTIF(F2072,"รอง สว.*"),43)</f>
        <v>51</v>
      </c>
      <c r="X2072" s="1" t="s">
        <v>6275</v>
      </c>
      <c r="Y2072" s="1" t="s">
        <v>52</v>
      </c>
    </row>
    <row r="2073" spans="1:25" s="12" customFormat="1" ht="21.3" customHeight="1">
      <c r="A2073" s="68"/>
      <c r="B2073" s="30"/>
      <c r="C2073" s="30" t="s">
        <v>18</v>
      </c>
      <c r="D2073" s="27"/>
      <c r="E2073" s="27"/>
      <c r="F2073" s="68" t="s">
        <v>6274</v>
      </c>
      <c r="G2073" s="121" t="s">
        <v>6278</v>
      </c>
      <c r="H2073" s="80" t="s">
        <v>19</v>
      </c>
      <c r="I2073" s="74" t="s">
        <v>19</v>
      </c>
      <c r="J2073" s="74" t="s">
        <v>19</v>
      </c>
      <c r="K2073" s="74" t="s">
        <v>19</v>
      </c>
      <c r="L2073" s="16"/>
      <c r="M2073" s="6"/>
      <c r="N2073" s="113" t="s">
        <v>14</v>
      </c>
      <c r="O2073" s="122" t="s">
        <v>52</v>
      </c>
      <c r="P2073" s="122" t="s">
        <v>52</v>
      </c>
      <c r="Q2073" s="106"/>
      <c r="R2073" s="30"/>
      <c r="S2073" s="225" t="str">
        <f t="shared" si="32"/>
        <v/>
      </c>
      <c r="T2073" s="162" t="s">
        <v>7659</v>
      </c>
      <c r="U2073" s="7" t="s">
        <v>139</v>
      </c>
      <c r="V2073" s="171" t="str" cm="1">
        <f t="array" ref="V2073">_xlfn.IFS(C2073="","",COUNTIF(C2073,"ตำแหน่งว่าง*"),"ว่าง",COUNTIF(C2073,"&lt;&gt;ตำแหน่งว่าง*"),"คนครอง")</f>
        <v>ว่าง</v>
      </c>
      <c r="W2073" s="6" cm="1">
        <f t="array" ref="W2073">_xlfn.IFS(COUNTIF(F2073,"ผบ.หมู่*"),51,COUNTIF(F2073,"รอง สว.*"),43)</f>
        <v>51</v>
      </c>
      <c r="X2073" s="6" t="s">
        <v>6277</v>
      </c>
      <c r="Y2073" s="6" t="s">
        <v>52</v>
      </c>
    </row>
    <row r="2074" spans="1:25" s="12" customFormat="1" ht="21.3" customHeight="1">
      <c r="A2074" s="27" t="s">
        <v>612</v>
      </c>
      <c r="B2074" s="28" t="s">
        <v>12</v>
      </c>
      <c r="C2074" s="95" t="s">
        <v>6279</v>
      </c>
      <c r="D2074" s="27" t="s">
        <v>10163</v>
      </c>
      <c r="E2074" s="27" t="s">
        <v>10164</v>
      </c>
      <c r="F2074" s="95" t="s">
        <v>6274</v>
      </c>
      <c r="G2074" s="101" t="s">
        <v>6281</v>
      </c>
      <c r="H2074" s="75">
        <v>42501</v>
      </c>
      <c r="I2074" s="73">
        <v>42416</v>
      </c>
      <c r="J2074" s="73">
        <v>42416</v>
      </c>
      <c r="K2074" s="73">
        <v>35377</v>
      </c>
      <c r="L2074" s="11" t="s">
        <v>3316</v>
      </c>
      <c r="M2074" s="1" t="s">
        <v>70</v>
      </c>
      <c r="N2074" s="111" t="s">
        <v>14</v>
      </c>
      <c r="O2074" s="104" t="s">
        <v>52</v>
      </c>
      <c r="P2074" s="104" t="s">
        <v>52</v>
      </c>
      <c r="Q2074" s="105"/>
      <c r="R2074" s="28" t="s">
        <v>110</v>
      </c>
      <c r="S2074" s="225">
        <f t="shared" si="32"/>
        <v>57619</v>
      </c>
      <c r="T2074" s="162" t="s">
        <v>7659</v>
      </c>
      <c r="U2074" s="7" t="s">
        <v>139</v>
      </c>
      <c r="V2074" s="162" t="str" cm="1">
        <f t="array" ref="V2074">_xlfn.IFS(C2074="","",COUNTIF(C2074,"ตำแหน่งว่าง*"),"ว่าง",COUNTIF(C2074,"&lt;&gt;ตำแหน่งว่าง*"),"คนครอง")</f>
        <v>คนครอง</v>
      </c>
      <c r="W2074" s="6" cm="1">
        <f t="array" ref="W2074">_xlfn.IFS(COUNTIF(F2074,"ผบ.หมู่*"),51,COUNTIF(F2074,"รอง สว.*"),43)</f>
        <v>51</v>
      </c>
      <c r="X2074" s="5" t="s">
        <v>6280</v>
      </c>
      <c r="Y2074" s="5" t="s">
        <v>52</v>
      </c>
    </row>
    <row r="2075" spans="1:25" s="12" customFormat="1" ht="21.3" customHeight="1">
      <c r="A2075" s="27" t="s">
        <v>157</v>
      </c>
      <c r="B2075" s="28" t="s">
        <v>12</v>
      </c>
      <c r="C2075" s="95" t="s">
        <v>6282</v>
      </c>
      <c r="D2075" s="27" t="s">
        <v>10165</v>
      </c>
      <c r="E2075" s="27" t="s">
        <v>10166</v>
      </c>
      <c r="F2075" s="95" t="s">
        <v>6274</v>
      </c>
      <c r="G2075" s="101" t="s">
        <v>6284</v>
      </c>
      <c r="H2075" s="75">
        <v>42501</v>
      </c>
      <c r="I2075" s="73">
        <v>37316</v>
      </c>
      <c r="J2075" s="73">
        <v>37316</v>
      </c>
      <c r="K2075" s="73">
        <v>26655</v>
      </c>
      <c r="L2075" s="11" t="s">
        <v>2314</v>
      </c>
      <c r="M2075" s="1" t="s">
        <v>140</v>
      </c>
      <c r="N2075" s="111" t="s">
        <v>14</v>
      </c>
      <c r="O2075" s="104" t="s">
        <v>52</v>
      </c>
      <c r="P2075" s="104" t="s">
        <v>52</v>
      </c>
      <c r="Q2075" s="105"/>
      <c r="R2075" s="28" t="s">
        <v>110</v>
      </c>
      <c r="S2075" s="225">
        <f t="shared" si="32"/>
        <v>48853</v>
      </c>
      <c r="T2075" s="162" t="s">
        <v>7659</v>
      </c>
      <c r="U2075" s="7" t="s">
        <v>139</v>
      </c>
      <c r="V2075" s="162" t="str" cm="1">
        <f t="array" ref="V2075">_xlfn.IFS(C2075="","",COUNTIF(C2075,"ตำแหน่งว่าง*"),"ว่าง",COUNTIF(C2075,"&lt;&gt;ตำแหน่งว่าง*"),"คนครอง")</f>
        <v>คนครอง</v>
      </c>
      <c r="W2075" s="6" cm="1">
        <f t="array" ref="W2075">_xlfn.IFS(COUNTIF(F2075,"ผบ.หมู่*"),51,COUNTIF(F2075,"รอง สว.*"),43)</f>
        <v>51</v>
      </c>
      <c r="X2075" s="5" t="s">
        <v>6283</v>
      </c>
      <c r="Y2075" s="5" t="s">
        <v>52</v>
      </c>
    </row>
    <row r="2076" spans="1:25" s="12" customFormat="1" ht="21.3" customHeight="1">
      <c r="A2076" s="27"/>
      <c r="B2076" s="28"/>
      <c r="C2076" s="95" t="s">
        <v>18</v>
      </c>
      <c r="D2076" s="27"/>
      <c r="E2076" s="27"/>
      <c r="F2076" s="95" t="s">
        <v>6274</v>
      </c>
      <c r="G2076" s="101" t="s">
        <v>6286</v>
      </c>
      <c r="H2076" s="75"/>
      <c r="I2076" s="73"/>
      <c r="J2076" s="73"/>
      <c r="K2076" s="73"/>
      <c r="L2076" s="11"/>
      <c r="M2076" s="1"/>
      <c r="N2076" s="111" t="s">
        <v>14</v>
      </c>
      <c r="O2076" s="104" t="s">
        <v>52</v>
      </c>
      <c r="P2076" s="104" t="s">
        <v>52</v>
      </c>
      <c r="Q2076" s="105"/>
      <c r="R2076" s="28"/>
      <c r="S2076" s="225" t="str">
        <f t="shared" si="32"/>
        <v/>
      </c>
      <c r="T2076" s="162" t="s">
        <v>7659</v>
      </c>
      <c r="U2076" s="7" t="s">
        <v>139</v>
      </c>
      <c r="V2076" s="162" t="str" cm="1">
        <f t="array" ref="V2076">_xlfn.IFS(C2076="","",COUNTIF(C2076,"ตำแหน่งว่าง*"),"ว่าง",COUNTIF(C2076,"&lt;&gt;ตำแหน่งว่าง*"),"คนครอง")</f>
        <v>ว่าง</v>
      </c>
      <c r="W2076" s="5" cm="1">
        <f t="array" ref="W2076">_xlfn.IFS(COUNTIF(F2076,"ผบ.หมู่*"),51,COUNTIF(F2076,"รอง สว.*"),43)</f>
        <v>51</v>
      </c>
      <c r="X2076" s="5" t="s">
        <v>6285</v>
      </c>
      <c r="Y2076" s="5" t="s">
        <v>52</v>
      </c>
    </row>
    <row r="2077" spans="1:25" s="9" customFormat="1" ht="21.3" customHeight="1">
      <c r="A2077" s="27" t="s">
        <v>182</v>
      </c>
      <c r="B2077" s="28" t="s">
        <v>12</v>
      </c>
      <c r="C2077" s="27" t="s">
        <v>6287</v>
      </c>
      <c r="D2077" s="27" t="s">
        <v>8085</v>
      </c>
      <c r="E2077" s="27" t="s">
        <v>10167</v>
      </c>
      <c r="F2077" s="27" t="s">
        <v>6274</v>
      </c>
      <c r="G2077" s="101" t="s">
        <v>6289</v>
      </c>
      <c r="H2077" s="75">
        <v>44043</v>
      </c>
      <c r="I2077" s="73">
        <v>44043</v>
      </c>
      <c r="J2077" s="73">
        <v>44043</v>
      </c>
      <c r="K2077" s="73">
        <v>35335</v>
      </c>
      <c r="L2077" s="11" t="s">
        <v>82</v>
      </c>
      <c r="M2077" s="1" t="s">
        <v>163</v>
      </c>
      <c r="N2077" s="112" t="s">
        <v>14</v>
      </c>
      <c r="O2077" s="104" t="s">
        <v>52</v>
      </c>
      <c r="P2077" s="104" t="s">
        <v>52</v>
      </c>
      <c r="Q2077" s="105"/>
      <c r="R2077" s="28" t="s">
        <v>2436</v>
      </c>
      <c r="S2077" s="225">
        <f t="shared" si="32"/>
        <v>57254</v>
      </c>
      <c r="T2077" s="2" t="s">
        <v>7659</v>
      </c>
      <c r="U2077" s="7" t="s">
        <v>139</v>
      </c>
      <c r="V2077" s="162" t="str" cm="1">
        <f t="array" ref="V2077">_xlfn.IFS(C2077="","",COUNTIF(C2077,"ตำแหน่งว่าง*"),"ว่าง",COUNTIF(C2077,"&lt;&gt;ตำแหน่งว่าง*"),"คนครอง")</f>
        <v>คนครอง</v>
      </c>
      <c r="W2077" s="6" cm="1">
        <f t="array" ref="W2077">_xlfn.IFS(COUNTIF(F2077,"ผบ.หมู่*"),51,COUNTIF(F2077,"รอง สว.*"),43)</f>
        <v>51</v>
      </c>
      <c r="X2077" s="1" t="s">
        <v>6288</v>
      </c>
      <c r="Y2077" s="1" t="s">
        <v>52</v>
      </c>
    </row>
    <row r="2078" spans="1:25" s="12" customFormat="1" ht="21.3" customHeight="1">
      <c r="A2078" s="95"/>
      <c r="B2078" s="28"/>
      <c r="C2078" s="95" t="s">
        <v>18</v>
      </c>
      <c r="D2078" s="27"/>
      <c r="E2078" s="27"/>
      <c r="F2078" s="95" t="s">
        <v>6274</v>
      </c>
      <c r="G2078" s="101" t="s">
        <v>6291</v>
      </c>
      <c r="H2078" s="91"/>
      <c r="I2078" s="73"/>
      <c r="J2078" s="73"/>
      <c r="K2078" s="73"/>
      <c r="L2078" s="11"/>
      <c r="M2078" s="1"/>
      <c r="N2078" s="111" t="s">
        <v>14</v>
      </c>
      <c r="O2078" s="104" t="s">
        <v>52</v>
      </c>
      <c r="P2078" s="104" t="s">
        <v>52</v>
      </c>
      <c r="Q2078" s="105"/>
      <c r="R2078" s="28"/>
      <c r="S2078" s="225" t="str">
        <f t="shared" si="32"/>
        <v/>
      </c>
      <c r="T2078" s="162" t="s">
        <v>7659</v>
      </c>
      <c r="U2078" s="7" t="s">
        <v>139</v>
      </c>
      <c r="V2078" s="162" t="str" cm="1">
        <f t="array" ref="V2078">_xlfn.IFS(C2078="","",COUNTIF(C2078,"ตำแหน่งว่าง*"),"ว่าง",COUNTIF(C2078,"&lt;&gt;ตำแหน่งว่าง*"),"คนครอง")</f>
        <v>ว่าง</v>
      </c>
      <c r="W2078" s="5" cm="1">
        <f t="array" ref="W2078">_xlfn.IFS(COUNTIF(F2078,"ผบ.หมู่*"),51,COUNTIF(F2078,"รอง สว.*"),43)</f>
        <v>51</v>
      </c>
      <c r="X2078" s="5" t="s">
        <v>6290</v>
      </c>
      <c r="Y2078" s="5" t="s">
        <v>52</v>
      </c>
    </row>
    <row r="2079" spans="1:25" s="9" customFormat="1" ht="21.3" customHeight="1">
      <c r="A2079" s="27"/>
      <c r="B2079" s="28"/>
      <c r="C2079" s="28" t="s">
        <v>18</v>
      </c>
      <c r="D2079" s="27"/>
      <c r="E2079" s="27"/>
      <c r="F2079" s="27" t="s">
        <v>6274</v>
      </c>
      <c r="G2079" s="101" t="s">
        <v>6293</v>
      </c>
      <c r="H2079" s="91"/>
      <c r="I2079" s="73"/>
      <c r="J2079" s="85"/>
      <c r="K2079" s="73"/>
      <c r="L2079" s="11"/>
      <c r="M2079" s="1"/>
      <c r="N2079" s="112" t="s">
        <v>14</v>
      </c>
      <c r="O2079" s="104" t="s">
        <v>52</v>
      </c>
      <c r="P2079" s="104" t="s">
        <v>52</v>
      </c>
      <c r="Q2079" s="105"/>
      <c r="R2079" s="28"/>
      <c r="S2079" s="174" t="str">
        <f t="shared" si="32"/>
        <v/>
      </c>
      <c r="T2079" s="2" t="s">
        <v>7659</v>
      </c>
      <c r="U2079" s="2" t="s">
        <v>139</v>
      </c>
      <c r="V2079" s="2" t="str" cm="1">
        <f t="array" ref="V2079">_xlfn.IFS(C2079="","",COUNTIF(C2079,"ตำแหน่งว่าง*"),"ว่าง",COUNTIF(C2079,"&lt;&gt;ตำแหน่งว่าง*"),"คนครอง")</f>
        <v>ว่าง</v>
      </c>
      <c r="W2079" s="1" cm="1">
        <f t="array" ref="W2079">_xlfn.IFS(COUNTIF(F2079,"ผบ.หมู่*"),51,COUNTIF(F2079,"รอง สว.*"),43)</f>
        <v>51</v>
      </c>
      <c r="X2079" s="1" t="s">
        <v>6292</v>
      </c>
      <c r="Y2079" s="1" t="s">
        <v>52</v>
      </c>
    </row>
    <row r="2080" spans="1:25" s="9" customFormat="1" ht="21.3" customHeight="1">
      <c r="A2080" s="68"/>
      <c r="B2080" s="30"/>
      <c r="C2080" s="30" t="s">
        <v>18</v>
      </c>
      <c r="D2080" s="27"/>
      <c r="E2080" s="27"/>
      <c r="F2080" s="68" t="s">
        <v>6274</v>
      </c>
      <c r="G2080" s="121" t="s">
        <v>6295</v>
      </c>
      <c r="H2080" s="93" t="s">
        <v>19</v>
      </c>
      <c r="I2080" s="74" t="s">
        <v>19</v>
      </c>
      <c r="J2080" s="90" t="s">
        <v>19</v>
      </c>
      <c r="K2080" s="74" t="s">
        <v>19</v>
      </c>
      <c r="L2080" s="16"/>
      <c r="M2080" s="6"/>
      <c r="N2080" s="113" t="s">
        <v>14</v>
      </c>
      <c r="O2080" s="122" t="s">
        <v>52</v>
      </c>
      <c r="P2080" s="122" t="s">
        <v>52</v>
      </c>
      <c r="Q2080" s="106"/>
      <c r="R2080" s="30"/>
      <c r="S2080" s="225" t="str">
        <f t="shared" si="32"/>
        <v/>
      </c>
      <c r="T2080" s="2" t="s">
        <v>7659</v>
      </c>
      <c r="U2080" s="7" t="s">
        <v>139</v>
      </c>
      <c r="V2080" s="171" t="str" cm="1">
        <f t="array" ref="V2080">_xlfn.IFS(C2080="","",COUNTIF(C2080,"ตำแหน่งว่าง*"),"ว่าง",COUNTIF(C2080,"&lt;&gt;ตำแหน่งว่าง*"),"คนครอง")</f>
        <v>ว่าง</v>
      </c>
      <c r="W2080" s="6" cm="1">
        <f t="array" ref="W2080">_xlfn.IFS(COUNTIF(F2080,"ผบ.หมู่*"),51,COUNTIF(F2080,"รอง สว.*"),43)</f>
        <v>51</v>
      </c>
      <c r="X2080" s="6" t="s">
        <v>6294</v>
      </c>
      <c r="Y2080" s="6" t="s">
        <v>52</v>
      </c>
    </row>
    <row r="2081" spans="1:25" s="9" customFormat="1" ht="21.3" customHeight="1">
      <c r="A2081" s="95" t="s">
        <v>182</v>
      </c>
      <c r="B2081" s="28" t="s">
        <v>12</v>
      </c>
      <c r="C2081" s="27" t="s">
        <v>6296</v>
      </c>
      <c r="D2081" s="27" t="s">
        <v>8219</v>
      </c>
      <c r="E2081" s="27" t="s">
        <v>10170</v>
      </c>
      <c r="F2081" s="27" t="s">
        <v>6274</v>
      </c>
      <c r="G2081" s="101" t="s">
        <v>6298</v>
      </c>
      <c r="H2081" s="91">
        <v>44043</v>
      </c>
      <c r="I2081" s="73">
        <v>44043</v>
      </c>
      <c r="J2081" s="73">
        <v>44043</v>
      </c>
      <c r="K2081" s="73">
        <v>31551</v>
      </c>
      <c r="L2081" s="11" t="s">
        <v>112</v>
      </c>
      <c r="M2081" s="1" t="s">
        <v>163</v>
      </c>
      <c r="N2081" s="112" t="s">
        <v>14</v>
      </c>
      <c r="O2081" s="104" t="s">
        <v>52</v>
      </c>
      <c r="P2081" s="104" t="s">
        <v>52</v>
      </c>
      <c r="Q2081" s="105"/>
      <c r="R2081" s="28" t="s">
        <v>2436</v>
      </c>
      <c r="S2081" s="225">
        <f t="shared" si="32"/>
        <v>53601</v>
      </c>
      <c r="T2081" s="2" t="s">
        <v>7659</v>
      </c>
      <c r="U2081" s="7" t="s">
        <v>139</v>
      </c>
      <c r="V2081" s="162" t="str" cm="1">
        <f t="array" ref="V2081">_xlfn.IFS(C2081="","",COUNTIF(C2081,"ตำแหน่งว่าง*"),"ว่าง",COUNTIF(C2081,"&lt;&gt;ตำแหน่งว่าง*"),"คนครอง")</f>
        <v>คนครอง</v>
      </c>
      <c r="W2081" s="6" cm="1">
        <f t="array" ref="W2081">_xlfn.IFS(COUNTIF(F2081,"ผบ.หมู่*"),51,COUNTIF(F2081,"รอง สว.*"),43)</f>
        <v>51</v>
      </c>
      <c r="X2081" s="1" t="s">
        <v>6297</v>
      </c>
      <c r="Y2081" s="1" t="s">
        <v>52</v>
      </c>
    </row>
    <row r="2082" spans="1:25" s="10" customFormat="1" ht="21.3" customHeight="1">
      <c r="A2082" s="27"/>
      <c r="B2082" s="28"/>
      <c r="C2082" s="30" t="s">
        <v>18</v>
      </c>
      <c r="D2082" s="27"/>
      <c r="E2082" s="27"/>
      <c r="F2082" s="68" t="s">
        <v>6274</v>
      </c>
      <c r="G2082" s="121" t="s">
        <v>6300</v>
      </c>
      <c r="H2082" s="91" t="s">
        <v>19</v>
      </c>
      <c r="I2082" s="73" t="s">
        <v>19</v>
      </c>
      <c r="J2082" s="73" t="s">
        <v>19</v>
      </c>
      <c r="K2082" s="73" t="s">
        <v>19</v>
      </c>
      <c r="L2082" s="11"/>
      <c r="M2082" s="1"/>
      <c r="N2082" s="113" t="s">
        <v>14</v>
      </c>
      <c r="O2082" s="122" t="s">
        <v>52</v>
      </c>
      <c r="P2082" s="122" t="s">
        <v>52</v>
      </c>
      <c r="Q2082" s="105"/>
      <c r="R2082" s="28"/>
      <c r="S2082" s="225" t="str">
        <f t="shared" si="32"/>
        <v/>
      </c>
      <c r="T2082" s="7" t="s">
        <v>7659</v>
      </c>
      <c r="U2082" s="7" t="s">
        <v>139</v>
      </c>
      <c r="V2082" s="171" t="str" cm="1">
        <f t="array" ref="V2082">_xlfn.IFS(C2082="","",COUNTIF(C2082,"ตำแหน่งว่าง*"),"ว่าง",COUNTIF(C2082,"&lt;&gt;ตำแหน่งว่าง*"),"คนครอง")</f>
        <v>ว่าง</v>
      </c>
      <c r="W2082" s="6" cm="1">
        <f t="array" ref="W2082">_xlfn.IFS(COUNTIF(F2082,"ผบ.หมู่*"),51,COUNTIF(F2082,"รอง สว.*"),43)</f>
        <v>51</v>
      </c>
      <c r="X2082" s="6" t="s">
        <v>6299</v>
      </c>
      <c r="Y2082" s="6" t="s">
        <v>52</v>
      </c>
    </row>
    <row r="2083" spans="1:25" s="10" customFormat="1" ht="21.3" customHeight="1">
      <c r="A2083" s="27"/>
      <c r="B2083" s="28"/>
      <c r="C2083" s="30" t="s">
        <v>18</v>
      </c>
      <c r="D2083" s="27"/>
      <c r="E2083" s="27"/>
      <c r="F2083" s="68" t="s">
        <v>6274</v>
      </c>
      <c r="G2083" s="121" t="s">
        <v>6302</v>
      </c>
      <c r="H2083" s="91" t="s">
        <v>19</v>
      </c>
      <c r="I2083" s="73" t="s">
        <v>19</v>
      </c>
      <c r="J2083" s="73" t="s">
        <v>19</v>
      </c>
      <c r="K2083" s="73" t="s">
        <v>19</v>
      </c>
      <c r="L2083" s="11"/>
      <c r="M2083" s="1"/>
      <c r="N2083" s="113" t="s">
        <v>14</v>
      </c>
      <c r="O2083" s="122" t="s">
        <v>52</v>
      </c>
      <c r="P2083" s="122" t="s">
        <v>52</v>
      </c>
      <c r="Q2083" s="105"/>
      <c r="R2083" s="28"/>
      <c r="S2083" s="225" t="str">
        <f t="shared" si="32"/>
        <v/>
      </c>
      <c r="T2083" s="7" t="s">
        <v>7659</v>
      </c>
      <c r="U2083" s="7" t="s">
        <v>139</v>
      </c>
      <c r="V2083" s="171" t="str" cm="1">
        <f t="array" ref="V2083">_xlfn.IFS(C2083="","",COUNTIF(C2083,"ตำแหน่งว่าง*"),"ว่าง",COUNTIF(C2083,"&lt;&gt;ตำแหน่งว่าง*"),"คนครอง")</f>
        <v>ว่าง</v>
      </c>
      <c r="W2083" s="6" cm="1">
        <f t="array" ref="W2083">_xlfn.IFS(COUNTIF(F2083,"ผบ.หมู่*"),51,COUNTIF(F2083,"รอง สว.*"),43)</f>
        <v>51</v>
      </c>
      <c r="X2083" s="6" t="s">
        <v>6301</v>
      </c>
      <c r="Y2083" s="6" t="s">
        <v>52</v>
      </c>
    </row>
    <row r="2084" spans="1:25" s="10" customFormat="1" ht="21.3" customHeight="1">
      <c r="A2084" s="27"/>
      <c r="B2084" s="28"/>
      <c r="C2084" s="30" t="s">
        <v>18</v>
      </c>
      <c r="D2084" s="27"/>
      <c r="E2084" s="27"/>
      <c r="F2084" s="68" t="s">
        <v>6274</v>
      </c>
      <c r="G2084" s="121" t="s">
        <v>6304</v>
      </c>
      <c r="H2084" s="91" t="s">
        <v>19</v>
      </c>
      <c r="I2084" s="73" t="s">
        <v>19</v>
      </c>
      <c r="J2084" s="73" t="s">
        <v>19</v>
      </c>
      <c r="K2084" s="73" t="s">
        <v>19</v>
      </c>
      <c r="L2084" s="11"/>
      <c r="M2084" s="1"/>
      <c r="N2084" s="113" t="s">
        <v>14</v>
      </c>
      <c r="O2084" s="122" t="s">
        <v>52</v>
      </c>
      <c r="P2084" s="122" t="s">
        <v>52</v>
      </c>
      <c r="Q2084" s="105"/>
      <c r="R2084" s="28"/>
      <c r="S2084" s="225" t="str">
        <f t="shared" si="32"/>
        <v/>
      </c>
      <c r="T2084" s="7" t="s">
        <v>7659</v>
      </c>
      <c r="U2084" s="7" t="s">
        <v>139</v>
      </c>
      <c r="V2084" s="171" t="str" cm="1">
        <f t="array" ref="V2084">_xlfn.IFS(C2084="","",COUNTIF(C2084,"ตำแหน่งว่าง*"),"ว่าง",COUNTIF(C2084,"&lt;&gt;ตำแหน่งว่าง*"),"คนครอง")</f>
        <v>ว่าง</v>
      </c>
      <c r="W2084" s="6" cm="1">
        <f t="array" ref="W2084">_xlfn.IFS(COUNTIF(F2084,"ผบ.หมู่*"),51,COUNTIF(F2084,"รอง สว.*"),43)</f>
        <v>51</v>
      </c>
      <c r="X2084" s="6" t="s">
        <v>6303</v>
      </c>
      <c r="Y2084" s="6" t="s">
        <v>52</v>
      </c>
    </row>
    <row r="2085" spans="1:25" s="10" customFormat="1" ht="21.3" customHeight="1">
      <c r="A2085" s="27"/>
      <c r="B2085" s="28"/>
      <c r="C2085" s="30" t="s">
        <v>18</v>
      </c>
      <c r="D2085" s="27"/>
      <c r="E2085" s="27"/>
      <c r="F2085" s="68" t="s">
        <v>6274</v>
      </c>
      <c r="G2085" s="121" t="s">
        <v>6306</v>
      </c>
      <c r="H2085" s="91" t="s">
        <v>19</v>
      </c>
      <c r="I2085" s="73" t="s">
        <v>19</v>
      </c>
      <c r="J2085" s="73" t="s">
        <v>19</v>
      </c>
      <c r="K2085" s="73" t="s">
        <v>19</v>
      </c>
      <c r="L2085" s="11"/>
      <c r="M2085" s="1"/>
      <c r="N2085" s="113" t="s">
        <v>14</v>
      </c>
      <c r="O2085" s="122" t="s">
        <v>52</v>
      </c>
      <c r="P2085" s="122" t="s">
        <v>52</v>
      </c>
      <c r="Q2085" s="105"/>
      <c r="R2085" s="28"/>
      <c r="S2085" s="225" t="str">
        <f t="shared" si="32"/>
        <v/>
      </c>
      <c r="T2085" s="7" t="s">
        <v>7659</v>
      </c>
      <c r="U2085" s="7" t="s">
        <v>139</v>
      </c>
      <c r="V2085" s="171" t="str" cm="1">
        <f t="array" ref="V2085">_xlfn.IFS(C2085="","",COUNTIF(C2085,"ตำแหน่งว่าง*"),"ว่าง",COUNTIF(C2085,"&lt;&gt;ตำแหน่งว่าง*"),"คนครอง")</f>
        <v>ว่าง</v>
      </c>
      <c r="W2085" s="6" cm="1">
        <f t="array" ref="W2085">_xlfn.IFS(COUNTIF(F2085,"ผบ.หมู่*"),51,COUNTIF(F2085,"รอง สว.*"),43)</f>
        <v>51</v>
      </c>
      <c r="X2085" s="6" t="s">
        <v>6305</v>
      </c>
      <c r="Y2085" s="6" t="s">
        <v>52</v>
      </c>
    </row>
    <row r="2086" spans="1:25" s="12" customFormat="1" ht="21.3" customHeight="1">
      <c r="A2086" s="27" t="s">
        <v>157</v>
      </c>
      <c r="B2086" s="28" t="s">
        <v>12</v>
      </c>
      <c r="C2086" s="27" t="s">
        <v>7719</v>
      </c>
      <c r="D2086" s="27" t="s">
        <v>10171</v>
      </c>
      <c r="E2086" s="27" t="s">
        <v>10172</v>
      </c>
      <c r="F2086" s="27" t="s">
        <v>6227</v>
      </c>
      <c r="G2086" s="101" t="s">
        <v>6229</v>
      </c>
      <c r="H2086" s="75">
        <v>45322</v>
      </c>
      <c r="I2086" s="73">
        <v>45382</v>
      </c>
      <c r="J2086" s="73">
        <v>37288</v>
      </c>
      <c r="K2086" s="73">
        <v>28561</v>
      </c>
      <c r="L2086" s="11" t="s">
        <v>7720</v>
      </c>
      <c r="M2086" s="1" t="s">
        <v>86</v>
      </c>
      <c r="N2086" s="112" t="s">
        <v>14</v>
      </c>
      <c r="O2086" s="104" t="s">
        <v>52</v>
      </c>
      <c r="P2086" s="104" t="s">
        <v>52</v>
      </c>
      <c r="Q2086" s="105"/>
      <c r="R2086" s="30" t="s">
        <v>7708</v>
      </c>
      <c r="S2086" s="225">
        <f t="shared" si="32"/>
        <v>50679</v>
      </c>
      <c r="T2086" s="162" t="s">
        <v>7660</v>
      </c>
      <c r="U2086" s="7" t="s">
        <v>139</v>
      </c>
      <c r="V2086" s="162" t="str" cm="1">
        <f t="array" ref="V2086">_xlfn.IFS(C2086="","",COUNTIF(C2086,"ตำแหน่งว่าง*"),"ว่าง",COUNTIF(C2086,"&lt;&gt;ตำแหน่งว่าง*"),"คนครอง")</f>
        <v>คนครอง</v>
      </c>
      <c r="W2086" s="6" cm="1">
        <f t="array" ref="W2086">_xlfn.IFS(COUNTIF(F2086,"ผบ.หมู่*"),51,COUNTIF(F2086,"รอง สว.*"),43)</f>
        <v>51</v>
      </c>
      <c r="X2086" s="1" t="s">
        <v>6228</v>
      </c>
      <c r="Y2086" s="1" t="s">
        <v>52</v>
      </c>
    </row>
    <row r="2087" spans="1:25" s="12" customFormat="1" ht="21.3" customHeight="1">
      <c r="A2087" s="95" t="s">
        <v>44</v>
      </c>
      <c r="B2087" s="31" t="s">
        <v>12</v>
      </c>
      <c r="C2087" s="95" t="s">
        <v>6230</v>
      </c>
      <c r="D2087" s="27" t="s">
        <v>8021</v>
      </c>
      <c r="E2087" s="27" t="s">
        <v>10173</v>
      </c>
      <c r="F2087" s="95" t="s">
        <v>6231</v>
      </c>
      <c r="G2087" s="101" t="s">
        <v>6233</v>
      </c>
      <c r="H2087" s="88">
        <v>44651</v>
      </c>
      <c r="I2087" s="76">
        <v>44651</v>
      </c>
      <c r="J2087" s="76">
        <v>34001</v>
      </c>
      <c r="K2087" s="76">
        <v>25202</v>
      </c>
      <c r="L2087" s="17" t="s">
        <v>5052</v>
      </c>
      <c r="M2087" s="5" t="s">
        <v>84</v>
      </c>
      <c r="N2087" s="111" t="s">
        <v>14</v>
      </c>
      <c r="O2087" s="104" t="s">
        <v>52</v>
      </c>
      <c r="P2087" s="104" t="s">
        <v>52</v>
      </c>
      <c r="Q2087" s="108"/>
      <c r="R2087" s="31" t="s">
        <v>110</v>
      </c>
      <c r="S2087" s="225">
        <f t="shared" si="32"/>
        <v>47392</v>
      </c>
      <c r="T2087" s="162" t="s">
        <v>7660</v>
      </c>
      <c r="U2087" s="7" t="s">
        <v>139</v>
      </c>
      <c r="V2087" s="162" t="str" cm="1">
        <f t="array" ref="V2087">_xlfn.IFS(C2087="","",COUNTIF(C2087,"ตำแหน่งว่าง*"),"ว่าง",COUNTIF(C2087,"&lt;&gt;ตำแหน่งว่าง*"),"คนครอง")</f>
        <v>คนครอง</v>
      </c>
      <c r="W2087" s="5" cm="1">
        <f t="array" ref="W2087">_xlfn.IFS(COUNTIF(F2087,"ผบ.หมู่*"),51,COUNTIF(F2087,"รอง สว.*"),43)</f>
        <v>43</v>
      </c>
      <c r="X2087" s="5" t="s">
        <v>6232</v>
      </c>
      <c r="Y2087" s="5" t="s">
        <v>52</v>
      </c>
    </row>
    <row r="2088" spans="1:25" s="12" customFormat="1" ht="21.3" customHeight="1">
      <c r="A2088" s="95" t="s">
        <v>44</v>
      </c>
      <c r="B2088" s="31" t="s">
        <v>12</v>
      </c>
      <c r="C2088" s="95" t="s">
        <v>6234</v>
      </c>
      <c r="D2088" s="27" t="s">
        <v>10174</v>
      </c>
      <c r="E2088" s="27" t="s">
        <v>10175</v>
      </c>
      <c r="F2088" s="95" t="s">
        <v>6231</v>
      </c>
      <c r="G2088" s="101" t="s">
        <v>6236</v>
      </c>
      <c r="H2088" s="88">
        <v>44651</v>
      </c>
      <c r="I2088" s="76">
        <v>44651</v>
      </c>
      <c r="J2088" s="76">
        <v>34001</v>
      </c>
      <c r="K2088" s="76">
        <v>25200</v>
      </c>
      <c r="L2088" s="17" t="s">
        <v>6237</v>
      </c>
      <c r="M2088" s="5" t="s">
        <v>86</v>
      </c>
      <c r="N2088" s="111" t="s">
        <v>14</v>
      </c>
      <c r="O2088" s="104" t="s">
        <v>52</v>
      </c>
      <c r="P2088" s="104" t="s">
        <v>52</v>
      </c>
      <c r="Q2088" s="108"/>
      <c r="R2088" s="31" t="s">
        <v>110</v>
      </c>
      <c r="S2088" s="225">
        <f t="shared" si="32"/>
        <v>47392</v>
      </c>
      <c r="T2088" s="162" t="s">
        <v>7660</v>
      </c>
      <c r="U2088" s="7" t="s">
        <v>139</v>
      </c>
      <c r="V2088" s="162" t="str" cm="1">
        <f t="array" ref="V2088">_xlfn.IFS(C2088="","",COUNTIF(C2088,"ตำแหน่งว่าง*"),"ว่าง",COUNTIF(C2088,"&lt;&gt;ตำแหน่งว่าง*"),"คนครอง")</f>
        <v>คนครอง</v>
      </c>
      <c r="W2088" s="5" cm="1">
        <f t="array" ref="W2088">_xlfn.IFS(COUNTIF(F2088,"ผบ.หมู่*"),51,COUNTIF(F2088,"รอง สว.*"),43)</f>
        <v>43</v>
      </c>
      <c r="X2088" s="5" t="s">
        <v>6235</v>
      </c>
      <c r="Y2088" s="5" t="s">
        <v>52</v>
      </c>
    </row>
    <row r="2089" spans="1:25" s="9" customFormat="1" ht="21.3" customHeight="1">
      <c r="A2089" s="68" t="s">
        <v>157</v>
      </c>
      <c r="B2089" s="30" t="s">
        <v>12</v>
      </c>
      <c r="C2089" s="68" t="s">
        <v>7504</v>
      </c>
      <c r="D2089" s="27" t="s">
        <v>10650</v>
      </c>
      <c r="E2089" s="27" t="s">
        <v>10651</v>
      </c>
      <c r="F2089" s="68" t="s">
        <v>6227</v>
      </c>
      <c r="G2089" s="121" t="s">
        <v>6239</v>
      </c>
      <c r="H2089" s="80">
        <v>45768</v>
      </c>
      <c r="I2089" s="74">
        <v>39479</v>
      </c>
      <c r="J2089" s="74">
        <v>39479</v>
      </c>
      <c r="K2089" s="74">
        <v>29843</v>
      </c>
      <c r="L2089" s="16" t="s">
        <v>82</v>
      </c>
      <c r="M2089" s="6" t="s">
        <v>86</v>
      </c>
      <c r="N2089" s="113" t="s">
        <v>14</v>
      </c>
      <c r="O2089" s="122" t="s">
        <v>52</v>
      </c>
      <c r="P2089" s="122" t="s">
        <v>52</v>
      </c>
      <c r="Q2089" s="106"/>
      <c r="R2089" s="30" t="s">
        <v>10804</v>
      </c>
      <c r="S2089" s="225">
        <f t="shared" si="32"/>
        <v>51775</v>
      </c>
      <c r="T2089" s="2" t="s">
        <v>7660</v>
      </c>
      <c r="U2089" s="7" t="s">
        <v>139</v>
      </c>
      <c r="V2089" s="171" t="str" cm="1">
        <f t="array" ref="V2089">_xlfn.IFS(C2089="","",COUNTIF(C2089,"ตำแหน่งว่าง*"),"ว่าง",COUNTIF(C2089,"&lt;&gt;ตำแหน่งว่าง*"),"คนครอง")</f>
        <v>คนครอง</v>
      </c>
      <c r="W2089" s="6" cm="1">
        <f t="array" ref="W2089">_xlfn.IFS(COUNTIF(F2089,"ผบ.หมู่*"),51,COUNTIF(F2089,"รอง สว.*"),43)</f>
        <v>51</v>
      </c>
      <c r="X2089" s="1" t="s">
        <v>6238</v>
      </c>
      <c r="Y2089" s="1" t="s">
        <v>52</v>
      </c>
    </row>
    <row r="2090" spans="1:25" s="10" customFormat="1" ht="21.3" customHeight="1">
      <c r="A2090" s="192" t="s">
        <v>169</v>
      </c>
      <c r="B2090" s="193" t="s">
        <v>21</v>
      </c>
      <c r="C2090" s="192" t="s">
        <v>7956</v>
      </c>
      <c r="D2090" s="27" t="s">
        <v>10176</v>
      </c>
      <c r="E2090" s="27" t="s">
        <v>10177</v>
      </c>
      <c r="F2090" s="192" t="s">
        <v>6227</v>
      </c>
      <c r="G2090" s="101" t="s">
        <v>6241</v>
      </c>
      <c r="H2090" s="73">
        <v>45463</v>
      </c>
      <c r="I2090" s="73">
        <v>45463</v>
      </c>
      <c r="J2090" s="73">
        <v>45463</v>
      </c>
      <c r="K2090" s="73">
        <v>36142</v>
      </c>
      <c r="L2090" s="2" t="s">
        <v>82</v>
      </c>
      <c r="M2090" s="1"/>
      <c r="N2090" s="112" t="s">
        <v>14</v>
      </c>
      <c r="O2090" s="104" t="s">
        <v>52</v>
      </c>
      <c r="P2090" s="104" t="s">
        <v>52</v>
      </c>
      <c r="Q2090" s="105"/>
      <c r="R2090" s="28" t="s">
        <v>7961</v>
      </c>
      <c r="S2090" s="174">
        <f t="shared" si="32"/>
        <v>58349</v>
      </c>
      <c r="T2090" s="2" t="s">
        <v>7660</v>
      </c>
      <c r="U2090" s="2" t="s">
        <v>139</v>
      </c>
      <c r="V2090" s="162" t="str" cm="1">
        <f t="array" ref="V2090">_xlfn.IFS(C2090="","",COUNTIF(C2090,"ตำแหน่งว่าง*"),"ว่าง",COUNTIF(C2090,"&lt;&gt;ตำแหน่งว่าง*"),"คนครอง")</f>
        <v>คนครอง</v>
      </c>
      <c r="W2090" s="1" cm="1">
        <f t="array" ref="W2090">_xlfn.IFS(COUNTIF(F2090,"ผบ.หมู่*"),51,COUNTIF(F2090,"รอง สว.*"),43)</f>
        <v>51</v>
      </c>
      <c r="X2090" s="1" t="s">
        <v>6240</v>
      </c>
      <c r="Y2090" s="1" t="s">
        <v>52</v>
      </c>
    </row>
    <row r="2091" spans="1:25" s="9" customFormat="1" ht="21.3" customHeight="1">
      <c r="A2091" s="27" t="s">
        <v>612</v>
      </c>
      <c r="B2091" s="28" t="s">
        <v>12</v>
      </c>
      <c r="C2091" s="27" t="s">
        <v>6242</v>
      </c>
      <c r="D2091" s="27" t="s">
        <v>8079</v>
      </c>
      <c r="E2091" s="27" t="s">
        <v>10178</v>
      </c>
      <c r="F2091" s="27" t="s">
        <v>6227</v>
      </c>
      <c r="G2091" s="101" t="s">
        <v>6244</v>
      </c>
      <c r="H2091" s="75">
        <v>44243</v>
      </c>
      <c r="I2091" s="73">
        <v>42416</v>
      </c>
      <c r="J2091" s="73">
        <v>42416</v>
      </c>
      <c r="K2091" s="73">
        <v>32835</v>
      </c>
      <c r="L2091" s="11" t="s">
        <v>3955</v>
      </c>
      <c r="M2091" s="1" t="s">
        <v>86</v>
      </c>
      <c r="N2091" s="112" t="s">
        <v>14</v>
      </c>
      <c r="O2091" s="104" t="s">
        <v>52</v>
      </c>
      <c r="P2091" s="104" t="s">
        <v>52</v>
      </c>
      <c r="Q2091" s="105"/>
      <c r="R2091" s="28" t="s">
        <v>617</v>
      </c>
      <c r="S2091" s="225">
        <f t="shared" si="32"/>
        <v>55062</v>
      </c>
      <c r="T2091" s="2" t="s">
        <v>7660</v>
      </c>
      <c r="U2091" s="7" t="s">
        <v>139</v>
      </c>
      <c r="V2091" s="162" t="str" cm="1">
        <f t="array" ref="V2091">_xlfn.IFS(C2091="","",COUNTIF(C2091,"ตำแหน่งว่าง*"),"ว่าง",COUNTIF(C2091,"&lt;&gt;ตำแหน่งว่าง*"),"คนครอง")</f>
        <v>คนครอง</v>
      </c>
      <c r="W2091" s="6" cm="1">
        <f t="array" ref="W2091">_xlfn.IFS(COUNTIF(F2091,"ผบ.หมู่*"),51,COUNTIF(F2091,"รอง สว.*"),43)</f>
        <v>51</v>
      </c>
      <c r="X2091" s="1" t="s">
        <v>6243</v>
      </c>
      <c r="Y2091" s="1" t="s">
        <v>52</v>
      </c>
    </row>
    <row r="2092" spans="1:25" s="9" customFormat="1" ht="21.3" customHeight="1">
      <c r="A2092" s="27" t="s">
        <v>182</v>
      </c>
      <c r="B2092" s="28" t="s">
        <v>12</v>
      </c>
      <c r="C2092" s="27" t="s">
        <v>6245</v>
      </c>
      <c r="D2092" s="27" t="s">
        <v>10179</v>
      </c>
      <c r="E2092" s="27" t="s">
        <v>10180</v>
      </c>
      <c r="F2092" s="27" t="s">
        <v>6227</v>
      </c>
      <c r="G2092" s="101" t="s">
        <v>6247</v>
      </c>
      <c r="H2092" s="75">
        <v>44043</v>
      </c>
      <c r="I2092" s="73">
        <v>44043</v>
      </c>
      <c r="J2092" s="73">
        <v>44043</v>
      </c>
      <c r="K2092" s="73">
        <v>34151</v>
      </c>
      <c r="L2092" s="11" t="s">
        <v>82</v>
      </c>
      <c r="M2092" s="1" t="s">
        <v>64</v>
      </c>
      <c r="N2092" s="112" t="s">
        <v>14</v>
      </c>
      <c r="O2092" s="104" t="s">
        <v>52</v>
      </c>
      <c r="P2092" s="104" t="s">
        <v>52</v>
      </c>
      <c r="Q2092" s="105"/>
      <c r="R2092" s="28" t="s">
        <v>2436</v>
      </c>
      <c r="S2092" s="225">
        <f t="shared" si="32"/>
        <v>56158</v>
      </c>
      <c r="T2092" s="2" t="s">
        <v>7660</v>
      </c>
      <c r="U2092" s="7" t="s">
        <v>139</v>
      </c>
      <c r="V2092" s="162" t="str" cm="1">
        <f t="array" ref="V2092">_xlfn.IFS(C2092="","",COUNTIF(C2092,"ตำแหน่งว่าง*"),"ว่าง",COUNTIF(C2092,"&lt;&gt;ตำแหน่งว่าง*"),"คนครอง")</f>
        <v>คนครอง</v>
      </c>
      <c r="W2092" s="6" cm="1">
        <f t="array" ref="W2092">_xlfn.IFS(COUNTIF(F2092,"ผบ.หมู่*"),51,COUNTIF(F2092,"รอง สว.*"),43)</f>
        <v>51</v>
      </c>
      <c r="X2092" s="1" t="s">
        <v>6246</v>
      </c>
      <c r="Y2092" s="1" t="s">
        <v>52</v>
      </c>
    </row>
    <row r="2093" spans="1:25" s="12" customFormat="1" ht="21.3" customHeight="1">
      <c r="A2093" s="27" t="s">
        <v>157</v>
      </c>
      <c r="B2093" s="28" t="s">
        <v>21</v>
      </c>
      <c r="C2093" s="95" t="s">
        <v>6248</v>
      </c>
      <c r="D2093" s="27" t="s">
        <v>10181</v>
      </c>
      <c r="E2093" s="27" t="s">
        <v>10182</v>
      </c>
      <c r="F2093" s="95" t="s">
        <v>6227</v>
      </c>
      <c r="G2093" s="101" t="s">
        <v>6250</v>
      </c>
      <c r="H2093" s="75">
        <v>42501</v>
      </c>
      <c r="I2093" s="73">
        <v>35551</v>
      </c>
      <c r="J2093" s="73">
        <v>34729</v>
      </c>
      <c r="K2093" s="73">
        <v>27067</v>
      </c>
      <c r="L2093" s="11" t="s">
        <v>2314</v>
      </c>
      <c r="M2093" s="1" t="s">
        <v>86</v>
      </c>
      <c r="N2093" s="111" t="s">
        <v>14</v>
      </c>
      <c r="O2093" s="104" t="s">
        <v>52</v>
      </c>
      <c r="P2093" s="104" t="s">
        <v>52</v>
      </c>
      <c r="Q2093" s="105"/>
      <c r="R2093" s="28" t="s">
        <v>110</v>
      </c>
      <c r="S2093" s="225">
        <f t="shared" si="32"/>
        <v>49218</v>
      </c>
      <c r="T2093" s="162" t="s">
        <v>7660</v>
      </c>
      <c r="U2093" s="7" t="s">
        <v>139</v>
      </c>
      <c r="V2093" s="162" t="str" cm="1">
        <f t="array" ref="V2093">_xlfn.IFS(C2093="","",COUNTIF(C2093,"ตำแหน่งว่าง*"),"ว่าง",COUNTIF(C2093,"&lt;&gt;ตำแหน่งว่าง*"),"คนครอง")</f>
        <v>คนครอง</v>
      </c>
      <c r="W2093" s="6" cm="1">
        <f t="array" ref="W2093">_xlfn.IFS(COUNTIF(F2093,"ผบ.หมู่*"),51,COUNTIF(F2093,"รอง สว.*"),43)</f>
        <v>51</v>
      </c>
      <c r="X2093" s="5" t="s">
        <v>6249</v>
      </c>
      <c r="Y2093" s="5" t="s">
        <v>52</v>
      </c>
    </row>
    <row r="2094" spans="1:25" s="12" customFormat="1" ht="21.3" customHeight="1">
      <c r="A2094" s="27" t="s">
        <v>157</v>
      </c>
      <c r="B2094" s="28" t="s">
        <v>12</v>
      </c>
      <c r="C2094" s="95" t="s">
        <v>6251</v>
      </c>
      <c r="D2094" s="27" t="s">
        <v>8361</v>
      </c>
      <c r="E2094" s="27" t="s">
        <v>10183</v>
      </c>
      <c r="F2094" s="95" t="s">
        <v>6227</v>
      </c>
      <c r="G2094" s="101" t="s">
        <v>6253</v>
      </c>
      <c r="H2094" s="75">
        <v>42501</v>
      </c>
      <c r="I2094" s="73">
        <v>37755</v>
      </c>
      <c r="J2094" s="73">
        <v>37755</v>
      </c>
      <c r="K2094" s="73">
        <v>30726</v>
      </c>
      <c r="L2094" s="11" t="s">
        <v>3316</v>
      </c>
      <c r="M2094" s="1" t="s">
        <v>93</v>
      </c>
      <c r="N2094" s="111" t="s">
        <v>14</v>
      </c>
      <c r="O2094" s="104" t="s">
        <v>52</v>
      </c>
      <c r="P2094" s="104" t="s">
        <v>52</v>
      </c>
      <c r="Q2094" s="105"/>
      <c r="R2094" s="28" t="s">
        <v>110</v>
      </c>
      <c r="S2094" s="225">
        <f t="shared" si="32"/>
        <v>52871</v>
      </c>
      <c r="T2094" s="162" t="s">
        <v>7660</v>
      </c>
      <c r="U2094" s="7" t="s">
        <v>139</v>
      </c>
      <c r="V2094" s="162" t="str" cm="1">
        <f t="array" ref="V2094">_xlfn.IFS(C2094="","",COUNTIF(C2094,"ตำแหน่งว่าง*"),"ว่าง",COUNTIF(C2094,"&lt;&gt;ตำแหน่งว่าง*"),"คนครอง")</f>
        <v>คนครอง</v>
      </c>
      <c r="W2094" s="6" cm="1">
        <f t="array" ref="W2094">_xlfn.IFS(COUNTIF(F2094,"ผบ.หมู่*"),51,COUNTIF(F2094,"รอง สว.*"),43)</f>
        <v>51</v>
      </c>
      <c r="X2094" s="5" t="s">
        <v>6252</v>
      </c>
      <c r="Y2094" s="5" t="s">
        <v>52</v>
      </c>
    </row>
    <row r="2095" spans="1:25" s="12" customFormat="1" ht="21.3" customHeight="1">
      <c r="A2095" s="27" t="s">
        <v>60</v>
      </c>
      <c r="B2095" s="28" t="s">
        <v>12</v>
      </c>
      <c r="C2095" s="95" t="s">
        <v>6254</v>
      </c>
      <c r="D2095" s="27" t="s">
        <v>10184</v>
      </c>
      <c r="E2095" s="27" t="s">
        <v>10185</v>
      </c>
      <c r="F2095" s="95" t="s">
        <v>6231</v>
      </c>
      <c r="G2095" s="101" t="s">
        <v>6256</v>
      </c>
      <c r="H2095" s="75">
        <v>42501</v>
      </c>
      <c r="I2095" s="73">
        <v>35551</v>
      </c>
      <c r="J2095" s="73">
        <v>34366</v>
      </c>
      <c r="K2095" s="73">
        <v>26446</v>
      </c>
      <c r="L2095" s="11" t="s">
        <v>4826</v>
      </c>
      <c r="M2095" s="1" t="s">
        <v>86</v>
      </c>
      <c r="N2095" s="111" t="s">
        <v>14</v>
      </c>
      <c r="O2095" s="104" t="s">
        <v>52</v>
      </c>
      <c r="P2095" s="104" t="s">
        <v>52</v>
      </c>
      <c r="Q2095" s="105"/>
      <c r="R2095" s="28" t="s">
        <v>110</v>
      </c>
      <c r="S2095" s="225">
        <f t="shared" si="32"/>
        <v>48488</v>
      </c>
      <c r="T2095" s="162" t="s">
        <v>7660</v>
      </c>
      <c r="U2095" s="7" t="s">
        <v>139</v>
      </c>
      <c r="V2095" s="162" t="str" cm="1">
        <f t="array" ref="V2095">_xlfn.IFS(C2095="","",COUNTIF(C2095,"ตำแหน่งว่าง*"),"ว่าง",COUNTIF(C2095,"&lt;&gt;ตำแหน่งว่าง*"),"คนครอง")</f>
        <v>คนครอง</v>
      </c>
      <c r="W2095" s="6" cm="1">
        <f t="array" ref="W2095">_xlfn.IFS(COUNTIF(F2095,"ผบ.หมู่*"),51,COUNTIF(F2095,"รอง สว.*"),43)</f>
        <v>43</v>
      </c>
      <c r="X2095" s="5" t="s">
        <v>6255</v>
      </c>
      <c r="Y2095" s="5" t="s">
        <v>52</v>
      </c>
    </row>
    <row r="2096" spans="1:25" s="9" customFormat="1" ht="21.3" customHeight="1">
      <c r="A2096" s="68"/>
      <c r="B2096" s="30"/>
      <c r="C2096" s="68" t="s">
        <v>18</v>
      </c>
      <c r="D2096" s="27"/>
      <c r="E2096" s="27"/>
      <c r="F2096" s="68" t="s">
        <v>6227</v>
      </c>
      <c r="G2096" s="121" t="s">
        <v>6258</v>
      </c>
      <c r="H2096" s="80"/>
      <c r="I2096" s="74"/>
      <c r="J2096" s="74"/>
      <c r="K2096" s="74"/>
      <c r="L2096" s="16"/>
      <c r="M2096" s="6"/>
      <c r="N2096" s="113" t="s">
        <v>14</v>
      </c>
      <c r="O2096" s="122" t="s">
        <v>52</v>
      </c>
      <c r="P2096" s="122" t="s">
        <v>52</v>
      </c>
      <c r="Q2096" s="106"/>
      <c r="R2096" s="30"/>
      <c r="S2096" s="225" t="str">
        <f t="shared" si="32"/>
        <v/>
      </c>
      <c r="T2096" s="2" t="s">
        <v>7660</v>
      </c>
      <c r="U2096" s="7" t="s">
        <v>139</v>
      </c>
      <c r="V2096" s="171" t="str" cm="1">
        <f t="array" ref="V2096">_xlfn.IFS(C2096="","",COUNTIF(C2096,"ตำแหน่งว่าง*"),"ว่าง",COUNTIF(C2096,"&lt;&gt;ตำแหน่งว่าง*"),"คนครอง")</f>
        <v>ว่าง</v>
      </c>
      <c r="W2096" s="6" cm="1">
        <f t="array" ref="W2096">_xlfn.IFS(COUNTIF(F2096,"ผบ.หมู่*"),51,COUNTIF(F2096,"รอง สว.*"),43)</f>
        <v>51</v>
      </c>
      <c r="X2096" s="1" t="s">
        <v>6257</v>
      </c>
      <c r="Y2096" s="1" t="s">
        <v>52</v>
      </c>
    </row>
    <row r="2097" spans="1:25" s="9" customFormat="1" ht="21.3" customHeight="1">
      <c r="A2097" s="27" t="s">
        <v>612</v>
      </c>
      <c r="B2097" s="28" t="s">
        <v>12</v>
      </c>
      <c r="C2097" s="27" t="s">
        <v>6259</v>
      </c>
      <c r="D2097" s="27" t="s">
        <v>10186</v>
      </c>
      <c r="E2097" s="27" t="s">
        <v>10187</v>
      </c>
      <c r="F2097" s="27" t="s">
        <v>6227</v>
      </c>
      <c r="G2097" s="101" t="s">
        <v>6261</v>
      </c>
      <c r="H2097" s="91">
        <v>44243</v>
      </c>
      <c r="I2097" s="73">
        <v>42156</v>
      </c>
      <c r="J2097" s="73">
        <v>42156</v>
      </c>
      <c r="K2097" s="73">
        <v>33187</v>
      </c>
      <c r="L2097" s="11" t="s">
        <v>6262</v>
      </c>
      <c r="M2097" s="1" t="s">
        <v>15</v>
      </c>
      <c r="N2097" s="112" t="s">
        <v>14</v>
      </c>
      <c r="O2097" s="104" t="s">
        <v>52</v>
      </c>
      <c r="P2097" s="104" t="s">
        <v>52</v>
      </c>
      <c r="Q2097" s="105"/>
      <c r="R2097" s="28" t="s">
        <v>617</v>
      </c>
      <c r="S2097" s="225">
        <f t="shared" si="32"/>
        <v>55427</v>
      </c>
      <c r="T2097" s="2" t="s">
        <v>7660</v>
      </c>
      <c r="U2097" s="7" t="s">
        <v>139</v>
      </c>
      <c r="V2097" s="162" t="str" cm="1">
        <f t="array" ref="V2097">_xlfn.IFS(C2097="","",COUNTIF(C2097,"ตำแหน่งว่าง*"),"ว่าง",COUNTIF(C2097,"&lt;&gt;ตำแหน่งว่าง*"),"คนครอง")</f>
        <v>คนครอง</v>
      </c>
      <c r="W2097" s="6" cm="1">
        <f t="array" ref="W2097">_xlfn.IFS(COUNTIF(F2097,"ผบ.หมู่*"),51,COUNTIF(F2097,"รอง สว.*"),43)</f>
        <v>51</v>
      </c>
      <c r="X2097" s="1" t="s">
        <v>6260</v>
      </c>
      <c r="Y2097" s="1" t="s">
        <v>52</v>
      </c>
    </row>
    <row r="2098" spans="1:25" s="10" customFormat="1" ht="21.3" customHeight="1">
      <c r="A2098" s="27"/>
      <c r="B2098" s="28"/>
      <c r="C2098" s="30" t="s">
        <v>18</v>
      </c>
      <c r="D2098" s="27"/>
      <c r="E2098" s="27"/>
      <c r="F2098" s="68" t="s">
        <v>6227</v>
      </c>
      <c r="G2098" s="121" t="s">
        <v>6264</v>
      </c>
      <c r="H2098" s="91" t="s">
        <v>19</v>
      </c>
      <c r="I2098" s="73" t="s">
        <v>19</v>
      </c>
      <c r="J2098" s="73" t="s">
        <v>19</v>
      </c>
      <c r="K2098" s="73" t="s">
        <v>19</v>
      </c>
      <c r="L2098" s="11"/>
      <c r="M2098" s="1"/>
      <c r="N2098" s="113" t="s">
        <v>14</v>
      </c>
      <c r="O2098" s="122" t="s">
        <v>52</v>
      </c>
      <c r="P2098" s="122" t="s">
        <v>52</v>
      </c>
      <c r="Q2098" s="105"/>
      <c r="R2098" s="28"/>
      <c r="S2098" s="225" t="str">
        <f t="shared" si="32"/>
        <v/>
      </c>
      <c r="T2098" s="7" t="s">
        <v>7660</v>
      </c>
      <c r="U2098" s="7" t="s">
        <v>139</v>
      </c>
      <c r="V2098" s="171" t="str" cm="1">
        <f t="array" ref="V2098">_xlfn.IFS(C2098="","",COUNTIF(C2098,"ตำแหน่งว่าง*"),"ว่าง",COUNTIF(C2098,"&lt;&gt;ตำแหน่งว่าง*"),"คนครอง")</f>
        <v>ว่าง</v>
      </c>
      <c r="W2098" s="6" cm="1">
        <f t="array" ref="W2098">_xlfn.IFS(COUNTIF(F2098,"ผบ.หมู่*"),51,COUNTIF(F2098,"รอง สว.*"),43)</f>
        <v>51</v>
      </c>
      <c r="X2098" s="6" t="s">
        <v>6263</v>
      </c>
      <c r="Y2098" s="6" t="s">
        <v>52</v>
      </c>
    </row>
    <row r="2099" spans="1:25" s="10" customFormat="1" ht="21.3" customHeight="1">
      <c r="A2099" s="27"/>
      <c r="B2099" s="28"/>
      <c r="C2099" s="30" t="s">
        <v>18</v>
      </c>
      <c r="D2099" s="27"/>
      <c r="E2099" s="27"/>
      <c r="F2099" s="68" t="s">
        <v>6227</v>
      </c>
      <c r="G2099" s="121" t="s">
        <v>6266</v>
      </c>
      <c r="H2099" s="91" t="s">
        <v>19</v>
      </c>
      <c r="I2099" s="73" t="s">
        <v>19</v>
      </c>
      <c r="J2099" s="73" t="s">
        <v>19</v>
      </c>
      <c r="K2099" s="73" t="s">
        <v>19</v>
      </c>
      <c r="L2099" s="11"/>
      <c r="M2099" s="1"/>
      <c r="N2099" s="113" t="s">
        <v>14</v>
      </c>
      <c r="O2099" s="122" t="s">
        <v>52</v>
      </c>
      <c r="P2099" s="122" t="s">
        <v>52</v>
      </c>
      <c r="Q2099" s="105"/>
      <c r="R2099" s="28"/>
      <c r="S2099" s="225" t="str">
        <f t="shared" si="32"/>
        <v/>
      </c>
      <c r="T2099" s="7" t="s">
        <v>7660</v>
      </c>
      <c r="U2099" s="7" t="s">
        <v>139</v>
      </c>
      <c r="V2099" s="171" t="str" cm="1">
        <f t="array" ref="V2099">_xlfn.IFS(C2099="","",COUNTIF(C2099,"ตำแหน่งว่าง*"),"ว่าง",COUNTIF(C2099,"&lt;&gt;ตำแหน่งว่าง*"),"คนครอง")</f>
        <v>ว่าง</v>
      </c>
      <c r="W2099" s="6" cm="1">
        <f t="array" ref="W2099">_xlfn.IFS(COUNTIF(F2099,"ผบ.หมู่*"),51,COUNTIF(F2099,"รอง สว.*"),43)</f>
        <v>51</v>
      </c>
      <c r="X2099" s="6" t="s">
        <v>6265</v>
      </c>
      <c r="Y2099" s="6" t="s">
        <v>52</v>
      </c>
    </row>
    <row r="2100" spans="1:25" s="10" customFormat="1" ht="21.3" customHeight="1">
      <c r="A2100" s="27"/>
      <c r="B2100" s="28"/>
      <c r="C2100" s="30" t="s">
        <v>18</v>
      </c>
      <c r="D2100" s="27"/>
      <c r="E2100" s="27"/>
      <c r="F2100" s="68" t="s">
        <v>6227</v>
      </c>
      <c r="G2100" s="121" t="s">
        <v>6268</v>
      </c>
      <c r="H2100" s="91" t="s">
        <v>19</v>
      </c>
      <c r="I2100" s="73" t="s">
        <v>19</v>
      </c>
      <c r="J2100" s="73" t="s">
        <v>19</v>
      </c>
      <c r="K2100" s="73" t="s">
        <v>19</v>
      </c>
      <c r="L2100" s="11"/>
      <c r="M2100" s="1"/>
      <c r="N2100" s="113" t="s">
        <v>14</v>
      </c>
      <c r="O2100" s="122" t="s">
        <v>52</v>
      </c>
      <c r="P2100" s="122" t="s">
        <v>52</v>
      </c>
      <c r="Q2100" s="105"/>
      <c r="R2100" s="28"/>
      <c r="S2100" s="225" t="str">
        <f t="shared" si="32"/>
        <v/>
      </c>
      <c r="T2100" s="7" t="s">
        <v>7660</v>
      </c>
      <c r="U2100" s="7" t="s">
        <v>139</v>
      </c>
      <c r="V2100" s="171" t="str" cm="1">
        <f t="array" ref="V2100">_xlfn.IFS(C2100="","",COUNTIF(C2100,"ตำแหน่งว่าง*"),"ว่าง",COUNTIF(C2100,"&lt;&gt;ตำแหน่งว่าง*"),"คนครอง")</f>
        <v>ว่าง</v>
      </c>
      <c r="W2100" s="6" cm="1">
        <f t="array" ref="W2100">_xlfn.IFS(COUNTIF(F2100,"ผบ.หมู่*"),51,COUNTIF(F2100,"รอง สว.*"),43)</f>
        <v>51</v>
      </c>
      <c r="X2100" s="6" t="s">
        <v>6267</v>
      </c>
      <c r="Y2100" s="6" t="s">
        <v>52</v>
      </c>
    </row>
    <row r="2101" spans="1:25" s="10" customFormat="1" ht="21.3" customHeight="1">
      <c r="A2101" s="27"/>
      <c r="B2101" s="28"/>
      <c r="C2101" s="30" t="s">
        <v>18</v>
      </c>
      <c r="D2101" s="27"/>
      <c r="E2101" s="27"/>
      <c r="F2101" s="68" t="s">
        <v>6227</v>
      </c>
      <c r="G2101" s="121" t="s">
        <v>6270</v>
      </c>
      <c r="H2101" s="91" t="s">
        <v>19</v>
      </c>
      <c r="I2101" s="73" t="s">
        <v>19</v>
      </c>
      <c r="J2101" s="73" t="s">
        <v>19</v>
      </c>
      <c r="K2101" s="73" t="s">
        <v>19</v>
      </c>
      <c r="L2101" s="11"/>
      <c r="M2101" s="1"/>
      <c r="N2101" s="113" t="s">
        <v>14</v>
      </c>
      <c r="O2101" s="122" t="s">
        <v>52</v>
      </c>
      <c r="P2101" s="122" t="s">
        <v>52</v>
      </c>
      <c r="Q2101" s="105"/>
      <c r="R2101" s="28"/>
      <c r="S2101" s="225" t="str">
        <f t="shared" si="32"/>
        <v/>
      </c>
      <c r="T2101" s="7" t="s">
        <v>7660</v>
      </c>
      <c r="U2101" s="7" t="s">
        <v>139</v>
      </c>
      <c r="V2101" s="171" t="str" cm="1">
        <f t="array" ref="V2101">_xlfn.IFS(C2101="","",COUNTIF(C2101,"ตำแหน่งว่าง*"),"ว่าง",COUNTIF(C2101,"&lt;&gt;ตำแหน่งว่าง*"),"คนครอง")</f>
        <v>ว่าง</v>
      </c>
      <c r="W2101" s="6" cm="1">
        <f t="array" ref="W2101">_xlfn.IFS(COUNTIF(F2101,"ผบ.หมู่*"),51,COUNTIF(F2101,"รอง สว.*"),43)</f>
        <v>51</v>
      </c>
      <c r="X2101" s="6" t="s">
        <v>6269</v>
      </c>
      <c r="Y2101" s="6" t="s">
        <v>52</v>
      </c>
    </row>
    <row r="2102" spans="1:25" s="10" customFormat="1" ht="21.3" customHeight="1">
      <c r="A2102" s="27"/>
      <c r="B2102" s="28"/>
      <c r="C2102" s="30" t="s">
        <v>18</v>
      </c>
      <c r="D2102" s="27"/>
      <c r="E2102" s="27"/>
      <c r="F2102" s="68" t="s">
        <v>6227</v>
      </c>
      <c r="G2102" s="121" t="s">
        <v>6272</v>
      </c>
      <c r="H2102" s="91" t="s">
        <v>19</v>
      </c>
      <c r="I2102" s="73" t="s">
        <v>19</v>
      </c>
      <c r="J2102" s="73" t="s">
        <v>19</v>
      </c>
      <c r="K2102" s="73" t="s">
        <v>19</v>
      </c>
      <c r="L2102" s="11"/>
      <c r="M2102" s="1"/>
      <c r="N2102" s="113" t="s">
        <v>14</v>
      </c>
      <c r="O2102" s="122" t="s">
        <v>52</v>
      </c>
      <c r="P2102" s="122" t="s">
        <v>52</v>
      </c>
      <c r="Q2102" s="105"/>
      <c r="R2102" s="28"/>
      <c r="S2102" s="225" t="str">
        <f t="shared" si="32"/>
        <v/>
      </c>
      <c r="T2102" s="7" t="s">
        <v>7660</v>
      </c>
      <c r="U2102" s="7" t="s">
        <v>139</v>
      </c>
      <c r="V2102" s="171" t="str" cm="1">
        <f t="array" ref="V2102">_xlfn.IFS(C2102="","",COUNTIF(C2102,"ตำแหน่งว่าง*"),"ว่าง",COUNTIF(C2102,"&lt;&gt;ตำแหน่งว่าง*"),"คนครอง")</f>
        <v>ว่าง</v>
      </c>
      <c r="W2102" s="6" cm="1">
        <f t="array" ref="W2102">_xlfn.IFS(COUNTIF(F2102,"ผบ.หมู่*"),51,COUNTIF(F2102,"รอง สว.*"),43)</f>
        <v>51</v>
      </c>
      <c r="X2102" s="6" t="s">
        <v>6271</v>
      </c>
      <c r="Y2102" s="6" t="s">
        <v>52</v>
      </c>
    </row>
    <row r="2103" spans="1:25" s="9" customFormat="1" ht="21.3" customHeight="1">
      <c r="A2103" s="95" t="s">
        <v>208</v>
      </c>
      <c r="B2103" s="28" t="s">
        <v>21</v>
      </c>
      <c r="C2103" s="27" t="s">
        <v>6096</v>
      </c>
      <c r="D2103" s="27" t="s">
        <v>8022</v>
      </c>
      <c r="E2103" s="27" t="s">
        <v>10188</v>
      </c>
      <c r="F2103" s="27" t="s">
        <v>6097</v>
      </c>
      <c r="G2103" s="101" t="s">
        <v>6099</v>
      </c>
      <c r="H2103" s="91">
        <v>43693</v>
      </c>
      <c r="I2103" s="73">
        <v>43693</v>
      </c>
      <c r="J2103" s="85">
        <v>43693</v>
      </c>
      <c r="K2103" s="73">
        <v>30777</v>
      </c>
      <c r="L2103" s="11" t="s">
        <v>717</v>
      </c>
      <c r="M2103" s="1" t="s">
        <v>24</v>
      </c>
      <c r="N2103" s="112" t="s">
        <v>14</v>
      </c>
      <c r="O2103" s="104" t="s">
        <v>52</v>
      </c>
      <c r="P2103" s="104" t="s">
        <v>52</v>
      </c>
      <c r="Q2103" s="105"/>
      <c r="R2103" s="28" t="s">
        <v>645</v>
      </c>
      <c r="S2103" s="225">
        <f t="shared" si="32"/>
        <v>52871</v>
      </c>
      <c r="T2103" s="2" t="s">
        <v>7661</v>
      </c>
      <c r="U2103" s="7" t="s">
        <v>139</v>
      </c>
      <c r="V2103" s="162" t="str" cm="1">
        <f t="array" ref="V2103">_xlfn.IFS(C2103="","",COUNTIF(C2103,"ตำแหน่งว่าง*"),"ว่าง",COUNTIF(C2103,"&lt;&gt;ตำแหน่งว่าง*"),"คนครอง")</f>
        <v>คนครอง</v>
      </c>
      <c r="W2103" s="6" cm="1">
        <f t="array" ref="W2103">_xlfn.IFS(COUNTIF(F2103,"ผบ.หมู่*"),51,COUNTIF(F2103,"รอง สว.*"),43)</f>
        <v>51</v>
      </c>
      <c r="X2103" s="1" t="s">
        <v>6098</v>
      </c>
      <c r="Y2103" s="1" t="s">
        <v>52</v>
      </c>
    </row>
    <row r="2104" spans="1:25" s="9" customFormat="1" ht="21.3" customHeight="1">
      <c r="A2104" s="95" t="s">
        <v>208</v>
      </c>
      <c r="B2104" s="28" t="s">
        <v>21</v>
      </c>
      <c r="C2104" s="27" t="s">
        <v>6100</v>
      </c>
      <c r="D2104" s="27" t="s">
        <v>8045</v>
      </c>
      <c r="E2104" s="27" t="s">
        <v>10189</v>
      </c>
      <c r="F2104" s="27" t="s">
        <v>6097</v>
      </c>
      <c r="G2104" s="101" t="s">
        <v>6102</v>
      </c>
      <c r="H2104" s="91">
        <v>43693</v>
      </c>
      <c r="I2104" s="73">
        <v>43693</v>
      </c>
      <c r="J2104" s="85">
        <v>43693</v>
      </c>
      <c r="K2104" s="73">
        <v>33940</v>
      </c>
      <c r="L2104" s="11" t="s">
        <v>717</v>
      </c>
      <c r="M2104" s="1" t="s">
        <v>95</v>
      </c>
      <c r="N2104" s="112" t="s">
        <v>14</v>
      </c>
      <c r="O2104" s="104" t="s">
        <v>52</v>
      </c>
      <c r="P2104" s="104" t="s">
        <v>52</v>
      </c>
      <c r="Q2104" s="105"/>
      <c r="R2104" s="28" t="s">
        <v>645</v>
      </c>
      <c r="S2104" s="225">
        <f t="shared" si="32"/>
        <v>56158</v>
      </c>
      <c r="T2104" s="2" t="s">
        <v>7661</v>
      </c>
      <c r="U2104" s="7" t="s">
        <v>139</v>
      </c>
      <c r="V2104" s="162" t="str" cm="1">
        <f t="array" ref="V2104">_xlfn.IFS(C2104="","",COUNTIF(C2104,"ตำแหน่งว่าง*"),"ว่าง",COUNTIF(C2104,"&lt;&gt;ตำแหน่งว่าง*"),"คนครอง")</f>
        <v>คนครอง</v>
      </c>
      <c r="W2104" s="6" cm="1">
        <f t="array" ref="W2104">_xlfn.IFS(COUNTIF(F2104,"ผบ.หมู่*"),51,COUNTIF(F2104,"รอง สว.*"),43)</f>
        <v>51</v>
      </c>
      <c r="X2104" s="1" t="s">
        <v>6101</v>
      </c>
      <c r="Y2104" s="1" t="s">
        <v>52</v>
      </c>
    </row>
    <row r="2105" spans="1:25" s="9" customFormat="1" ht="21.3" customHeight="1">
      <c r="A2105" s="27" t="s">
        <v>157</v>
      </c>
      <c r="B2105" s="28" t="s">
        <v>12</v>
      </c>
      <c r="C2105" s="95" t="s">
        <v>6103</v>
      </c>
      <c r="D2105" s="27" t="s">
        <v>8284</v>
      </c>
      <c r="E2105" s="27" t="s">
        <v>8220</v>
      </c>
      <c r="F2105" s="27" t="s">
        <v>6097</v>
      </c>
      <c r="G2105" s="101" t="s">
        <v>6105</v>
      </c>
      <c r="H2105" s="91">
        <v>44999</v>
      </c>
      <c r="I2105" s="73">
        <v>38032</v>
      </c>
      <c r="J2105" s="73">
        <v>37410</v>
      </c>
      <c r="K2105" s="73">
        <v>30299</v>
      </c>
      <c r="L2105" s="2" t="s">
        <v>6106</v>
      </c>
      <c r="M2105" s="1" t="s">
        <v>53</v>
      </c>
      <c r="N2105" s="112" t="s">
        <v>14</v>
      </c>
      <c r="O2105" s="104" t="s">
        <v>52</v>
      </c>
      <c r="P2105" s="104" t="s">
        <v>52</v>
      </c>
      <c r="Q2105" s="105"/>
      <c r="R2105" s="28" t="s">
        <v>74</v>
      </c>
      <c r="S2105" s="225">
        <f t="shared" si="32"/>
        <v>52505</v>
      </c>
      <c r="T2105" s="2" t="s">
        <v>7661</v>
      </c>
      <c r="U2105" s="7" t="s">
        <v>139</v>
      </c>
      <c r="V2105" s="162" t="str" cm="1">
        <f t="array" ref="V2105">_xlfn.IFS(C2105="","",COUNTIF(C2105,"ตำแหน่งว่าง*"),"ว่าง",COUNTIF(C2105,"&lt;&gt;ตำแหน่งว่าง*"),"คนครอง")</f>
        <v>คนครอง</v>
      </c>
      <c r="W2105" s="6" cm="1">
        <f t="array" ref="W2105">_xlfn.IFS(COUNTIF(F2105,"ผบ.หมู่*"),51,COUNTIF(F2105,"รอง สว.*"),43)</f>
        <v>51</v>
      </c>
      <c r="X2105" s="1" t="s">
        <v>6104</v>
      </c>
      <c r="Y2105" s="1" t="s">
        <v>52</v>
      </c>
    </row>
    <row r="2106" spans="1:25" s="9" customFormat="1" ht="21.3" customHeight="1">
      <c r="A2106" s="27" t="s">
        <v>182</v>
      </c>
      <c r="B2106" s="28" t="s">
        <v>12</v>
      </c>
      <c r="C2106" s="27" t="s">
        <v>6107</v>
      </c>
      <c r="D2106" s="27" t="s">
        <v>10190</v>
      </c>
      <c r="E2106" s="27" t="s">
        <v>10191</v>
      </c>
      <c r="F2106" s="27" t="s">
        <v>6097</v>
      </c>
      <c r="G2106" s="101" t="s">
        <v>6109</v>
      </c>
      <c r="H2106" s="75">
        <v>44636</v>
      </c>
      <c r="I2106" s="73">
        <v>44636</v>
      </c>
      <c r="J2106" s="73">
        <v>44636</v>
      </c>
      <c r="K2106" s="73">
        <v>36472</v>
      </c>
      <c r="L2106" s="11" t="s">
        <v>82</v>
      </c>
      <c r="M2106" s="1" t="s">
        <v>41</v>
      </c>
      <c r="N2106" s="112" t="s">
        <v>14</v>
      </c>
      <c r="O2106" s="104" t="s">
        <v>52</v>
      </c>
      <c r="P2106" s="104" t="s">
        <v>52</v>
      </c>
      <c r="Q2106" s="105"/>
      <c r="R2106" s="28" t="s">
        <v>611</v>
      </c>
      <c r="S2106" s="225">
        <f t="shared" si="32"/>
        <v>58715</v>
      </c>
      <c r="T2106" s="2" t="s">
        <v>7661</v>
      </c>
      <c r="U2106" s="7" t="s">
        <v>139</v>
      </c>
      <c r="V2106" s="162" t="str" cm="1">
        <f t="array" ref="V2106">_xlfn.IFS(C2106="","",COUNTIF(C2106,"ตำแหน่งว่าง*"),"ว่าง",COUNTIF(C2106,"&lt;&gt;ตำแหน่งว่าง*"),"คนครอง")</f>
        <v>คนครอง</v>
      </c>
      <c r="W2106" s="6" cm="1">
        <f t="array" ref="W2106">_xlfn.IFS(COUNTIF(F2106,"ผบ.หมู่*"),51,COUNTIF(F2106,"รอง สว.*"),43)</f>
        <v>51</v>
      </c>
      <c r="X2106" s="1" t="s">
        <v>6108</v>
      </c>
      <c r="Y2106" s="1" t="s">
        <v>52</v>
      </c>
    </row>
    <row r="2107" spans="1:25" s="12" customFormat="1" ht="21.3" customHeight="1">
      <c r="A2107" s="27" t="s">
        <v>612</v>
      </c>
      <c r="B2107" s="28" t="s">
        <v>12</v>
      </c>
      <c r="C2107" s="95" t="s">
        <v>6110</v>
      </c>
      <c r="D2107" s="27" t="s">
        <v>10192</v>
      </c>
      <c r="E2107" s="27" t="s">
        <v>10193</v>
      </c>
      <c r="F2107" s="95" t="s">
        <v>6097</v>
      </c>
      <c r="G2107" s="101" t="s">
        <v>6112</v>
      </c>
      <c r="H2107" s="91">
        <v>42501</v>
      </c>
      <c r="I2107" s="73">
        <v>42416</v>
      </c>
      <c r="J2107" s="73">
        <v>42416</v>
      </c>
      <c r="K2107" s="73">
        <v>32463</v>
      </c>
      <c r="L2107" s="11" t="s">
        <v>6113</v>
      </c>
      <c r="M2107" s="1" t="s">
        <v>53</v>
      </c>
      <c r="N2107" s="111" t="s">
        <v>14</v>
      </c>
      <c r="O2107" s="104" t="s">
        <v>52</v>
      </c>
      <c r="P2107" s="104" t="s">
        <v>52</v>
      </c>
      <c r="Q2107" s="105"/>
      <c r="R2107" s="28" t="s">
        <v>110</v>
      </c>
      <c r="S2107" s="225">
        <f t="shared" si="32"/>
        <v>54697</v>
      </c>
      <c r="T2107" s="162" t="s">
        <v>7661</v>
      </c>
      <c r="U2107" s="7" t="s">
        <v>139</v>
      </c>
      <c r="V2107" s="162" t="str" cm="1">
        <f t="array" ref="V2107">_xlfn.IFS(C2107="","",COUNTIF(C2107,"ตำแหน่งว่าง*"),"ว่าง",COUNTIF(C2107,"&lt;&gt;ตำแหน่งว่าง*"),"คนครอง")</f>
        <v>คนครอง</v>
      </c>
      <c r="W2107" s="6" cm="1">
        <f t="array" ref="W2107">_xlfn.IFS(COUNTIF(F2107,"ผบ.หมู่*"),51,COUNTIF(F2107,"รอง สว.*"),43)</f>
        <v>51</v>
      </c>
      <c r="X2107" s="5" t="s">
        <v>6111</v>
      </c>
      <c r="Y2107" s="5" t="s">
        <v>52</v>
      </c>
    </row>
    <row r="2108" spans="1:25" s="9" customFormat="1" ht="21.3" customHeight="1">
      <c r="A2108" s="27"/>
      <c r="B2108" s="28"/>
      <c r="C2108" s="27" t="s">
        <v>18</v>
      </c>
      <c r="D2108" s="27"/>
      <c r="E2108" s="27"/>
      <c r="F2108" s="27" t="s">
        <v>6097</v>
      </c>
      <c r="G2108" s="101" t="s">
        <v>6116</v>
      </c>
      <c r="H2108" s="91"/>
      <c r="I2108" s="73"/>
      <c r="J2108" s="85"/>
      <c r="K2108" s="73"/>
      <c r="L2108" s="11"/>
      <c r="M2108" s="1"/>
      <c r="N2108" s="112" t="s">
        <v>14</v>
      </c>
      <c r="O2108" s="104" t="s">
        <v>52</v>
      </c>
      <c r="P2108" s="104" t="s">
        <v>52</v>
      </c>
      <c r="Q2108" s="105"/>
      <c r="R2108" s="28"/>
      <c r="S2108" s="174" t="str">
        <f t="shared" si="32"/>
        <v/>
      </c>
      <c r="T2108" s="2" t="s">
        <v>7661</v>
      </c>
      <c r="U2108" s="2" t="s">
        <v>139</v>
      </c>
      <c r="V2108" s="2" t="str" cm="1">
        <f t="array" ref="V2108">_xlfn.IFS(C2108="","",COUNTIF(C2108,"ตำแหน่งว่าง*"),"ว่าง",COUNTIF(C2108,"&lt;&gt;ตำแหน่งว่าง*"),"คนครอง")</f>
        <v>ว่าง</v>
      </c>
      <c r="W2108" s="1" cm="1">
        <f t="array" ref="W2108">_xlfn.IFS(COUNTIF(F2108,"ผบ.หมู่*"),51,COUNTIF(F2108,"รอง สว.*"),43)</f>
        <v>51</v>
      </c>
      <c r="X2108" s="1" t="s">
        <v>6115</v>
      </c>
      <c r="Y2108" s="1" t="s">
        <v>52</v>
      </c>
    </row>
    <row r="2109" spans="1:25" s="9" customFormat="1" ht="21.3" customHeight="1">
      <c r="A2109" s="68"/>
      <c r="B2109" s="30"/>
      <c r="C2109" s="30" t="s">
        <v>18</v>
      </c>
      <c r="D2109" s="27"/>
      <c r="E2109" s="27"/>
      <c r="F2109" s="68" t="s">
        <v>6097</v>
      </c>
      <c r="G2109" s="121" t="s">
        <v>6118</v>
      </c>
      <c r="H2109" s="93"/>
      <c r="I2109" s="74"/>
      <c r="J2109" s="90"/>
      <c r="K2109" s="74"/>
      <c r="L2109" s="16"/>
      <c r="M2109" s="6"/>
      <c r="N2109" s="113" t="s">
        <v>14</v>
      </c>
      <c r="O2109" s="122" t="s">
        <v>52</v>
      </c>
      <c r="P2109" s="122" t="s">
        <v>52</v>
      </c>
      <c r="Q2109" s="106"/>
      <c r="R2109" s="30"/>
      <c r="S2109" s="225" t="str">
        <f t="shared" si="32"/>
        <v/>
      </c>
      <c r="T2109" s="2" t="s">
        <v>7661</v>
      </c>
      <c r="U2109" s="7" t="s">
        <v>139</v>
      </c>
      <c r="V2109" s="171" t="str" cm="1">
        <f t="array" ref="V2109">_xlfn.IFS(C2109="","",COUNTIF(C2109,"ตำแหน่งว่าง*"),"ว่าง",COUNTIF(C2109,"&lt;&gt;ตำแหน่งว่าง*"),"คนครอง")</f>
        <v>ว่าง</v>
      </c>
      <c r="W2109" s="6" cm="1">
        <f t="array" ref="W2109">_xlfn.IFS(COUNTIF(F2109,"ผบ.หมู่*"),51,COUNTIF(F2109,"รอง สว.*"),43)</f>
        <v>51</v>
      </c>
      <c r="X2109" s="1" t="s">
        <v>6117</v>
      </c>
      <c r="Y2109" s="1" t="s">
        <v>52</v>
      </c>
    </row>
    <row r="2110" spans="1:25" s="12" customFormat="1" ht="21.3" customHeight="1">
      <c r="A2110" s="27"/>
      <c r="B2110" s="28"/>
      <c r="C2110" s="30" t="s">
        <v>18</v>
      </c>
      <c r="D2110" s="27"/>
      <c r="E2110" s="27"/>
      <c r="F2110" s="95" t="s">
        <v>6097</v>
      </c>
      <c r="G2110" s="101" t="s">
        <v>6120</v>
      </c>
      <c r="H2110" s="91"/>
      <c r="I2110" s="73"/>
      <c r="J2110" s="73"/>
      <c r="K2110" s="73"/>
      <c r="L2110" s="11"/>
      <c r="M2110" s="1"/>
      <c r="N2110" s="111" t="s">
        <v>14</v>
      </c>
      <c r="O2110" s="104" t="s">
        <v>52</v>
      </c>
      <c r="P2110" s="104" t="s">
        <v>52</v>
      </c>
      <c r="Q2110" s="105"/>
      <c r="R2110" s="30"/>
      <c r="S2110" s="225" t="str">
        <f t="shared" si="32"/>
        <v/>
      </c>
      <c r="T2110" s="162" t="s">
        <v>7661</v>
      </c>
      <c r="U2110" s="7" t="s">
        <v>139</v>
      </c>
      <c r="V2110" s="162" t="str" cm="1">
        <f t="array" ref="V2110">_xlfn.IFS(C2110="","",COUNTIF(C2110,"ตำแหน่งว่าง*"),"ว่าง",COUNTIF(C2110,"&lt;&gt;ตำแหน่งว่าง*"),"คนครอง")</f>
        <v>ว่าง</v>
      </c>
      <c r="W2110" s="5" cm="1">
        <f t="array" ref="W2110">_xlfn.IFS(COUNTIF(F2110,"ผบ.หมู่*"),51,COUNTIF(F2110,"รอง สว.*"),43)</f>
        <v>51</v>
      </c>
      <c r="X2110" s="5" t="s">
        <v>6119</v>
      </c>
      <c r="Y2110" s="5" t="s">
        <v>52</v>
      </c>
    </row>
    <row r="2111" spans="1:25" s="10" customFormat="1" ht="21.3" customHeight="1">
      <c r="A2111" s="192" t="s">
        <v>169</v>
      </c>
      <c r="B2111" s="193" t="s">
        <v>12</v>
      </c>
      <c r="C2111" s="192" t="s">
        <v>7957</v>
      </c>
      <c r="D2111" s="27" t="s">
        <v>10196</v>
      </c>
      <c r="E2111" s="27" t="s">
        <v>10197</v>
      </c>
      <c r="F2111" s="192" t="s">
        <v>6097</v>
      </c>
      <c r="G2111" s="101" t="s">
        <v>6122</v>
      </c>
      <c r="H2111" s="73">
        <v>45463</v>
      </c>
      <c r="I2111" s="73">
        <v>45463</v>
      </c>
      <c r="J2111" s="73">
        <v>45463</v>
      </c>
      <c r="K2111" s="73">
        <v>32609</v>
      </c>
      <c r="L2111" s="2" t="s">
        <v>82</v>
      </c>
      <c r="M2111" s="1"/>
      <c r="N2111" s="112" t="s">
        <v>14</v>
      </c>
      <c r="O2111" s="104" t="s">
        <v>52</v>
      </c>
      <c r="P2111" s="104" t="s">
        <v>52</v>
      </c>
      <c r="Q2111" s="105"/>
      <c r="R2111" s="28" t="s">
        <v>7961</v>
      </c>
      <c r="S2111" s="174">
        <f t="shared" si="32"/>
        <v>54697</v>
      </c>
      <c r="T2111" s="2" t="s">
        <v>7661</v>
      </c>
      <c r="U2111" s="2" t="s">
        <v>139</v>
      </c>
      <c r="V2111" s="162" t="str" cm="1">
        <f t="array" ref="V2111">_xlfn.IFS(C2111="","",COUNTIF(C2111,"ตำแหน่งว่าง*"),"ว่าง",COUNTIF(C2111,"&lt;&gt;ตำแหน่งว่าง*"),"คนครอง")</f>
        <v>คนครอง</v>
      </c>
      <c r="W2111" s="1" cm="1">
        <f t="array" ref="W2111">_xlfn.IFS(COUNTIF(F2111,"ผบ.หมู่*"),51,COUNTIF(F2111,"รอง สว.*"),43)</f>
        <v>51</v>
      </c>
      <c r="X2111" s="1" t="s">
        <v>6121</v>
      </c>
      <c r="Y2111" s="1" t="s">
        <v>52</v>
      </c>
    </row>
    <row r="2112" spans="1:25" s="9" customFormat="1" ht="21.3" customHeight="1">
      <c r="A2112" s="27" t="s">
        <v>182</v>
      </c>
      <c r="B2112" s="28" t="s">
        <v>12</v>
      </c>
      <c r="C2112" s="27" t="s">
        <v>6123</v>
      </c>
      <c r="D2112" s="27" t="s">
        <v>10198</v>
      </c>
      <c r="E2112" s="27" t="s">
        <v>10199</v>
      </c>
      <c r="F2112" s="27" t="s">
        <v>6097</v>
      </c>
      <c r="G2112" s="101" t="s">
        <v>6125</v>
      </c>
      <c r="H2112" s="75">
        <v>44636</v>
      </c>
      <c r="I2112" s="73">
        <v>44636</v>
      </c>
      <c r="J2112" s="73">
        <v>44636</v>
      </c>
      <c r="K2112" s="73">
        <v>37484</v>
      </c>
      <c r="L2112" s="11" t="s">
        <v>82</v>
      </c>
      <c r="M2112" s="1" t="s">
        <v>79</v>
      </c>
      <c r="N2112" s="112" t="s">
        <v>14</v>
      </c>
      <c r="O2112" s="104" t="s">
        <v>52</v>
      </c>
      <c r="P2112" s="104" t="s">
        <v>52</v>
      </c>
      <c r="Q2112" s="105"/>
      <c r="R2112" s="28" t="s">
        <v>611</v>
      </c>
      <c r="S2112" s="225">
        <f t="shared" si="32"/>
        <v>59445</v>
      </c>
      <c r="T2112" s="2" t="s">
        <v>7661</v>
      </c>
      <c r="U2112" s="7" t="s">
        <v>139</v>
      </c>
      <c r="V2112" s="162" t="str" cm="1">
        <f t="array" ref="V2112">_xlfn.IFS(C2112="","",COUNTIF(C2112,"ตำแหน่งว่าง*"),"ว่าง",COUNTIF(C2112,"&lt;&gt;ตำแหน่งว่าง*"),"คนครอง")</f>
        <v>คนครอง</v>
      </c>
      <c r="W2112" s="6" cm="1">
        <f t="array" ref="W2112">_xlfn.IFS(COUNTIF(F2112,"ผบ.หมู่*"),51,COUNTIF(F2112,"รอง สว.*"),43)</f>
        <v>51</v>
      </c>
      <c r="X2112" s="1" t="s">
        <v>6124</v>
      </c>
      <c r="Y2112" s="1" t="s">
        <v>52</v>
      </c>
    </row>
    <row r="2113" spans="1:25" s="10" customFormat="1" ht="21.3" customHeight="1">
      <c r="A2113" s="27"/>
      <c r="B2113" s="28"/>
      <c r="C2113" s="30" t="s">
        <v>18</v>
      </c>
      <c r="D2113" s="27"/>
      <c r="E2113" s="27"/>
      <c r="F2113" s="68" t="s">
        <v>6097</v>
      </c>
      <c r="G2113" s="121" t="s">
        <v>6127</v>
      </c>
      <c r="H2113" s="91" t="s">
        <v>19</v>
      </c>
      <c r="I2113" s="73" t="s">
        <v>19</v>
      </c>
      <c r="J2113" s="73" t="s">
        <v>19</v>
      </c>
      <c r="K2113" s="73" t="s">
        <v>19</v>
      </c>
      <c r="L2113" s="11"/>
      <c r="M2113" s="1"/>
      <c r="N2113" s="113" t="s">
        <v>14</v>
      </c>
      <c r="O2113" s="122" t="s">
        <v>52</v>
      </c>
      <c r="P2113" s="122" t="s">
        <v>52</v>
      </c>
      <c r="Q2113" s="105"/>
      <c r="R2113" s="28"/>
      <c r="S2113" s="225" t="str">
        <f t="shared" si="32"/>
        <v/>
      </c>
      <c r="T2113" s="7" t="s">
        <v>7661</v>
      </c>
      <c r="U2113" s="7" t="s">
        <v>139</v>
      </c>
      <c r="V2113" s="171" t="str" cm="1">
        <f t="array" ref="V2113">_xlfn.IFS(C2113="","",COUNTIF(C2113,"ตำแหน่งว่าง*"),"ว่าง",COUNTIF(C2113,"&lt;&gt;ตำแหน่งว่าง*"),"คนครอง")</f>
        <v>ว่าง</v>
      </c>
      <c r="W2113" s="6" cm="1">
        <f t="array" ref="W2113">_xlfn.IFS(COUNTIF(F2113,"ผบ.หมู่*"),51,COUNTIF(F2113,"รอง สว.*"),43)</f>
        <v>51</v>
      </c>
      <c r="X2113" s="6" t="s">
        <v>6126</v>
      </c>
      <c r="Y2113" s="6" t="s">
        <v>52</v>
      </c>
    </row>
    <row r="2114" spans="1:25" s="10" customFormat="1" ht="21.3" customHeight="1">
      <c r="A2114" s="27"/>
      <c r="B2114" s="28"/>
      <c r="C2114" s="30" t="s">
        <v>18</v>
      </c>
      <c r="D2114" s="27"/>
      <c r="E2114" s="27"/>
      <c r="F2114" s="68" t="s">
        <v>6097</v>
      </c>
      <c r="G2114" s="121" t="s">
        <v>6129</v>
      </c>
      <c r="H2114" s="91" t="s">
        <v>19</v>
      </c>
      <c r="I2114" s="73" t="s">
        <v>19</v>
      </c>
      <c r="J2114" s="73" t="s">
        <v>19</v>
      </c>
      <c r="K2114" s="73" t="s">
        <v>19</v>
      </c>
      <c r="L2114" s="11"/>
      <c r="M2114" s="1"/>
      <c r="N2114" s="113" t="s">
        <v>14</v>
      </c>
      <c r="O2114" s="122" t="s">
        <v>52</v>
      </c>
      <c r="P2114" s="122" t="s">
        <v>52</v>
      </c>
      <c r="Q2114" s="105"/>
      <c r="R2114" s="28"/>
      <c r="S2114" s="225" t="str">
        <f t="shared" ref="S2114:S2177" si="33">IF(K2114&lt;&gt;"",DATE(YEAR(K2114)+60+(K2114&gt;=DATE(YEAR(K2114),10,2)),10,1),"")</f>
        <v/>
      </c>
      <c r="T2114" s="7" t="s">
        <v>7661</v>
      </c>
      <c r="U2114" s="7" t="s">
        <v>139</v>
      </c>
      <c r="V2114" s="171" t="str" cm="1">
        <f t="array" ref="V2114">_xlfn.IFS(C2114="","",COUNTIF(C2114,"ตำแหน่งว่าง*"),"ว่าง",COUNTIF(C2114,"&lt;&gt;ตำแหน่งว่าง*"),"คนครอง")</f>
        <v>ว่าง</v>
      </c>
      <c r="W2114" s="6" cm="1">
        <f t="array" ref="W2114">_xlfn.IFS(COUNTIF(F2114,"ผบ.หมู่*"),51,COUNTIF(F2114,"รอง สว.*"),43)</f>
        <v>51</v>
      </c>
      <c r="X2114" s="6" t="s">
        <v>6128</v>
      </c>
      <c r="Y2114" s="6" t="s">
        <v>52</v>
      </c>
    </row>
    <row r="2115" spans="1:25" s="10" customFormat="1" ht="21.3" customHeight="1">
      <c r="A2115" s="27"/>
      <c r="B2115" s="28"/>
      <c r="C2115" s="30" t="s">
        <v>18</v>
      </c>
      <c r="D2115" s="27"/>
      <c r="E2115" s="27"/>
      <c r="F2115" s="68" t="s">
        <v>6097</v>
      </c>
      <c r="G2115" s="121" t="s">
        <v>6131</v>
      </c>
      <c r="H2115" s="91" t="s">
        <v>19</v>
      </c>
      <c r="I2115" s="73" t="s">
        <v>19</v>
      </c>
      <c r="J2115" s="73" t="s">
        <v>19</v>
      </c>
      <c r="K2115" s="73" t="s">
        <v>19</v>
      </c>
      <c r="L2115" s="11"/>
      <c r="M2115" s="1"/>
      <c r="N2115" s="113" t="s">
        <v>14</v>
      </c>
      <c r="O2115" s="122" t="s">
        <v>52</v>
      </c>
      <c r="P2115" s="122" t="s">
        <v>52</v>
      </c>
      <c r="Q2115" s="105"/>
      <c r="R2115" s="28"/>
      <c r="S2115" s="225" t="str">
        <f t="shared" si="33"/>
        <v/>
      </c>
      <c r="T2115" s="7" t="s">
        <v>7661</v>
      </c>
      <c r="U2115" s="7" t="s">
        <v>139</v>
      </c>
      <c r="V2115" s="171" t="str" cm="1">
        <f t="array" ref="V2115">_xlfn.IFS(C2115="","",COUNTIF(C2115,"ตำแหน่งว่าง*"),"ว่าง",COUNTIF(C2115,"&lt;&gt;ตำแหน่งว่าง*"),"คนครอง")</f>
        <v>ว่าง</v>
      </c>
      <c r="W2115" s="6" cm="1">
        <f t="array" ref="W2115">_xlfn.IFS(COUNTIF(F2115,"ผบ.หมู่*"),51,COUNTIF(F2115,"รอง สว.*"),43)</f>
        <v>51</v>
      </c>
      <c r="X2115" s="6" t="s">
        <v>6130</v>
      </c>
      <c r="Y2115" s="6" t="s">
        <v>52</v>
      </c>
    </row>
    <row r="2116" spans="1:25" s="10" customFormat="1" ht="21.3" customHeight="1">
      <c r="A2116" s="27"/>
      <c r="B2116" s="28"/>
      <c r="C2116" s="30" t="s">
        <v>18</v>
      </c>
      <c r="D2116" s="27"/>
      <c r="E2116" s="27"/>
      <c r="F2116" s="68" t="s">
        <v>6097</v>
      </c>
      <c r="G2116" s="121" t="s">
        <v>6133</v>
      </c>
      <c r="H2116" s="91" t="s">
        <v>19</v>
      </c>
      <c r="I2116" s="73" t="s">
        <v>19</v>
      </c>
      <c r="J2116" s="73" t="s">
        <v>19</v>
      </c>
      <c r="K2116" s="73" t="s">
        <v>19</v>
      </c>
      <c r="L2116" s="11"/>
      <c r="M2116" s="1"/>
      <c r="N2116" s="113" t="s">
        <v>14</v>
      </c>
      <c r="O2116" s="122" t="s">
        <v>52</v>
      </c>
      <c r="P2116" s="122" t="s">
        <v>52</v>
      </c>
      <c r="Q2116" s="105"/>
      <c r="R2116" s="28"/>
      <c r="S2116" s="225" t="str">
        <f t="shared" si="33"/>
        <v/>
      </c>
      <c r="T2116" s="7" t="s">
        <v>7661</v>
      </c>
      <c r="U2116" s="7" t="s">
        <v>139</v>
      </c>
      <c r="V2116" s="171" t="str" cm="1">
        <f t="array" ref="V2116">_xlfn.IFS(C2116="","",COUNTIF(C2116,"ตำแหน่งว่าง*"),"ว่าง",COUNTIF(C2116,"&lt;&gt;ตำแหน่งว่าง*"),"คนครอง")</f>
        <v>ว่าง</v>
      </c>
      <c r="W2116" s="6" cm="1">
        <f t="array" ref="W2116">_xlfn.IFS(COUNTIF(F2116,"ผบ.หมู่*"),51,COUNTIF(F2116,"รอง สว.*"),43)</f>
        <v>51</v>
      </c>
      <c r="X2116" s="6" t="s">
        <v>6132</v>
      </c>
      <c r="Y2116" s="6" t="s">
        <v>52</v>
      </c>
    </row>
    <row r="2117" spans="1:25" s="12" customFormat="1" ht="21.3" customHeight="1">
      <c r="A2117" s="27" t="s">
        <v>10753</v>
      </c>
      <c r="B2117" s="28" t="s">
        <v>12</v>
      </c>
      <c r="C2117" s="95" t="s">
        <v>6134</v>
      </c>
      <c r="D2117" s="27" t="s">
        <v>10200</v>
      </c>
      <c r="E2117" s="27" t="s">
        <v>10201</v>
      </c>
      <c r="F2117" s="95" t="s">
        <v>6135</v>
      </c>
      <c r="G2117" s="101" t="s">
        <v>6137</v>
      </c>
      <c r="H2117" s="75">
        <v>45016</v>
      </c>
      <c r="I2117" s="73">
        <v>45016</v>
      </c>
      <c r="J2117" s="73">
        <v>33635</v>
      </c>
      <c r="K2117" s="73">
        <v>25644</v>
      </c>
      <c r="L2117" s="11" t="s">
        <v>4826</v>
      </c>
      <c r="M2117" s="1" t="s">
        <v>25</v>
      </c>
      <c r="N2117" s="111" t="s">
        <v>14</v>
      </c>
      <c r="O2117" s="104" t="s">
        <v>52</v>
      </c>
      <c r="P2117" s="104" t="s">
        <v>52</v>
      </c>
      <c r="Q2117" s="105"/>
      <c r="R2117" s="28" t="s">
        <v>483</v>
      </c>
      <c r="S2117" s="225">
        <f t="shared" si="33"/>
        <v>47757</v>
      </c>
      <c r="T2117" s="162" t="s">
        <v>7662</v>
      </c>
      <c r="U2117" s="7" t="s">
        <v>139</v>
      </c>
      <c r="V2117" s="162" t="str" cm="1">
        <f t="array" ref="V2117">_xlfn.IFS(C2117="","",COUNTIF(C2117,"ตำแหน่งว่าง*"),"ว่าง",COUNTIF(C2117,"&lt;&gt;ตำแหน่งว่าง*"),"คนครอง")</f>
        <v>คนครอง</v>
      </c>
      <c r="W2117" s="5" cm="1">
        <f t="array" ref="W2117">_xlfn.IFS(COUNTIF(F2117,"ผบ.หมู่*"),51,COUNTIF(F2117,"รอง สว.*"),43)</f>
        <v>43</v>
      </c>
      <c r="X2117" s="5" t="s">
        <v>6136</v>
      </c>
      <c r="Y2117" s="5" t="s">
        <v>52</v>
      </c>
    </row>
    <row r="2118" spans="1:25" s="9" customFormat="1" ht="21.3" customHeight="1">
      <c r="A2118" s="27" t="s">
        <v>157</v>
      </c>
      <c r="B2118" s="28" t="s">
        <v>21</v>
      </c>
      <c r="C2118" s="27" t="s">
        <v>6138</v>
      </c>
      <c r="D2118" s="27" t="s">
        <v>8208</v>
      </c>
      <c r="E2118" s="27" t="s">
        <v>10202</v>
      </c>
      <c r="F2118" s="27" t="s">
        <v>6139</v>
      </c>
      <c r="G2118" s="101" t="s">
        <v>6141</v>
      </c>
      <c r="H2118" s="91">
        <v>44599</v>
      </c>
      <c r="I2118" s="73">
        <v>35551</v>
      </c>
      <c r="J2118" s="73">
        <v>34729</v>
      </c>
      <c r="K2118" s="73">
        <v>27668</v>
      </c>
      <c r="L2118" s="11" t="s">
        <v>2314</v>
      </c>
      <c r="M2118" s="1" t="s">
        <v>25</v>
      </c>
      <c r="N2118" s="112" t="s">
        <v>14</v>
      </c>
      <c r="O2118" s="104" t="s">
        <v>52</v>
      </c>
      <c r="P2118" s="104" t="s">
        <v>52</v>
      </c>
      <c r="Q2118" s="105"/>
      <c r="R2118" s="28" t="s">
        <v>607</v>
      </c>
      <c r="S2118" s="225">
        <f t="shared" si="33"/>
        <v>49583</v>
      </c>
      <c r="T2118" s="2" t="s">
        <v>7662</v>
      </c>
      <c r="U2118" s="7" t="s">
        <v>139</v>
      </c>
      <c r="V2118" s="162" t="str" cm="1">
        <f t="array" ref="V2118">_xlfn.IFS(C2118="","",COUNTIF(C2118,"ตำแหน่งว่าง*"),"ว่าง",COUNTIF(C2118,"&lt;&gt;ตำแหน่งว่าง*"),"คนครอง")</f>
        <v>คนครอง</v>
      </c>
      <c r="W2118" s="6" cm="1">
        <f t="array" ref="W2118">_xlfn.IFS(COUNTIF(F2118,"ผบ.หมู่*"),51,COUNTIF(F2118,"รอง สว.*"),43)</f>
        <v>51</v>
      </c>
      <c r="X2118" s="1" t="s">
        <v>6140</v>
      </c>
      <c r="Y2118" s="1" t="s">
        <v>52</v>
      </c>
    </row>
    <row r="2119" spans="1:25" s="9" customFormat="1" ht="21.3" customHeight="1">
      <c r="A2119" s="192" t="s">
        <v>169</v>
      </c>
      <c r="B2119" s="193" t="s">
        <v>21</v>
      </c>
      <c r="C2119" s="192" t="s">
        <v>7958</v>
      </c>
      <c r="D2119" s="27" t="s">
        <v>10203</v>
      </c>
      <c r="E2119" s="27" t="s">
        <v>10204</v>
      </c>
      <c r="F2119" s="192" t="s">
        <v>6139</v>
      </c>
      <c r="G2119" s="101" t="s">
        <v>6143</v>
      </c>
      <c r="H2119" s="73">
        <v>45463</v>
      </c>
      <c r="I2119" s="73">
        <v>45463</v>
      </c>
      <c r="J2119" s="73">
        <v>45463</v>
      </c>
      <c r="K2119" s="73">
        <v>36600</v>
      </c>
      <c r="L2119" s="2" t="s">
        <v>82</v>
      </c>
      <c r="M2119" s="1"/>
      <c r="N2119" s="112" t="s">
        <v>14</v>
      </c>
      <c r="O2119" s="104" t="s">
        <v>52</v>
      </c>
      <c r="P2119" s="104" t="s">
        <v>52</v>
      </c>
      <c r="Q2119" s="105"/>
      <c r="R2119" s="28" t="s">
        <v>7961</v>
      </c>
      <c r="S2119" s="174">
        <f t="shared" si="33"/>
        <v>58715</v>
      </c>
      <c r="T2119" s="2" t="s">
        <v>7662</v>
      </c>
      <c r="U2119" s="2" t="s">
        <v>139</v>
      </c>
      <c r="V2119" s="162" t="str" cm="1">
        <f t="array" ref="V2119">_xlfn.IFS(C2119="","",COUNTIF(C2119,"ตำแหน่งว่าง*"),"ว่าง",COUNTIF(C2119,"&lt;&gt;ตำแหน่งว่าง*"),"คนครอง")</f>
        <v>คนครอง</v>
      </c>
      <c r="W2119" s="1" cm="1">
        <f t="array" ref="W2119">_xlfn.IFS(COUNTIF(F2119,"ผบ.หมู่*"),51,COUNTIF(F2119,"รอง สว.*"),43)</f>
        <v>51</v>
      </c>
      <c r="X2119" s="1" t="s">
        <v>6142</v>
      </c>
      <c r="Y2119" s="1" t="s">
        <v>52</v>
      </c>
    </row>
    <row r="2120" spans="1:25" s="10" customFormat="1" ht="21.3" customHeight="1">
      <c r="A2120" s="132" t="s">
        <v>10753</v>
      </c>
      <c r="B2120" s="28" t="s">
        <v>21</v>
      </c>
      <c r="C2120" s="27" t="s">
        <v>6144</v>
      </c>
      <c r="D2120" s="27" t="s">
        <v>10205</v>
      </c>
      <c r="E2120" s="27" t="s">
        <v>7998</v>
      </c>
      <c r="F2120" s="27" t="s">
        <v>6135</v>
      </c>
      <c r="G2120" s="101" t="s">
        <v>6146</v>
      </c>
      <c r="H2120" s="91">
        <v>45382</v>
      </c>
      <c r="I2120" s="73">
        <v>38032</v>
      </c>
      <c r="J2120" s="73">
        <v>37316</v>
      </c>
      <c r="K2120" s="73">
        <v>26116</v>
      </c>
      <c r="L2120" s="11" t="s">
        <v>6147</v>
      </c>
      <c r="M2120" s="1" t="s">
        <v>15</v>
      </c>
      <c r="N2120" s="112" t="s">
        <v>14</v>
      </c>
      <c r="O2120" s="104" t="s">
        <v>52</v>
      </c>
      <c r="P2120" s="104" t="s">
        <v>52</v>
      </c>
      <c r="Q2120" s="105"/>
      <c r="R2120" s="33" t="s">
        <v>7801</v>
      </c>
      <c r="S2120" s="225">
        <f t="shared" si="33"/>
        <v>48122</v>
      </c>
      <c r="T2120" s="7" t="s">
        <v>7662</v>
      </c>
      <c r="U2120" s="7" t="s">
        <v>139</v>
      </c>
      <c r="V2120" s="162" t="str" cm="1">
        <f t="array" ref="V2120">_xlfn.IFS(C2120="","",COUNTIF(C2120,"ตำแหน่งว่าง*"),"ว่าง",COUNTIF(C2120,"&lt;&gt;ตำแหน่งว่าง*"),"คนครอง")</f>
        <v>คนครอง</v>
      </c>
      <c r="W2120" s="6" cm="1">
        <f t="array" ref="W2120">_xlfn.IFS(COUNTIF(F2120,"ผบ.หมู่*"),51,COUNTIF(F2120,"รอง สว.*"),43)</f>
        <v>43</v>
      </c>
      <c r="X2120" s="1" t="s">
        <v>6145</v>
      </c>
      <c r="Y2120" s="1" t="s">
        <v>52</v>
      </c>
    </row>
    <row r="2121" spans="1:25" s="12" customFormat="1" ht="21.3" customHeight="1">
      <c r="A2121" s="27" t="s">
        <v>157</v>
      </c>
      <c r="B2121" s="28" t="s">
        <v>21</v>
      </c>
      <c r="C2121" s="27" t="s">
        <v>6148</v>
      </c>
      <c r="D2121" s="27" t="s">
        <v>10206</v>
      </c>
      <c r="E2121" s="27" t="s">
        <v>10207</v>
      </c>
      <c r="F2121" s="95" t="s">
        <v>6139</v>
      </c>
      <c r="G2121" s="101" t="s">
        <v>6150</v>
      </c>
      <c r="H2121" s="75">
        <v>42501</v>
      </c>
      <c r="I2121" s="73">
        <v>34729</v>
      </c>
      <c r="J2121" s="73">
        <v>34729</v>
      </c>
      <c r="K2121" s="73">
        <v>26623</v>
      </c>
      <c r="L2121" s="11" t="s">
        <v>2314</v>
      </c>
      <c r="M2121" s="1" t="s">
        <v>25</v>
      </c>
      <c r="N2121" s="111" t="s">
        <v>14</v>
      </c>
      <c r="O2121" s="104" t="s">
        <v>52</v>
      </c>
      <c r="P2121" s="104" t="s">
        <v>52</v>
      </c>
      <c r="Q2121" s="105"/>
      <c r="R2121" s="28" t="s">
        <v>110</v>
      </c>
      <c r="S2121" s="225">
        <f t="shared" si="33"/>
        <v>48853</v>
      </c>
      <c r="T2121" s="162" t="s">
        <v>7662</v>
      </c>
      <c r="U2121" s="7" t="s">
        <v>139</v>
      </c>
      <c r="V2121" s="162" t="str" cm="1">
        <f t="array" ref="V2121">_xlfn.IFS(C2121="","",COUNTIF(C2121,"ตำแหน่งว่าง*"),"ว่าง",COUNTIF(C2121,"&lt;&gt;ตำแหน่งว่าง*"),"คนครอง")</f>
        <v>คนครอง</v>
      </c>
      <c r="W2121" s="6" cm="1">
        <f t="array" ref="W2121">_xlfn.IFS(COUNTIF(F2121,"ผบ.หมู่*"),51,COUNTIF(F2121,"รอง สว.*"),43)</f>
        <v>51</v>
      </c>
      <c r="X2121" s="5" t="s">
        <v>6149</v>
      </c>
      <c r="Y2121" s="5" t="s">
        <v>52</v>
      </c>
    </row>
    <row r="2122" spans="1:25" s="9" customFormat="1" ht="21.3" customHeight="1">
      <c r="A2122" s="27" t="s">
        <v>157</v>
      </c>
      <c r="B2122" s="28" t="s">
        <v>12</v>
      </c>
      <c r="C2122" s="27" t="s">
        <v>6151</v>
      </c>
      <c r="D2122" s="27" t="s">
        <v>10208</v>
      </c>
      <c r="E2122" s="27" t="s">
        <v>10209</v>
      </c>
      <c r="F2122" s="27" t="s">
        <v>6152</v>
      </c>
      <c r="G2122" s="101" t="s">
        <v>6154</v>
      </c>
      <c r="H2122" s="75">
        <v>42940</v>
      </c>
      <c r="I2122" s="73">
        <v>39661</v>
      </c>
      <c r="J2122" s="73">
        <v>39479</v>
      </c>
      <c r="K2122" s="73">
        <v>30323</v>
      </c>
      <c r="L2122" s="11" t="s">
        <v>6155</v>
      </c>
      <c r="M2122" s="1" t="s">
        <v>25</v>
      </c>
      <c r="N2122" s="112" t="s">
        <v>14</v>
      </c>
      <c r="O2122" s="104" t="s">
        <v>52</v>
      </c>
      <c r="P2122" s="104" t="s">
        <v>52</v>
      </c>
      <c r="Q2122" s="105"/>
      <c r="R2122" s="28" t="s">
        <v>4298</v>
      </c>
      <c r="S2122" s="225">
        <f t="shared" si="33"/>
        <v>52505</v>
      </c>
      <c r="T2122" s="2" t="s">
        <v>7662</v>
      </c>
      <c r="U2122" s="7" t="s">
        <v>139</v>
      </c>
      <c r="V2122" s="162" t="str" cm="1">
        <f t="array" ref="V2122">_xlfn.IFS(C2122="","",COUNTIF(C2122,"ตำแหน่งว่าง*"),"ว่าง",COUNTIF(C2122,"&lt;&gt;ตำแหน่งว่าง*"),"คนครอง")</f>
        <v>คนครอง</v>
      </c>
      <c r="W2122" s="6" cm="1">
        <f t="array" ref="W2122">_xlfn.IFS(COUNTIF(F2122,"ผบ.หมู่*"),51,COUNTIF(F2122,"รอง สว.*"),43)</f>
        <v>51</v>
      </c>
      <c r="X2122" s="1" t="s">
        <v>6153</v>
      </c>
      <c r="Y2122" s="1" t="s">
        <v>52</v>
      </c>
    </row>
    <row r="2123" spans="1:25" s="12" customFormat="1" ht="21.3" customHeight="1">
      <c r="A2123" s="27"/>
      <c r="B2123" s="28"/>
      <c r="C2123" s="95" t="s">
        <v>18</v>
      </c>
      <c r="D2123" s="27"/>
      <c r="E2123" s="27"/>
      <c r="F2123" s="27" t="s">
        <v>6152</v>
      </c>
      <c r="G2123" s="101" t="s">
        <v>6157</v>
      </c>
      <c r="H2123" s="75"/>
      <c r="I2123" s="73"/>
      <c r="J2123" s="73"/>
      <c r="K2123" s="73"/>
      <c r="L2123" s="11"/>
      <c r="M2123" s="1"/>
      <c r="N2123" s="111" t="s">
        <v>14</v>
      </c>
      <c r="O2123" s="104" t="s">
        <v>52</v>
      </c>
      <c r="P2123" s="104" t="s">
        <v>52</v>
      </c>
      <c r="Q2123" s="105"/>
      <c r="R2123" s="28"/>
      <c r="S2123" s="225" t="str">
        <f t="shared" si="33"/>
        <v/>
      </c>
      <c r="T2123" s="162" t="s">
        <v>7662</v>
      </c>
      <c r="U2123" s="7" t="s">
        <v>139</v>
      </c>
      <c r="V2123" s="162" t="str" cm="1">
        <f t="array" ref="V2123">_xlfn.IFS(C2123="","",COUNTIF(C2123,"ตำแหน่งว่าง*"),"ว่าง",COUNTIF(C2123,"&lt;&gt;ตำแหน่งว่าง*"),"คนครอง")</f>
        <v>ว่าง</v>
      </c>
      <c r="W2123" s="5" cm="1">
        <f t="array" ref="W2123">_xlfn.IFS(COUNTIF(F2123,"ผบ.หมู่*"),51,COUNTIF(F2123,"รอง สว.*"),43)</f>
        <v>51</v>
      </c>
      <c r="X2123" s="5" t="s">
        <v>6156</v>
      </c>
      <c r="Y2123" s="5" t="s">
        <v>52</v>
      </c>
    </row>
    <row r="2124" spans="1:25" s="10" customFormat="1" ht="21.3" customHeight="1">
      <c r="A2124" s="68"/>
      <c r="B2124" s="30"/>
      <c r="C2124" s="30" t="s">
        <v>18</v>
      </c>
      <c r="D2124" s="27"/>
      <c r="E2124" s="27"/>
      <c r="F2124" s="68" t="s">
        <v>6139</v>
      </c>
      <c r="G2124" s="121" t="s">
        <v>6159</v>
      </c>
      <c r="H2124" s="80" t="s">
        <v>19</v>
      </c>
      <c r="I2124" s="74" t="s">
        <v>19</v>
      </c>
      <c r="J2124" s="74" t="s">
        <v>19</v>
      </c>
      <c r="K2124" s="74" t="s">
        <v>19</v>
      </c>
      <c r="L2124" s="16"/>
      <c r="M2124" s="6"/>
      <c r="N2124" s="113" t="s">
        <v>14</v>
      </c>
      <c r="O2124" s="122" t="s">
        <v>52</v>
      </c>
      <c r="P2124" s="122" t="s">
        <v>52</v>
      </c>
      <c r="Q2124" s="106"/>
      <c r="R2124" s="30"/>
      <c r="S2124" s="225" t="str">
        <f t="shared" si="33"/>
        <v/>
      </c>
      <c r="T2124" s="7" t="s">
        <v>7662</v>
      </c>
      <c r="U2124" s="7" t="s">
        <v>139</v>
      </c>
      <c r="V2124" s="171" t="str" cm="1">
        <f t="array" ref="V2124">_xlfn.IFS(C2124="","",COUNTIF(C2124,"ตำแหน่งว่าง*"),"ว่าง",COUNTIF(C2124,"&lt;&gt;ตำแหน่งว่าง*"),"คนครอง")</f>
        <v>ว่าง</v>
      </c>
      <c r="W2124" s="6" cm="1">
        <f t="array" ref="W2124">_xlfn.IFS(COUNTIF(F2124,"ผบ.หมู่*"),51,COUNTIF(F2124,"รอง สว.*"),43)</f>
        <v>51</v>
      </c>
      <c r="X2124" s="6" t="s">
        <v>6158</v>
      </c>
      <c r="Y2124" s="6" t="s">
        <v>52</v>
      </c>
    </row>
    <row r="2125" spans="1:25" s="9" customFormat="1" ht="21.3" customHeight="1">
      <c r="A2125" s="27" t="s">
        <v>157</v>
      </c>
      <c r="B2125" s="28" t="s">
        <v>21</v>
      </c>
      <c r="C2125" s="27" t="s">
        <v>6160</v>
      </c>
      <c r="D2125" s="27" t="s">
        <v>10210</v>
      </c>
      <c r="E2125" s="27" t="s">
        <v>9918</v>
      </c>
      <c r="F2125" s="27" t="s">
        <v>6139</v>
      </c>
      <c r="G2125" s="101" t="s">
        <v>6162</v>
      </c>
      <c r="H2125" s="91">
        <v>43235</v>
      </c>
      <c r="I2125" s="73">
        <v>38032</v>
      </c>
      <c r="J2125" s="73">
        <v>37316</v>
      </c>
      <c r="K2125" s="73">
        <v>27988</v>
      </c>
      <c r="L2125" s="11" t="s">
        <v>4604</v>
      </c>
      <c r="M2125" s="1" t="s">
        <v>25</v>
      </c>
      <c r="N2125" s="112" t="s">
        <v>14</v>
      </c>
      <c r="O2125" s="104" t="s">
        <v>52</v>
      </c>
      <c r="P2125" s="104" t="s">
        <v>52</v>
      </c>
      <c r="Q2125" s="105"/>
      <c r="R2125" s="28" t="s">
        <v>4770</v>
      </c>
      <c r="S2125" s="225">
        <f t="shared" si="33"/>
        <v>49949</v>
      </c>
      <c r="T2125" s="2" t="s">
        <v>7662</v>
      </c>
      <c r="U2125" s="7" t="s">
        <v>139</v>
      </c>
      <c r="V2125" s="162" t="str" cm="1">
        <f t="array" ref="V2125">_xlfn.IFS(C2125="","",COUNTIF(C2125,"ตำแหน่งว่าง*"),"ว่าง",COUNTIF(C2125,"&lt;&gt;ตำแหน่งว่าง*"),"คนครอง")</f>
        <v>คนครอง</v>
      </c>
      <c r="W2125" s="6" cm="1">
        <f t="array" ref="W2125">_xlfn.IFS(COUNTIF(F2125,"ผบ.หมู่*"),51,COUNTIF(F2125,"รอง สว.*"),43)</f>
        <v>51</v>
      </c>
      <c r="X2125" s="1" t="s">
        <v>6161</v>
      </c>
      <c r="Y2125" s="1" t="s">
        <v>52</v>
      </c>
    </row>
    <row r="2126" spans="1:25" s="9" customFormat="1" ht="21.3" customHeight="1">
      <c r="A2126" s="95" t="s">
        <v>208</v>
      </c>
      <c r="B2126" s="28" t="s">
        <v>21</v>
      </c>
      <c r="C2126" s="27" t="s">
        <v>6163</v>
      </c>
      <c r="D2126" s="27" t="s">
        <v>10211</v>
      </c>
      <c r="E2126" s="27" t="s">
        <v>10212</v>
      </c>
      <c r="F2126" s="27" t="s">
        <v>6139</v>
      </c>
      <c r="G2126" s="101" t="s">
        <v>6165</v>
      </c>
      <c r="H2126" s="91">
        <v>43693</v>
      </c>
      <c r="I2126" s="73">
        <v>43693</v>
      </c>
      <c r="J2126" s="73">
        <v>43693</v>
      </c>
      <c r="K2126" s="73">
        <v>33089</v>
      </c>
      <c r="L2126" s="11" t="s">
        <v>1667</v>
      </c>
      <c r="M2126" s="1" t="s">
        <v>40</v>
      </c>
      <c r="N2126" s="112" t="s">
        <v>14</v>
      </c>
      <c r="O2126" s="104" t="s">
        <v>52</v>
      </c>
      <c r="P2126" s="104" t="s">
        <v>52</v>
      </c>
      <c r="Q2126" s="105"/>
      <c r="R2126" s="28" t="s">
        <v>645</v>
      </c>
      <c r="S2126" s="225">
        <f t="shared" si="33"/>
        <v>55062</v>
      </c>
      <c r="T2126" s="2" t="s">
        <v>7662</v>
      </c>
      <c r="U2126" s="7" t="s">
        <v>139</v>
      </c>
      <c r="V2126" s="162" t="str" cm="1">
        <f t="array" ref="V2126">_xlfn.IFS(C2126="","",COUNTIF(C2126,"ตำแหน่งว่าง*"),"ว่าง",COUNTIF(C2126,"&lt;&gt;ตำแหน่งว่าง*"),"คนครอง")</f>
        <v>คนครอง</v>
      </c>
      <c r="W2126" s="6" cm="1">
        <f t="array" ref="W2126">_xlfn.IFS(COUNTIF(F2126,"ผบ.หมู่*"),51,COUNTIF(F2126,"รอง สว.*"),43)</f>
        <v>51</v>
      </c>
      <c r="X2126" s="1" t="s">
        <v>6164</v>
      </c>
      <c r="Y2126" s="1" t="s">
        <v>52</v>
      </c>
    </row>
    <row r="2127" spans="1:25" s="9" customFormat="1" ht="21.3" customHeight="1">
      <c r="A2127" s="27"/>
      <c r="B2127" s="28"/>
      <c r="C2127" s="28" t="s">
        <v>18</v>
      </c>
      <c r="D2127" s="27"/>
      <c r="E2127" s="27"/>
      <c r="F2127" s="27" t="s">
        <v>6139</v>
      </c>
      <c r="G2127" s="101" t="s">
        <v>6168</v>
      </c>
      <c r="H2127" s="91"/>
      <c r="I2127" s="73"/>
      <c r="J2127" s="85"/>
      <c r="K2127" s="73"/>
      <c r="L2127" s="11"/>
      <c r="M2127" s="1"/>
      <c r="N2127" s="112" t="s">
        <v>14</v>
      </c>
      <c r="O2127" s="104" t="s">
        <v>52</v>
      </c>
      <c r="P2127" s="104" t="s">
        <v>52</v>
      </c>
      <c r="Q2127" s="105"/>
      <c r="R2127" s="28"/>
      <c r="S2127" s="174" t="str">
        <f t="shared" si="33"/>
        <v/>
      </c>
      <c r="T2127" s="2" t="s">
        <v>7662</v>
      </c>
      <c r="U2127" s="2" t="s">
        <v>139</v>
      </c>
      <c r="V2127" s="2" t="str" cm="1">
        <f t="array" ref="V2127">_xlfn.IFS(C2127="","",COUNTIF(C2127,"ตำแหน่งว่าง*"),"ว่าง",COUNTIF(C2127,"&lt;&gt;ตำแหน่งว่าง*"),"คนครอง")</f>
        <v>ว่าง</v>
      </c>
      <c r="W2127" s="1" cm="1">
        <f t="array" ref="W2127">_xlfn.IFS(COUNTIF(F2127,"ผบ.หมู่*"),51,COUNTIF(F2127,"รอง สว.*"),43)</f>
        <v>51</v>
      </c>
      <c r="X2127" s="1" t="s">
        <v>6167</v>
      </c>
      <c r="Y2127" s="1" t="s">
        <v>52</v>
      </c>
    </row>
    <row r="2128" spans="1:25" s="9" customFormat="1" ht="21.3" customHeight="1">
      <c r="A2128" s="27" t="s">
        <v>182</v>
      </c>
      <c r="B2128" s="28" t="s">
        <v>21</v>
      </c>
      <c r="C2128" s="27" t="s">
        <v>6169</v>
      </c>
      <c r="D2128" s="27" t="s">
        <v>8117</v>
      </c>
      <c r="E2128" s="27" t="s">
        <v>10215</v>
      </c>
      <c r="F2128" s="27" t="s">
        <v>6139</v>
      </c>
      <c r="G2128" s="101" t="s">
        <v>6171</v>
      </c>
      <c r="H2128" s="91">
        <v>44043</v>
      </c>
      <c r="I2128" s="73">
        <v>44043</v>
      </c>
      <c r="J2128" s="85">
        <v>44043</v>
      </c>
      <c r="K2128" s="73">
        <v>34732</v>
      </c>
      <c r="L2128" s="11" t="s">
        <v>82</v>
      </c>
      <c r="M2128" s="1" t="s">
        <v>123</v>
      </c>
      <c r="N2128" s="112" t="s">
        <v>14</v>
      </c>
      <c r="O2128" s="104" t="s">
        <v>52</v>
      </c>
      <c r="P2128" s="104" t="s">
        <v>52</v>
      </c>
      <c r="Q2128" s="105"/>
      <c r="R2128" s="28" t="s">
        <v>2436</v>
      </c>
      <c r="S2128" s="225">
        <f t="shared" si="33"/>
        <v>56888</v>
      </c>
      <c r="T2128" s="2" t="s">
        <v>7662</v>
      </c>
      <c r="U2128" s="7" t="s">
        <v>139</v>
      </c>
      <c r="V2128" s="162" t="str" cm="1">
        <f t="array" ref="V2128">_xlfn.IFS(C2128="","",COUNTIF(C2128,"ตำแหน่งว่าง*"),"ว่าง",COUNTIF(C2128,"&lt;&gt;ตำแหน่งว่าง*"),"คนครอง")</f>
        <v>คนครอง</v>
      </c>
      <c r="W2128" s="6" cm="1">
        <f t="array" ref="W2128">_xlfn.IFS(COUNTIF(F2128,"ผบ.หมู่*"),51,COUNTIF(F2128,"รอง สว.*"),43)</f>
        <v>51</v>
      </c>
      <c r="X2128" s="1" t="s">
        <v>6170</v>
      </c>
      <c r="Y2128" s="1" t="s">
        <v>52</v>
      </c>
    </row>
    <row r="2129" spans="1:25" s="10" customFormat="1" ht="21.3" customHeight="1">
      <c r="A2129" s="27"/>
      <c r="B2129" s="28"/>
      <c r="C2129" s="30" t="s">
        <v>18</v>
      </c>
      <c r="D2129" s="27"/>
      <c r="E2129" s="27"/>
      <c r="F2129" s="68" t="s">
        <v>6139</v>
      </c>
      <c r="G2129" s="121" t="s">
        <v>6173</v>
      </c>
      <c r="H2129" s="91" t="s">
        <v>19</v>
      </c>
      <c r="I2129" s="73" t="s">
        <v>19</v>
      </c>
      <c r="J2129" s="73" t="s">
        <v>19</v>
      </c>
      <c r="K2129" s="73" t="s">
        <v>19</v>
      </c>
      <c r="L2129" s="11"/>
      <c r="M2129" s="1"/>
      <c r="N2129" s="113" t="s">
        <v>14</v>
      </c>
      <c r="O2129" s="122" t="s">
        <v>52</v>
      </c>
      <c r="P2129" s="122" t="s">
        <v>52</v>
      </c>
      <c r="Q2129" s="105"/>
      <c r="R2129" s="28"/>
      <c r="S2129" s="225" t="str">
        <f t="shared" si="33"/>
        <v/>
      </c>
      <c r="T2129" s="7" t="s">
        <v>7662</v>
      </c>
      <c r="U2129" s="7" t="s">
        <v>139</v>
      </c>
      <c r="V2129" s="171" t="str" cm="1">
        <f t="array" ref="V2129">_xlfn.IFS(C2129="","",COUNTIF(C2129,"ตำแหน่งว่าง*"),"ว่าง",COUNTIF(C2129,"&lt;&gt;ตำแหน่งว่าง*"),"คนครอง")</f>
        <v>ว่าง</v>
      </c>
      <c r="W2129" s="6" cm="1">
        <f t="array" ref="W2129">_xlfn.IFS(COUNTIF(F2129,"ผบ.หมู่*"),51,COUNTIF(F2129,"รอง สว.*"),43)</f>
        <v>51</v>
      </c>
      <c r="X2129" s="6" t="s">
        <v>6172</v>
      </c>
      <c r="Y2129" s="6" t="s">
        <v>52</v>
      </c>
    </row>
    <row r="2130" spans="1:25" s="10" customFormat="1" ht="21.3" customHeight="1">
      <c r="A2130" s="27"/>
      <c r="B2130" s="28"/>
      <c r="C2130" s="30" t="s">
        <v>18</v>
      </c>
      <c r="D2130" s="27"/>
      <c r="E2130" s="27"/>
      <c r="F2130" s="68" t="s">
        <v>6139</v>
      </c>
      <c r="G2130" s="121" t="s">
        <v>6175</v>
      </c>
      <c r="H2130" s="91" t="s">
        <v>19</v>
      </c>
      <c r="I2130" s="73" t="s">
        <v>19</v>
      </c>
      <c r="J2130" s="73" t="s">
        <v>19</v>
      </c>
      <c r="K2130" s="73" t="s">
        <v>19</v>
      </c>
      <c r="L2130" s="11"/>
      <c r="M2130" s="1"/>
      <c r="N2130" s="113" t="s">
        <v>14</v>
      </c>
      <c r="O2130" s="122" t="s">
        <v>52</v>
      </c>
      <c r="P2130" s="122" t="s">
        <v>52</v>
      </c>
      <c r="Q2130" s="105"/>
      <c r="R2130" s="28"/>
      <c r="S2130" s="225" t="str">
        <f t="shared" si="33"/>
        <v/>
      </c>
      <c r="T2130" s="7" t="s">
        <v>7662</v>
      </c>
      <c r="U2130" s="7" t="s">
        <v>139</v>
      </c>
      <c r="V2130" s="171" t="str" cm="1">
        <f t="array" ref="V2130">_xlfn.IFS(C2130="","",COUNTIF(C2130,"ตำแหน่งว่าง*"),"ว่าง",COUNTIF(C2130,"&lt;&gt;ตำแหน่งว่าง*"),"คนครอง")</f>
        <v>ว่าง</v>
      </c>
      <c r="W2130" s="6" cm="1">
        <f t="array" ref="W2130">_xlfn.IFS(COUNTIF(F2130,"ผบ.หมู่*"),51,COUNTIF(F2130,"รอง สว.*"),43)</f>
        <v>51</v>
      </c>
      <c r="X2130" s="6" t="s">
        <v>6174</v>
      </c>
      <c r="Y2130" s="6" t="s">
        <v>52</v>
      </c>
    </row>
    <row r="2131" spans="1:25" s="10" customFormat="1" ht="21.3" customHeight="1">
      <c r="A2131" s="27"/>
      <c r="B2131" s="28"/>
      <c r="C2131" s="30" t="s">
        <v>18</v>
      </c>
      <c r="D2131" s="27"/>
      <c r="E2131" s="27"/>
      <c r="F2131" s="68" t="s">
        <v>6139</v>
      </c>
      <c r="G2131" s="121" t="s">
        <v>6177</v>
      </c>
      <c r="H2131" s="91" t="s">
        <v>19</v>
      </c>
      <c r="I2131" s="73" t="s">
        <v>19</v>
      </c>
      <c r="J2131" s="73" t="s">
        <v>19</v>
      </c>
      <c r="K2131" s="73" t="s">
        <v>19</v>
      </c>
      <c r="L2131" s="11"/>
      <c r="M2131" s="1"/>
      <c r="N2131" s="113" t="s">
        <v>14</v>
      </c>
      <c r="O2131" s="122" t="s">
        <v>52</v>
      </c>
      <c r="P2131" s="122" t="s">
        <v>52</v>
      </c>
      <c r="Q2131" s="105"/>
      <c r="R2131" s="28"/>
      <c r="S2131" s="225" t="str">
        <f t="shared" si="33"/>
        <v/>
      </c>
      <c r="T2131" s="7" t="s">
        <v>7662</v>
      </c>
      <c r="U2131" s="7" t="s">
        <v>139</v>
      </c>
      <c r="V2131" s="171" t="str" cm="1">
        <f t="array" ref="V2131">_xlfn.IFS(C2131="","",COUNTIF(C2131,"ตำแหน่งว่าง*"),"ว่าง",COUNTIF(C2131,"&lt;&gt;ตำแหน่งว่าง*"),"คนครอง")</f>
        <v>ว่าง</v>
      </c>
      <c r="W2131" s="6" cm="1">
        <f t="array" ref="W2131">_xlfn.IFS(COUNTIF(F2131,"ผบ.หมู่*"),51,COUNTIF(F2131,"รอง สว.*"),43)</f>
        <v>51</v>
      </c>
      <c r="X2131" s="6" t="s">
        <v>6176</v>
      </c>
      <c r="Y2131" s="6" t="s">
        <v>52</v>
      </c>
    </row>
    <row r="2132" spans="1:25" s="10" customFormat="1" ht="21.3" customHeight="1">
      <c r="A2132" s="27"/>
      <c r="B2132" s="28"/>
      <c r="C2132" s="30" t="s">
        <v>18</v>
      </c>
      <c r="D2132" s="27"/>
      <c r="E2132" s="27"/>
      <c r="F2132" s="68" t="s">
        <v>6139</v>
      </c>
      <c r="G2132" s="121" t="s">
        <v>6179</v>
      </c>
      <c r="H2132" s="91" t="s">
        <v>19</v>
      </c>
      <c r="I2132" s="73" t="s">
        <v>19</v>
      </c>
      <c r="J2132" s="73" t="s">
        <v>19</v>
      </c>
      <c r="K2132" s="73" t="s">
        <v>19</v>
      </c>
      <c r="L2132" s="11"/>
      <c r="M2132" s="1"/>
      <c r="N2132" s="113" t="s">
        <v>14</v>
      </c>
      <c r="O2132" s="122" t="s">
        <v>52</v>
      </c>
      <c r="P2132" s="122" t="s">
        <v>52</v>
      </c>
      <c r="Q2132" s="105"/>
      <c r="R2132" s="28"/>
      <c r="S2132" s="225" t="str">
        <f t="shared" si="33"/>
        <v/>
      </c>
      <c r="T2132" s="7" t="s">
        <v>7662</v>
      </c>
      <c r="U2132" s="7" t="s">
        <v>139</v>
      </c>
      <c r="V2132" s="171" t="str" cm="1">
        <f t="array" ref="V2132">_xlfn.IFS(C2132="","",COUNTIF(C2132,"ตำแหน่งว่าง*"),"ว่าง",COUNTIF(C2132,"&lt;&gt;ตำแหน่งว่าง*"),"คนครอง")</f>
        <v>ว่าง</v>
      </c>
      <c r="W2132" s="6" cm="1">
        <f t="array" ref="W2132">_xlfn.IFS(COUNTIF(F2132,"ผบ.หมู่*"),51,COUNTIF(F2132,"รอง สว.*"),43)</f>
        <v>51</v>
      </c>
      <c r="X2132" s="6" t="s">
        <v>6178</v>
      </c>
      <c r="Y2132" s="6" t="s">
        <v>52</v>
      </c>
    </row>
    <row r="2133" spans="1:25" s="10" customFormat="1" ht="21.3" customHeight="1">
      <c r="A2133" s="27"/>
      <c r="B2133" s="28"/>
      <c r="C2133" s="30" t="s">
        <v>18</v>
      </c>
      <c r="D2133" s="27"/>
      <c r="E2133" s="27"/>
      <c r="F2133" s="68" t="s">
        <v>6139</v>
      </c>
      <c r="G2133" s="121" t="s">
        <v>6181</v>
      </c>
      <c r="H2133" s="91" t="s">
        <v>19</v>
      </c>
      <c r="I2133" s="73" t="s">
        <v>19</v>
      </c>
      <c r="J2133" s="73" t="s">
        <v>19</v>
      </c>
      <c r="K2133" s="73" t="s">
        <v>19</v>
      </c>
      <c r="L2133" s="11"/>
      <c r="M2133" s="1"/>
      <c r="N2133" s="113" t="s">
        <v>14</v>
      </c>
      <c r="O2133" s="122" t="s">
        <v>52</v>
      </c>
      <c r="P2133" s="122" t="s">
        <v>52</v>
      </c>
      <c r="Q2133" s="105"/>
      <c r="R2133" s="28"/>
      <c r="S2133" s="225" t="str">
        <f t="shared" si="33"/>
        <v/>
      </c>
      <c r="T2133" s="7" t="s">
        <v>7662</v>
      </c>
      <c r="U2133" s="7" t="s">
        <v>139</v>
      </c>
      <c r="V2133" s="171" t="str" cm="1">
        <f t="array" ref="V2133">_xlfn.IFS(C2133="","",COUNTIF(C2133,"ตำแหน่งว่าง*"),"ว่าง",COUNTIF(C2133,"&lt;&gt;ตำแหน่งว่าง*"),"คนครอง")</f>
        <v>ว่าง</v>
      </c>
      <c r="W2133" s="6" cm="1">
        <f t="array" ref="W2133">_xlfn.IFS(COUNTIF(F2133,"ผบ.หมู่*"),51,COUNTIF(F2133,"รอง สว.*"),43)</f>
        <v>51</v>
      </c>
      <c r="X2133" s="6" t="s">
        <v>6180</v>
      </c>
      <c r="Y2133" s="6" t="s">
        <v>52</v>
      </c>
    </row>
    <row r="2134" spans="1:25" s="9" customFormat="1" ht="21.3" customHeight="1">
      <c r="A2134" s="27" t="s">
        <v>612</v>
      </c>
      <c r="B2134" s="28" t="s">
        <v>21</v>
      </c>
      <c r="C2134" s="27" t="s">
        <v>6307</v>
      </c>
      <c r="D2134" s="27" t="s">
        <v>10090</v>
      </c>
      <c r="E2134" s="27" t="s">
        <v>10216</v>
      </c>
      <c r="F2134" s="27" t="s">
        <v>6308</v>
      </c>
      <c r="G2134" s="101" t="s">
        <v>6310</v>
      </c>
      <c r="H2134" s="91">
        <v>44599</v>
      </c>
      <c r="I2134" s="73">
        <v>42416</v>
      </c>
      <c r="J2134" s="73">
        <v>42416</v>
      </c>
      <c r="K2134" s="73">
        <v>32877</v>
      </c>
      <c r="L2134" s="11" t="s">
        <v>4240</v>
      </c>
      <c r="M2134" s="1" t="s">
        <v>91</v>
      </c>
      <c r="N2134" s="112" t="s">
        <v>14</v>
      </c>
      <c r="O2134" s="104" t="s">
        <v>52</v>
      </c>
      <c r="P2134" s="104" t="s">
        <v>52</v>
      </c>
      <c r="Q2134" s="105"/>
      <c r="R2134" s="28" t="s">
        <v>607</v>
      </c>
      <c r="S2134" s="225">
        <f t="shared" si="33"/>
        <v>55062</v>
      </c>
      <c r="T2134" s="2" t="s">
        <v>7663</v>
      </c>
      <c r="U2134" s="7" t="s">
        <v>139</v>
      </c>
      <c r="V2134" s="162" t="str" cm="1">
        <f t="array" ref="V2134">_xlfn.IFS(C2134="","",COUNTIF(C2134,"ตำแหน่งว่าง*"),"ว่าง",COUNTIF(C2134,"&lt;&gt;ตำแหน่งว่าง*"),"คนครอง")</f>
        <v>คนครอง</v>
      </c>
      <c r="W2134" s="6" cm="1">
        <f t="array" ref="W2134">_xlfn.IFS(COUNTIF(F2134,"ผบ.หมู่*"),51,COUNTIF(F2134,"รอง สว.*"),43)</f>
        <v>51</v>
      </c>
      <c r="X2134" s="1" t="s">
        <v>6309</v>
      </c>
      <c r="Y2134" s="1" t="s">
        <v>52</v>
      </c>
    </row>
    <row r="2135" spans="1:25" s="12" customFormat="1" ht="21.3" customHeight="1">
      <c r="A2135" s="27" t="s">
        <v>157</v>
      </c>
      <c r="B2135" s="28" t="s">
        <v>21</v>
      </c>
      <c r="C2135" s="95" t="s">
        <v>6311</v>
      </c>
      <c r="D2135" s="27" t="s">
        <v>10217</v>
      </c>
      <c r="E2135" s="27" t="s">
        <v>10218</v>
      </c>
      <c r="F2135" s="95" t="s">
        <v>6308</v>
      </c>
      <c r="G2135" s="101" t="s">
        <v>6313</v>
      </c>
      <c r="H2135" s="75">
        <v>42501</v>
      </c>
      <c r="I2135" s="73">
        <v>37316</v>
      </c>
      <c r="J2135" s="73">
        <v>37316</v>
      </c>
      <c r="K2135" s="73">
        <v>28410</v>
      </c>
      <c r="L2135" s="11" t="s">
        <v>5012</v>
      </c>
      <c r="M2135" s="1" t="s">
        <v>91</v>
      </c>
      <c r="N2135" s="111" t="s">
        <v>14</v>
      </c>
      <c r="O2135" s="104" t="s">
        <v>52</v>
      </c>
      <c r="P2135" s="104" t="s">
        <v>52</v>
      </c>
      <c r="Q2135" s="105"/>
      <c r="R2135" s="28" t="s">
        <v>110</v>
      </c>
      <c r="S2135" s="225">
        <f t="shared" si="33"/>
        <v>50679</v>
      </c>
      <c r="T2135" s="162" t="s">
        <v>7663</v>
      </c>
      <c r="U2135" s="7" t="s">
        <v>139</v>
      </c>
      <c r="V2135" s="162" t="str" cm="1">
        <f t="array" ref="V2135">_xlfn.IFS(C2135="","",COUNTIF(C2135,"ตำแหน่งว่าง*"),"ว่าง",COUNTIF(C2135,"&lt;&gt;ตำแหน่งว่าง*"),"คนครอง")</f>
        <v>คนครอง</v>
      </c>
      <c r="W2135" s="6" cm="1">
        <f t="array" ref="W2135">_xlfn.IFS(COUNTIF(F2135,"ผบ.หมู่*"),51,COUNTIF(F2135,"รอง สว.*"),43)</f>
        <v>51</v>
      </c>
      <c r="X2135" s="5" t="s">
        <v>6312</v>
      </c>
      <c r="Y2135" s="5" t="s">
        <v>52</v>
      </c>
    </row>
    <row r="2136" spans="1:25" s="10" customFormat="1" ht="21.3" customHeight="1">
      <c r="A2136" s="27" t="s">
        <v>157</v>
      </c>
      <c r="B2136" s="28" t="s">
        <v>21</v>
      </c>
      <c r="C2136" s="27" t="s">
        <v>6314</v>
      </c>
      <c r="D2136" s="27" t="s">
        <v>8346</v>
      </c>
      <c r="E2136" s="27" t="s">
        <v>10219</v>
      </c>
      <c r="F2136" s="27" t="s">
        <v>6308</v>
      </c>
      <c r="G2136" s="101" t="s">
        <v>6316</v>
      </c>
      <c r="H2136" s="75">
        <v>44999</v>
      </c>
      <c r="I2136" s="82">
        <v>40339</v>
      </c>
      <c r="J2136" s="82">
        <v>40339</v>
      </c>
      <c r="K2136" s="82">
        <v>30607</v>
      </c>
      <c r="L2136" s="58" t="s">
        <v>119</v>
      </c>
      <c r="M2136" s="56" t="s">
        <v>91</v>
      </c>
      <c r="N2136" s="112" t="s">
        <v>14</v>
      </c>
      <c r="O2136" s="104" t="s">
        <v>52</v>
      </c>
      <c r="P2136" s="104" t="s">
        <v>52</v>
      </c>
      <c r="Q2136" s="105"/>
      <c r="R2136" s="28" t="s">
        <v>74</v>
      </c>
      <c r="S2136" s="225">
        <f t="shared" si="33"/>
        <v>52871</v>
      </c>
      <c r="T2136" s="7" t="s">
        <v>7663</v>
      </c>
      <c r="U2136" s="7" t="s">
        <v>139</v>
      </c>
      <c r="V2136" s="162" t="str" cm="1">
        <f t="array" ref="V2136">_xlfn.IFS(C2136="","",COUNTIF(C2136,"ตำแหน่งว่าง*"),"ว่าง",COUNTIF(C2136,"&lt;&gt;ตำแหน่งว่าง*"),"คนครอง")</f>
        <v>คนครอง</v>
      </c>
      <c r="W2136" s="6" cm="1">
        <f t="array" ref="W2136">_xlfn.IFS(COUNTIF(F2136,"ผบ.หมู่*"),51,COUNTIF(F2136,"รอง สว.*"),43)</f>
        <v>51</v>
      </c>
      <c r="X2136" s="28" t="s">
        <v>6315</v>
      </c>
      <c r="Y2136" s="28" t="s">
        <v>52</v>
      </c>
    </row>
    <row r="2137" spans="1:25" s="12" customFormat="1" ht="21.3" customHeight="1">
      <c r="A2137" s="27" t="s">
        <v>612</v>
      </c>
      <c r="B2137" s="28" t="s">
        <v>12</v>
      </c>
      <c r="C2137" s="27" t="s">
        <v>7731</v>
      </c>
      <c r="D2137" s="27" t="s">
        <v>10220</v>
      </c>
      <c r="E2137" s="27" t="s">
        <v>10221</v>
      </c>
      <c r="F2137" s="27" t="s">
        <v>6308</v>
      </c>
      <c r="G2137" s="101" t="s">
        <v>6318</v>
      </c>
      <c r="H2137" s="75">
        <v>45322</v>
      </c>
      <c r="I2137" s="73">
        <v>41944</v>
      </c>
      <c r="J2137" s="73">
        <v>41944</v>
      </c>
      <c r="K2137" s="73">
        <v>32893</v>
      </c>
      <c r="L2137" s="11" t="s">
        <v>82</v>
      </c>
      <c r="M2137" s="1" t="s">
        <v>91</v>
      </c>
      <c r="N2137" s="112" t="s">
        <v>14</v>
      </c>
      <c r="O2137" s="104" t="s">
        <v>52</v>
      </c>
      <c r="P2137" s="104" t="s">
        <v>52</v>
      </c>
      <c r="Q2137" s="105"/>
      <c r="R2137" s="28" t="s">
        <v>7708</v>
      </c>
      <c r="S2137" s="225">
        <f t="shared" si="33"/>
        <v>55062</v>
      </c>
      <c r="T2137" s="162" t="s">
        <v>7663</v>
      </c>
      <c r="U2137" s="7" t="s">
        <v>139</v>
      </c>
      <c r="V2137" s="162" t="str" cm="1">
        <f t="array" ref="V2137">_xlfn.IFS(C2137="","",COUNTIF(C2137,"ตำแหน่งว่าง*"),"ว่าง",COUNTIF(C2137,"&lt;&gt;ตำแหน่งว่าง*"),"คนครอง")</f>
        <v>คนครอง</v>
      </c>
      <c r="W2137" s="6" cm="1">
        <f t="array" ref="W2137">_xlfn.IFS(COUNTIF(F2137,"ผบ.หมู่*"),51,COUNTIF(F2137,"รอง สว.*"),43)</f>
        <v>51</v>
      </c>
      <c r="X2137" s="1" t="s">
        <v>6317</v>
      </c>
      <c r="Y2137" s="1" t="s">
        <v>52</v>
      </c>
    </row>
    <row r="2138" spans="1:25" s="9" customFormat="1" ht="21.3" customHeight="1">
      <c r="A2138" s="27"/>
      <c r="B2138" s="28"/>
      <c r="C2138" s="30" t="s">
        <v>18</v>
      </c>
      <c r="D2138" s="27"/>
      <c r="E2138" s="27"/>
      <c r="F2138" s="95" t="s">
        <v>6308</v>
      </c>
      <c r="G2138" s="101" t="s">
        <v>6321</v>
      </c>
      <c r="H2138" s="75"/>
      <c r="I2138" s="73"/>
      <c r="J2138" s="73"/>
      <c r="K2138" s="73"/>
      <c r="L2138" s="11"/>
      <c r="M2138" s="1"/>
      <c r="N2138" s="112" t="s">
        <v>14</v>
      </c>
      <c r="O2138" s="104" t="s">
        <v>52</v>
      </c>
      <c r="P2138" s="104" t="s">
        <v>52</v>
      </c>
      <c r="Q2138" s="105"/>
      <c r="R2138" s="28"/>
      <c r="S2138" s="225" t="str">
        <f t="shared" si="33"/>
        <v/>
      </c>
      <c r="T2138" s="2" t="s">
        <v>7663</v>
      </c>
      <c r="U2138" s="7" t="s">
        <v>139</v>
      </c>
      <c r="V2138" s="162" t="str" cm="1">
        <f t="array" ref="V2138">_xlfn.IFS(C2138="","",COUNTIF(C2138,"ตำแหน่งว่าง*"),"ว่าง",COUNTIF(C2138,"&lt;&gt;ตำแหน่งว่าง*"),"คนครอง")</f>
        <v>ว่าง</v>
      </c>
      <c r="W2138" s="5" cm="1">
        <f t="array" ref="W2138">_xlfn.IFS(COUNTIF(F2138,"ผบ.หมู่*"),51,COUNTIF(F2138,"รอง สว.*"),43)</f>
        <v>51</v>
      </c>
      <c r="X2138" s="1" t="s">
        <v>6320</v>
      </c>
      <c r="Y2138" s="1" t="s">
        <v>52</v>
      </c>
    </row>
    <row r="2139" spans="1:25" s="9" customFormat="1" ht="21.3" customHeight="1">
      <c r="A2139" s="27" t="s">
        <v>182</v>
      </c>
      <c r="B2139" s="28" t="s">
        <v>12</v>
      </c>
      <c r="C2139" s="27" t="s">
        <v>6322</v>
      </c>
      <c r="D2139" s="27" t="s">
        <v>9002</v>
      </c>
      <c r="E2139" s="27" t="s">
        <v>10222</v>
      </c>
      <c r="F2139" s="27" t="s">
        <v>6308</v>
      </c>
      <c r="G2139" s="101" t="s">
        <v>6324</v>
      </c>
      <c r="H2139" s="75">
        <v>44043</v>
      </c>
      <c r="I2139" s="73">
        <v>44043</v>
      </c>
      <c r="J2139" s="73">
        <v>44043</v>
      </c>
      <c r="K2139" s="73">
        <v>36938</v>
      </c>
      <c r="L2139" s="11" t="s">
        <v>82</v>
      </c>
      <c r="M2139" s="1" t="s">
        <v>15</v>
      </c>
      <c r="N2139" s="112" t="s">
        <v>14</v>
      </c>
      <c r="O2139" s="104" t="s">
        <v>52</v>
      </c>
      <c r="P2139" s="104" t="s">
        <v>52</v>
      </c>
      <c r="Q2139" s="105"/>
      <c r="R2139" s="28" t="s">
        <v>2436</v>
      </c>
      <c r="S2139" s="225">
        <f t="shared" si="33"/>
        <v>59080</v>
      </c>
      <c r="T2139" s="2" t="s">
        <v>7663</v>
      </c>
      <c r="U2139" s="7" t="s">
        <v>139</v>
      </c>
      <c r="V2139" s="162" t="str" cm="1">
        <f t="array" ref="V2139">_xlfn.IFS(C2139="","",COUNTIF(C2139,"ตำแหน่งว่าง*"),"ว่าง",COUNTIF(C2139,"&lt;&gt;ตำแหน่งว่าง*"),"คนครอง")</f>
        <v>คนครอง</v>
      </c>
      <c r="W2139" s="6" cm="1">
        <f t="array" ref="W2139">_xlfn.IFS(COUNTIF(F2139,"ผบ.หมู่*"),51,COUNTIF(F2139,"รอง สว.*"),43)</f>
        <v>51</v>
      </c>
      <c r="X2139" s="1" t="s">
        <v>6323</v>
      </c>
      <c r="Y2139" s="1" t="s">
        <v>52</v>
      </c>
    </row>
    <row r="2140" spans="1:25" s="12" customFormat="1" ht="21.3" customHeight="1">
      <c r="A2140" s="27" t="s">
        <v>157</v>
      </c>
      <c r="B2140" s="28" t="s">
        <v>21</v>
      </c>
      <c r="C2140" s="95" t="s">
        <v>6325</v>
      </c>
      <c r="D2140" s="27" t="s">
        <v>8281</v>
      </c>
      <c r="E2140" s="27" t="s">
        <v>10223</v>
      </c>
      <c r="F2140" s="95" t="s">
        <v>6308</v>
      </c>
      <c r="G2140" s="101" t="s">
        <v>6327</v>
      </c>
      <c r="H2140" s="75">
        <v>42501</v>
      </c>
      <c r="I2140" s="73">
        <v>35186</v>
      </c>
      <c r="J2140" s="73">
        <v>34352</v>
      </c>
      <c r="K2140" s="73">
        <v>27498</v>
      </c>
      <c r="L2140" s="11" t="s">
        <v>2314</v>
      </c>
      <c r="M2140" s="1" t="s">
        <v>91</v>
      </c>
      <c r="N2140" s="111" t="s">
        <v>14</v>
      </c>
      <c r="O2140" s="104" t="s">
        <v>52</v>
      </c>
      <c r="P2140" s="104" t="s">
        <v>52</v>
      </c>
      <c r="Q2140" s="105"/>
      <c r="R2140" s="28" t="s">
        <v>110</v>
      </c>
      <c r="S2140" s="225">
        <f t="shared" si="33"/>
        <v>49583</v>
      </c>
      <c r="T2140" s="162" t="s">
        <v>7663</v>
      </c>
      <c r="U2140" s="7" t="s">
        <v>139</v>
      </c>
      <c r="V2140" s="162" t="str" cm="1">
        <f t="array" ref="V2140">_xlfn.IFS(C2140="","",COUNTIF(C2140,"ตำแหน่งว่าง*"),"ว่าง",COUNTIF(C2140,"&lt;&gt;ตำแหน่งว่าง*"),"คนครอง")</f>
        <v>คนครอง</v>
      </c>
      <c r="W2140" s="6" cm="1">
        <f t="array" ref="W2140">_xlfn.IFS(COUNTIF(F2140,"ผบ.หมู่*"),51,COUNTIF(F2140,"รอง สว.*"),43)</f>
        <v>51</v>
      </c>
      <c r="X2140" s="5" t="s">
        <v>6326</v>
      </c>
      <c r="Y2140" s="5" t="s">
        <v>52</v>
      </c>
    </row>
    <row r="2141" spans="1:25" s="12" customFormat="1" ht="21.3" customHeight="1">
      <c r="A2141" s="27" t="s">
        <v>10753</v>
      </c>
      <c r="B2141" s="28" t="s">
        <v>21</v>
      </c>
      <c r="C2141" s="95" t="s">
        <v>6328</v>
      </c>
      <c r="D2141" s="27" t="s">
        <v>10224</v>
      </c>
      <c r="E2141" s="27" t="s">
        <v>10225</v>
      </c>
      <c r="F2141" s="95" t="s">
        <v>6319</v>
      </c>
      <c r="G2141" s="101" t="s">
        <v>6330</v>
      </c>
      <c r="H2141" s="75">
        <v>45016</v>
      </c>
      <c r="I2141" s="73">
        <v>45016</v>
      </c>
      <c r="J2141" s="73">
        <v>35095</v>
      </c>
      <c r="K2141" s="73">
        <v>25786</v>
      </c>
      <c r="L2141" s="11" t="s">
        <v>2314</v>
      </c>
      <c r="M2141" s="1" t="s">
        <v>91</v>
      </c>
      <c r="N2141" s="111" t="s">
        <v>14</v>
      </c>
      <c r="O2141" s="104" t="s">
        <v>52</v>
      </c>
      <c r="P2141" s="104" t="s">
        <v>52</v>
      </c>
      <c r="Q2141" s="105"/>
      <c r="R2141" s="28" t="s">
        <v>483</v>
      </c>
      <c r="S2141" s="225">
        <f t="shared" si="33"/>
        <v>47757</v>
      </c>
      <c r="T2141" s="162" t="s">
        <v>7663</v>
      </c>
      <c r="U2141" s="7" t="s">
        <v>139</v>
      </c>
      <c r="V2141" s="162" t="str" cm="1">
        <f t="array" ref="V2141">_xlfn.IFS(C2141="","",COUNTIF(C2141,"ตำแหน่งว่าง*"),"ว่าง",COUNTIF(C2141,"&lt;&gt;ตำแหน่งว่าง*"),"คนครอง")</f>
        <v>คนครอง</v>
      </c>
      <c r="W2141" s="5" cm="1">
        <f t="array" ref="W2141">_xlfn.IFS(COUNTIF(F2141,"ผบ.หมู่*"),51,COUNTIF(F2141,"รอง สว.*"),43)</f>
        <v>43</v>
      </c>
      <c r="X2141" s="5" t="s">
        <v>6329</v>
      </c>
      <c r="Y2141" s="5" t="s">
        <v>52</v>
      </c>
    </row>
    <row r="2142" spans="1:25" s="12" customFormat="1" ht="21.3" customHeight="1">
      <c r="A2142" s="27" t="s">
        <v>157</v>
      </c>
      <c r="B2142" s="28" t="s">
        <v>21</v>
      </c>
      <c r="C2142" s="95" t="s">
        <v>6331</v>
      </c>
      <c r="D2142" s="27" t="s">
        <v>10226</v>
      </c>
      <c r="E2142" s="27" t="s">
        <v>10227</v>
      </c>
      <c r="F2142" s="95" t="s">
        <v>6308</v>
      </c>
      <c r="G2142" s="101" t="s">
        <v>6333</v>
      </c>
      <c r="H2142" s="75">
        <v>42501</v>
      </c>
      <c r="I2142" s="73">
        <v>35916</v>
      </c>
      <c r="J2142" s="73">
        <v>35095</v>
      </c>
      <c r="K2142" s="73">
        <v>26665</v>
      </c>
      <c r="L2142" s="11" t="s">
        <v>2314</v>
      </c>
      <c r="M2142" s="1" t="s">
        <v>91</v>
      </c>
      <c r="N2142" s="111" t="s">
        <v>14</v>
      </c>
      <c r="O2142" s="104" t="s">
        <v>52</v>
      </c>
      <c r="P2142" s="104" t="s">
        <v>52</v>
      </c>
      <c r="Q2142" s="105"/>
      <c r="R2142" s="28" t="s">
        <v>110</v>
      </c>
      <c r="S2142" s="225">
        <f t="shared" si="33"/>
        <v>48853</v>
      </c>
      <c r="T2142" s="162" t="s">
        <v>7663</v>
      </c>
      <c r="U2142" s="7" t="s">
        <v>139</v>
      </c>
      <c r="V2142" s="162" t="str" cm="1">
        <f t="array" ref="V2142">_xlfn.IFS(C2142="","",COUNTIF(C2142,"ตำแหน่งว่าง*"),"ว่าง",COUNTIF(C2142,"&lt;&gt;ตำแหน่งว่าง*"),"คนครอง")</f>
        <v>คนครอง</v>
      </c>
      <c r="W2142" s="6" cm="1">
        <f t="array" ref="W2142">_xlfn.IFS(COUNTIF(F2142,"ผบ.หมู่*"),51,COUNTIF(F2142,"รอง สว.*"),43)</f>
        <v>51</v>
      </c>
      <c r="X2142" s="5" t="s">
        <v>6332</v>
      </c>
      <c r="Y2142" s="5" t="s">
        <v>52</v>
      </c>
    </row>
    <row r="2143" spans="1:25" s="9" customFormat="1" ht="21.3" customHeight="1">
      <c r="A2143" s="95" t="s">
        <v>208</v>
      </c>
      <c r="B2143" s="28" t="s">
        <v>21</v>
      </c>
      <c r="C2143" s="27" t="s">
        <v>6334</v>
      </c>
      <c r="D2143" s="27" t="s">
        <v>8977</v>
      </c>
      <c r="E2143" s="27" t="s">
        <v>10228</v>
      </c>
      <c r="F2143" s="95" t="s">
        <v>6308</v>
      </c>
      <c r="G2143" s="101" t="s">
        <v>6336</v>
      </c>
      <c r="H2143" s="91">
        <v>43693</v>
      </c>
      <c r="I2143" s="73">
        <v>43693</v>
      </c>
      <c r="J2143" s="85">
        <v>43693</v>
      </c>
      <c r="K2143" s="73">
        <v>34484</v>
      </c>
      <c r="L2143" s="11" t="s">
        <v>82</v>
      </c>
      <c r="M2143" s="1" t="s">
        <v>91</v>
      </c>
      <c r="N2143" s="112" t="s">
        <v>14</v>
      </c>
      <c r="O2143" s="104" t="s">
        <v>52</v>
      </c>
      <c r="P2143" s="104" t="s">
        <v>52</v>
      </c>
      <c r="Q2143" s="105"/>
      <c r="R2143" s="28" t="s">
        <v>645</v>
      </c>
      <c r="S2143" s="225">
        <f t="shared" si="33"/>
        <v>56523</v>
      </c>
      <c r="T2143" s="2" t="s">
        <v>7663</v>
      </c>
      <c r="U2143" s="7" t="s">
        <v>139</v>
      </c>
      <c r="V2143" s="162" t="str" cm="1">
        <f t="array" ref="V2143">_xlfn.IFS(C2143="","",COUNTIF(C2143,"ตำแหน่งว่าง*"),"ว่าง",COUNTIF(C2143,"&lt;&gt;ตำแหน่งว่าง*"),"คนครอง")</f>
        <v>คนครอง</v>
      </c>
      <c r="W2143" s="6" cm="1">
        <f t="array" ref="W2143">_xlfn.IFS(COUNTIF(F2143,"ผบ.หมู่*"),51,COUNTIF(F2143,"รอง สว.*"),43)</f>
        <v>51</v>
      </c>
      <c r="X2143" s="1" t="s">
        <v>6335</v>
      </c>
      <c r="Y2143" s="1" t="s">
        <v>52</v>
      </c>
    </row>
    <row r="2144" spans="1:25" s="9" customFormat="1" ht="21.3" customHeight="1">
      <c r="A2144" s="27" t="s">
        <v>208</v>
      </c>
      <c r="B2144" s="28" t="s">
        <v>12</v>
      </c>
      <c r="C2144" s="27" t="s">
        <v>6337</v>
      </c>
      <c r="D2144" s="27" t="s">
        <v>10229</v>
      </c>
      <c r="E2144" s="27" t="s">
        <v>10230</v>
      </c>
      <c r="F2144" s="95" t="s">
        <v>6308</v>
      </c>
      <c r="G2144" s="101" t="s">
        <v>6339</v>
      </c>
      <c r="H2144" s="91">
        <v>43693</v>
      </c>
      <c r="I2144" s="73">
        <v>43693</v>
      </c>
      <c r="J2144" s="85">
        <v>43693</v>
      </c>
      <c r="K2144" s="73">
        <v>34227</v>
      </c>
      <c r="L2144" s="11" t="s">
        <v>82</v>
      </c>
      <c r="M2144" s="1" t="s">
        <v>24</v>
      </c>
      <c r="N2144" s="112" t="s">
        <v>14</v>
      </c>
      <c r="O2144" s="104" t="s">
        <v>52</v>
      </c>
      <c r="P2144" s="104" t="s">
        <v>52</v>
      </c>
      <c r="Q2144" s="105"/>
      <c r="R2144" s="28" t="s">
        <v>645</v>
      </c>
      <c r="S2144" s="225">
        <f t="shared" si="33"/>
        <v>56158</v>
      </c>
      <c r="T2144" s="2" t="s">
        <v>7663</v>
      </c>
      <c r="U2144" s="7" t="s">
        <v>139</v>
      </c>
      <c r="V2144" s="162" t="str" cm="1">
        <f t="array" ref="V2144">_xlfn.IFS(C2144="","",COUNTIF(C2144,"ตำแหน่งว่าง*"),"ว่าง",COUNTIF(C2144,"&lt;&gt;ตำแหน่งว่าง*"),"คนครอง")</f>
        <v>คนครอง</v>
      </c>
      <c r="W2144" s="6" cm="1">
        <f t="array" ref="W2144">_xlfn.IFS(COUNTIF(F2144,"ผบ.หมู่*"),51,COUNTIF(F2144,"รอง สว.*"),43)</f>
        <v>51</v>
      </c>
      <c r="X2144" s="1" t="s">
        <v>6338</v>
      </c>
      <c r="Y2144" s="1" t="s">
        <v>52</v>
      </c>
    </row>
    <row r="2145" spans="1:25" s="9" customFormat="1" ht="21.3" customHeight="1">
      <c r="A2145" s="27" t="s">
        <v>157</v>
      </c>
      <c r="B2145" s="28" t="s">
        <v>12</v>
      </c>
      <c r="C2145" s="27" t="s">
        <v>6340</v>
      </c>
      <c r="D2145" s="27" t="s">
        <v>10231</v>
      </c>
      <c r="E2145" s="27" t="s">
        <v>10232</v>
      </c>
      <c r="F2145" s="27" t="s">
        <v>6308</v>
      </c>
      <c r="G2145" s="101" t="s">
        <v>6342</v>
      </c>
      <c r="H2145" s="91">
        <v>44243</v>
      </c>
      <c r="I2145" s="73">
        <v>38032</v>
      </c>
      <c r="J2145" s="73">
        <v>37316</v>
      </c>
      <c r="K2145" s="73">
        <v>29565</v>
      </c>
      <c r="L2145" s="11" t="s">
        <v>1980</v>
      </c>
      <c r="M2145" s="1" t="s">
        <v>25</v>
      </c>
      <c r="N2145" s="112" t="s">
        <v>14</v>
      </c>
      <c r="O2145" s="104" t="s">
        <v>52</v>
      </c>
      <c r="P2145" s="104" t="s">
        <v>52</v>
      </c>
      <c r="Q2145" s="105"/>
      <c r="R2145" s="28" t="s">
        <v>617</v>
      </c>
      <c r="S2145" s="225">
        <f t="shared" si="33"/>
        <v>51775</v>
      </c>
      <c r="T2145" s="2" t="s">
        <v>7663</v>
      </c>
      <c r="U2145" s="7" t="s">
        <v>139</v>
      </c>
      <c r="V2145" s="162" t="str" cm="1">
        <f t="array" ref="V2145">_xlfn.IFS(C2145="","",COUNTIF(C2145,"ตำแหน่งว่าง*"),"ว่าง",COUNTIF(C2145,"&lt;&gt;ตำแหน่งว่าง*"),"คนครอง")</f>
        <v>คนครอง</v>
      </c>
      <c r="W2145" s="6" cm="1">
        <f t="array" ref="W2145">_xlfn.IFS(COUNTIF(F2145,"ผบ.หมู่*"),51,COUNTIF(F2145,"รอง สว.*"),43)</f>
        <v>51</v>
      </c>
      <c r="X2145" s="1" t="s">
        <v>6341</v>
      </c>
      <c r="Y2145" s="1" t="s">
        <v>52</v>
      </c>
    </row>
    <row r="2146" spans="1:25" s="10" customFormat="1" ht="21.3" customHeight="1">
      <c r="A2146" s="27"/>
      <c r="B2146" s="28"/>
      <c r="C2146" s="30" t="s">
        <v>18</v>
      </c>
      <c r="D2146" s="27"/>
      <c r="E2146" s="27"/>
      <c r="F2146" s="68" t="s">
        <v>6308</v>
      </c>
      <c r="G2146" s="121" t="s">
        <v>6344</v>
      </c>
      <c r="H2146" s="91" t="s">
        <v>19</v>
      </c>
      <c r="I2146" s="73" t="s">
        <v>19</v>
      </c>
      <c r="J2146" s="73" t="s">
        <v>19</v>
      </c>
      <c r="K2146" s="73" t="s">
        <v>19</v>
      </c>
      <c r="L2146" s="11"/>
      <c r="M2146" s="1"/>
      <c r="N2146" s="113" t="s">
        <v>14</v>
      </c>
      <c r="O2146" s="122" t="s">
        <v>52</v>
      </c>
      <c r="P2146" s="122" t="s">
        <v>52</v>
      </c>
      <c r="Q2146" s="105"/>
      <c r="R2146" s="28"/>
      <c r="S2146" s="225" t="str">
        <f t="shared" si="33"/>
        <v/>
      </c>
      <c r="T2146" s="7" t="s">
        <v>7663</v>
      </c>
      <c r="U2146" s="7" t="s">
        <v>139</v>
      </c>
      <c r="V2146" s="171" t="str" cm="1">
        <f t="array" ref="V2146">_xlfn.IFS(C2146="","",COUNTIF(C2146,"ตำแหน่งว่าง*"),"ว่าง",COUNTIF(C2146,"&lt;&gt;ตำแหน่งว่าง*"),"คนครอง")</f>
        <v>ว่าง</v>
      </c>
      <c r="W2146" s="6" cm="1">
        <f t="array" ref="W2146">_xlfn.IFS(COUNTIF(F2146,"ผบ.หมู่*"),51,COUNTIF(F2146,"รอง สว.*"),43)</f>
        <v>51</v>
      </c>
      <c r="X2146" s="6" t="s">
        <v>6343</v>
      </c>
      <c r="Y2146" s="6" t="s">
        <v>52</v>
      </c>
    </row>
    <row r="2147" spans="1:25" s="10" customFormat="1" ht="21.3" customHeight="1">
      <c r="A2147" s="27"/>
      <c r="B2147" s="28"/>
      <c r="C2147" s="30" t="s">
        <v>18</v>
      </c>
      <c r="D2147" s="27"/>
      <c r="E2147" s="27"/>
      <c r="F2147" s="68" t="s">
        <v>6308</v>
      </c>
      <c r="G2147" s="121" t="s">
        <v>6346</v>
      </c>
      <c r="H2147" s="91" t="s">
        <v>19</v>
      </c>
      <c r="I2147" s="73" t="s">
        <v>19</v>
      </c>
      <c r="J2147" s="73" t="s">
        <v>19</v>
      </c>
      <c r="K2147" s="73" t="s">
        <v>19</v>
      </c>
      <c r="L2147" s="11"/>
      <c r="M2147" s="1"/>
      <c r="N2147" s="113" t="s">
        <v>14</v>
      </c>
      <c r="O2147" s="122" t="s">
        <v>52</v>
      </c>
      <c r="P2147" s="122" t="s">
        <v>52</v>
      </c>
      <c r="Q2147" s="105"/>
      <c r="R2147" s="28"/>
      <c r="S2147" s="225" t="str">
        <f t="shared" si="33"/>
        <v/>
      </c>
      <c r="T2147" s="7" t="s">
        <v>7663</v>
      </c>
      <c r="U2147" s="7" t="s">
        <v>139</v>
      </c>
      <c r="V2147" s="171" t="str" cm="1">
        <f t="array" ref="V2147">_xlfn.IFS(C2147="","",COUNTIF(C2147,"ตำแหน่งว่าง*"),"ว่าง",COUNTIF(C2147,"&lt;&gt;ตำแหน่งว่าง*"),"คนครอง")</f>
        <v>ว่าง</v>
      </c>
      <c r="W2147" s="6" cm="1">
        <f t="array" ref="W2147">_xlfn.IFS(COUNTIF(F2147,"ผบ.หมู่*"),51,COUNTIF(F2147,"รอง สว.*"),43)</f>
        <v>51</v>
      </c>
      <c r="X2147" s="6" t="s">
        <v>6345</v>
      </c>
      <c r="Y2147" s="6" t="s">
        <v>52</v>
      </c>
    </row>
    <row r="2148" spans="1:25" s="10" customFormat="1" ht="21.3" customHeight="1">
      <c r="A2148" s="27"/>
      <c r="B2148" s="28"/>
      <c r="C2148" s="30" t="s">
        <v>18</v>
      </c>
      <c r="D2148" s="27"/>
      <c r="E2148" s="27"/>
      <c r="F2148" s="68" t="s">
        <v>6308</v>
      </c>
      <c r="G2148" s="121" t="s">
        <v>6348</v>
      </c>
      <c r="H2148" s="91" t="s">
        <v>19</v>
      </c>
      <c r="I2148" s="73" t="s">
        <v>19</v>
      </c>
      <c r="J2148" s="73" t="s">
        <v>19</v>
      </c>
      <c r="K2148" s="73" t="s">
        <v>19</v>
      </c>
      <c r="L2148" s="11"/>
      <c r="M2148" s="1"/>
      <c r="N2148" s="113" t="s">
        <v>14</v>
      </c>
      <c r="O2148" s="122" t="s">
        <v>52</v>
      </c>
      <c r="P2148" s="122" t="s">
        <v>52</v>
      </c>
      <c r="Q2148" s="105"/>
      <c r="R2148" s="28"/>
      <c r="S2148" s="225" t="str">
        <f t="shared" si="33"/>
        <v/>
      </c>
      <c r="T2148" s="7" t="s">
        <v>7663</v>
      </c>
      <c r="U2148" s="7" t="s">
        <v>139</v>
      </c>
      <c r="V2148" s="171" t="str" cm="1">
        <f t="array" ref="V2148">_xlfn.IFS(C2148="","",COUNTIF(C2148,"ตำแหน่งว่าง*"),"ว่าง",COUNTIF(C2148,"&lt;&gt;ตำแหน่งว่าง*"),"คนครอง")</f>
        <v>ว่าง</v>
      </c>
      <c r="W2148" s="6" cm="1">
        <f t="array" ref="W2148">_xlfn.IFS(COUNTIF(F2148,"ผบ.หมู่*"),51,COUNTIF(F2148,"รอง สว.*"),43)</f>
        <v>51</v>
      </c>
      <c r="X2148" s="6" t="s">
        <v>6347</v>
      </c>
      <c r="Y2148" s="6" t="s">
        <v>52</v>
      </c>
    </row>
    <row r="2149" spans="1:25" s="10" customFormat="1" ht="21.3" customHeight="1">
      <c r="A2149" s="27"/>
      <c r="B2149" s="28"/>
      <c r="C2149" s="30" t="s">
        <v>18</v>
      </c>
      <c r="D2149" s="27"/>
      <c r="E2149" s="27"/>
      <c r="F2149" s="68" t="s">
        <v>6308</v>
      </c>
      <c r="G2149" s="121" t="s">
        <v>6350</v>
      </c>
      <c r="H2149" s="91" t="s">
        <v>19</v>
      </c>
      <c r="I2149" s="73" t="s">
        <v>19</v>
      </c>
      <c r="J2149" s="73" t="s">
        <v>19</v>
      </c>
      <c r="K2149" s="73" t="s">
        <v>19</v>
      </c>
      <c r="L2149" s="11"/>
      <c r="M2149" s="1"/>
      <c r="N2149" s="113" t="s">
        <v>14</v>
      </c>
      <c r="O2149" s="122" t="s">
        <v>52</v>
      </c>
      <c r="P2149" s="122" t="s">
        <v>52</v>
      </c>
      <c r="Q2149" s="105"/>
      <c r="R2149" s="28"/>
      <c r="S2149" s="225" t="str">
        <f t="shared" si="33"/>
        <v/>
      </c>
      <c r="T2149" s="7" t="s">
        <v>7663</v>
      </c>
      <c r="U2149" s="7" t="s">
        <v>139</v>
      </c>
      <c r="V2149" s="171" t="str" cm="1">
        <f t="array" ref="V2149">_xlfn.IFS(C2149="","",COUNTIF(C2149,"ตำแหน่งว่าง*"),"ว่าง",COUNTIF(C2149,"&lt;&gt;ตำแหน่งว่าง*"),"คนครอง")</f>
        <v>ว่าง</v>
      </c>
      <c r="W2149" s="6" cm="1">
        <f t="array" ref="W2149">_xlfn.IFS(COUNTIF(F2149,"ผบ.หมู่*"),51,COUNTIF(F2149,"รอง สว.*"),43)</f>
        <v>51</v>
      </c>
      <c r="X2149" s="6" t="s">
        <v>6349</v>
      </c>
      <c r="Y2149" s="6" t="s">
        <v>52</v>
      </c>
    </row>
    <row r="2150" spans="1:25" s="10" customFormat="1" ht="21.3" customHeight="1">
      <c r="A2150" s="27"/>
      <c r="B2150" s="28"/>
      <c r="C2150" s="30" t="s">
        <v>18</v>
      </c>
      <c r="D2150" s="27"/>
      <c r="E2150" s="27"/>
      <c r="F2150" s="68" t="s">
        <v>6308</v>
      </c>
      <c r="G2150" s="121" t="s">
        <v>6352</v>
      </c>
      <c r="H2150" s="91" t="s">
        <v>19</v>
      </c>
      <c r="I2150" s="73" t="s">
        <v>19</v>
      </c>
      <c r="J2150" s="73" t="s">
        <v>19</v>
      </c>
      <c r="K2150" s="73" t="s">
        <v>19</v>
      </c>
      <c r="L2150" s="11"/>
      <c r="M2150" s="1"/>
      <c r="N2150" s="113" t="s">
        <v>14</v>
      </c>
      <c r="O2150" s="122" t="s">
        <v>52</v>
      </c>
      <c r="P2150" s="122" t="s">
        <v>52</v>
      </c>
      <c r="Q2150" s="105"/>
      <c r="R2150" s="28"/>
      <c r="S2150" s="225" t="str">
        <f t="shared" si="33"/>
        <v/>
      </c>
      <c r="T2150" s="7" t="s">
        <v>7663</v>
      </c>
      <c r="U2150" s="7" t="s">
        <v>139</v>
      </c>
      <c r="V2150" s="171" t="str" cm="1">
        <f t="array" ref="V2150">_xlfn.IFS(C2150="","",COUNTIF(C2150,"ตำแหน่งว่าง*"),"ว่าง",COUNTIF(C2150,"&lt;&gt;ตำแหน่งว่าง*"),"คนครอง")</f>
        <v>ว่าง</v>
      </c>
      <c r="W2150" s="6" cm="1">
        <f t="array" ref="W2150">_xlfn.IFS(COUNTIF(F2150,"ผบ.หมู่*"),51,COUNTIF(F2150,"รอง สว.*"),43)</f>
        <v>51</v>
      </c>
      <c r="X2150" s="6" t="s">
        <v>6351</v>
      </c>
      <c r="Y2150" s="6" t="s">
        <v>52</v>
      </c>
    </row>
    <row r="2151" spans="1:25" s="9" customFormat="1" ht="21.3" customHeight="1">
      <c r="A2151" s="27" t="s">
        <v>612</v>
      </c>
      <c r="B2151" s="28" t="s">
        <v>12</v>
      </c>
      <c r="C2151" s="27" t="s">
        <v>6182</v>
      </c>
      <c r="D2151" s="27" t="s">
        <v>8400</v>
      </c>
      <c r="E2151" s="27" t="s">
        <v>10233</v>
      </c>
      <c r="F2151" s="27" t="s">
        <v>6183</v>
      </c>
      <c r="G2151" s="101" t="s">
        <v>6185</v>
      </c>
      <c r="H2151" s="91">
        <v>43871</v>
      </c>
      <c r="I2151" s="73">
        <v>42115</v>
      </c>
      <c r="J2151" s="73">
        <v>42115</v>
      </c>
      <c r="K2151" s="73">
        <v>34566</v>
      </c>
      <c r="L2151" s="11" t="s">
        <v>82</v>
      </c>
      <c r="M2151" s="1" t="s">
        <v>42</v>
      </c>
      <c r="N2151" s="112" t="s">
        <v>14</v>
      </c>
      <c r="O2151" s="104" t="s">
        <v>52</v>
      </c>
      <c r="P2151" s="104" t="s">
        <v>52</v>
      </c>
      <c r="Q2151" s="105"/>
      <c r="R2151" s="28" t="s">
        <v>688</v>
      </c>
      <c r="S2151" s="225">
        <f t="shared" si="33"/>
        <v>56523</v>
      </c>
      <c r="T2151" s="2" t="s">
        <v>7664</v>
      </c>
      <c r="U2151" s="7" t="s">
        <v>139</v>
      </c>
      <c r="V2151" s="162" t="str" cm="1">
        <f t="array" ref="V2151">_xlfn.IFS(C2151="","",COUNTIF(C2151,"ตำแหน่งว่าง*"),"ว่าง",COUNTIF(C2151,"&lt;&gt;ตำแหน่งว่าง*"),"คนครอง")</f>
        <v>คนครอง</v>
      </c>
      <c r="W2151" s="6" cm="1">
        <f t="array" ref="W2151">_xlfn.IFS(COUNTIF(F2151,"ผบ.หมู่*"),51,COUNTIF(F2151,"รอง สว.*"),43)</f>
        <v>51</v>
      </c>
      <c r="X2151" s="1" t="s">
        <v>6184</v>
      </c>
      <c r="Y2151" s="1" t="s">
        <v>52</v>
      </c>
    </row>
    <row r="2152" spans="1:25" s="9" customFormat="1" ht="21.3" customHeight="1">
      <c r="A2152" s="134" t="s">
        <v>612</v>
      </c>
      <c r="B2152" s="26" t="s">
        <v>21</v>
      </c>
      <c r="C2152" s="134" t="s">
        <v>6186</v>
      </c>
      <c r="D2152" s="27" t="s">
        <v>10234</v>
      </c>
      <c r="E2152" s="27" t="s">
        <v>8654</v>
      </c>
      <c r="F2152" s="27" t="s">
        <v>6183</v>
      </c>
      <c r="G2152" s="101" t="s">
        <v>6188</v>
      </c>
      <c r="H2152" s="91">
        <v>44599</v>
      </c>
      <c r="I2152" s="73">
        <v>41944</v>
      </c>
      <c r="J2152" s="73">
        <v>41944</v>
      </c>
      <c r="K2152" s="73">
        <v>33672</v>
      </c>
      <c r="L2152" s="19" t="s">
        <v>6189</v>
      </c>
      <c r="M2152" s="3" t="s">
        <v>47</v>
      </c>
      <c r="N2152" s="112" t="s">
        <v>14</v>
      </c>
      <c r="O2152" s="104" t="s">
        <v>52</v>
      </c>
      <c r="P2152" s="104" t="s">
        <v>52</v>
      </c>
      <c r="Q2152" s="105"/>
      <c r="R2152" s="28" t="s">
        <v>607</v>
      </c>
      <c r="S2152" s="225">
        <f t="shared" si="33"/>
        <v>55793</v>
      </c>
      <c r="T2152" s="2" t="s">
        <v>7664</v>
      </c>
      <c r="U2152" s="7" t="s">
        <v>139</v>
      </c>
      <c r="V2152" s="162" t="str" cm="1">
        <f t="array" ref="V2152">_xlfn.IFS(C2152="","",COUNTIF(C2152,"ตำแหน่งว่าง*"),"ว่าง",COUNTIF(C2152,"&lt;&gt;ตำแหน่งว่าง*"),"คนครอง")</f>
        <v>คนครอง</v>
      </c>
      <c r="W2152" s="6" cm="1">
        <f t="array" ref="W2152">_xlfn.IFS(COUNTIF(F2152,"ผบ.หมู่*"),51,COUNTIF(F2152,"รอง สว.*"),43)</f>
        <v>51</v>
      </c>
      <c r="X2152" s="1" t="s">
        <v>6187</v>
      </c>
      <c r="Y2152" s="1" t="s">
        <v>52</v>
      </c>
    </row>
    <row r="2153" spans="1:25" s="9" customFormat="1" ht="21.3" customHeight="1">
      <c r="A2153" s="27" t="s">
        <v>612</v>
      </c>
      <c r="B2153" s="28" t="s">
        <v>21</v>
      </c>
      <c r="C2153" s="27" t="s">
        <v>6190</v>
      </c>
      <c r="D2153" s="27" t="s">
        <v>10235</v>
      </c>
      <c r="E2153" s="27" t="s">
        <v>10236</v>
      </c>
      <c r="F2153" s="27" t="s">
        <v>6183</v>
      </c>
      <c r="G2153" s="101" t="s">
        <v>6192</v>
      </c>
      <c r="H2153" s="91">
        <v>43871</v>
      </c>
      <c r="I2153" s="73">
        <v>41944</v>
      </c>
      <c r="J2153" s="73">
        <v>41944</v>
      </c>
      <c r="K2153" s="73">
        <v>30931</v>
      </c>
      <c r="L2153" s="11" t="s">
        <v>6193</v>
      </c>
      <c r="M2153" s="1" t="s">
        <v>42</v>
      </c>
      <c r="N2153" s="112" t="s">
        <v>14</v>
      </c>
      <c r="O2153" s="104" t="s">
        <v>52</v>
      </c>
      <c r="P2153" s="104" t="s">
        <v>52</v>
      </c>
      <c r="Q2153" s="105"/>
      <c r="R2153" s="28" t="s">
        <v>688</v>
      </c>
      <c r="S2153" s="225">
        <f t="shared" si="33"/>
        <v>52871</v>
      </c>
      <c r="T2153" s="2" t="s">
        <v>7664</v>
      </c>
      <c r="U2153" s="7" t="s">
        <v>139</v>
      </c>
      <c r="V2153" s="162" t="str" cm="1">
        <f t="array" ref="V2153">_xlfn.IFS(C2153="","",COUNTIF(C2153,"ตำแหน่งว่าง*"),"ว่าง",COUNTIF(C2153,"&lt;&gt;ตำแหน่งว่าง*"),"คนครอง")</f>
        <v>คนครอง</v>
      </c>
      <c r="W2153" s="6" cm="1">
        <f t="array" ref="W2153">_xlfn.IFS(COUNTIF(F2153,"ผบ.หมู่*"),51,COUNTIF(F2153,"รอง สว.*"),43)</f>
        <v>51</v>
      </c>
      <c r="X2153" s="1" t="s">
        <v>6191</v>
      </c>
      <c r="Y2153" s="1" t="s">
        <v>52</v>
      </c>
    </row>
    <row r="2154" spans="1:25" s="9" customFormat="1" ht="21.3" customHeight="1">
      <c r="A2154" s="27" t="s">
        <v>182</v>
      </c>
      <c r="B2154" s="28" t="s">
        <v>12</v>
      </c>
      <c r="C2154" s="27" t="s">
        <v>6194</v>
      </c>
      <c r="D2154" s="27" t="s">
        <v>10237</v>
      </c>
      <c r="E2154" s="27" t="s">
        <v>10238</v>
      </c>
      <c r="F2154" s="27" t="s">
        <v>6183</v>
      </c>
      <c r="G2154" s="101" t="s">
        <v>6196</v>
      </c>
      <c r="H2154" s="91">
        <v>44043</v>
      </c>
      <c r="I2154" s="73">
        <v>44043</v>
      </c>
      <c r="J2154" s="85">
        <v>44043</v>
      </c>
      <c r="K2154" s="73">
        <v>31481</v>
      </c>
      <c r="L2154" s="11" t="s">
        <v>82</v>
      </c>
      <c r="M2154" s="1" t="s">
        <v>42</v>
      </c>
      <c r="N2154" s="112" t="s">
        <v>14</v>
      </c>
      <c r="O2154" s="104" t="s">
        <v>52</v>
      </c>
      <c r="P2154" s="104" t="s">
        <v>52</v>
      </c>
      <c r="Q2154" s="105"/>
      <c r="R2154" s="28" t="s">
        <v>2436</v>
      </c>
      <c r="S2154" s="225">
        <f t="shared" si="33"/>
        <v>53601</v>
      </c>
      <c r="T2154" s="2" t="s">
        <v>7664</v>
      </c>
      <c r="U2154" s="7" t="s">
        <v>139</v>
      </c>
      <c r="V2154" s="162" t="str" cm="1">
        <f t="array" ref="V2154">_xlfn.IFS(C2154="","",COUNTIF(C2154,"ตำแหน่งว่าง*"),"ว่าง",COUNTIF(C2154,"&lt;&gt;ตำแหน่งว่าง*"),"คนครอง")</f>
        <v>คนครอง</v>
      </c>
      <c r="W2154" s="6" cm="1">
        <f t="array" ref="W2154">_xlfn.IFS(COUNTIF(F2154,"ผบ.หมู่*"),51,COUNTIF(F2154,"รอง สว.*"),43)</f>
        <v>51</v>
      </c>
      <c r="X2154" s="1" t="s">
        <v>6195</v>
      </c>
      <c r="Y2154" s="1" t="s">
        <v>52</v>
      </c>
    </row>
    <row r="2155" spans="1:25" s="9" customFormat="1" ht="21.3" customHeight="1">
      <c r="A2155" s="27"/>
      <c r="B2155" s="28"/>
      <c r="C2155" s="27" t="s">
        <v>18</v>
      </c>
      <c r="D2155" s="27"/>
      <c r="E2155" s="27"/>
      <c r="F2155" s="27" t="s">
        <v>6183</v>
      </c>
      <c r="G2155" s="101" t="s">
        <v>6198</v>
      </c>
      <c r="H2155" s="91"/>
      <c r="I2155" s="73"/>
      <c r="J2155" s="73"/>
      <c r="K2155" s="73"/>
      <c r="L2155" s="19"/>
      <c r="M2155" s="3"/>
      <c r="N2155" s="112" t="s">
        <v>14</v>
      </c>
      <c r="O2155" s="104" t="s">
        <v>52</v>
      </c>
      <c r="P2155" s="104" t="s">
        <v>52</v>
      </c>
      <c r="Q2155" s="105"/>
      <c r="R2155" s="28"/>
      <c r="S2155" s="225" t="str">
        <f t="shared" si="33"/>
        <v/>
      </c>
      <c r="T2155" s="2" t="s">
        <v>7664</v>
      </c>
      <c r="U2155" s="7" t="s">
        <v>139</v>
      </c>
      <c r="V2155" s="162" t="str" cm="1">
        <f t="array" ref="V2155">_xlfn.IFS(C2155="","",COUNTIF(C2155,"ตำแหน่งว่าง*"),"ว่าง",COUNTIF(C2155,"&lt;&gt;ตำแหน่งว่าง*"),"คนครอง")</f>
        <v>ว่าง</v>
      </c>
      <c r="W2155" s="6" cm="1">
        <f t="array" ref="W2155">_xlfn.IFS(COUNTIF(F2155,"ผบ.หมู่*"),51,COUNTIF(F2155,"รอง สว.*"),43)</f>
        <v>51</v>
      </c>
      <c r="X2155" s="1" t="s">
        <v>6197</v>
      </c>
      <c r="Y2155" s="1" t="s">
        <v>52</v>
      </c>
    </row>
    <row r="2156" spans="1:25" s="9" customFormat="1" ht="21.3" customHeight="1">
      <c r="A2156" s="27"/>
      <c r="B2156" s="28"/>
      <c r="C2156" s="27" t="s">
        <v>18</v>
      </c>
      <c r="D2156" s="27"/>
      <c r="E2156" s="27"/>
      <c r="F2156" s="27" t="s">
        <v>6183</v>
      </c>
      <c r="G2156" s="101" t="s">
        <v>6201</v>
      </c>
      <c r="H2156" s="91"/>
      <c r="I2156" s="73"/>
      <c r="J2156" s="85"/>
      <c r="K2156" s="73"/>
      <c r="L2156" s="11"/>
      <c r="M2156" s="1"/>
      <c r="N2156" s="112" t="s">
        <v>14</v>
      </c>
      <c r="O2156" s="104" t="s">
        <v>52</v>
      </c>
      <c r="P2156" s="104" t="s">
        <v>52</v>
      </c>
      <c r="Q2156" s="105"/>
      <c r="R2156" s="28"/>
      <c r="S2156" s="174" t="str">
        <f t="shared" si="33"/>
        <v/>
      </c>
      <c r="T2156" s="2" t="s">
        <v>7664</v>
      </c>
      <c r="U2156" s="2" t="s">
        <v>139</v>
      </c>
      <c r="V2156" s="2" t="str" cm="1">
        <f t="array" ref="V2156">_xlfn.IFS(C2156="","",COUNTIF(C2156,"ตำแหน่งว่าง*"),"ว่าง",COUNTIF(C2156,"&lt;&gt;ตำแหน่งว่าง*"),"คนครอง")</f>
        <v>ว่าง</v>
      </c>
      <c r="W2156" s="1" cm="1">
        <f t="array" ref="W2156">_xlfn.IFS(COUNTIF(F2156,"ผบ.หมู่*"),51,COUNTIF(F2156,"รอง สว.*"),43)</f>
        <v>51</v>
      </c>
      <c r="X2156" s="1" t="s">
        <v>6200</v>
      </c>
      <c r="Y2156" s="1" t="s">
        <v>52</v>
      </c>
    </row>
    <row r="2157" spans="1:25" s="12" customFormat="1" ht="21.3" customHeight="1">
      <c r="A2157" s="134" t="s">
        <v>157</v>
      </c>
      <c r="B2157" s="26" t="s">
        <v>21</v>
      </c>
      <c r="C2157" s="136" t="s">
        <v>6202</v>
      </c>
      <c r="D2157" s="27" t="s">
        <v>10239</v>
      </c>
      <c r="E2157" s="27" t="s">
        <v>10240</v>
      </c>
      <c r="F2157" s="95" t="s">
        <v>6183</v>
      </c>
      <c r="G2157" s="101" t="s">
        <v>6204</v>
      </c>
      <c r="H2157" s="91">
        <v>44243</v>
      </c>
      <c r="I2157" s="73">
        <v>41214</v>
      </c>
      <c r="J2157" s="73">
        <v>41214</v>
      </c>
      <c r="K2157" s="73">
        <v>32348</v>
      </c>
      <c r="L2157" s="19" t="s">
        <v>6205</v>
      </c>
      <c r="M2157" s="3" t="s">
        <v>42</v>
      </c>
      <c r="N2157" s="111" t="s">
        <v>14</v>
      </c>
      <c r="O2157" s="104" t="s">
        <v>52</v>
      </c>
      <c r="P2157" s="104" t="s">
        <v>52</v>
      </c>
      <c r="Q2157" s="108"/>
      <c r="R2157" s="135" t="s">
        <v>617</v>
      </c>
      <c r="S2157" s="225">
        <f t="shared" si="33"/>
        <v>54332</v>
      </c>
      <c r="T2157" s="162" t="s">
        <v>7664</v>
      </c>
      <c r="U2157" s="7" t="s">
        <v>139</v>
      </c>
      <c r="V2157" s="162" t="str" cm="1">
        <f t="array" ref="V2157">_xlfn.IFS(C2157="","",COUNTIF(C2157,"ตำแหน่งว่าง*"),"ว่าง",COUNTIF(C2157,"&lt;&gt;ตำแหน่งว่าง*"),"คนครอง")</f>
        <v>คนครอง</v>
      </c>
      <c r="W2157" s="6" cm="1">
        <f t="array" ref="W2157">_xlfn.IFS(COUNTIF(F2157,"ผบ.หมู่*"),51,COUNTIF(F2157,"รอง สว.*"),43)</f>
        <v>51</v>
      </c>
      <c r="X2157" s="5" t="s">
        <v>6203</v>
      </c>
      <c r="Y2157" s="5" t="s">
        <v>52</v>
      </c>
    </row>
    <row r="2158" spans="1:25" s="10" customFormat="1" ht="21.3" customHeight="1">
      <c r="A2158" s="27" t="s">
        <v>157</v>
      </c>
      <c r="B2158" s="28" t="s">
        <v>12</v>
      </c>
      <c r="C2158" s="27" t="s">
        <v>7738</v>
      </c>
      <c r="D2158" s="27" t="s">
        <v>8307</v>
      </c>
      <c r="E2158" s="27" t="s">
        <v>10241</v>
      </c>
      <c r="F2158" s="27" t="s">
        <v>6183</v>
      </c>
      <c r="G2158" s="101" t="s">
        <v>6207</v>
      </c>
      <c r="H2158" s="91">
        <v>45322</v>
      </c>
      <c r="I2158" s="73">
        <v>41579</v>
      </c>
      <c r="J2158" s="73">
        <v>41579</v>
      </c>
      <c r="K2158" s="73">
        <v>32080</v>
      </c>
      <c r="L2158" s="11" t="s">
        <v>7739</v>
      </c>
      <c r="M2158" s="1" t="s">
        <v>42</v>
      </c>
      <c r="N2158" s="112" t="s">
        <v>14</v>
      </c>
      <c r="O2158" s="104" t="s">
        <v>52</v>
      </c>
      <c r="P2158" s="104" t="s">
        <v>52</v>
      </c>
      <c r="Q2158" s="105"/>
      <c r="R2158" s="28" t="s">
        <v>7708</v>
      </c>
      <c r="S2158" s="225">
        <f t="shared" si="33"/>
        <v>54332</v>
      </c>
      <c r="T2158" s="7" t="s">
        <v>7664</v>
      </c>
      <c r="U2158" s="7" t="s">
        <v>139</v>
      </c>
      <c r="V2158" s="162" t="str" cm="1">
        <f t="array" ref="V2158">_xlfn.IFS(C2158="","",COUNTIF(C2158,"ตำแหน่งว่าง*"),"ว่าง",COUNTIF(C2158,"&lt;&gt;ตำแหน่งว่าง*"),"คนครอง")</f>
        <v>คนครอง</v>
      </c>
      <c r="W2158" s="6" cm="1">
        <f t="array" ref="W2158">_xlfn.IFS(COUNTIF(F2158,"ผบ.หมู่*"),51,COUNTIF(F2158,"รอง สว.*"),43)</f>
        <v>51</v>
      </c>
      <c r="X2158" s="1" t="s">
        <v>6206</v>
      </c>
      <c r="Y2158" s="1" t="s">
        <v>52</v>
      </c>
    </row>
    <row r="2159" spans="1:25" s="9" customFormat="1" ht="21.3" customHeight="1">
      <c r="A2159" s="27" t="s">
        <v>157</v>
      </c>
      <c r="B2159" s="28" t="s">
        <v>12</v>
      </c>
      <c r="C2159" s="27" t="s">
        <v>6208</v>
      </c>
      <c r="D2159" s="27" t="s">
        <v>10242</v>
      </c>
      <c r="E2159" s="27" t="s">
        <v>10243</v>
      </c>
      <c r="F2159" s="27" t="s">
        <v>6183</v>
      </c>
      <c r="G2159" s="101" t="s">
        <v>6210</v>
      </c>
      <c r="H2159" s="75">
        <v>42604</v>
      </c>
      <c r="I2159" s="73">
        <v>40339</v>
      </c>
      <c r="J2159" s="73">
        <v>40339</v>
      </c>
      <c r="K2159" s="73">
        <v>31300</v>
      </c>
      <c r="L2159" s="11" t="s">
        <v>69</v>
      </c>
      <c r="M2159" s="1" t="s">
        <v>42</v>
      </c>
      <c r="N2159" s="112" t="s">
        <v>14</v>
      </c>
      <c r="O2159" s="104" t="s">
        <v>52</v>
      </c>
      <c r="P2159" s="104" t="s">
        <v>52</v>
      </c>
      <c r="Q2159" s="105"/>
      <c r="R2159" s="28" t="s">
        <v>76</v>
      </c>
      <c r="S2159" s="225">
        <f t="shared" si="33"/>
        <v>53236</v>
      </c>
      <c r="T2159" s="2" t="s">
        <v>7664</v>
      </c>
      <c r="U2159" s="7" t="s">
        <v>139</v>
      </c>
      <c r="V2159" s="162" t="str" cm="1">
        <f t="array" ref="V2159">_xlfn.IFS(C2159="","",COUNTIF(C2159,"ตำแหน่งว่าง*"),"ว่าง",COUNTIF(C2159,"&lt;&gt;ตำแหน่งว่าง*"),"คนครอง")</f>
        <v>คนครอง</v>
      </c>
      <c r="W2159" s="6" cm="1">
        <f t="array" ref="W2159">_xlfn.IFS(COUNTIF(F2159,"ผบ.หมู่*"),51,COUNTIF(F2159,"รอง สว.*"),43)</f>
        <v>51</v>
      </c>
      <c r="X2159" s="1" t="s">
        <v>6209</v>
      </c>
      <c r="Y2159" s="1" t="s">
        <v>52</v>
      </c>
    </row>
    <row r="2160" spans="1:25" s="9" customFormat="1" ht="21.3" customHeight="1">
      <c r="A2160" s="27" t="s">
        <v>30</v>
      </c>
      <c r="B2160" s="28" t="s">
        <v>12</v>
      </c>
      <c r="C2160" s="27" t="s">
        <v>6211</v>
      </c>
      <c r="D2160" s="27" t="s">
        <v>10244</v>
      </c>
      <c r="E2160" s="27" t="s">
        <v>10245</v>
      </c>
      <c r="F2160" s="95" t="s">
        <v>6212</v>
      </c>
      <c r="G2160" s="101" t="s">
        <v>6214</v>
      </c>
      <c r="H2160" s="75">
        <v>43555</v>
      </c>
      <c r="I2160" s="73">
        <v>43555</v>
      </c>
      <c r="J2160" s="73">
        <v>34352</v>
      </c>
      <c r="K2160" s="73">
        <v>24292</v>
      </c>
      <c r="L2160" s="11" t="s">
        <v>6215</v>
      </c>
      <c r="M2160" s="1" t="s">
        <v>42</v>
      </c>
      <c r="N2160" s="112" t="s">
        <v>14</v>
      </c>
      <c r="O2160" s="104" t="s">
        <v>52</v>
      </c>
      <c r="P2160" s="104" t="s">
        <v>52</v>
      </c>
      <c r="Q2160" s="105"/>
      <c r="R2160" s="30" t="s">
        <v>2892</v>
      </c>
      <c r="S2160" s="225">
        <f t="shared" si="33"/>
        <v>46296</v>
      </c>
      <c r="T2160" s="2" t="s">
        <v>7664</v>
      </c>
      <c r="U2160" s="7" t="s">
        <v>139</v>
      </c>
      <c r="V2160" s="162" t="str" cm="1">
        <f t="array" ref="V2160">_xlfn.IFS(C2160="","",COUNTIF(C2160,"ตำแหน่งว่าง*"),"ว่าง",COUNTIF(C2160,"&lt;&gt;ตำแหน่งว่าง*"),"คนครอง")</f>
        <v>คนครอง</v>
      </c>
      <c r="W2160" s="5" cm="1">
        <f t="array" ref="W2160">_xlfn.IFS(COUNTIF(F2160,"ผบ.หมู่*"),51,COUNTIF(F2160,"รอง สว.*"),43)</f>
        <v>43</v>
      </c>
      <c r="X2160" s="1" t="s">
        <v>6213</v>
      </c>
      <c r="Y2160" s="1" t="s">
        <v>52</v>
      </c>
    </row>
    <row r="2161" spans="1:25" s="12" customFormat="1" ht="21.3" customHeight="1">
      <c r="A2161" s="27" t="s">
        <v>157</v>
      </c>
      <c r="B2161" s="28" t="s">
        <v>21</v>
      </c>
      <c r="C2161" s="95" t="s">
        <v>6216</v>
      </c>
      <c r="D2161" s="27" t="s">
        <v>7986</v>
      </c>
      <c r="E2161" s="27" t="s">
        <v>10246</v>
      </c>
      <c r="F2161" s="27" t="s">
        <v>6183</v>
      </c>
      <c r="G2161" s="101" t="s">
        <v>6218</v>
      </c>
      <c r="H2161" s="75">
        <v>42501</v>
      </c>
      <c r="I2161" s="73">
        <v>35916</v>
      </c>
      <c r="J2161" s="73">
        <v>35095</v>
      </c>
      <c r="K2161" s="73">
        <v>27476</v>
      </c>
      <c r="L2161" s="11" t="s">
        <v>6219</v>
      </c>
      <c r="M2161" s="1" t="s">
        <v>42</v>
      </c>
      <c r="N2161" s="111" t="s">
        <v>14</v>
      </c>
      <c r="O2161" s="104" t="s">
        <v>52</v>
      </c>
      <c r="P2161" s="104" t="s">
        <v>52</v>
      </c>
      <c r="Q2161" s="105"/>
      <c r="R2161" s="28" t="s">
        <v>110</v>
      </c>
      <c r="S2161" s="225">
        <f t="shared" si="33"/>
        <v>49583</v>
      </c>
      <c r="T2161" s="162" t="s">
        <v>7664</v>
      </c>
      <c r="U2161" s="7" t="s">
        <v>139</v>
      </c>
      <c r="V2161" s="162" t="str" cm="1">
        <f t="array" ref="V2161">_xlfn.IFS(C2161="","",COUNTIF(C2161,"ตำแหน่งว่าง*"),"ว่าง",COUNTIF(C2161,"&lt;&gt;ตำแหน่งว่าง*"),"คนครอง")</f>
        <v>คนครอง</v>
      </c>
      <c r="W2161" s="6" cm="1">
        <f t="array" ref="W2161">_xlfn.IFS(COUNTIF(F2161,"ผบ.หมู่*"),51,COUNTIF(F2161,"รอง สว.*"),43)</f>
        <v>51</v>
      </c>
      <c r="X2161" s="5" t="s">
        <v>6217</v>
      </c>
      <c r="Y2161" s="5" t="s">
        <v>52</v>
      </c>
    </row>
    <row r="2162" spans="1:25" s="10" customFormat="1" ht="21.3" customHeight="1">
      <c r="A2162" s="27"/>
      <c r="B2162" s="28"/>
      <c r="C2162" s="30" t="s">
        <v>18</v>
      </c>
      <c r="D2162" s="27"/>
      <c r="E2162" s="27"/>
      <c r="F2162" s="68" t="s">
        <v>6183</v>
      </c>
      <c r="G2162" s="121" t="s">
        <v>6221</v>
      </c>
      <c r="H2162" s="91" t="s">
        <v>19</v>
      </c>
      <c r="I2162" s="73" t="s">
        <v>19</v>
      </c>
      <c r="J2162" s="73" t="s">
        <v>19</v>
      </c>
      <c r="K2162" s="73" t="s">
        <v>19</v>
      </c>
      <c r="L2162" s="11"/>
      <c r="M2162" s="1"/>
      <c r="N2162" s="113" t="s">
        <v>14</v>
      </c>
      <c r="O2162" s="122" t="s">
        <v>52</v>
      </c>
      <c r="P2162" s="122" t="s">
        <v>52</v>
      </c>
      <c r="Q2162" s="105"/>
      <c r="R2162" s="28"/>
      <c r="S2162" s="225" t="str">
        <f t="shared" si="33"/>
        <v/>
      </c>
      <c r="T2162" s="7" t="s">
        <v>7664</v>
      </c>
      <c r="U2162" s="7" t="s">
        <v>139</v>
      </c>
      <c r="V2162" s="162" t="str" cm="1">
        <f t="array" ref="V2162">_xlfn.IFS(C2162="","",COUNTIF(C2162,"ตำแหน่งว่าง*"),"ว่าง",COUNTIF(C2162,"&lt;&gt;ตำแหน่งว่าง*"),"คนครอง")</f>
        <v>ว่าง</v>
      </c>
      <c r="W2162" s="6" cm="1">
        <f t="array" ref="W2162">_xlfn.IFS(COUNTIF(F2162,"ผบ.หมู่*"),51,COUNTIF(F2162,"รอง สว.*"),43)</f>
        <v>51</v>
      </c>
      <c r="X2162" s="6" t="s">
        <v>6220</v>
      </c>
      <c r="Y2162" s="6" t="s">
        <v>52</v>
      </c>
    </row>
    <row r="2163" spans="1:25" s="10" customFormat="1" ht="21.3" customHeight="1">
      <c r="A2163" s="27"/>
      <c r="B2163" s="28"/>
      <c r="C2163" s="30" t="s">
        <v>18</v>
      </c>
      <c r="D2163" s="27"/>
      <c r="E2163" s="27"/>
      <c r="F2163" s="68" t="s">
        <v>6183</v>
      </c>
      <c r="G2163" s="121" t="s">
        <v>6223</v>
      </c>
      <c r="H2163" s="91" t="s">
        <v>19</v>
      </c>
      <c r="I2163" s="73" t="s">
        <v>19</v>
      </c>
      <c r="J2163" s="73" t="s">
        <v>19</v>
      </c>
      <c r="K2163" s="73" t="s">
        <v>19</v>
      </c>
      <c r="L2163" s="11"/>
      <c r="M2163" s="1"/>
      <c r="N2163" s="113" t="s">
        <v>14</v>
      </c>
      <c r="O2163" s="122" t="s">
        <v>52</v>
      </c>
      <c r="P2163" s="122" t="s">
        <v>52</v>
      </c>
      <c r="Q2163" s="105"/>
      <c r="R2163" s="28"/>
      <c r="S2163" s="225" t="str">
        <f t="shared" si="33"/>
        <v/>
      </c>
      <c r="T2163" s="7" t="s">
        <v>7664</v>
      </c>
      <c r="U2163" s="7" t="s">
        <v>139</v>
      </c>
      <c r="V2163" s="162" t="str" cm="1">
        <f t="array" ref="V2163">_xlfn.IFS(C2163="","",COUNTIF(C2163,"ตำแหน่งว่าง*"),"ว่าง",COUNTIF(C2163,"&lt;&gt;ตำแหน่งว่าง*"),"คนครอง")</f>
        <v>ว่าง</v>
      </c>
      <c r="W2163" s="6" cm="1">
        <f t="array" ref="W2163">_xlfn.IFS(COUNTIF(F2163,"ผบ.หมู่*"),51,COUNTIF(F2163,"รอง สว.*"),43)</f>
        <v>51</v>
      </c>
      <c r="X2163" s="6" t="s">
        <v>6222</v>
      </c>
      <c r="Y2163" s="6" t="s">
        <v>52</v>
      </c>
    </row>
    <row r="2164" spans="1:25" s="12" customFormat="1" ht="21.3" customHeight="1">
      <c r="A2164" s="27" t="s">
        <v>157</v>
      </c>
      <c r="B2164" s="28" t="s">
        <v>21</v>
      </c>
      <c r="C2164" s="95" t="s">
        <v>6224</v>
      </c>
      <c r="D2164" s="27" t="s">
        <v>10247</v>
      </c>
      <c r="E2164" s="27" t="s">
        <v>10248</v>
      </c>
      <c r="F2164" s="27" t="s">
        <v>6183</v>
      </c>
      <c r="G2164" s="101" t="s">
        <v>6226</v>
      </c>
      <c r="H2164" s="75">
        <v>42501</v>
      </c>
      <c r="I2164" s="73">
        <v>38621</v>
      </c>
      <c r="J2164" s="73">
        <v>38621</v>
      </c>
      <c r="K2164" s="73">
        <v>28365</v>
      </c>
      <c r="L2164" s="11" t="s">
        <v>2314</v>
      </c>
      <c r="M2164" s="1" t="s">
        <v>42</v>
      </c>
      <c r="N2164" s="111" t="s">
        <v>14</v>
      </c>
      <c r="O2164" s="104" t="s">
        <v>52</v>
      </c>
      <c r="P2164" s="104" t="s">
        <v>52</v>
      </c>
      <c r="Q2164" s="105"/>
      <c r="R2164" s="28" t="s">
        <v>110</v>
      </c>
      <c r="S2164" s="225">
        <f t="shared" si="33"/>
        <v>50314</v>
      </c>
      <c r="T2164" s="162" t="s">
        <v>7664</v>
      </c>
      <c r="U2164" s="7" t="s">
        <v>139</v>
      </c>
      <c r="V2164" s="162" t="str" cm="1">
        <f t="array" ref="V2164">_xlfn.IFS(C2164="","",COUNTIF(C2164,"ตำแหน่งว่าง*"),"ว่าง",COUNTIF(C2164,"&lt;&gt;ตำแหน่งว่าง*"),"คนครอง")</f>
        <v>คนครอง</v>
      </c>
      <c r="W2164" s="6" cm="1">
        <f t="array" ref="W2164">_xlfn.IFS(COUNTIF(F2164,"ผบ.หมู่*"),51,COUNTIF(F2164,"รอง สว.*"),43)</f>
        <v>51</v>
      </c>
      <c r="X2164" s="5" t="s">
        <v>6225</v>
      </c>
      <c r="Y2164" s="5" t="s">
        <v>52</v>
      </c>
    </row>
    <row r="2165" spans="1:25" s="10" customFormat="1" ht="21.3" customHeight="1">
      <c r="A2165" s="156" t="s">
        <v>141</v>
      </c>
      <c r="B2165" s="157"/>
      <c r="C2165" s="125"/>
      <c r="D2165" s="27"/>
      <c r="E2165" s="158"/>
      <c r="F2165" s="158"/>
      <c r="G2165" s="125"/>
      <c r="H2165" s="154" t="s">
        <v>19</v>
      </c>
      <c r="I2165" s="126" t="s">
        <v>19</v>
      </c>
      <c r="J2165" s="126" t="s">
        <v>19</v>
      </c>
      <c r="K2165" s="126" t="s">
        <v>19</v>
      </c>
      <c r="L2165" s="127"/>
      <c r="M2165" s="128"/>
      <c r="N2165" s="125"/>
      <c r="O2165" s="125"/>
      <c r="P2165" s="125"/>
      <c r="Q2165" s="160"/>
      <c r="R2165" s="128"/>
      <c r="S2165" s="226" t="str">
        <f t="shared" si="33"/>
        <v/>
      </c>
      <c r="T2165" s="158"/>
      <c r="U2165" s="158"/>
      <c r="V2165" s="171" t="str" cm="1">
        <f t="array" ref="V2165">_xlfn.IFS(C2165="","",COUNTIF(C2165,"ตำแหน่งว่าง*"),"ว่าง",COUNTIF(C2165,"&lt;&gt;ตำแหน่งว่าง*"),"คนครอง")</f>
        <v/>
      </c>
      <c r="W2165" s="125"/>
      <c r="X2165" s="125"/>
      <c r="Y2165" s="125"/>
    </row>
    <row r="2166" spans="1:25" s="10" customFormat="1" ht="21.3" customHeight="1">
      <c r="A2166" s="68"/>
      <c r="B2166" s="30"/>
      <c r="C2166" s="68" t="s">
        <v>18</v>
      </c>
      <c r="D2166" s="27"/>
      <c r="E2166" s="27"/>
      <c r="F2166" s="68" t="s">
        <v>6353</v>
      </c>
      <c r="G2166" s="121" t="s">
        <v>6355</v>
      </c>
      <c r="H2166" s="93"/>
      <c r="I2166" s="74"/>
      <c r="J2166" s="74"/>
      <c r="K2166" s="74"/>
      <c r="L2166" s="16"/>
      <c r="M2166" s="6"/>
      <c r="N2166" s="113" t="s">
        <v>14</v>
      </c>
      <c r="O2166" s="122" t="s">
        <v>27</v>
      </c>
      <c r="P2166" s="122"/>
      <c r="Q2166" s="106"/>
      <c r="R2166" s="30"/>
      <c r="S2166" s="225" t="str">
        <f t="shared" si="33"/>
        <v/>
      </c>
      <c r="T2166" s="7" t="s">
        <v>141</v>
      </c>
      <c r="U2166" s="7" t="s">
        <v>141</v>
      </c>
      <c r="V2166" s="162" t="str" cm="1">
        <f t="array" ref="V2166">_xlfn.IFS(C2166="","",COUNTIF(C2166,"ตำแหน่งว่าง*"),"ว่าง",COUNTIF(C2166,"&lt;&gt;ตำแหน่งว่าง*"),"คนครอง")</f>
        <v>ว่าง</v>
      </c>
      <c r="W2166" s="6" cm="1">
        <f t="array" ref="W2166">_xlfn.IFS(COUNTIF(F2166,"ผบ.หมู่*"),51,COUNTIF(F2166,"รอง สว.*"),43)</f>
        <v>51</v>
      </c>
      <c r="X2166" s="1" t="s">
        <v>6354</v>
      </c>
      <c r="Y2166" s="1" t="s">
        <v>27</v>
      </c>
    </row>
    <row r="2167" spans="1:25" s="10" customFormat="1" ht="21.3" customHeight="1">
      <c r="A2167" s="27"/>
      <c r="B2167" s="28"/>
      <c r="C2167" s="30" t="s">
        <v>18</v>
      </c>
      <c r="D2167" s="27"/>
      <c r="E2167" s="27"/>
      <c r="F2167" s="68" t="s">
        <v>6353</v>
      </c>
      <c r="G2167" s="121" t="s">
        <v>6357</v>
      </c>
      <c r="H2167" s="91" t="s">
        <v>19</v>
      </c>
      <c r="I2167" s="73" t="s">
        <v>19</v>
      </c>
      <c r="J2167" s="73" t="s">
        <v>19</v>
      </c>
      <c r="K2167" s="73" t="s">
        <v>19</v>
      </c>
      <c r="L2167" s="11"/>
      <c r="M2167" s="1"/>
      <c r="N2167" s="113" t="s">
        <v>14</v>
      </c>
      <c r="O2167" s="122" t="s">
        <v>27</v>
      </c>
      <c r="P2167" s="122"/>
      <c r="Q2167" s="105"/>
      <c r="R2167" s="28"/>
      <c r="S2167" s="225" t="str">
        <f t="shared" si="33"/>
        <v/>
      </c>
      <c r="T2167" s="7" t="s">
        <v>141</v>
      </c>
      <c r="U2167" s="7" t="s">
        <v>141</v>
      </c>
      <c r="V2167" s="162" t="str" cm="1">
        <f t="array" ref="V2167">_xlfn.IFS(C2167="","",COUNTIF(C2167,"ตำแหน่งว่าง*"),"ว่าง",COUNTIF(C2167,"&lt;&gt;ตำแหน่งว่าง*"),"คนครอง")</f>
        <v>ว่าง</v>
      </c>
      <c r="W2167" s="6" cm="1">
        <f t="array" ref="W2167">_xlfn.IFS(COUNTIF(F2167,"ผบ.หมู่*"),51,COUNTIF(F2167,"รอง สว.*"),43)</f>
        <v>51</v>
      </c>
      <c r="X2167" s="6" t="s">
        <v>6356</v>
      </c>
      <c r="Y2167" s="6" t="s">
        <v>27</v>
      </c>
    </row>
    <row r="2168" spans="1:25" s="10" customFormat="1" ht="21.3" customHeight="1">
      <c r="A2168" s="27"/>
      <c r="B2168" s="28"/>
      <c r="C2168" s="30" t="s">
        <v>18</v>
      </c>
      <c r="D2168" s="27"/>
      <c r="E2168" s="27"/>
      <c r="F2168" s="68" t="s">
        <v>6358</v>
      </c>
      <c r="G2168" s="121" t="s">
        <v>6360</v>
      </c>
      <c r="H2168" s="91" t="s">
        <v>19</v>
      </c>
      <c r="I2168" s="73" t="s">
        <v>19</v>
      </c>
      <c r="J2168" s="73" t="s">
        <v>19</v>
      </c>
      <c r="K2168" s="73" t="s">
        <v>19</v>
      </c>
      <c r="L2168" s="11"/>
      <c r="M2168" s="1"/>
      <c r="N2168" s="113" t="s">
        <v>14</v>
      </c>
      <c r="O2168" s="122" t="s">
        <v>27</v>
      </c>
      <c r="P2168" s="122"/>
      <c r="Q2168" s="105"/>
      <c r="R2168" s="28"/>
      <c r="S2168" s="225" t="str">
        <f t="shared" si="33"/>
        <v/>
      </c>
      <c r="T2168" s="7" t="s">
        <v>7698</v>
      </c>
      <c r="U2168" s="7" t="s">
        <v>141</v>
      </c>
      <c r="V2168" s="162" t="str" cm="1">
        <f t="array" ref="V2168">_xlfn.IFS(C2168="","",COUNTIF(C2168,"ตำแหน่งว่าง*"),"ว่าง",COUNTIF(C2168,"&lt;&gt;ตำแหน่งว่าง*"),"คนครอง")</f>
        <v>ว่าง</v>
      </c>
      <c r="W2168" s="6" cm="1">
        <f t="array" ref="W2168">_xlfn.IFS(COUNTIF(F2168,"ผบ.หมู่*"),51,COUNTIF(F2168,"รอง สว.*"),43)</f>
        <v>51</v>
      </c>
      <c r="X2168" s="6" t="s">
        <v>6359</v>
      </c>
      <c r="Y2168" s="6" t="s">
        <v>27</v>
      </c>
    </row>
    <row r="2169" spans="1:25" s="10" customFormat="1" ht="21.3" customHeight="1">
      <c r="A2169" s="27"/>
      <c r="B2169" s="30"/>
      <c r="C2169" s="30" t="s">
        <v>18</v>
      </c>
      <c r="D2169" s="27"/>
      <c r="E2169" s="27"/>
      <c r="F2169" s="68" t="s">
        <v>6358</v>
      </c>
      <c r="G2169" s="121" t="s">
        <v>6362</v>
      </c>
      <c r="H2169" s="91" t="s">
        <v>19</v>
      </c>
      <c r="I2169" s="73" t="s">
        <v>19</v>
      </c>
      <c r="J2169" s="73" t="s">
        <v>19</v>
      </c>
      <c r="K2169" s="73" t="s">
        <v>19</v>
      </c>
      <c r="L2169" s="11"/>
      <c r="M2169" s="1"/>
      <c r="N2169" s="113" t="s">
        <v>14</v>
      </c>
      <c r="O2169" s="122" t="s">
        <v>27</v>
      </c>
      <c r="P2169" s="122"/>
      <c r="Q2169" s="106"/>
      <c r="R2169" s="30"/>
      <c r="S2169" s="225" t="str">
        <f t="shared" si="33"/>
        <v/>
      </c>
      <c r="T2169" s="7" t="s">
        <v>7698</v>
      </c>
      <c r="U2169" s="7" t="s">
        <v>141</v>
      </c>
      <c r="V2169" s="162" t="str" cm="1">
        <f t="array" ref="V2169">_xlfn.IFS(C2169="","",COUNTIF(C2169,"ตำแหน่งว่าง*"),"ว่าง",COUNTIF(C2169,"&lt;&gt;ตำแหน่งว่าง*"),"คนครอง")</f>
        <v>ว่าง</v>
      </c>
      <c r="W2169" s="6" cm="1">
        <f t="array" ref="W2169">_xlfn.IFS(COUNTIF(F2169,"ผบ.หมู่*"),51,COUNTIF(F2169,"รอง สว.*"),43)</f>
        <v>51</v>
      </c>
      <c r="X2169" s="6" t="s">
        <v>6361</v>
      </c>
      <c r="Y2169" s="6" t="s">
        <v>27</v>
      </c>
    </row>
    <row r="2170" spans="1:25" s="10" customFormat="1" ht="21.3" customHeight="1">
      <c r="A2170" s="27"/>
      <c r="B2170" s="28"/>
      <c r="C2170" s="30" t="s">
        <v>18</v>
      </c>
      <c r="D2170" s="27"/>
      <c r="E2170" s="27"/>
      <c r="F2170" s="68" t="s">
        <v>6358</v>
      </c>
      <c r="G2170" s="121" t="s">
        <v>6364</v>
      </c>
      <c r="H2170" s="91" t="s">
        <v>19</v>
      </c>
      <c r="I2170" s="73" t="s">
        <v>19</v>
      </c>
      <c r="J2170" s="73" t="s">
        <v>19</v>
      </c>
      <c r="K2170" s="73" t="s">
        <v>19</v>
      </c>
      <c r="L2170" s="11"/>
      <c r="M2170" s="1"/>
      <c r="N2170" s="113" t="s">
        <v>14</v>
      </c>
      <c r="O2170" s="122" t="s">
        <v>27</v>
      </c>
      <c r="P2170" s="122"/>
      <c r="Q2170" s="105"/>
      <c r="R2170" s="28"/>
      <c r="S2170" s="225" t="str">
        <f t="shared" si="33"/>
        <v/>
      </c>
      <c r="T2170" s="7" t="s">
        <v>7698</v>
      </c>
      <c r="U2170" s="7" t="s">
        <v>141</v>
      </c>
      <c r="V2170" s="162" t="str" cm="1">
        <f t="array" ref="V2170">_xlfn.IFS(C2170="","",COUNTIF(C2170,"ตำแหน่งว่าง*"),"ว่าง",COUNTIF(C2170,"&lt;&gt;ตำแหน่งว่าง*"),"คนครอง")</f>
        <v>ว่าง</v>
      </c>
      <c r="W2170" s="6" cm="1">
        <f t="array" ref="W2170">_xlfn.IFS(COUNTIF(F2170,"ผบ.หมู่*"),51,COUNTIF(F2170,"รอง สว.*"),43)</f>
        <v>51</v>
      </c>
      <c r="X2170" s="6" t="s">
        <v>6363</v>
      </c>
      <c r="Y2170" s="6" t="s">
        <v>27</v>
      </c>
    </row>
    <row r="2171" spans="1:25" s="10" customFormat="1" ht="21.3" customHeight="1">
      <c r="A2171" s="27"/>
      <c r="B2171" s="30"/>
      <c r="C2171" s="30" t="s">
        <v>18</v>
      </c>
      <c r="D2171" s="27"/>
      <c r="E2171" s="27"/>
      <c r="F2171" s="68" t="s">
        <v>6358</v>
      </c>
      <c r="G2171" s="121" t="s">
        <v>6366</v>
      </c>
      <c r="H2171" s="91" t="s">
        <v>19</v>
      </c>
      <c r="I2171" s="73" t="s">
        <v>19</v>
      </c>
      <c r="J2171" s="73" t="s">
        <v>19</v>
      </c>
      <c r="K2171" s="73" t="s">
        <v>19</v>
      </c>
      <c r="L2171" s="11"/>
      <c r="M2171" s="1"/>
      <c r="N2171" s="113" t="s">
        <v>14</v>
      </c>
      <c r="O2171" s="122" t="s">
        <v>27</v>
      </c>
      <c r="P2171" s="122"/>
      <c r="Q2171" s="106"/>
      <c r="R2171" s="30"/>
      <c r="S2171" s="225" t="str">
        <f t="shared" si="33"/>
        <v/>
      </c>
      <c r="T2171" s="7" t="s">
        <v>7698</v>
      </c>
      <c r="U2171" s="7" t="s">
        <v>141</v>
      </c>
      <c r="V2171" s="162" t="str" cm="1">
        <f t="array" ref="V2171">_xlfn.IFS(C2171="","",COUNTIF(C2171,"ตำแหน่งว่าง*"),"ว่าง",COUNTIF(C2171,"&lt;&gt;ตำแหน่งว่าง*"),"คนครอง")</f>
        <v>ว่าง</v>
      </c>
      <c r="W2171" s="6" cm="1">
        <f t="array" ref="W2171">_xlfn.IFS(COUNTIF(F2171,"ผบ.หมู่*"),51,COUNTIF(F2171,"รอง สว.*"),43)</f>
        <v>51</v>
      </c>
      <c r="X2171" s="6" t="s">
        <v>6365</v>
      </c>
      <c r="Y2171" s="6" t="s">
        <v>27</v>
      </c>
    </row>
    <row r="2172" spans="1:25" s="10" customFormat="1" ht="21.3" customHeight="1">
      <c r="A2172" s="27"/>
      <c r="B2172" s="28"/>
      <c r="C2172" s="30" t="s">
        <v>18</v>
      </c>
      <c r="D2172" s="27"/>
      <c r="E2172" s="27"/>
      <c r="F2172" s="68" t="s">
        <v>6358</v>
      </c>
      <c r="G2172" s="121" t="s">
        <v>6368</v>
      </c>
      <c r="H2172" s="91" t="s">
        <v>19</v>
      </c>
      <c r="I2172" s="73" t="s">
        <v>19</v>
      </c>
      <c r="J2172" s="73" t="s">
        <v>19</v>
      </c>
      <c r="K2172" s="73" t="s">
        <v>19</v>
      </c>
      <c r="L2172" s="11"/>
      <c r="M2172" s="1"/>
      <c r="N2172" s="113" t="s">
        <v>14</v>
      </c>
      <c r="O2172" s="122" t="s">
        <v>27</v>
      </c>
      <c r="P2172" s="122"/>
      <c r="Q2172" s="105"/>
      <c r="R2172" s="28"/>
      <c r="S2172" s="225" t="str">
        <f t="shared" si="33"/>
        <v/>
      </c>
      <c r="T2172" s="7" t="s">
        <v>7698</v>
      </c>
      <c r="U2172" s="7" t="s">
        <v>141</v>
      </c>
      <c r="V2172" s="162" t="str" cm="1">
        <f t="array" ref="V2172">_xlfn.IFS(C2172="","",COUNTIF(C2172,"ตำแหน่งว่าง*"),"ว่าง",COUNTIF(C2172,"&lt;&gt;ตำแหน่งว่าง*"),"คนครอง")</f>
        <v>ว่าง</v>
      </c>
      <c r="W2172" s="6" cm="1">
        <f t="array" ref="W2172">_xlfn.IFS(COUNTIF(F2172,"ผบ.หมู่*"),51,COUNTIF(F2172,"รอง สว.*"),43)</f>
        <v>51</v>
      </c>
      <c r="X2172" s="6" t="s">
        <v>6367</v>
      </c>
      <c r="Y2172" s="6" t="s">
        <v>27</v>
      </c>
    </row>
    <row r="2173" spans="1:25" s="10" customFormat="1" ht="21.3" customHeight="1">
      <c r="A2173" s="27"/>
      <c r="B2173" s="28"/>
      <c r="C2173" s="30" t="s">
        <v>18</v>
      </c>
      <c r="D2173" s="27"/>
      <c r="E2173" s="27"/>
      <c r="F2173" s="68" t="s">
        <v>6358</v>
      </c>
      <c r="G2173" s="121" t="s">
        <v>6370</v>
      </c>
      <c r="H2173" s="91" t="s">
        <v>19</v>
      </c>
      <c r="I2173" s="73" t="s">
        <v>19</v>
      </c>
      <c r="J2173" s="73" t="s">
        <v>19</v>
      </c>
      <c r="K2173" s="73" t="s">
        <v>19</v>
      </c>
      <c r="L2173" s="11"/>
      <c r="M2173" s="1"/>
      <c r="N2173" s="113" t="s">
        <v>14</v>
      </c>
      <c r="O2173" s="122" t="s">
        <v>27</v>
      </c>
      <c r="P2173" s="122"/>
      <c r="Q2173" s="105"/>
      <c r="R2173" s="28"/>
      <c r="S2173" s="225" t="str">
        <f t="shared" si="33"/>
        <v/>
      </c>
      <c r="T2173" s="7" t="s">
        <v>7698</v>
      </c>
      <c r="U2173" s="7" t="s">
        <v>141</v>
      </c>
      <c r="V2173" s="162" t="str" cm="1">
        <f t="array" ref="V2173">_xlfn.IFS(C2173="","",COUNTIF(C2173,"ตำแหน่งว่าง*"),"ว่าง",COUNTIF(C2173,"&lt;&gt;ตำแหน่งว่าง*"),"คนครอง")</f>
        <v>ว่าง</v>
      </c>
      <c r="W2173" s="6" cm="1">
        <f t="array" ref="W2173">_xlfn.IFS(COUNTIF(F2173,"ผบ.หมู่*"),51,COUNTIF(F2173,"รอง สว.*"),43)</f>
        <v>51</v>
      </c>
      <c r="X2173" s="6" t="s">
        <v>6369</v>
      </c>
      <c r="Y2173" s="6" t="s">
        <v>27</v>
      </c>
    </row>
    <row r="2174" spans="1:25" s="10" customFormat="1" ht="21.3" customHeight="1">
      <c r="A2174" s="27"/>
      <c r="B2174" s="28"/>
      <c r="C2174" s="30" t="s">
        <v>18</v>
      </c>
      <c r="D2174" s="27"/>
      <c r="E2174" s="27"/>
      <c r="F2174" s="68" t="s">
        <v>6358</v>
      </c>
      <c r="G2174" s="121" t="s">
        <v>6372</v>
      </c>
      <c r="H2174" s="91" t="s">
        <v>19</v>
      </c>
      <c r="I2174" s="73" t="s">
        <v>19</v>
      </c>
      <c r="J2174" s="73" t="s">
        <v>19</v>
      </c>
      <c r="K2174" s="73" t="s">
        <v>19</v>
      </c>
      <c r="L2174" s="11"/>
      <c r="M2174" s="1"/>
      <c r="N2174" s="113" t="s">
        <v>14</v>
      </c>
      <c r="O2174" s="122" t="s">
        <v>27</v>
      </c>
      <c r="P2174" s="122"/>
      <c r="Q2174" s="105"/>
      <c r="R2174" s="28"/>
      <c r="S2174" s="225" t="str">
        <f t="shared" si="33"/>
        <v/>
      </c>
      <c r="T2174" s="7" t="s">
        <v>7698</v>
      </c>
      <c r="U2174" s="7" t="s">
        <v>141</v>
      </c>
      <c r="V2174" s="162" t="str" cm="1">
        <f t="array" ref="V2174">_xlfn.IFS(C2174="","",COUNTIF(C2174,"ตำแหน่งว่าง*"),"ว่าง",COUNTIF(C2174,"&lt;&gt;ตำแหน่งว่าง*"),"คนครอง")</f>
        <v>ว่าง</v>
      </c>
      <c r="W2174" s="6" cm="1">
        <f t="array" ref="W2174">_xlfn.IFS(COUNTIF(F2174,"ผบ.หมู่*"),51,COUNTIF(F2174,"รอง สว.*"),43)</f>
        <v>51</v>
      </c>
      <c r="X2174" s="6" t="s">
        <v>6371</v>
      </c>
      <c r="Y2174" s="6" t="s">
        <v>27</v>
      </c>
    </row>
    <row r="2175" spans="1:25" s="10" customFormat="1" ht="21.3" customHeight="1">
      <c r="A2175" s="27"/>
      <c r="B2175" s="28"/>
      <c r="C2175" s="30" t="s">
        <v>18</v>
      </c>
      <c r="D2175" s="27"/>
      <c r="E2175" s="27"/>
      <c r="F2175" s="68" t="s">
        <v>6358</v>
      </c>
      <c r="G2175" s="121" t="s">
        <v>6374</v>
      </c>
      <c r="H2175" s="91" t="s">
        <v>19</v>
      </c>
      <c r="I2175" s="73" t="s">
        <v>19</v>
      </c>
      <c r="J2175" s="73" t="s">
        <v>19</v>
      </c>
      <c r="K2175" s="73" t="s">
        <v>19</v>
      </c>
      <c r="L2175" s="11"/>
      <c r="M2175" s="1"/>
      <c r="N2175" s="113" t="s">
        <v>14</v>
      </c>
      <c r="O2175" s="122" t="s">
        <v>27</v>
      </c>
      <c r="P2175" s="122"/>
      <c r="Q2175" s="105"/>
      <c r="R2175" s="28"/>
      <c r="S2175" s="225" t="str">
        <f t="shared" si="33"/>
        <v/>
      </c>
      <c r="T2175" s="7" t="s">
        <v>7698</v>
      </c>
      <c r="U2175" s="7" t="s">
        <v>141</v>
      </c>
      <c r="V2175" s="162" t="str" cm="1">
        <f t="array" ref="V2175">_xlfn.IFS(C2175="","",COUNTIF(C2175,"ตำแหน่งว่าง*"),"ว่าง",COUNTIF(C2175,"&lt;&gt;ตำแหน่งว่าง*"),"คนครอง")</f>
        <v>ว่าง</v>
      </c>
      <c r="W2175" s="6" cm="1">
        <f t="array" ref="W2175">_xlfn.IFS(COUNTIF(F2175,"ผบ.หมู่*"),51,COUNTIF(F2175,"รอง สว.*"),43)</f>
        <v>51</v>
      </c>
      <c r="X2175" s="6" t="s">
        <v>6373</v>
      </c>
      <c r="Y2175" s="6" t="s">
        <v>27</v>
      </c>
    </row>
    <row r="2176" spans="1:25" s="10" customFormat="1" ht="21.3" customHeight="1">
      <c r="A2176" s="27"/>
      <c r="B2176" s="28"/>
      <c r="C2176" s="30" t="s">
        <v>18</v>
      </c>
      <c r="D2176" s="27"/>
      <c r="E2176" s="27"/>
      <c r="F2176" s="68" t="s">
        <v>6358</v>
      </c>
      <c r="G2176" s="121" t="s">
        <v>6376</v>
      </c>
      <c r="H2176" s="91" t="s">
        <v>19</v>
      </c>
      <c r="I2176" s="73" t="s">
        <v>19</v>
      </c>
      <c r="J2176" s="73" t="s">
        <v>19</v>
      </c>
      <c r="K2176" s="73" t="s">
        <v>19</v>
      </c>
      <c r="L2176" s="11"/>
      <c r="M2176" s="1"/>
      <c r="N2176" s="113" t="s">
        <v>14</v>
      </c>
      <c r="O2176" s="122" t="s">
        <v>27</v>
      </c>
      <c r="P2176" s="122"/>
      <c r="Q2176" s="105"/>
      <c r="R2176" s="28"/>
      <c r="S2176" s="225" t="str">
        <f t="shared" si="33"/>
        <v/>
      </c>
      <c r="T2176" s="7" t="s">
        <v>7698</v>
      </c>
      <c r="U2176" s="7" t="s">
        <v>141</v>
      </c>
      <c r="V2176" s="162" t="str" cm="1">
        <f t="array" ref="V2176">_xlfn.IFS(C2176="","",COUNTIF(C2176,"ตำแหน่งว่าง*"),"ว่าง",COUNTIF(C2176,"&lt;&gt;ตำแหน่งว่าง*"),"คนครอง")</f>
        <v>ว่าง</v>
      </c>
      <c r="W2176" s="6" cm="1">
        <f t="array" ref="W2176">_xlfn.IFS(COUNTIF(F2176,"ผบ.หมู่*"),51,COUNTIF(F2176,"รอง สว.*"),43)</f>
        <v>51</v>
      </c>
      <c r="X2176" s="6" t="s">
        <v>6375</v>
      </c>
      <c r="Y2176" s="6" t="s">
        <v>27</v>
      </c>
    </row>
    <row r="2177" spans="1:25" s="9" customFormat="1" ht="21.3" customHeight="1">
      <c r="A2177" s="95"/>
      <c r="B2177" s="28"/>
      <c r="C2177" s="30" t="s">
        <v>18</v>
      </c>
      <c r="D2177" s="27"/>
      <c r="E2177" s="27"/>
      <c r="F2177" s="68" t="s">
        <v>6358</v>
      </c>
      <c r="G2177" s="121" t="s">
        <v>6411</v>
      </c>
      <c r="H2177" s="91" t="s">
        <v>19</v>
      </c>
      <c r="I2177" s="73" t="s">
        <v>19</v>
      </c>
      <c r="J2177" s="73" t="s">
        <v>19</v>
      </c>
      <c r="K2177" s="73" t="s">
        <v>19</v>
      </c>
      <c r="L2177" s="11"/>
      <c r="M2177" s="1"/>
      <c r="N2177" s="113" t="s">
        <v>14</v>
      </c>
      <c r="O2177" s="122" t="s">
        <v>43</v>
      </c>
      <c r="P2177" s="122"/>
      <c r="Q2177" s="105"/>
      <c r="R2177" s="28"/>
      <c r="S2177" s="225" t="str">
        <f t="shared" si="33"/>
        <v/>
      </c>
      <c r="T2177" s="2" t="s">
        <v>7698</v>
      </c>
      <c r="U2177" s="7" t="s">
        <v>141</v>
      </c>
      <c r="V2177" s="162" t="str" cm="1">
        <f t="array" ref="V2177">_xlfn.IFS(C2177="","",COUNTIF(C2177,"ตำแหน่งว่าง*"),"ว่าง",COUNTIF(C2177,"&lt;&gt;ตำแหน่งว่าง*"),"คนครอง")</f>
        <v>ว่าง</v>
      </c>
      <c r="W2177" s="6" cm="1">
        <f t="array" ref="W2177">_xlfn.IFS(COUNTIF(F2177,"ผบ.หมู่*"),51,COUNTIF(F2177,"รอง สว.*"),43)</f>
        <v>51</v>
      </c>
      <c r="X2177" s="6" t="s">
        <v>6410</v>
      </c>
      <c r="Y2177" s="6" t="s">
        <v>48</v>
      </c>
    </row>
    <row r="2178" spans="1:25" s="9" customFormat="1" ht="21.3" customHeight="1">
      <c r="A2178" s="27" t="s">
        <v>26</v>
      </c>
      <c r="B2178" s="26" t="s">
        <v>12</v>
      </c>
      <c r="C2178" s="27" t="s">
        <v>6377</v>
      </c>
      <c r="D2178" s="27" t="s">
        <v>8066</v>
      </c>
      <c r="E2178" s="27" t="s">
        <v>8063</v>
      </c>
      <c r="F2178" s="95" t="s">
        <v>6378</v>
      </c>
      <c r="G2178" s="101" t="s">
        <v>6380</v>
      </c>
      <c r="H2178" s="91">
        <v>43871</v>
      </c>
      <c r="I2178" s="73">
        <v>44286</v>
      </c>
      <c r="J2178" s="73">
        <v>33694</v>
      </c>
      <c r="K2178" s="73">
        <v>24948</v>
      </c>
      <c r="L2178" s="19" t="s">
        <v>6381</v>
      </c>
      <c r="M2178" s="3" t="s">
        <v>64</v>
      </c>
      <c r="N2178" s="112" t="s">
        <v>14</v>
      </c>
      <c r="O2178" s="104" t="s">
        <v>52</v>
      </c>
      <c r="P2178" s="104" t="s">
        <v>52</v>
      </c>
      <c r="Q2178" s="105"/>
      <c r="R2178" s="28" t="s">
        <v>1313</v>
      </c>
      <c r="S2178" s="225">
        <f t="shared" ref="S2178:S2241" si="34">IF(K2178&lt;&gt;"",DATE(YEAR(K2178)+60+(K2178&gt;=DATE(YEAR(K2178),10,2)),10,1),"")</f>
        <v>47027</v>
      </c>
      <c r="T2178" s="2" t="s">
        <v>7698</v>
      </c>
      <c r="U2178" s="7" t="s">
        <v>141</v>
      </c>
      <c r="V2178" s="162" t="str" cm="1">
        <f t="array" ref="V2178">_xlfn.IFS(C2178="","",COUNTIF(C2178,"ตำแหน่งว่าง*"),"ว่าง",COUNTIF(C2178,"&lt;&gt;ตำแหน่งว่าง*"),"คนครอง")</f>
        <v>คนครอง</v>
      </c>
      <c r="W2178" s="5" cm="1">
        <f t="array" ref="W2178">_xlfn.IFS(COUNTIF(F2178,"ผบ.หมู่*"),51,COUNTIF(F2178,"รอง สว.*"),43)</f>
        <v>43</v>
      </c>
      <c r="X2178" s="1" t="s">
        <v>6379</v>
      </c>
      <c r="Y2178" s="1" t="s">
        <v>52</v>
      </c>
    </row>
    <row r="2179" spans="1:25" s="12" customFormat="1" ht="21.3" customHeight="1">
      <c r="A2179" s="27"/>
      <c r="B2179" s="28"/>
      <c r="C2179" s="30" t="s">
        <v>18</v>
      </c>
      <c r="D2179" s="27"/>
      <c r="E2179" s="27"/>
      <c r="F2179" s="95" t="s">
        <v>6358</v>
      </c>
      <c r="G2179" s="101" t="s">
        <v>6383</v>
      </c>
      <c r="H2179" s="91"/>
      <c r="I2179" s="73"/>
      <c r="J2179" s="73"/>
      <c r="K2179" s="73"/>
      <c r="L2179" s="11"/>
      <c r="M2179" s="3"/>
      <c r="N2179" s="111" t="s">
        <v>14</v>
      </c>
      <c r="O2179" s="104" t="s">
        <v>52</v>
      </c>
      <c r="P2179" s="104" t="s">
        <v>52</v>
      </c>
      <c r="Q2179" s="105"/>
      <c r="R2179" s="28"/>
      <c r="S2179" s="225" t="str">
        <f t="shared" si="34"/>
        <v/>
      </c>
      <c r="T2179" s="162" t="s">
        <v>7698</v>
      </c>
      <c r="U2179" s="7" t="s">
        <v>141</v>
      </c>
      <c r="V2179" s="162" t="str" cm="1">
        <f t="array" ref="V2179">_xlfn.IFS(C2179="","",COUNTIF(C2179,"ตำแหน่งว่าง*"),"ว่าง",COUNTIF(C2179,"&lt;&gt;ตำแหน่งว่าง*"),"คนครอง")</f>
        <v>ว่าง</v>
      </c>
      <c r="W2179" s="5" cm="1">
        <f t="array" ref="W2179">_xlfn.IFS(COUNTIF(F2179,"ผบ.หมู่*"),51,COUNTIF(F2179,"รอง สว.*"),43)</f>
        <v>51</v>
      </c>
      <c r="X2179" s="5" t="s">
        <v>6382</v>
      </c>
      <c r="Y2179" s="5" t="s">
        <v>52</v>
      </c>
    </row>
    <row r="2180" spans="1:25" s="9" customFormat="1" ht="21.3" customHeight="1">
      <c r="A2180" s="27"/>
      <c r="B2180" s="28"/>
      <c r="C2180" s="30" t="s">
        <v>18</v>
      </c>
      <c r="D2180" s="27"/>
      <c r="E2180" s="27"/>
      <c r="F2180" s="68" t="s">
        <v>6358</v>
      </c>
      <c r="G2180" s="121" t="s">
        <v>6385</v>
      </c>
      <c r="H2180" s="93"/>
      <c r="I2180" s="74"/>
      <c r="J2180" s="74"/>
      <c r="K2180" s="74"/>
      <c r="L2180" s="16"/>
      <c r="M2180" s="6"/>
      <c r="N2180" s="113" t="s">
        <v>14</v>
      </c>
      <c r="O2180" s="122" t="s">
        <v>52</v>
      </c>
      <c r="P2180" s="122" t="s">
        <v>52</v>
      </c>
      <c r="Q2180" s="106"/>
      <c r="R2180" s="30"/>
      <c r="S2180" s="225" t="str">
        <f t="shared" si="34"/>
        <v/>
      </c>
      <c r="T2180" s="2" t="s">
        <v>7698</v>
      </c>
      <c r="U2180" s="7" t="s">
        <v>141</v>
      </c>
      <c r="V2180" s="162" t="str" cm="1">
        <f t="array" ref="V2180">_xlfn.IFS(C2180="","",COUNTIF(C2180,"ตำแหน่งว่าง*"),"ว่าง",COUNTIF(C2180,"&lt;&gt;ตำแหน่งว่าง*"),"คนครอง")</f>
        <v>ว่าง</v>
      </c>
      <c r="W2180" s="6" cm="1">
        <f t="array" ref="W2180">_xlfn.IFS(COUNTIF(F2180,"ผบ.หมู่*"),51,COUNTIF(F2180,"รอง สว.*"),43)</f>
        <v>51</v>
      </c>
      <c r="X2180" s="6" t="s">
        <v>6384</v>
      </c>
      <c r="Y2180" s="6" t="s">
        <v>52</v>
      </c>
    </row>
    <row r="2181" spans="1:25" s="9" customFormat="1" ht="21.3" customHeight="1">
      <c r="A2181" s="27" t="s">
        <v>10753</v>
      </c>
      <c r="B2181" s="28" t="s">
        <v>21</v>
      </c>
      <c r="C2181" s="27" t="s">
        <v>6387</v>
      </c>
      <c r="D2181" s="27" t="s">
        <v>8203</v>
      </c>
      <c r="E2181" s="27" t="s">
        <v>10249</v>
      </c>
      <c r="F2181" s="27" t="s">
        <v>6378</v>
      </c>
      <c r="G2181" s="104" t="s">
        <v>6389</v>
      </c>
      <c r="H2181" s="145">
        <v>45016</v>
      </c>
      <c r="I2181" s="73">
        <v>45016</v>
      </c>
      <c r="J2181" s="73">
        <v>34352</v>
      </c>
      <c r="K2181" s="73">
        <v>25640</v>
      </c>
      <c r="L2181" s="11" t="s">
        <v>6390</v>
      </c>
      <c r="M2181" s="3" t="s">
        <v>64</v>
      </c>
      <c r="N2181" s="112" t="s">
        <v>14</v>
      </c>
      <c r="O2181" s="104" t="s">
        <v>52</v>
      </c>
      <c r="P2181" s="104" t="s">
        <v>52</v>
      </c>
      <c r="Q2181" s="105"/>
      <c r="R2181" s="28" t="s">
        <v>483</v>
      </c>
      <c r="S2181" s="225">
        <f t="shared" si="34"/>
        <v>47757</v>
      </c>
      <c r="T2181" s="2" t="s">
        <v>7698</v>
      </c>
      <c r="U2181" s="7" t="s">
        <v>141</v>
      </c>
      <c r="V2181" s="162" t="str" cm="1">
        <f t="array" ref="V2181">_xlfn.IFS(C2181="","",COUNTIF(C2181,"ตำแหน่งว่าง*"),"ว่าง",COUNTIF(C2181,"&lt;&gt;ตำแหน่งว่าง*"),"คนครอง")</f>
        <v>คนครอง</v>
      </c>
      <c r="W2181" s="5" cm="1">
        <f t="array" ref="W2181">_xlfn.IFS(COUNTIF(F2181,"ผบ.หมู่*"),51,COUNTIF(F2181,"รอง สว.*"),43)</f>
        <v>43</v>
      </c>
      <c r="X2181" s="1" t="s">
        <v>6388</v>
      </c>
      <c r="Y2181" s="1" t="s">
        <v>52</v>
      </c>
    </row>
    <row r="2182" spans="1:25" s="9" customFormat="1" ht="21.3" customHeight="1">
      <c r="A2182" s="27" t="s">
        <v>157</v>
      </c>
      <c r="B2182" s="28" t="s">
        <v>21</v>
      </c>
      <c r="C2182" s="27" t="s">
        <v>6460</v>
      </c>
      <c r="D2182" s="27" t="s">
        <v>10250</v>
      </c>
      <c r="E2182" s="27" t="s">
        <v>8215</v>
      </c>
      <c r="F2182" s="27" t="s">
        <v>6358</v>
      </c>
      <c r="G2182" s="101" t="s">
        <v>6392</v>
      </c>
      <c r="H2182" s="91">
        <v>45322</v>
      </c>
      <c r="I2182" s="73">
        <v>40084</v>
      </c>
      <c r="J2182" s="73">
        <v>40084</v>
      </c>
      <c r="K2182" s="73">
        <v>30915</v>
      </c>
      <c r="L2182" s="11" t="s">
        <v>6463</v>
      </c>
      <c r="M2182" s="1" t="s">
        <v>33</v>
      </c>
      <c r="N2182" s="112" t="s">
        <v>14</v>
      </c>
      <c r="O2182" s="104" t="s">
        <v>52</v>
      </c>
      <c r="P2182" s="104" t="s">
        <v>52</v>
      </c>
      <c r="Q2182" s="105"/>
      <c r="R2182" s="30" t="s">
        <v>7791</v>
      </c>
      <c r="S2182" s="225">
        <f t="shared" si="34"/>
        <v>52871</v>
      </c>
      <c r="T2182" s="2" t="s">
        <v>7698</v>
      </c>
      <c r="U2182" s="7" t="s">
        <v>141</v>
      </c>
      <c r="V2182" s="162" t="str" cm="1">
        <f t="array" ref="V2182">_xlfn.IFS(C2182="","",COUNTIF(C2182,"ตำแหน่งว่าง*"),"ว่าง",COUNTIF(C2182,"&lt;&gt;ตำแหน่งว่าง*"),"คนครอง")</f>
        <v>คนครอง</v>
      </c>
      <c r="W2182" s="6" cm="1">
        <f t="array" ref="W2182">_xlfn.IFS(COUNTIF(F2182,"ผบ.หมู่*"),51,COUNTIF(F2182,"รอง สว.*"),43)</f>
        <v>51</v>
      </c>
      <c r="X2182" s="1" t="s">
        <v>6391</v>
      </c>
      <c r="Y2182" s="1" t="s">
        <v>52</v>
      </c>
    </row>
    <row r="2183" spans="1:25" s="9" customFormat="1" ht="21.3" customHeight="1">
      <c r="A2183" s="27" t="s">
        <v>60</v>
      </c>
      <c r="B2183" s="28" t="s">
        <v>21</v>
      </c>
      <c r="C2183" s="27" t="s">
        <v>6393</v>
      </c>
      <c r="D2183" s="27" t="s">
        <v>10251</v>
      </c>
      <c r="E2183" s="27" t="s">
        <v>9136</v>
      </c>
      <c r="F2183" s="27" t="s">
        <v>6378</v>
      </c>
      <c r="G2183" s="101" t="s">
        <v>6395</v>
      </c>
      <c r="H2183" s="91">
        <v>42501</v>
      </c>
      <c r="I2183" s="73">
        <v>35095</v>
      </c>
      <c r="J2183" s="73">
        <v>35095</v>
      </c>
      <c r="K2183" s="73">
        <v>26377</v>
      </c>
      <c r="L2183" s="11" t="s">
        <v>6390</v>
      </c>
      <c r="M2183" s="30" t="s">
        <v>64</v>
      </c>
      <c r="N2183" s="112" t="s">
        <v>14</v>
      </c>
      <c r="O2183" s="104" t="s">
        <v>52</v>
      </c>
      <c r="P2183" s="104" t="s">
        <v>52</v>
      </c>
      <c r="Q2183" s="105"/>
      <c r="R2183" s="28" t="s">
        <v>142</v>
      </c>
      <c r="S2183" s="225">
        <f t="shared" si="34"/>
        <v>48488</v>
      </c>
      <c r="T2183" s="2" t="s">
        <v>7698</v>
      </c>
      <c r="U2183" s="7" t="s">
        <v>141</v>
      </c>
      <c r="V2183" s="162" t="str" cm="1">
        <f t="array" ref="V2183">_xlfn.IFS(C2183="","",COUNTIF(C2183,"ตำแหน่งว่าง*"),"ว่าง",COUNTIF(C2183,"&lt;&gt;ตำแหน่งว่าง*"),"คนครอง")</f>
        <v>คนครอง</v>
      </c>
      <c r="W2183" s="6" cm="1">
        <f t="array" ref="W2183">_xlfn.IFS(COUNTIF(F2183,"ผบ.หมู่*"),51,COUNTIF(F2183,"รอง สว.*"),43)</f>
        <v>43</v>
      </c>
      <c r="X2183" s="1" t="s">
        <v>6394</v>
      </c>
      <c r="Y2183" s="1" t="s">
        <v>52</v>
      </c>
    </row>
    <row r="2184" spans="1:25" s="9" customFormat="1" ht="21.3" customHeight="1">
      <c r="A2184" s="27" t="s">
        <v>26</v>
      </c>
      <c r="B2184" s="28" t="s">
        <v>12</v>
      </c>
      <c r="C2184" s="27" t="s">
        <v>6396</v>
      </c>
      <c r="D2184" s="27" t="s">
        <v>10252</v>
      </c>
      <c r="E2184" s="27" t="s">
        <v>10253</v>
      </c>
      <c r="F2184" s="27" t="s">
        <v>6378</v>
      </c>
      <c r="G2184" s="101" t="s">
        <v>6398</v>
      </c>
      <c r="H2184" s="91">
        <v>43921</v>
      </c>
      <c r="I2184" s="73">
        <v>43921</v>
      </c>
      <c r="J2184" s="73">
        <v>33635</v>
      </c>
      <c r="K2184" s="73">
        <v>24653</v>
      </c>
      <c r="L2184" s="11" t="s">
        <v>6399</v>
      </c>
      <c r="M2184" s="1" t="s">
        <v>57</v>
      </c>
      <c r="N2184" s="112" t="s">
        <v>14</v>
      </c>
      <c r="O2184" s="104" t="s">
        <v>52</v>
      </c>
      <c r="P2184" s="104" t="s">
        <v>52</v>
      </c>
      <c r="Q2184" s="105"/>
      <c r="R2184" s="28" t="s">
        <v>6400</v>
      </c>
      <c r="S2184" s="225">
        <f t="shared" si="34"/>
        <v>46661</v>
      </c>
      <c r="T2184" s="2" t="s">
        <v>7698</v>
      </c>
      <c r="U2184" s="7" t="s">
        <v>141</v>
      </c>
      <c r="V2184" s="162" t="str" cm="1">
        <f t="array" ref="V2184">_xlfn.IFS(C2184="","",COUNTIF(C2184,"ตำแหน่งว่าง*"),"ว่าง",COUNTIF(C2184,"&lt;&gt;ตำแหน่งว่าง*"),"คนครอง")</f>
        <v>คนครอง</v>
      </c>
      <c r="W2184" s="5" cm="1">
        <f t="array" ref="W2184">_xlfn.IFS(COUNTIF(F2184,"ผบ.หมู่*"),51,COUNTIF(F2184,"รอง สว.*"),43)</f>
        <v>43</v>
      </c>
      <c r="X2184" s="1" t="s">
        <v>6397</v>
      </c>
      <c r="Y2184" s="1" t="s">
        <v>52</v>
      </c>
    </row>
    <row r="2185" spans="1:25" s="12" customFormat="1" ht="21.3" customHeight="1">
      <c r="A2185" s="95"/>
      <c r="B2185" s="31"/>
      <c r="C2185" s="30" t="s">
        <v>18</v>
      </c>
      <c r="D2185" s="27"/>
      <c r="E2185" s="27"/>
      <c r="F2185" s="68" t="s">
        <v>6358</v>
      </c>
      <c r="G2185" s="121" t="s">
        <v>6402</v>
      </c>
      <c r="H2185" s="93"/>
      <c r="I2185" s="74"/>
      <c r="J2185" s="74"/>
      <c r="K2185" s="74"/>
      <c r="L2185" s="16"/>
      <c r="M2185" s="6"/>
      <c r="N2185" s="113" t="s">
        <v>14</v>
      </c>
      <c r="O2185" s="122" t="s">
        <v>52</v>
      </c>
      <c r="P2185" s="122" t="s">
        <v>52</v>
      </c>
      <c r="Q2185" s="106"/>
      <c r="R2185" s="30"/>
      <c r="S2185" s="225" t="str">
        <f t="shared" si="34"/>
        <v/>
      </c>
      <c r="T2185" s="162" t="s">
        <v>7698</v>
      </c>
      <c r="U2185" s="7" t="s">
        <v>141</v>
      </c>
      <c r="V2185" s="162" t="str" cm="1">
        <f t="array" ref="V2185">_xlfn.IFS(C2185="","",COUNTIF(C2185,"ตำแหน่งว่าง*"),"ว่าง",COUNTIF(C2185,"&lt;&gt;ตำแหน่งว่าง*"),"คนครอง")</f>
        <v>ว่าง</v>
      </c>
      <c r="W2185" s="6" cm="1">
        <f t="array" ref="W2185">_xlfn.IFS(COUNTIF(F2185,"ผบ.หมู่*"),51,COUNTIF(F2185,"รอง สว.*"),43)</f>
        <v>51</v>
      </c>
      <c r="X2185" s="6" t="s">
        <v>6401</v>
      </c>
      <c r="Y2185" s="6" t="s">
        <v>52</v>
      </c>
    </row>
    <row r="2186" spans="1:25" s="9" customFormat="1" ht="21.3" customHeight="1">
      <c r="A2186" s="27" t="s">
        <v>208</v>
      </c>
      <c r="B2186" s="31" t="s">
        <v>21</v>
      </c>
      <c r="C2186" s="95" t="s">
        <v>6403</v>
      </c>
      <c r="D2186" s="27" t="s">
        <v>10254</v>
      </c>
      <c r="E2186" s="27" t="s">
        <v>10255</v>
      </c>
      <c r="F2186" s="95" t="s">
        <v>6358</v>
      </c>
      <c r="G2186" s="101" t="s">
        <v>6405</v>
      </c>
      <c r="H2186" s="92">
        <v>44599</v>
      </c>
      <c r="I2186" s="80">
        <v>43132</v>
      </c>
      <c r="J2186" s="80">
        <v>43132</v>
      </c>
      <c r="K2186" s="80">
        <v>34044</v>
      </c>
      <c r="L2186" s="45" t="s">
        <v>82</v>
      </c>
      <c r="M2186" s="30" t="s">
        <v>64</v>
      </c>
      <c r="N2186" s="111" t="s">
        <v>14</v>
      </c>
      <c r="O2186" s="104" t="s">
        <v>52</v>
      </c>
      <c r="P2186" s="104" t="s">
        <v>52</v>
      </c>
      <c r="Q2186" s="106"/>
      <c r="R2186" s="28" t="s">
        <v>607</v>
      </c>
      <c r="S2186" s="225">
        <f t="shared" si="34"/>
        <v>56158</v>
      </c>
      <c r="T2186" s="2" t="s">
        <v>7698</v>
      </c>
      <c r="U2186" s="7" t="s">
        <v>141</v>
      </c>
      <c r="V2186" s="162" t="str" cm="1">
        <f t="array" ref="V2186">_xlfn.IFS(C2186="","",COUNTIF(C2186,"ตำแหน่งว่าง*"),"ว่าง",COUNTIF(C2186,"&lt;&gt;ตำแหน่งว่าง*"),"คนครอง")</f>
        <v>คนครอง</v>
      </c>
      <c r="W2186" s="6" cm="1">
        <f t="array" ref="W2186">_xlfn.IFS(COUNTIF(F2186,"ผบ.หมู่*"),51,COUNTIF(F2186,"รอง สว.*"),43)</f>
        <v>51</v>
      </c>
      <c r="X2186" s="5" t="s">
        <v>6404</v>
      </c>
      <c r="Y2186" s="5" t="s">
        <v>52</v>
      </c>
    </row>
    <row r="2187" spans="1:25" s="9" customFormat="1" ht="21.3" customHeight="1">
      <c r="A2187" s="27" t="s">
        <v>26</v>
      </c>
      <c r="B2187" s="28" t="s">
        <v>21</v>
      </c>
      <c r="C2187" s="27" t="s">
        <v>6406</v>
      </c>
      <c r="D2187" s="27" t="s">
        <v>8207</v>
      </c>
      <c r="E2187" s="27" t="s">
        <v>10256</v>
      </c>
      <c r="F2187" s="27" t="s">
        <v>6378</v>
      </c>
      <c r="G2187" s="101" t="s">
        <v>6408</v>
      </c>
      <c r="H2187" s="91">
        <v>42501</v>
      </c>
      <c r="I2187" s="73">
        <v>44286</v>
      </c>
      <c r="J2187" s="73">
        <v>34352</v>
      </c>
      <c r="K2187" s="73">
        <v>24832</v>
      </c>
      <c r="L2187" s="11" t="s">
        <v>6409</v>
      </c>
      <c r="M2187" s="30" t="s">
        <v>64</v>
      </c>
      <c r="N2187" s="112" t="s">
        <v>14</v>
      </c>
      <c r="O2187" s="104" t="s">
        <v>52</v>
      </c>
      <c r="P2187" s="104" t="s">
        <v>52</v>
      </c>
      <c r="Q2187" s="105"/>
      <c r="R2187" s="28" t="s">
        <v>142</v>
      </c>
      <c r="S2187" s="225">
        <f t="shared" si="34"/>
        <v>47027</v>
      </c>
      <c r="T2187" s="2" t="s">
        <v>7698</v>
      </c>
      <c r="U2187" s="7" t="s">
        <v>141</v>
      </c>
      <c r="V2187" s="162" t="str" cm="1">
        <f t="array" ref="V2187">_xlfn.IFS(C2187="","",COUNTIF(C2187,"ตำแหน่งว่าง*"),"ว่าง",COUNTIF(C2187,"&lt;&gt;ตำแหน่งว่าง*"),"คนครอง")</f>
        <v>คนครอง</v>
      </c>
      <c r="W2187" s="5" cm="1">
        <f t="array" ref="W2187">_xlfn.IFS(COUNTIF(F2187,"ผบ.หมู่*"),51,COUNTIF(F2187,"รอง สว.*"),43)</f>
        <v>43</v>
      </c>
      <c r="X2187" s="1" t="s">
        <v>6407</v>
      </c>
      <c r="Y2187" s="1" t="s">
        <v>52</v>
      </c>
    </row>
    <row r="2188" spans="1:25" s="9" customFormat="1" ht="21.3" customHeight="1">
      <c r="A2188" s="27" t="s">
        <v>26</v>
      </c>
      <c r="B2188" s="28" t="s">
        <v>12</v>
      </c>
      <c r="C2188" s="27" t="s">
        <v>6412</v>
      </c>
      <c r="D2188" s="27" t="s">
        <v>10257</v>
      </c>
      <c r="E2188" s="27" t="s">
        <v>10258</v>
      </c>
      <c r="F2188" s="27" t="s">
        <v>6413</v>
      </c>
      <c r="G2188" s="101" t="s">
        <v>6415</v>
      </c>
      <c r="H2188" s="75">
        <v>44286</v>
      </c>
      <c r="I2188" s="73">
        <v>44286</v>
      </c>
      <c r="J2188" s="73">
        <v>33635</v>
      </c>
      <c r="K2188" s="73">
        <v>24804</v>
      </c>
      <c r="L2188" s="11" t="s">
        <v>6416</v>
      </c>
      <c r="M2188" s="1" t="s">
        <v>64</v>
      </c>
      <c r="N2188" s="112" t="s">
        <v>14</v>
      </c>
      <c r="O2188" s="104" t="s">
        <v>52</v>
      </c>
      <c r="P2188" s="104" t="s">
        <v>52</v>
      </c>
      <c r="Q2188" s="105"/>
      <c r="R2188" s="28" t="s">
        <v>142</v>
      </c>
      <c r="S2188" s="225">
        <f t="shared" si="34"/>
        <v>47027</v>
      </c>
      <c r="T2188" s="2" t="s">
        <v>7690</v>
      </c>
      <c r="U2188" s="7" t="s">
        <v>141</v>
      </c>
      <c r="V2188" s="162" t="str" cm="1">
        <f t="array" ref="V2188">_xlfn.IFS(C2188="","",COUNTIF(C2188,"ตำแหน่งว่าง*"),"ว่าง",COUNTIF(C2188,"&lt;&gt;ตำแหน่งว่าง*"),"คนครอง")</f>
        <v>คนครอง</v>
      </c>
      <c r="W2188" s="5" cm="1">
        <f t="array" ref="W2188">_xlfn.IFS(COUNTIF(F2188,"ผบ.หมู่*"),51,COUNTIF(F2188,"รอง สว.*"),43)</f>
        <v>43</v>
      </c>
      <c r="X2188" s="1" t="s">
        <v>6414</v>
      </c>
      <c r="Y2188" s="1" t="s">
        <v>52</v>
      </c>
    </row>
    <row r="2189" spans="1:25" s="12" customFormat="1" ht="21.3" customHeight="1">
      <c r="A2189" s="95"/>
      <c r="B2189" s="31"/>
      <c r="C2189" s="30" t="s">
        <v>18</v>
      </c>
      <c r="D2189" s="27"/>
      <c r="E2189" s="27"/>
      <c r="F2189" s="68" t="s">
        <v>6421</v>
      </c>
      <c r="G2189" s="121" t="s">
        <v>6419</v>
      </c>
      <c r="H2189" s="80"/>
      <c r="I2189" s="80"/>
      <c r="J2189" s="80"/>
      <c r="K2189" s="80"/>
      <c r="L2189" s="45"/>
      <c r="M2189" s="30"/>
      <c r="N2189" s="113" t="s">
        <v>14</v>
      </c>
      <c r="O2189" s="122" t="s">
        <v>52</v>
      </c>
      <c r="P2189" s="122" t="s">
        <v>52</v>
      </c>
      <c r="Q2189" s="106"/>
      <c r="R2189" s="30"/>
      <c r="S2189" s="225" t="str">
        <f t="shared" si="34"/>
        <v/>
      </c>
      <c r="T2189" s="162" t="s">
        <v>7690</v>
      </c>
      <c r="U2189" s="7" t="s">
        <v>141</v>
      </c>
      <c r="V2189" s="162" t="str" cm="1">
        <f t="array" ref="V2189">_xlfn.IFS(C2189="","",COUNTIF(C2189,"ตำแหน่งว่าง*"),"ว่าง",COUNTIF(C2189,"&lt;&gt;ตำแหน่งว่าง*"),"คนครอง")</f>
        <v>ว่าง</v>
      </c>
      <c r="W2189" s="5" cm="1">
        <f t="array" ref="W2189">_xlfn.IFS(COUNTIF(F2189,"ผบ.หมู่*"),51,COUNTIF(F2189,"รอง สว.*"),43)</f>
        <v>51</v>
      </c>
      <c r="X2189" s="6" t="s">
        <v>6418</v>
      </c>
      <c r="Y2189" s="6" t="s">
        <v>52</v>
      </c>
    </row>
    <row r="2190" spans="1:25" s="9" customFormat="1" ht="21.3" customHeight="1">
      <c r="A2190" s="27" t="s">
        <v>157</v>
      </c>
      <c r="B2190" s="28" t="s">
        <v>12</v>
      </c>
      <c r="C2190" s="27" t="s">
        <v>6420</v>
      </c>
      <c r="D2190" s="27" t="s">
        <v>10259</v>
      </c>
      <c r="E2190" s="27" t="s">
        <v>10260</v>
      </c>
      <c r="F2190" s="27" t="s">
        <v>6421</v>
      </c>
      <c r="G2190" s="101" t="s">
        <v>6423</v>
      </c>
      <c r="H2190" s="91">
        <v>44243</v>
      </c>
      <c r="I2190" s="73">
        <v>34366</v>
      </c>
      <c r="J2190" s="73">
        <v>34366</v>
      </c>
      <c r="K2190" s="73">
        <v>26665</v>
      </c>
      <c r="L2190" s="11" t="s">
        <v>4826</v>
      </c>
      <c r="M2190" s="1" t="s">
        <v>64</v>
      </c>
      <c r="N2190" s="112" t="s">
        <v>14</v>
      </c>
      <c r="O2190" s="104" t="s">
        <v>52</v>
      </c>
      <c r="P2190" s="104" t="s">
        <v>52</v>
      </c>
      <c r="Q2190" s="105"/>
      <c r="R2190" s="28" t="s">
        <v>617</v>
      </c>
      <c r="S2190" s="225">
        <f t="shared" si="34"/>
        <v>48853</v>
      </c>
      <c r="T2190" s="2" t="s">
        <v>7690</v>
      </c>
      <c r="U2190" s="7" t="s">
        <v>141</v>
      </c>
      <c r="V2190" s="162" t="str" cm="1">
        <f t="array" ref="V2190">_xlfn.IFS(C2190="","",COUNTIF(C2190,"ตำแหน่งว่าง*"),"ว่าง",COUNTIF(C2190,"&lt;&gt;ตำแหน่งว่าง*"),"คนครอง")</f>
        <v>คนครอง</v>
      </c>
      <c r="W2190" s="6" cm="1">
        <f t="array" ref="W2190">_xlfn.IFS(COUNTIF(F2190,"ผบ.หมู่*"),51,COUNTIF(F2190,"รอง สว.*"),43)</f>
        <v>51</v>
      </c>
      <c r="X2190" s="1" t="s">
        <v>6422</v>
      </c>
      <c r="Y2190" s="1" t="s">
        <v>52</v>
      </c>
    </row>
    <row r="2191" spans="1:25" s="9" customFormat="1" ht="21.3" customHeight="1">
      <c r="A2191" s="27" t="s">
        <v>157</v>
      </c>
      <c r="B2191" s="28" t="s">
        <v>21</v>
      </c>
      <c r="C2191" s="27" t="s">
        <v>6424</v>
      </c>
      <c r="D2191" s="27" t="s">
        <v>8305</v>
      </c>
      <c r="E2191" s="27" t="s">
        <v>8063</v>
      </c>
      <c r="F2191" s="27" t="s">
        <v>6421</v>
      </c>
      <c r="G2191" s="101" t="s">
        <v>6426</v>
      </c>
      <c r="H2191" s="91">
        <v>42501</v>
      </c>
      <c r="I2191" s="73">
        <v>34352</v>
      </c>
      <c r="J2191" s="73">
        <v>34352</v>
      </c>
      <c r="K2191" s="73">
        <v>27393</v>
      </c>
      <c r="L2191" s="11" t="s">
        <v>6427</v>
      </c>
      <c r="M2191" s="1" t="s">
        <v>64</v>
      </c>
      <c r="N2191" s="112" t="s">
        <v>14</v>
      </c>
      <c r="O2191" s="104" t="s">
        <v>52</v>
      </c>
      <c r="P2191" s="104" t="s">
        <v>52</v>
      </c>
      <c r="Q2191" s="105"/>
      <c r="R2191" s="28" t="s">
        <v>110</v>
      </c>
      <c r="S2191" s="225">
        <f t="shared" si="34"/>
        <v>49583</v>
      </c>
      <c r="T2191" s="2" t="s">
        <v>7690</v>
      </c>
      <c r="U2191" s="7" t="s">
        <v>141</v>
      </c>
      <c r="V2191" s="162" t="str" cm="1">
        <f t="array" ref="V2191">_xlfn.IFS(C2191="","",COUNTIF(C2191,"ตำแหน่งว่าง*"),"ว่าง",COUNTIF(C2191,"&lt;&gt;ตำแหน่งว่าง*"),"คนครอง")</f>
        <v>คนครอง</v>
      </c>
      <c r="W2191" s="6" cm="1">
        <f t="array" ref="W2191">_xlfn.IFS(COUNTIF(F2191,"ผบ.หมู่*"),51,COUNTIF(F2191,"รอง สว.*"),43)</f>
        <v>51</v>
      </c>
      <c r="X2191" s="1" t="s">
        <v>6425</v>
      </c>
      <c r="Y2191" s="1" t="s">
        <v>52</v>
      </c>
    </row>
    <row r="2192" spans="1:25" s="10" customFormat="1" ht="21.3" customHeight="1">
      <c r="A2192" s="27"/>
      <c r="B2192" s="28"/>
      <c r="C2192" s="27" t="s">
        <v>18</v>
      </c>
      <c r="D2192" s="27"/>
      <c r="E2192" s="27"/>
      <c r="F2192" s="27" t="s">
        <v>6421</v>
      </c>
      <c r="G2192" s="101" t="s">
        <v>6429</v>
      </c>
      <c r="H2192" s="75"/>
      <c r="I2192" s="73"/>
      <c r="J2192" s="73"/>
      <c r="K2192" s="73"/>
      <c r="L2192" s="11"/>
      <c r="M2192" s="28"/>
      <c r="N2192" s="112" t="s">
        <v>14</v>
      </c>
      <c r="O2192" s="104" t="s">
        <v>52</v>
      </c>
      <c r="P2192" s="104" t="s">
        <v>52</v>
      </c>
      <c r="Q2192" s="105"/>
      <c r="R2192" s="28"/>
      <c r="S2192" s="225" t="str">
        <f t="shared" si="34"/>
        <v/>
      </c>
      <c r="T2192" s="7" t="s">
        <v>7690</v>
      </c>
      <c r="U2192" s="7" t="s">
        <v>141</v>
      </c>
      <c r="V2192" s="162" t="str" cm="1">
        <f t="array" ref="V2192">_xlfn.IFS(C2192="","",COUNTIF(C2192,"ตำแหน่งว่าง*"),"ว่าง",COUNTIF(C2192,"&lt;&gt;ตำแหน่งว่าง*"),"คนครอง")</f>
        <v>ว่าง</v>
      </c>
      <c r="W2192" s="6" cm="1">
        <f t="array" ref="W2192">_xlfn.IFS(COUNTIF(F2192,"ผบ.หมู่*"),51,COUNTIF(F2192,"รอง สว.*"),43)</f>
        <v>51</v>
      </c>
      <c r="X2192" s="61" t="s">
        <v>6428</v>
      </c>
      <c r="Y2192" s="61" t="s">
        <v>52</v>
      </c>
    </row>
    <row r="2193" spans="1:25" s="9" customFormat="1" ht="21.3" customHeight="1">
      <c r="A2193" s="27" t="s">
        <v>26</v>
      </c>
      <c r="B2193" s="28" t="s">
        <v>12</v>
      </c>
      <c r="C2193" s="27" t="s">
        <v>6430</v>
      </c>
      <c r="D2193" s="27" t="s">
        <v>8210</v>
      </c>
      <c r="E2193" s="27" t="s">
        <v>10261</v>
      </c>
      <c r="F2193" s="27" t="s">
        <v>6413</v>
      </c>
      <c r="G2193" s="101" t="s">
        <v>6432</v>
      </c>
      <c r="H2193" s="91">
        <v>43921</v>
      </c>
      <c r="I2193" s="73">
        <v>43921</v>
      </c>
      <c r="J2193" s="73">
        <v>31444</v>
      </c>
      <c r="K2193" s="73">
        <v>24446</v>
      </c>
      <c r="L2193" s="11" t="s">
        <v>6433</v>
      </c>
      <c r="M2193" s="1" t="s">
        <v>64</v>
      </c>
      <c r="N2193" s="112" t="s">
        <v>14</v>
      </c>
      <c r="O2193" s="104" t="s">
        <v>52</v>
      </c>
      <c r="P2193" s="104" t="s">
        <v>52</v>
      </c>
      <c r="Q2193" s="105"/>
      <c r="R2193" s="28" t="s">
        <v>110</v>
      </c>
      <c r="S2193" s="225">
        <f t="shared" si="34"/>
        <v>46661</v>
      </c>
      <c r="T2193" s="2" t="s">
        <v>7690</v>
      </c>
      <c r="U2193" s="7" t="s">
        <v>141</v>
      </c>
      <c r="V2193" s="162" t="str" cm="1">
        <f t="array" ref="V2193">_xlfn.IFS(C2193="","",COUNTIF(C2193,"ตำแหน่งว่าง*"),"ว่าง",COUNTIF(C2193,"&lt;&gt;ตำแหน่งว่าง*"),"คนครอง")</f>
        <v>คนครอง</v>
      </c>
      <c r="W2193" s="5" cm="1">
        <f t="array" ref="W2193">_xlfn.IFS(COUNTIF(F2193,"ผบ.หมู่*"),51,COUNTIF(F2193,"รอง สว.*"),43)</f>
        <v>43</v>
      </c>
      <c r="X2193" s="1" t="s">
        <v>6431</v>
      </c>
      <c r="Y2193" s="1" t="s">
        <v>52</v>
      </c>
    </row>
    <row r="2194" spans="1:25" s="9" customFormat="1" ht="21.3" customHeight="1">
      <c r="A2194" s="27" t="s">
        <v>169</v>
      </c>
      <c r="B2194" s="28" t="s">
        <v>12</v>
      </c>
      <c r="C2194" s="27" t="s">
        <v>6434</v>
      </c>
      <c r="D2194" s="27" t="s">
        <v>8325</v>
      </c>
      <c r="E2194" s="27" t="s">
        <v>10262</v>
      </c>
      <c r="F2194" s="27" t="s">
        <v>6421</v>
      </c>
      <c r="G2194" s="101" t="s">
        <v>6436</v>
      </c>
      <c r="H2194" s="91">
        <v>44043</v>
      </c>
      <c r="I2194" s="73">
        <v>44043</v>
      </c>
      <c r="J2194" s="85">
        <v>44043</v>
      </c>
      <c r="K2194" s="73">
        <v>32084</v>
      </c>
      <c r="L2194" s="11" t="s">
        <v>6437</v>
      </c>
      <c r="M2194" s="1" t="s">
        <v>16</v>
      </c>
      <c r="N2194" s="112" t="s">
        <v>14</v>
      </c>
      <c r="O2194" s="104" t="s">
        <v>52</v>
      </c>
      <c r="P2194" s="104" t="s">
        <v>52</v>
      </c>
      <c r="Q2194" s="105"/>
      <c r="R2194" s="28" t="s">
        <v>2436</v>
      </c>
      <c r="S2194" s="225">
        <f t="shared" si="34"/>
        <v>54332</v>
      </c>
      <c r="T2194" s="2" t="s">
        <v>7690</v>
      </c>
      <c r="U2194" s="7" t="s">
        <v>141</v>
      </c>
      <c r="V2194" s="162" t="str" cm="1">
        <f t="array" ref="V2194">_xlfn.IFS(C2194="","",COUNTIF(C2194,"ตำแหน่งว่าง*"),"ว่าง",COUNTIF(C2194,"&lt;&gt;ตำแหน่งว่าง*"),"คนครอง")</f>
        <v>คนครอง</v>
      </c>
      <c r="W2194" s="6" cm="1">
        <f t="array" ref="W2194">_xlfn.IFS(COUNTIF(F2194,"ผบ.หมู่*"),51,COUNTIF(F2194,"รอง สว.*"),43)</f>
        <v>51</v>
      </c>
      <c r="X2194" s="1" t="s">
        <v>6435</v>
      </c>
      <c r="Y2194" s="1" t="s">
        <v>52</v>
      </c>
    </row>
    <row r="2195" spans="1:25" s="9" customFormat="1" ht="21.3" customHeight="1">
      <c r="A2195" s="27" t="s">
        <v>182</v>
      </c>
      <c r="B2195" s="28" t="s">
        <v>12</v>
      </c>
      <c r="C2195" s="27" t="s">
        <v>6438</v>
      </c>
      <c r="D2195" s="27" t="s">
        <v>9825</v>
      </c>
      <c r="E2195" s="27" t="s">
        <v>10263</v>
      </c>
      <c r="F2195" s="27" t="s">
        <v>6421</v>
      </c>
      <c r="G2195" s="101" t="s">
        <v>6440</v>
      </c>
      <c r="H2195" s="91">
        <v>44043</v>
      </c>
      <c r="I2195" s="73">
        <v>44043</v>
      </c>
      <c r="J2195" s="85">
        <v>44043</v>
      </c>
      <c r="K2195" s="73">
        <v>32844</v>
      </c>
      <c r="L2195" s="11" t="s">
        <v>6441</v>
      </c>
      <c r="M2195" s="1" t="s">
        <v>64</v>
      </c>
      <c r="N2195" s="112" t="s">
        <v>14</v>
      </c>
      <c r="O2195" s="104" t="s">
        <v>52</v>
      </c>
      <c r="P2195" s="104" t="s">
        <v>52</v>
      </c>
      <c r="Q2195" s="105"/>
      <c r="R2195" s="28" t="s">
        <v>2436</v>
      </c>
      <c r="S2195" s="225">
        <f t="shared" si="34"/>
        <v>55062</v>
      </c>
      <c r="T2195" s="2" t="s">
        <v>7690</v>
      </c>
      <c r="U2195" s="7" t="s">
        <v>141</v>
      </c>
      <c r="V2195" s="162" t="str" cm="1">
        <f t="array" ref="V2195">_xlfn.IFS(C2195="","",COUNTIF(C2195,"ตำแหน่งว่าง*"),"ว่าง",COUNTIF(C2195,"&lt;&gt;ตำแหน่งว่าง*"),"คนครอง")</f>
        <v>คนครอง</v>
      </c>
      <c r="W2195" s="6" cm="1">
        <f t="array" ref="W2195">_xlfn.IFS(COUNTIF(F2195,"ผบ.หมู่*"),51,COUNTIF(F2195,"รอง สว.*"),43)</f>
        <v>51</v>
      </c>
      <c r="X2195" s="1" t="s">
        <v>6439</v>
      </c>
      <c r="Y2195" s="1" t="s">
        <v>52</v>
      </c>
    </row>
    <row r="2196" spans="1:25" s="9" customFormat="1" ht="21.3" customHeight="1">
      <c r="A2196" s="27" t="s">
        <v>26</v>
      </c>
      <c r="B2196" s="28" t="s">
        <v>12</v>
      </c>
      <c r="C2196" s="27" t="s">
        <v>6442</v>
      </c>
      <c r="D2196" s="27" t="s">
        <v>7964</v>
      </c>
      <c r="E2196" s="27" t="s">
        <v>8317</v>
      </c>
      <c r="F2196" s="27" t="s">
        <v>6413</v>
      </c>
      <c r="G2196" s="101" t="s">
        <v>6444</v>
      </c>
      <c r="H2196" s="91">
        <v>44286</v>
      </c>
      <c r="I2196" s="73">
        <v>42501</v>
      </c>
      <c r="J2196" s="73">
        <v>34352</v>
      </c>
      <c r="K2196" s="73">
        <v>24852</v>
      </c>
      <c r="L2196" s="11" t="s">
        <v>6445</v>
      </c>
      <c r="M2196" s="1" t="s">
        <v>64</v>
      </c>
      <c r="N2196" s="112" t="s">
        <v>14</v>
      </c>
      <c r="O2196" s="104" t="s">
        <v>52</v>
      </c>
      <c r="P2196" s="104" t="s">
        <v>52</v>
      </c>
      <c r="Q2196" s="105"/>
      <c r="R2196" s="28" t="s">
        <v>142</v>
      </c>
      <c r="S2196" s="225">
        <f t="shared" si="34"/>
        <v>47027</v>
      </c>
      <c r="T2196" s="2" t="s">
        <v>7690</v>
      </c>
      <c r="U2196" s="7" t="s">
        <v>141</v>
      </c>
      <c r="V2196" s="162" t="str" cm="1">
        <f t="array" ref="V2196">_xlfn.IFS(C2196="","",COUNTIF(C2196,"ตำแหน่งว่าง*"),"ว่าง",COUNTIF(C2196,"&lt;&gt;ตำแหน่งว่าง*"),"คนครอง")</f>
        <v>คนครอง</v>
      </c>
      <c r="W2196" s="5" cm="1">
        <f t="array" ref="W2196">_xlfn.IFS(COUNTIF(F2196,"ผบ.หมู่*"),51,COUNTIF(F2196,"รอง สว.*"),43)</f>
        <v>43</v>
      </c>
      <c r="X2196" s="1" t="s">
        <v>6443</v>
      </c>
      <c r="Y2196" s="1" t="s">
        <v>52</v>
      </c>
    </row>
    <row r="2197" spans="1:25" s="10" customFormat="1" ht="21.3" customHeight="1">
      <c r="A2197" s="65" t="s">
        <v>169</v>
      </c>
      <c r="B2197" s="66" t="s">
        <v>12</v>
      </c>
      <c r="C2197" s="65" t="s">
        <v>6446</v>
      </c>
      <c r="D2197" s="27" t="s">
        <v>8106</v>
      </c>
      <c r="E2197" s="27" t="s">
        <v>10264</v>
      </c>
      <c r="F2197" s="65" t="s">
        <v>6421</v>
      </c>
      <c r="G2197" s="101" t="s">
        <v>6448</v>
      </c>
      <c r="H2197" s="81">
        <v>44986</v>
      </c>
      <c r="I2197" s="77">
        <v>44986</v>
      </c>
      <c r="J2197" s="77">
        <v>44986</v>
      </c>
      <c r="K2197" s="77">
        <v>35429</v>
      </c>
      <c r="L2197" s="63" t="s">
        <v>82</v>
      </c>
      <c r="M2197" s="61" t="s">
        <v>16</v>
      </c>
      <c r="N2197" s="114" t="s">
        <v>14</v>
      </c>
      <c r="O2197" s="104" t="s">
        <v>52</v>
      </c>
      <c r="P2197" s="104" t="s">
        <v>52</v>
      </c>
      <c r="Q2197" s="107"/>
      <c r="R2197" s="66" t="s">
        <v>861</v>
      </c>
      <c r="S2197" s="225">
        <f t="shared" si="34"/>
        <v>57619</v>
      </c>
      <c r="T2197" s="7" t="s">
        <v>7690</v>
      </c>
      <c r="U2197" s="7" t="s">
        <v>141</v>
      </c>
      <c r="V2197" s="162" t="str" cm="1">
        <f t="array" ref="V2197">_xlfn.IFS(C2197="","",COUNTIF(C2197,"ตำแหน่งว่าง*"),"ว่าง",COUNTIF(C2197,"&lt;&gt;ตำแหน่งว่าง*"),"คนครอง")</f>
        <v>คนครอง</v>
      </c>
      <c r="W2197" s="6" cm="1">
        <f t="array" ref="W2197">_xlfn.IFS(COUNTIF(F2197,"ผบ.หมู่*"),51,COUNTIF(F2197,"รอง สว.*"),43)</f>
        <v>51</v>
      </c>
      <c r="X2197" s="61" t="s">
        <v>6447</v>
      </c>
      <c r="Y2197" s="61" t="s">
        <v>52</v>
      </c>
    </row>
    <row r="2198" spans="1:25" s="39" customFormat="1" ht="21.3" customHeight="1">
      <c r="A2198" s="140"/>
      <c r="B2198" s="141"/>
      <c r="C2198" s="30" t="s">
        <v>18</v>
      </c>
      <c r="D2198" s="27"/>
      <c r="E2198" s="27"/>
      <c r="F2198" s="68" t="s">
        <v>6421</v>
      </c>
      <c r="G2198" s="121" t="s">
        <v>6450</v>
      </c>
      <c r="H2198" s="146" t="s">
        <v>19</v>
      </c>
      <c r="I2198" s="86" t="s">
        <v>19</v>
      </c>
      <c r="J2198" s="86" t="s">
        <v>19</v>
      </c>
      <c r="K2198" s="86" t="s">
        <v>19</v>
      </c>
      <c r="L2198" s="48"/>
      <c r="M2198" s="1"/>
      <c r="N2198" s="113" t="s">
        <v>14</v>
      </c>
      <c r="O2198" s="122" t="s">
        <v>52</v>
      </c>
      <c r="P2198" s="122" t="s">
        <v>52</v>
      </c>
      <c r="Q2198" s="173"/>
      <c r="R2198" s="141"/>
      <c r="S2198" s="225" t="str">
        <f t="shared" si="34"/>
        <v/>
      </c>
      <c r="T2198" s="169" t="s">
        <v>7690</v>
      </c>
      <c r="U2198" s="7" t="s">
        <v>141</v>
      </c>
      <c r="V2198" s="162" t="str" cm="1">
        <f t="array" ref="V2198">_xlfn.IFS(C2198="","",COUNTIF(C2198,"ตำแหน่งว่าง*"),"ว่าง",COUNTIF(C2198,"&lt;&gt;ตำแหน่งว่าง*"),"คนครอง")</f>
        <v>ว่าง</v>
      </c>
      <c r="W2198" s="6" cm="1">
        <f t="array" ref="W2198">_xlfn.IFS(COUNTIF(F2198,"ผบ.หมู่*"),51,COUNTIF(F2198,"รอง สว.*"),43)</f>
        <v>51</v>
      </c>
      <c r="X2198" s="6" t="s">
        <v>6449</v>
      </c>
      <c r="Y2198" s="6" t="s">
        <v>52</v>
      </c>
    </row>
    <row r="2199" spans="1:25" s="9" customFormat="1" ht="21.3" customHeight="1">
      <c r="A2199" s="132" t="s">
        <v>10753</v>
      </c>
      <c r="B2199" s="28" t="s">
        <v>12</v>
      </c>
      <c r="C2199" s="27" t="s">
        <v>6451</v>
      </c>
      <c r="D2199" s="27" t="s">
        <v>10265</v>
      </c>
      <c r="E2199" s="27" t="s">
        <v>10266</v>
      </c>
      <c r="F2199" s="27" t="s">
        <v>6456</v>
      </c>
      <c r="G2199" s="101" t="s">
        <v>6454</v>
      </c>
      <c r="H2199" s="91">
        <v>45382</v>
      </c>
      <c r="I2199" s="73">
        <v>45382</v>
      </c>
      <c r="J2199" s="73">
        <v>35825</v>
      </c>
      <c r="K2199" s="73">
        <v>26172</v>
      </c>
      <c r="L2199" s="11" t="s">
        <v>3316</v>
      </c>
      <c r="M2199" s="1" t="s">
        <v>16</v>
      </c>
      <c r="N2199" s="112" t="s">
        <v>14</v>
      </c>
      <c r="O2199" s="104" t="s">
        <v>52</v>
      </c>
      <c r="P2199" s="104" t="s">
        <v>52</v>
      </c>
      <c r="Q2199" s="105"/>
      <c r="R2199" s="33" t="s">
        <v>7801</v>
      </c>
      <c r="S2199" s="225">
        <f t="shared" si="34"/>
        <v>48122</v>
      </c>
      <c r="T2199" s="2" t="s">
        <v>115</v>
      </c>
      <c r="U2199" s="7" t="s">
        <v>141</v>
      </c>
      <c r="V2199" s="162" t="str" cm="1">
        <f t="array" ref="V2199">_xlfn.IFS(C2199="","",COUNTIF(C2199,"ตำแหน่งว่าง*"),"ว่าง",COUNTIF(C2199,"&lt;&gt;ตำแหน่งว่าง*"),"คนครอง")</f>
        <v>คนครอง</v>
      </c>
      <c r="W2199" s="6" cm="1">
        <f t="array" ref="W2199">_xlfn.IFS(COUNTIF(F2199,"ผบ.หมู่*"),51,COUNTIF(F2199,"รอง สว.*"),43)</f>
        <v>43</v>
      </c>
      <c r="X2199" s="1" t="s">
        <v>6453</v>
      </c>
      <c r="Y2199" s="1" t="s">
        <v>52</v>
      </c>
    </row>
    <row r="2200" spans="1:25" s="9" customFormat="1" ht="21.3" customHeight="1">
      <c r="A2200" s="27" t="s">
        <v>26</v>
      </c>
      <c r="B2200" s="28" t="s">
        <v>12</v>
      </c>
      <c r="C2200" s="27" t="s">
        <v>6455</v>
      </c>
      <c r="D2200" s="27" t="s">
        <v>10267</v>
      </c>
      <c r="E2200" s="27" t="s">
        <v>10268</v>
      </c>
      <c r="F2200" s="27" t="s">
        <v>6456</v>
      </c>
      <c r="G2200" s="101" t="s">
        <v>6458</v>
      </c>
      <c r="H2200" s="91">
        <v>44286</v>
      </c>
      <c r="I2200" s="73">
        <v>44286</v>
      </c>
      <c r="J2200" s="73">
        <v>33270</v>
      </c>
      <c r="K2200" s="73">
        <v>24802</v>
      </c>
      <c r="L2200" s="11" t="s">
        <v>6459</v>
      </c>
      <c r="M2200" s="1" t="s">
        <v>64</v>
      </c>
      <c r="N2200" s="112" t="s">
        <v>14</v>
      </c>
      <c r="O2200" s="104" t="s">
        <v>52</v>
      </c>
      <c r="P2200" s="104" t="s">
        <v>52</v>
      </c>
      <c r="Q2200" s="105"/>
      <c r="R2200" s="28" t="s">
        <v>617</v>
      </c>
      <c r="S2200" s="225">
        <f t="shared" si="34"/>
        <v>47027</v>
      </c>
      <c r="T2200" s="2" t="s">
        <v>115</v>
      </c>
      <c r="U2200" s="7" t="s">
        <v>141</v>
      </c>
      <c r="V2200" s="162" t="str" cm="1">
        <f t="array" ref="V2200">_xlfn.IFS(C2200="","",COUNTIF(C2200,"ตำแหน่งว่าง*"),"ว่าง",COUNTIF(C2200,"&lt;&gt;ตำแหน่งว่าง*"),"คนครอง")</f>
        <v>คนครอง</v>
      </c>
      <c r="W2200" s="5" cm="1">
        <f t="array" ref="W2200">_xlfn.IFS(COUNTIF(F2200,"ผบ.หมู่*"),51,COUNTIF(F2200,"รอง สว.*"),43)</f>
        <v>43</v>
      </c>
      <c r="X2200" s="1" t="s">
        <v>6457</v>
      </c>
      <c r="Y2200" s="1" t="s">
        <v>52</v>
      </c>
    </row>
    <row r="2201" spans="1:25" s="12" customFormat="1" ht="21.3" customHeight="1">
      <c r="A2201" s="95" t="s">
        <v>157</v>
      </c>
      <c r="B2201" s="31" t="s">
        <v>12</v>
      </c>
      <c r="C2201" s="68" t="s">
        <v>7799</v>
      </c>
      <c r="D2201" s="27" t="s">
        <v>10548</v>
      </c>
      <c r="E2201" s="27" t="s">
        <v>10549</v>
      </c>
      <c r="F2201" s="68" t="s">
        <v>6452</v>
      </c>
      <c r="G2201" s="121" t="s">
        <v>6462</v>
      </c>
      <c r="H2201" s="93">
        <v>45768</v>
      </c>
      <c r="I2201" s="74">
        <v>34731</v>
      </c>
      <c r="J2201" s="74">
        <v>34731</v>
      </c>
      <c r="K2201" s="74">
        <v>26592</v>
      </c>
      <c r="L2201" s="16" t="s">
        <v>5667</v>
      </c>
      <c r="M2201" s="30" t="s">
        <v>64</v>
      </c>
      <c r="N2201" s="113" t="s">
        <v>14</v>
      </c>
      <c r="O2201" s="122" t="s">
        <v>52</v>
      </c>
      <c r="P2201" s="122" t="s">
        <v>52</v>
      </c>
      <c r="Q2201" s="106"/>
      <c r="R2201" s="30" t="s">
        <v>10804</v>
      </c>
      <c r="S2201" s="225">
        <f t="shared" si="34"/>
        <v>48853</v>
      </c>
      <c r="T2201" s="162" t="s">
        <v>115</v>
      </c>
      <c r="U2201" s="7" t="s">
        <v>141</v>
      </c>
      <c r="V2201" s="162" t="str" cm="1">
        <f t="array" ref="V2201">_xlfn.IFS(C2201="","",COUNTIF(C2201,"ตำแหน่งว่าง*"),"ว่าง",COUNTIF(C2201,"&lt;&gt;ตำแหน่งว่าง*"),"คนครอง")</f>
        <v>คนครอง</v>
      </c>
      <c r="W2201" s="6" cm="1">
        <f t="array" ref="W2201">_xlfn.IFS(COUNTIF(F2201,"ผบ.หมู่*"),51,COUNTIF(F2201,"รอง สว.*"),43)</f>
        <v>51</v>
      </c>
      <c r="X2201" s="6" t="s">
        <v>6461</v>
      </c>
      <c r="Y2201" s="6" t="s">
        <v>52</v>
      </c>
    </row>
    <row r="2202" spans="1:25" s="9" customFormat="1" ht="21.3" customHeight="1">
      <c r="A2202" s="27" t="s">
        <v>157</v>
      </c>
      <c r="B2202" s="28" t="s">
        <v>21</v>
      </c>
      <c r="C2202" s="27" t="s">
        <v>6464</v>
      </c>
      <c r="D2202" s="27" t="s">
        <v>8025</v>
      </c>
      <c r="E2202" s="27" t="s">
        <v>10269</v>
      </c>
      <c r="F2202" s="27" t="s">
        <v>6452</v>
      </c>
      <c r="G2202" s="101" t="s">
        <v>6466</v>
      </c>
      <c r="H2202" s="91">
        <v>44599</v>
      </c>
      <c r="I2202" s="80">
        <v>40339</v>
      </c>
      <c r="J2202" s="80">
        <v>40339</v>
      </c>
      <c r="K2202" s="80">
        <v>31656</v>
      </c>
      <c r="L2202" s="45" t="s">
        <v>6467</v>
      </c>
      <c r="M2202" s="30" t="s">
        <v>33</v>
      </c>
      <c r="N2202" s="112" t="s">
        <v>14</v>
      </c>
      <c r="O2202" s="104" t="s">
        <v>52</v>
      </c>
      <c r="P2202" s="104" t="s">
        <v>52</v>
      </c>
      <c r="Q2202" s="106"/>
      <c r="R2202" s="28" t="s">
        <v>607</v>
      </c>
      <c r="S2202" s="225">
        <f t="shared" si="34"/>
        <v>53601</v>
      </c>
      <c r="T2202" s="2" t="s">
        <v>115</v>
      </c>
      <c r="U2202" s="7" t="s">
        <v>141</v>
      </c>
      <c r="V2202" s="162" t="str" cm="1">
        <f t="array" ref="V2202">_xlfn.IFS(C2202="","",COUNTIF(C2202,"ตำแหน่งว่าง*"),"ว่าง",COUNTIF(C2202,"&lt;&gt;ตำแหน่งว่าง*"),"คนครอง")</f>
        <v>คนครอง</v>
      </c>
      <c r="W2202" s="6" cm="1">
        <f t="array" ref="W2202">_xlfn.IFS(COUNTIF(F2202,"ผบ.หมู่*"),51,COUNTIF(F2202,"รอง สว.*"),43)</f>
        <v>51</v>
      </c>
      <c r="X2202" s="1" t="s">
        <v>6465</v>
      </c>
      <c r="Y2202" s="1" t="s">
        <v>52</v>
      </c>
    </row>
    <row r="2203" spans="1:25" s="10" customFormat="1" ht="21.3" customHeight="1">
      <c r="A2203" s="68"/>
      <c r="B2203" s="30"/>
      <c r="C2203" s="30" t="s">
        <v>18</v>
      </c>
      <c r="D2203" s="27"/>
      <c r="E2203" s="27"/>
      <c r="F2203" s="68" t="s">
        <v>6468</v>
      </c>
      <c r="G2203" s="121" t="s">
        <v>6470</v>
      </c>
      <c r="H2203" s="93"/>
      <c r="I2203" s="74"/>
      <c r="J2203" s="74"/>
      <c r="K2203" s="74"/>
      <c r="L2203" s="16"/>
      <c r="M2203" s="6"/>
      <c r="N2203" s="113" t="s">
        <v>14</v>
      </c>
      <c r="O2203" s="122" t="s">
        <v>52</v>
      </c>
      <c r="P2203" s="122" t="s">
        <v>52</v>
      </c>
      <c r="Q2203" s="106"/>
      <c r="R2203" s="30"/>
      <c r="S2203" s="225" t="str">
        <f t="shared" si="34"/>
        <v/>
      </c>
      <c r="T2203" s="7" t="s">
        <v>7691</v>
      </c>
      <c r="U2203" s="7" t="s">
        <v>141</v>
      </c>
      <c r="V2203" s="162" t="str" cm="1">
        <f t="array" ref="V2203">_xlfn.IFS(C2203="","",COUNTIF(C2203,"ตำแหน่งว่าง*"),"ว่าง",COUNTIF(C2203,"&lt;&gt;ตำแหน่งว่าง*"),"คนครอง")</f>
        <v>ว่าง</v>
      </c>
      <c r="W2203" s="6" cm="1">
        <f t="array" ref="W2203">_xlfn.IFS(COUNTIF(F2203,"ผบ.หมู่*"),51,COUNTIF(F2203,"รอง สว.*"),43)</f>
        <v>51</v>
      </c>
      <c r="X2203" s="1" t="s">
        <v>6469</v>
      </c>
      <c r="Y2203" s="1" t="s">
        <v>52</v>
      </c>
    </row>
    <row r="2204" spans="1:25" s="12" customFormat="1" ht="21.3" customHeight="1">
      <c r="A2204" s="27" t="s">
        <v>30</v>
      </c>
      <c r="B2204" s="28" t="s">
        <v>12</v>
      </c>
      <c r="C2204" s="95" t="s">
        <v>6471</v>
      </c>
      <c r="D2204" s="27" t="s">
        <v>8177</v>
      </c>
      <c r="E2204" s="27" t="s">
        <v>10270</v>
      </c>
      <c r="F2204" s="95" t="s">
        <v>6472</v>
      </c>
      <c r="G2204" s="101" t="s">
        <v>6474</v>
      </c>
      <c r="H2204" s="91">
        <v>42501</v>
      </c>
      <c r="I2204" s="73">
        <v>42501</v>
      </c>
      <c r="J2204" s="73">
        <v>33270</v>
      </c>
      <c r="K2204" s="73">
        <v>24112</v>
      </c>
      <c r="L2204" s="11" t="s">
        <v>6475</v>
      </c>
      <c r="M2204" s="1" t="s">
        <v>64</v>
      </c>
      <c r="N2204" s="111" t="s">
        <v>14</v>
      </c>
      <c r="O2204" s="104" t="s">
        <v>52</v>
      </c>
      <c r="P2204" s="104" t="s">
        <v>52</v>
      </c>
      <c r="Q2204" s="105"/>
      <c r="R2204" s="28" t="s">
        <v>110</v>
      </c>
      <c r="S2204" s="225">
        <f t="shared" si="34"/>
        <v>46296</v>
      </c>
      <c r="T2204" s="162" t="s">
        <v>7691</v>
      </c>
      <c r="U2204" s="7" t="s">
        <v>141</v>
      </c>
      <c r="V2204" s="162" t="str" cm="1">
        <f t="array" ref="V2204">_xlfn.IFS(C2204="","",COUNTIF(C2204,"ตำแหน่งว่าง*"),"ว่าง",COUNTIF(C2204,"&lt;&gt;ตำแหน่งว่าง*"),"คนครอง")</f>
        <v>คนครอง</v>
      </c>
      <c r="W2204" s="5" cm="1">
        <f t="array" ref="W2204">_xlfn.IFS(COUNTIF(F2204,"ผบ.หมู่*"),51,COUNTIF(F2204,"รอง สว.*"),43)</f>
        <v>43</v>
      </c>
      <c r="X2204" s="5" t="s">
        <v>6473</v>
      </c>
      <c r="Y2204" s="5" t="s">
        <v>52</v>
      </c>
    </row>
    <row r="2205" spans="1:25" s="12" customFormat="1" ht="21.3" customHeight="1">
      <c r="A2205" s="27" t="s">
        <v>612</v>
      </c>
      <c r="B2205" s="28" t="s">
        <v>12</v>
      </c>
      <c r="C2205" s="27" t="s">
        <v>7736</v>
      </c>
      <c r="D2205" s="27" t="s">
        <v>10271</v>
      </c>
      <c r="E2205" s="27" t="s">
        <v>10272</v>
      </c>
      <c r="F2205" s="27" t="s">
        <v>6468</v>
      </c>
      <c r="G2205" s="101" t="s">
        <v>6477</v>
      </c>
      <c r="H2205" s="91">
        <v>45322</v>
      </c>
      <c r="I2205" s="73">
        <v>41944</v>
      </c>
      <c r="J2205" s="73">
        <v>41944</v>
      </c>
      <c r="K2205" s="73">
        <v>32106</v>
      </c>
      <c r="L2205" s="11" t="s">
        <v>7737</v>
      </c>
      <c r="M2205" s="1" t="s">
        <v>64</v>
      </c>
      <c r="N2205" s="112" t="s">
        <v>14</v>
      </c>
      <c r="O2205" s="104" t="s">
        <v>52</v>
      </c>
      <c r="P2205" s="104" t="s">
        <v>52</v>
      </c>
      <c r="Q2205" s="105"/>
      <c r="R2205" s="28" t="s">
        <v>7708</v>
      </c>
      <c r="S2205" s="225">
        <f t="shared" si="34"/>
        <v>54332</v>
      </c>
      <c r="T2205" s="162" t="s">
        <v>7691</v>
      </c>
      <c r="U2205" s="7" t="s">
        <v>141</v>
      </c>
      <c r="V2205" s="162" t="str" cm="1">
        <f t="array" ref="V2205">_xlfn.IFS(C2205="","",COUNTIF(C2205,"ตำแหน่งว่าง*"),"ว่าง",COUNTIF(C2205,"&lt;&gt;ตำแหน่งว่าง*"),"คนครอง")</f>
        <v>คนครอง</v>
      </c>
      <c r="W2205" s="6" cm="1">
        <f t="array" ref="W2205">_xlfn.IFS(COUNTIF(F2205,"ผบ.หมู่*"),51,COUNTIF(F2205,"รอง สว.*"),43)</f>
        <v>51</v>
      </c>
      <c r="X2205" s="1" t="s">
        <v>6476</v>
      </c>
      <c r="Y2205" s="1" t="s">
        <v>52</v>
      </c>
    </row>
    <row r="2206" spans="1:25" s="12" customFormat="1" ht="21.3" customHeight="1">
      <c r="A2206" s="132" t="s">
        <v>60</v>
      </c>
      <c r="B2206" s="28" t="s">
        <v>21</v>
      </c>
      <c r="C2206" s="95" t="s">
        <v>6478</v>
      </c>
      <c r="D2206" s="27" t="s">
        <v>8009</v>
      </c>
      <c r="E2206" s="27" t="s">
        <v>10273</v>
      </c>
      <c r="F2206" s="95" t="s">
        <v>6472</v>
      </c>
      <c r="G2206" s="101" t="s">
        <v>6480</v>
      </c>
      <c r="H2206" s="91">
        <v>45382</v>
      </c>
      <c r="I2206" s="73">
        <v>45382</v>
      </c>
      <c r="J2206" s="73">
        <v>34352</v>
      </c>
      <c r="K2206" s="73">
        <v>26039</v>
      </c>
      <c r="L2206" s="11" t="s">
        <v>5012</v>
      </c>
      <c r="M2206" s="1" t="s">
        <v>64</v>
      </c>
      <c r="N2206" s="111" t="s">
        <v>14</v>
      </c>
      <c r="O2206" s="104" t="s">
        <v>52</v>
      </c>
      <c r="P2206" s="104" t="s">
        <v>52</v>
      </c>
      <c r="Q2206" s="105"/>
      <c r="R2206" s="33" t="s">
        <v>7801</v>
      </c>
      <c r="S2206" s="225">
        <f t="shared" si="34"/>
        <v>48122</v>
      </c>
      <c r="T2206" s="162" t="s">
        <v>7691</v>
      </c>
      <c r="U2206" s="7" t="s">
        <v>141</v>
      </c>
      <c r="V2206" s="162" t="str" cm="1">
        <f t="array" ref="V2206">_xlfn.IFS(C2206="","",COUNTIF(C2206,"ตำแหน่งว่าง*"),"ว่าง",COUNTIF(C2206,"&lt;&gt;ตำแหน่งว่าง*"),"คนครอง")</f>
        <v>คนครอง</v>
      </c>
      <c r="W2206" s="6" cm="1">
        <f t="array" ref="W2206">_xlfn.IFS(COUNTIF(F2206,"ผบ.หมู่*"),51,COUNTIF(F2206,"รอง สว.*"),43)</f>
        <v>43</v>
      </c>
      <c r="X2206" s="5" t="s">
        <v>6479</v>
      </c>
      <c r="Y2206" s="5" t="s">
        <v>52</v>
      </c>
    </row>
    <row r="2207" spans="1:25" s="12" customFormat="1" ht="21.3" customHeight="1">
      <c r="A2207" s="27" t="s">
        <v>157</v>
      </c>
      <c r="B2207" s="28" t="s">
        <v>21</v>
      </c>
      <c r="C2207" s="95" t="s">
        <v>6481</v>
      </c>
      <c r="D2207" s="27" t="s">
        <v>8081</v>
      </c>
      <c r="E2207" s="27" t="s">
        <v>10274</v>
      </c>
      <c r="F2207" s="95" t="s">
        <v>6468</v>
      </c>
      <c r="G2207" s="101" t="s">
        <v>6483</v>
      </c>
      <c r="H2207" s="91">
        <v>42501</v>
      </c>
      <c r="I2207" s="73">
        <v>34352</v>
      </c>
      <c r="J2207" s="73">
        <v>34352</v>
      </c>
      <c r="K2207" s="73">
        <v>26826</v>
      </c>
      <c r="L2207" s="11" t="s">
        <v>722</v>
      </c>
      <c r="M2207" s="1" t="s">
        <v>64</v>
      </c>
      <c r="N2207" s="111" t="s">
        <v>14</v>
      </c>
      <c r="O2207" s="104" t="s">
        <v>52</v>
      </c>
      <c r="P2207" s="104" t="s">
        <v>52</v>
      </c>
      <c r="Q2207" s="105"/>
      <c r="R2207" s="28" t="s">
        <v>110</v>
      </c>
      <c r="S2207" s="225">
        <f t="shared" si="34"/>
        <v>48853</v>
      </c>
      <c r="T2207" s="162" t="s">
        <v>7691</v>
      </c>
      <c r="U2207" s="7" t="s">
        <v>141</v>
      </c>
      <c r="V2207" s="162" t="str" cm="1">
        <f t="array" ref="V2207">_xlfn.IFS(C2207="","",COUNTIF(C2207,"ตำแหน่งว่าง*"),"ว่าง",COUNTIF(C2207,"&lt;&gt;ตำแหน่งว่าง*"),"คนครอง")</f>
        <v>คนครอง</v>
      </c>
      <c r="W2207" s="6" cm="1">
        <f t="array" ref="W2207">_xlfn.IFS(COUNTIF(F2207,"ผบ.หมู่*"),51,COUNTIF(F2207,"รอง สว.*"),43)</f>
        <v>51</v>
      </c>
      <c r="X2207" s="5" t="s">
        <v>6482</v>
      </c>
      <c r="Y2207" s="5" t="s">
        <v>52</v>
      </c>
    </row>
    <row r="2208" spans="1:25" s="12" customFormat="1" ht="21.3" customHeight="1">
      <c r="A2208" s="27" t="s">
        <v>157</v>
      </c>
      <c r="B2208" s="28" t="s">
        <v>12</v>
      </c>
      <c r="C2208" s="95" t="s">
        <v>6484</v>
      </c>
      <c r="D2208" s="27" t="s">
        <v>8093</v>
      </c>
      <c r="E2208" s="27" t="s">
        <v>10275</v>
      </c>
      <c r="F2208" s="95" t="s">
        <v>6468</v>
      </c>
      <c r="G2208" s="101" t="s">
        <v>6486</v>
      </c>
      <c r="H2208" s="91">
        <v>42501</v>
      </c>
      <c r="I2208" s="73">
        <v>35462</v>
      </c>
      <c r="J2208" s="73">
        <v>35462</v>
      </c>
      <c r="K2208" s="73">
        <v>26639</v>
      </c>
      <c r="L2208" s="11" t="s">
        <v>6487</v>
      </c>
      <c r="M2208" s="1" t="s">
        <v>64</v>
      </c>
      <c r="N2208" s="111" t="s">
        <v>14</v>
      </c>
      <c r="O2208" s="104" t="s">
        <v>52</v>
      </c>
      <c r="P2208" s="104" t="s">
        <v>52</v>
      </c>
      <c r="Q2208" s="105"/>
      <c r="R2208" s="28" t="s">
        <v>110</v>
      </c>
      <c r="S2208" s="225">
        <f t="shared" si="34"/>
        <v>48853</v>
      </c>
      <c r="T2208" s="162" t="s">
        <v>7691</v>
      </c>
      <c r="U2208" s="7" t="s">
        <v>141</v>
      </c>
      <c r="V2208" s="162" t="str" cm="1">
        <f t="array" ref="V2208">_xlfn.IFS(C2208="","",COUNTIF(C2208,"ตำแหน่งว่าง*"),"ว่าง",COUNTIF(C2208,"&lt;&gt;ตำแหน่งว่าง*"),"คนครอง")</f>
        <v>คนครอง</v>
      </c>
      <c r="W2208" s="6" cm="1">
        <f t="array" ref="W2208">_xlfn.IFS(COUNTIF(F2208,"ผบ.หมู่*"),51,COUNTIF(F2208,"รอง สว.*"),43)</f>
        <v>51</v>
      </c>
      <c r="X2208" s="5" t="s">
        <v>6485</v>
      </c>
      <c r="Y2208" s="5" t="s">
        <v>52</v>
      </c>
    </row>
    <row r="2209" spans="1:25" s="9" customFormat="1" ht="21.3" customHeight="1">
      <c r="A2209" s="68"/>
      <c r="B2209" s="30"/>
      <c r="C2209" s="30" t="s">
        <v>18</v>
      </c>
      <c r="D2209" s="27"/>
      <c r="E2209" s="27"/>
      <c r="F2209" s="68" t="s">
        <v>6468</v>
      </c>
      <c r="G2209" s="121" t="s">
        <v>6489</v>
      </c>
      <c r="H2209" s="93" t="s">
        <v>19</v>
      </c>
      <c r="I2209" s="74" t="s">
        <v>19</v>
      </c>
      <c r="J2209" s="74" t="s">
        <v>19</v>
      </c>
      <c r="K2209" s="74" t="s">
        <v>19</v>
      </c>
      <c r="L2209" s="16"/>
      <c r="M2209" s="6"/>
      <c r="N2209" s="113" t="s">
        <v>14</v>
      </c>
      <c r="O2209" s="122" t="s">
        <v>52</v>
      </c>
      <c r="P2209" s="122" t="s">
        <v>52</v>
      </c>
      <c r="Q2209" s="106"/>
      <c r="R2209" s="30"/>
      <c r="S2209" s="225" t="str">
        <f t="shared" si="34"/>
        <v/>
      </c>
      <c r="T2209" s="2" t="s">
        <v>7691</v>
      </c>
      <c r="U2209" s="7" t="s">
        <v>141</v>
      </c>
      <c r="V2209" s="162" t="str" cm="1">
        <f t="array" ref="V2209">_xlfn.IFS(C2209="","",COUNTIF(C2209,"ตำแหน่งว่าง*"),"ว่าง",COUNTIF(C2209,"&lt;&gt;ตำแหน่งว่าง*"),"คนครอง")</f>
        <v>ว่าง</v>
      </c>
      <c r="W2209" s="6" cm="1">
        <f t="array" ref="W2209">_xlfn.IFS(COUNTIF(F2209,"ผบ.หมู่*"),51,COUNTIF(F2209,"รอง สว.*"),43)</f>
        <v>51</v>
      </c>
      <c r="X2209" s="6" t="s">
        <v>6488</v>
      </c>
      <c r="Y2209" s="6" t="s">
        <v>52</v>
      </c>
    </row>
    <row r="2210" spans="1:25" s="12" customFormat="1" ht="21.3" customHeight="1">
      <c r="A2210" s="27" t="s">
        <v>44</v>
      </c>
      <c r="B2210" s="28" t="s">
        <v>12</v>
      </c>
      <c r="C2210" s="27" t="s">
        <v>6417</v>
      </c>
      <c r="D2210" s="27" t="s">
        <v>8262</v>
      </c>
      <c r="E2210" s="27" t="s">
        <v>10276</v>
      </c>
      <c r="F2210" s="27" t="s">
        <v>6493</v>
      </c>
      <c r="G2210" s="101" t="s">
        <v>6492</v>
      </c>
      <c r="H2210" s="91">
        <v>45322</v>
      </c>
      <c r="I2210" s="73">
        <v>44651</v>
      </c>
      <c r="J2210" s="73">
        <v>33270</v>
      </c>
      <c r="K2210" s="73">
        <v>25450</v>
      </c>
      <c r="L2210" s="11" t="s">
        <v>82</v>
      </c>
      <c r="M2210" s="1" t="s">
        <v>64</v>
      </c>
      <c r="N2210" s="112" t="s">
        <v>14</v>
      </c>
      <c r="O2210" s="104" t="s">
        <v>52</v>
      </c>
      <c r="P2210" s="104" t="s">
        <v>52</v>
      </c>
      <c r="Q2210" s="105"/>
      <c r="R2210" s="30" t="s">
        <v>7791</v>
      </c>
      <c r="S2210" s="225">
        <f t="shared" si="34"/>
        <v>47392</v>
      </c>
      <c r="T2210" s="162" t="s">
        <v>7692</v>
      </c>
      <c r="U2210" s="7" t="s">
        <v>141</v>
      </c>
      <c r="V2210" s="162" t="str" cm="1">
        <f t="array" ref="V2210">_xlfn.IFS(C2210="","",COUNTIF(C2210,"ตำแหน่งว่าง*"),"ว่าง",COUNTIF(C2210,"&lt;&gt;ตำแหน่งว่าง*"),"คนครอง")</f>
        <v>คนครอง</v>
      </c>
      <c r="W2210" s="6" cm="1">
        <f t="array" ref="W2210">_xlfn.IFS(COUNTIF(F2210,"ผบ.หมู่*"),51,COUNTIF(F2210,"รอง สว.*"),43)</f>
        <v>43</v>
      </c>
      <c r="X2210" s="1" t="s">
        <v>6491</v>
      </c>
      <c r="Y2210" s="1" t="s">
        <v>52</v>
      </c>
    </row>
    <row r="2211" spans="1:25" s="9" customFormat="1" ht="21.3" customHeight="1">
      <c r="A2211" s="27"/>
      <c r="B2211" s="28"/>
      <c r="C2211" s="95" t="s">
        <v>18</v>
      </c>
      <c r="D2211" s="27"/>
      <c r="E2211" s="27"/>
      <c r="F2211" s="27" t="s">
        <v>6490</v>
      </c>
      <c r="G2211" s="101" t="s">
        <v>6495</v>
      </c>
      <c r="H2211" s="91"/>
      <c r="I2211" s="73"/>
      <c r="J2211" s="73"/>
      <c r="K2211" s="73"/>
      <c r="L2211" s="11"/>
      <c r="M2211" s="1"/>
      <c r="N2211" s="112" t="s">
        <v>14</v>
      </c>
      <c r="O2211" s="104" t="s">
        <v>52</v>
      </c>
      <c r="P2211" s="104" t="s">
        <v>52</v>
      </c>
      <c r="Q2211" s="105"/>
      <c r="R2211" s="28"/>
      <c r="S2211" s="225" t="str">
        <f t="shared" si="34"/>
        <v/>
      </c>
      <c r="T2211" s="2" t="s">
        <v>7692</v>
      </c>
      <c r="U2211" s="7" t="s">
        <v>141</v>
      </c>
      <c r="V2211" s="162" t="str" cm="1">
        <f t="array" ref="V2211">_xlfn.IFS(C2211="","",COUNTIF(C2211,"ตำแหน่งว่าง*"),"ว่าง",COUNTIF(C2211,"&lt;&gt;ตำแหน่งว่าง*"),"คนครอง")</f>
        <v>ว่าง</v>
      </c>
      <c r="W2211" s="5" cm="1">
        <f t="array" ref="W2211">_xlfn.IFS(COUNTIF(F2211,"ผบ.หมู่*"),51,COUNTIF(F2211,"รอง สว.*"),43)</f>
        <v>51</v>
      </c>
      <c r="X2211" s="1" t="s">
        <v>6494</v>
      </c>
      <c r="Y2211" s="1" t="s">
        <v>52</v>
      </c>
    </row>
    <row r="2212" spans="1:25" s="9" customFormat="1" ht="21.3" customHeight="1">
      <c r="A2212" s="27" t="s">
        <v>26</v>
      </c>
      <c r="B2212" s="28" t="s">
        <v>12</v>
      </c>
      <c r="C2212" s="27" t="s">
        <v>6496</v>
      </c>
      <c r="D2212" s="27" t="s">
        <v>10277</v>
      </c>
      <c r="E2212" s="27" t="s">
        <v>10175</v>
      </c>
      <c r="F2212" s="27" t="s">
        <v>6493</v>
      </c>
      <c r="G2212" s="101" t="s">
        <v>6498</v>
      </c>
      <c r="H2212" s="91">
        <v>42501</v>
      </c>
      <c r="I2212" s="73">
        <v>42501</v>
      </c>
      <c r="J2212" s="73">
        <v>33635</v>
      </c>
      <c r="K2212" s="73">
        <v>24624</v>
      </c>
      <c r="L2212" s="11" t="s">
        <v>6499</v>
      </c>
      <c r="M2212" s="1" t="s">
        <v>64</v>
      </c>
      <c r="N2212" s="112" t="s">
        <v>14</v>
      </c>
      <c r="O2212" s="104" t="s">
        <v>52</v>
      </c>
      <c r="P2212" s="104" t="s">
        <v>52</v>
      </c>
      <c r="Q2212" s="105"/>
      <c r="R2212" s="28" t="s">
        <v>110</v>
      </c>
      <c r="S2212" s="225">
        <f t="shared" si="34"/>
        <v>46661</v>
      </c>
      <c r="T2212" s="2" t="s">
        <v>7692</v>
      </c>
      <c r="U2212" s="7" t="s">
        <v>141</v>
      </c>
      <c r="V2212" s="162" t="str" cm="1">
        <f t="array" ref="V2212">_xlfn.IFS(C2212="","",COUNTIF(C2212,"ตำแหน่งว่าง*"),"ว่าง",COUNTIF(C2212,"&lt;&gt;ตำแหน่งว่าง*"),"คนครอง")</f>
        <v>คนครอง</v>
      </c>
      <c r="W2212" s="5" cm="1">
        <f t="array" ref="W2212">_xlfn.IFS(COUNTIF(F2212,"ผบ.หมู่*"),51,COUNTIF(F2212,"รอง สว.*"),43)</f>
        <v>43</v>
      </c>
      <c r="X2212" s="1" t="s">
        <v>6497</v>
      </c>
      <c r="Y2212" s="1" t="s">
        <v>52</v>
      </c>
    </row>
    <row r="2213" spans="1:25" s="10" customFormat="1" ht="21.3" customHeight="1">
      <c r="A2213" s="27" t="s">
        <v>157</v>
      </c>
      <c r="B2213" s="28" t="s">
        <v>21</v>
      </c>
      <c r="C2213" s="27" t="s">
        <v>7721</v>
      </c>
      <c r="D2213" s="27" t="s">
        <v>10278</v>
      </c>
      <c r="E2213" s="27" t="s">
        <v>10279</v>
      </c>
      <c r="F2213" s="27" t="s">
        <v>6490</v>
      </c>
      <c r="G2213" s="101" t="s">
        <v>6501</v>
      </c>
      <c r="H2213" s="91">
        <v>45322</v>
      </c>
      <c r="I2213" s="73">
        <v>40084</v>
      </c>
      <c r="J2213" s="73">
        <v>40084</v>
      </c>
      <c r="K2213" s="73">
        <v>31366</v>
      </c>
      <c r="L2213" s="11" t="s">
        <v>7722</v>
      </c>
      <c r="M2213" s="1" t="s">
        <v>64</v>
      </c>
      <c r="N2213" s="112" t="s">
        <v>14</v>
      </c>
      <c r="O2213" s="104" t="s">
        <v>52</v>
      </c>
      <c r="P2213" s="104" t="s">
        <v>52</v>
      </c>
      <c r="Q2213" s="105"/>
      <c r="R2213" s="30" t="s">
        <v>7708</v>
      </c>
      <c r="S2213" s="225">
        <f t="shared" si="34"/>
        <v>53601</v>
      </c>
      <c r="T2213" s="7" t="s">
        <v>7692</v>
      </c>
      <c r="U2213" s="7" t="s">
        <v>141</v>
      </c>
      <c r="V2213" s="162" t="str" cm="1">
        <f t="array" ref="V2213">_xlfn.IFS(C2213="","",COUNTIF(C2213,"ตำแหน่งว่าง*"),"ว่าง",COUNTIF(C2213,"&lt;&gt;ตำแหน่งว่าง*"),"คนครอง")</f>
        <v>คนครอง</v>
      </c>
      <c r="W2213" s="6" cm="1">
        <f t="array" ref="W2213">_xlfn.IFS(COUNTIF(F2213,"ผบ.หมู่*"),51,COUNTIF(F2213,"รอง สว.*"),43)</f>
        <v>51</v>
      </c>
      <c r="X2213" s="1" t="s">
        <v>6500</v>
      </c>
      <c r="Y2213" s="1" t="s">
        <v>52</v>
      </c>
    </row>
    <row r="2214" spans="1:25" s="10" customFormat="1" ht="21.3" customHeight="1">
      <c r="A2214" s="27" t="s">
        <v>612</v>
      </c>
      <c r="B2214" s="66" t="s">
        <v>21</v>
      </c>
      <c r="C2214" s="65" t="s">
        <v>6502</v>
      </c>
      <c r="D2214" s="27" t="s">
        <v>7971</v>
      </c>
      <c r="E2214" s="27" t="s">
        <v>10280</v>
      </c>
      <c r="F2214" s="65" t="s">
        <v>6503</v>
      </c>
      <c r="G2214" s="101" t="s">
        <v>6505</v>
      </c>
      <c r="H2214" s="81">
        <v>44986</v>
      </c>
      <c r="I2214" s="77">
        <v>44986</v>
      </c>
      <c r="J2214" s="77">
        <v>44986</v>
      </c>
      <c r="K2214" s="77">
        <v>37547</v>
      </c>
      <c r="L2214" s="63" t="s">
        <v>82</v>
      </c>
      <c r="M2214" s="61" t="s">
        <v>57</v>
      </c>
      <c r="N2214" s="114" t="s">
        <v>14</v>
      </c>
      <c r="O2214" s="104" t="s">
        <v>52</v>
      </c>
      <c r="P2214" s="104" t="s">
        <v>52</v>
      </c>
      <c r="Q2214" s="107"/>
      <c r="R2214" s="66" t="s">
        <v>861</v>
      </c>
      <c r="S2214" s="225">
        <f t="shared" si="34"/>
        <v>59810</v>
      </c>
      <c r="T2214" s="7" t="s">
        <v>7693</v>
      </c>
      <c r="U2214" s="7" t="s">
        <v>141</v>
      </c>
      <c r="V2214" s="162" t="str" cm="1">
        <f t="array" ref="V2214">_xlfn.IFS(C2214="","",COUNTIF(C2214,"ตำแหน่งว่าง*"),"ว่าง",COUNTIF(C2214,"&lt;&gt;ตำแหน่งว่าง*"),"คนครอง")</f>
        <v>คนครอง</v>
      </c>
      <c r="W2214" s="6" cm="1">
        <f t="array" ref="W2214">_xlfn.IFS(COUNTIF(F2214,"ผบ.หมู่*"),51,COUNTIF(F2214,"รอง สว.*"),43)</f>
        <v>51</v>
      </c>
      <c r="X2214" s="61" t="s">
        <v>6504</v>
      </c>
      <c r="Y2214" s="61" t="s">
        <v>52</v>
      </c>
    </row>
    <row r="2215" spans="1:25" s="10" customFormat="1" ht="21.3" customHeight="1">
      <c r="A2215" s="27" t="s">
        <v>157</v>
      </c>
      <c r="B2215" s="28" t="s">
        <v>21</v>
      </c>
      <c r="C2215" s="27" t="s">
        <v>7718</v>
      </c>
      <c r="D2215" s="27" t="s">
        <v>8271</v>
      </c>
      <c r="E2215" s="27" t="s">
        <v>10281</v>
      </c>
      <c r="F2215" s="27" t="s">
        <v>6503</v>
      </c>
      <c r="G2215" s="101" t="s">
        <v>6507</v>
      </c>
      <c r="H2215" s="91">
        <v>45322</v>
      </c>
      <c r="I2215" s="73">
        <v>40339</v>
      </c>
      <c r="J2215" s="73">
        <v>40339</v>
      </c>
      <c r="K2215" s="73">
        <v>27635</v>
      </c>
      <c r="L2215" s="11" t="s">
        <v>68</v>
      </c>
      <c r="M2215" s="1" t="s">
        <v>64</v>
      </c>
      <c r="N2215" s="112" t="s">
        <v>14</v>
      </c>
      <c r="O2215" s="104" t="s">
        <v>52</v>
      </c>
      <c r="P2215" s="104" t="s">
        <v>52</v>
      </c>
      <c r="Q2215" s="105"/>
      <c r="R2215" s="30" t="s">
        <v>7708</v>
      </c>
      <c r="S2215" s="225">
        <f t="shared" si="34"/>
        <v>49583</v>
      </c>
      <c r="T2215" s="7" t="s">
        <v>7693</v>
      </c>
      <c r="U2215" s="7" t="s">
        <v>141</v>
      </c>
      <c r="V2215" s="162" t="str" cm="1">
        <f t="array" ref="V2215">_xlfn.IFS(C2215="","",COUNTIF(C2215,"ตำแหน่งว่าง*"),"ว่าง",COUNTIF(C2215,"&lt;&gt;ตำแหน่งว่าง*"),"คนครอง")</f>
        <v>คนครอง</v>
      </c>
      <c r="W2215" s="6" cm="1">
        <f t="array" ref="W2215">_xlfn.IFS(COUNTIF(F2215,"ผบ.หมู่*"),51,COUNTIF(F2215,"รอง สว.*"),43)</f>
        <v>51</v>
      </c>
      <c r="X2215" s="1" t="s">
        <v>6506</v>
      </c>
      <c r="Y2215" s="1" t="s">
        <v>52</v>
      </c>
    </row>
    <row r="2216" spans="1:25" s="9" customFormat="1" ht="21.3" customHeight="1">
      <c r="A2216" s="132" t="s">
        <v>10753</v>
      </c>
      <c r="B2216" s="28" t="s">
        <v>21</v>
      </c>
      <c r="C2216" s="27" t="s">
        <v>6508</v>
      </c>
      <c r="D2216" s="27" t="s">
        <v>10282</v>
      </c>
      <c r="E2216" s="27" t="s">
        <v>10283</v>
      </c>
      <c r="F2216" s="27" t="s">
        <v>6511</v>
      </c>
      <c r="G2216" s="101" t="s">
        <v>6510</v>
      </c>
      <c r="H2216" s="91">
        <v>45382</v>
      </c>
      <c r="I2216" s="73">
        <v>45382</v>
      </c>
      <c r="J2216" s="73">
        <v>34352</v>
      </c>
      <c r="K2216" s="73">
        <v>25907</v>
      </c>
      <c r="L2216" s="11" t="s">
        <v>2314</v>
      </c>
      <c r="M2216" s="1" t="s">
        <v>64</v>
      </c>
      <c r="N2216" s="112" t="s">
        <v>14</v>
      </c>
      <c r="O2216" s="104" t="s">
        <v>52</v>
      </c>
      <c r="P2216" s="104" t="s">
        <v>52</v>
      </c>
      <c r="Q2216" s="105"/>
      <c r="R2216" s="33" t="s">
        <v>7801</v>
      </c>
      <c r="S2216" s="225">
        <f t="shared" si="34"/>
        <v>48122</v>
      </c>
      <c r="T2216" s="2" t="s">
        <v>7693</v>
      </c>
      <c r="U2216" s="7" t="s">
        <v>141</v>
      </c>
      <c r="V2216" s="162" t="str" cm="1">
        <f t="array" ref="V2216">_xlfn.IFS(C2216="","",COUNTIF(C2216,"ตำแหน่งว่าง*"),"ว่าง",COUNTIF(C2216,"&lt;&gt;ตำแหน่งว่าง*"),"คนครอง")</f>
        <v>คนครอง</v>
      </c>
      <c r="W2216" s="6" cm="1">
        <f t="array" ref="W2216">_xlfn.IFS(COUNTIF(F2216,"ผบ.หมู่*"),51,COUNTIF(F2216,"รอง สว.*"),43)</f>
        <v>43</v>
      </c>
      <c r="X2216" s="1" t="s">
        <v>6509</v>
      </c>
      <c r="Y2216" s="1" t="s">
        <v>52</v>
      </c>
    </row>
    <row r="2217" spans="1:25" s="9" customFormat="1" ht="21.3" customHeight="1">
      <c r="A2217" s="27"/>
      <c r="B2217" s="28"/>
      <c r="C2217" s="30" t="s">
        <v>18</v>
      </c>
      <c r="D2217" s="27"/>
      <c r="E2217" s="27"/>
      <c r="F2217" s="27" t="s">
        <v>6503</v>
      </c>
      <c r="G2217" s="101" t="s">
        <v>6513</v>
      </c>
      <c r="H2217" s="91"/>
      <c r="I2217" s="73"/>
      <c r="J2217" s="73"/>
      <c r="K2217" s="73"/>
      <c r="L2217" s="11"/>
      <c r="M2217" s="1"/>
      <c r="N2217" s="112" t="s">
        <v>14</v>
      </c>
      <c r="O2217" s="104" t="s">
        <v>52</v>
      </c>
      <c r="P2217" s="104" t="s">
        <v>52</v>
      </c>
      <c r="Q2217" s="105"/>
      <c r="R2217" s="28"/>
      <c r="S2217" s="225" t="str">
        <f t="shared" si="34"/>
        <v/>
      </c>
      <c r="T2217" s="2" t="s">
        <v>7693</v>
      </c>
      <c r="U2217" s="7" t="s">
        <v>141</v>
      </c>
      <c r="V2217" s="162" t="str" cm="1">
        <f t="array" ref="V2217">_xlfn.IFS(C2217="","",COUNTIF(C2217,"ตำแหน่งว่าง*"),"ว่าง",COUNTIF(C2217,"&lt;&gt;ตำแหน่งว่าง*"),"คนครอง")</f>
        <v>ว่าง</v>
      </c>
      <c r="W2217" s="5" cm="1">
        <f t="array" ref="W2217">_xlfn.IFS(COUNTIF(F2217,"ผบ.หมู่*"),51,COUNTIF(F2217,"รอง สว.*"),43)</f>
        <v>51</v>
      </c>
      <c r="X2217" s="1" t="s">
        <v>6512</v>
      </c>
      <c r="Y2217" s="1" t="s">
        <v>52</v>
      </c>
    </row>
    <row r="2218" spans="1:25" s="9" customFormat="1" ht="21.3" customHeight="1">
      <c r="A2218" s="132" t="s">
        <v>10753</v>
      </c>
      <c r="B2218" s="28" t="s">
        <v>12</v>
      </c>
      <c r="C2218" s="27" t="s">
        <v>6514</v>
      </c>
      <c r="D2218" s="27" t="s">
        <v>10284</v>
      </c>
      <c r="E2218" s="27" t="s">
        <v>10285</v>
      </c>
      <c r="F2218" s="27" t="s">
        <v>6529</v>
      </c>
      <c r="G2218" s="101" t="s">
        <v>6517</v>
      </c>
      <c r="H2218" s="91">
        <v>45382</v>
      </c>
      <c r="I2218" s="73">
        <v>45382</v>
      </c>
      <c r="J2218" s="73">
        <v>34352</v>
      </c>
      <c r="K2218" s="73">
        <v>26089</v>
      </c>
      <c r="L2218" s="11" t="s">
        <v>6390</v>
      </c>
      <c r="M2218" s="1" t="s">
        <v>64</v>
      </c>
      <c r="N2218" s="112" t="s">
        <v>14</v>
      </c>
      <c r="O2218" s="104" t="s">
        <v>52</v>
      </c>
      <c r="P2218" s="104" t="s">
        <v>52</v>
      </c>
      <c r="Q2218" s="105"/>
      <c r="R2218" s="33" t="s">
        <v>7801</v>
      </c>
      <c r="S2218" s="225">
        <f t="shared" si="34"/>
        <v>48122</v>
      </c>
      <c r="T2218" s="2" t="s">
        <v>7694</v>
      </c>
      <c r="U2218" s="7" t="s">
        <v>141</v>
      </c>
      <c r="V2218" s="162" t="str" cm="1">
        <f t="array" ref="V2218">_xlfn.IFS(C2218="","",COUNTIF(C2218,"ตำแหน่งว่าง*"),"ว่าง",COUNTIF(C2218,"&lt;&gt;ตำแหน่งว่าง*"),"คนครอง")</f>
        <v>คนครอง</v>
      </c>
      <c r="W2218" s="6" cm="1">
        <f t="array" ref="W2218">_xlfn.IFS(COUNTIF(F2218,"ผบ.หมู่*"),51,COUNTIF(F2218,"รอง สว.*"),43)</f>
        <v>43</v>
      </c>
      <c r="X2218" s="1" t="s">
        <v>6516</v>
      </c>
      <c r="Y2218" s="1" t="s">
        <v>52</v>
      </c>
    </row>
    <row r="2219" spans="1:25" s="9" customFormat="1" ht="21.3" customHeight="1">
      <c r="A2219" s="27" t="s">
        <v>157</v>
      </c>
      <c r="B2219" s="28" t="s">
        <v>12</v>
      </c>
      <c r="C2219" s="27" t="s">
        <v>6518</v>
      </c>
      <c r="D2219" s="27" t="s">
        <v>10286</v>
      </c>
      <c r="E2219" s="27" t="s">
        <v>10287</v>
      </c>
      <c r="F2219" s="27" t="s">
        <v>6515</v>
      </c>
      <c r="G2219" s="101" t="s">
        <v>6520</v>
      </c>
      <c r="H2219" s="91">
        <v>44243</v>
      </c>
      <c r="I2219" s="73">
        <v>37316</v>
      </c>
      <c r="J2219" s="73">
        <v>37316</v>
      </c>
      <c r="K2219" s="73">
        <v>28994</v>
      </c>
      <c r="L2219" s="11" t="s">
        <v>2314</v>
      </c>
      <c r="M2219" s="1" t="s">
        <v>64</v>
      </c>
      <c r="N2219" s="112" t="s">
        <v>14</v>
      </c>
      <c r="O2219" s="104" t="s">
        <v>52</v>
      </c>
      <c r="P2219" s="104" t="s">
        <v>52</v>
      </c>
      <c r="Q2219" s="105"/>
      <c r="R2219" s="28" t="s">
        <v>617</v>
      </c>
      <c r="S2219" s="225">
        <f t="shared" si="34"/>
        <v>51044</v>
      </c>
      <c r="T2219" s="2" t="s">
        <v>7694</v>
      </c>
      <c r="U2219" s="7" t="s">
        <v>141</v>
      </c>
      <c r="V2219" s="162" t="str" cm="1">
        <f t="array" ref="V2219">_xlfn.IFS(C2219="","",COUNTIF(C2219,"ตำแหน่งว่าง*"),"ว่าง",COUNTIF(C2219,"&lt;&gt;ตำแหน่งว่าง*"),"คนครอง")</f>
        <v>คนครอง</v>
      </c>
      <c r="W2219" s="6" cm="1">
        <f t="array" ref="W2219">_xlfn.IFS(COUNTIF(F2219,"ผบ.หมู่*"),51,COUNTIF(F2219,"รอง สว.*"),43)</f>
        <v>51</v>
      </c>
      <c r="X2219" s="1" t="s">
        <v>6519</v>
      </c>
      <c r="Y2219" s="1" t="s">
        <v>52</v>
      </c>
    </row>
    <row r="2220" spans="1:25" s="9" customFormat="1" ht="21.3" customHeight="1">
      <c r="A2220" s="27" t="s">
        <v>157</v>
      </c>
      <c r="B2220" s="28" t="s">
        <v>21</v>
      </c>
      <c r="C2220" s="27" t="s">
        <v>6521</v>
      </c>
      <c r="D2220" s="27" t="s">
        <v>10288</v>
      </c>
      <c r="E2220" s="27" t="s">
        <v>10289</v>
      </c>
      <c r="F2220" s="27" t="s">
        <v>6515</v>
      </c>
      <c r="G2220" s="101" t="s">
        <v>6523</v>
      </c>
      <c r="H2220" s="91">
        <v>44243</v>
      </c>
      <c r="I2220" s="73">
        <v>40337</v>
      </c>
      <c r="J2220" s="73">
        <v>40337</v>
      </c>
      <c r="K2220" s="73">
        <v>31355</v>
      </c>
      <c r="L2220" s="11" t="s">
        <v>6524</v>
      </c>
      <c r="M2220" s="1" t="s">
        <v>57</v>
      </c>
      <c r="N2220" s="112" t="s">
        <v>14</v>
      </c>
      <c r="O2220" s="104" t="s">
        <v>52</v>
      </c>
      <c r="P2220" s="104" t="s">
        <v>52</v>
      </c>
      <c r="Q2220" s="105"/>
      <c r="R2220" s="28" t="s">
        <v>617</v>
      </c>
      <c r="S2220" s="225">
        <f t="shared" si="34"/>
        <v>53601</v>
      </c>
      <c r="T2220" s="2" t="s">
        <v>7694</v>
      </c>
      <c r="U2220" s="7" t="s">
        <v>141</v>
      </c>
      <c r="V2220" s="162" t="str" cm="1">
        <f t="array" ref="V2220">_xlfn.IFS(C2220="","",COUNTIF(C2220,"ตำแหน่งว่าง*"),"ว่าง",COUNTIF(C2220,"&lt;&gt;ตำแหน่งว่าง*"),"คนครอง")</f>
        <v>คนครอง</v>
      </c>
      <c r="W2220" s="6" cm="1">
        <f t="array" ref="W2220">_xlfn.IFS(COUNTIF(F2220,"ผบ.หมู่*"),51,COUNTIF(F2220,"รอง สว.*"),43)</f>
        <v>51</v>
      </c>
      <c r="X2220" s="1" t="s">
        <v>6522</v>
      </c>
      <c r="Y2220" s="1" t="s">
        <v>52</v>
      </c>
    </row>
    <row r="2221" spans="1:25" s="12" customFormat="1" ht="21.3" customHeight="1">
      <c r="A2221" s="95" t="s">
        <v>157</v>
      </c>
      <c r="B2221" s="31" t="s">
        <v>12</v>
      </c>
      <c r="C2221" s="95" t="s">
        <v>6525</v>
      </c>
      <c r="D2221" s="27" t="s">
        <v>8008</v>
      </c>
      <c r="E2221" s="27" t="s">
        <v>10290</v>
      </c>
      <c r="F2221" s="95" t="s">
        <v>6515</v>
      </c>
      <c r="G2221" s="101" t="s">
        <v>6527</v>
      </c>
      <c r="H2221" s="92">
        <v>44599</v>
      </c>
      <c r="I2221" s="76">
        <v>35462</v>
      </c>
      <c r="J2221" s="76">
        <v>35462</v>
      </c>
      <c r="K2221" s="76">
        <v>27869</v>
      </c>
      <c r="L2221" s="17" t="s">
        <v>6237</v>
      </c>
      <c r="M2221" s="5" t="s">
        <v>64</v>
      </c>
      <c r="N2221" s="111" t="s">
        <v>14</v>
      </c>
      <c r="O2221" s="104" t="s">
        <v>52</v>
      </c>
      <c r="P2221" s="104" t="s">
        <v>52</v>
      </c>
      <c r="Q2221" s="108"/>
      <c r="R2221" s="31" t="s">
        <v>607</v>
      </c>
      <c r="S2221" s="225">
        <f t="shared" si="34"/>
        <v>49949</v>
      </c>
      <c r="T2221" s="162" t="s">
        <v>7694</v>
      </c>
      <c r="U2221" s="7" t="s">
        <v>141</v>
      </c>
      <c r="V2221" s="162" t="str" cm="1">
        <f t="array" ref="V2221">_xlfn.IFS(C2221="","",COUNTIF(C2221,"ตำแหน่งว่าง*"),"ว่าง",COUNTIF(C2221,"&lt;&gt;ตำแหน่งว่าง*"),"คนครอง")</f>
        <v>คนครอง</v>
      </c>
      <c r="W2221" s="6" cm="1">
        <f t="array" ref="W2221">_xlfn.IFS(COUNTIF(F2221,"ผบ.หมู่*"),51,COUNTIF(F2221,"รอง สว.*"),43)</f>
        <v>51</v>
      </c>
      <c r="X2221" s="5" t="s">
        <v>6526</v>
      </c>
      <c r="Y2221" s="5" t="s">
        <v>52</v>
      </c>
    </row>
    <row r="2222" spans="1:25" s="12" customFormat="1" ht="21.3" customHeight="1">
      <c r="A2222" s="27" t="s">
        <v>44</v>
      </c>
      <c r="B2222" s="31" t="s">
        <v>12</v>
      </c>
      <c r="C2222" s="95" t="s">
        <v>6528</v>
      </c>
      <c r="D2222" s="27" t="s">
        <v>10291</v>
      </c>
      <c r="E2222" s="27" t="s">
        <v>10292</v>
      </c>
      <c r="F2222" s="95" t="s">
        <v>6529</v>
      </c>
      <c r="G2222" s="101" t="s">
        <v>6531</v>
      </c>
      <c r="H2222" s="92">
        <v>44599</v>
      </c>
      <c r="I2222" s="75">
        <v>44651</v>
      </c>
      <c r="J2222" s="75">
        <v>33270</v>
      </c>
      <c r="K2222" s="75">
        <v>25185</v>
      </c>
      <c r="L2222" s="34" t="s">
        <v>82</v>
      </c>
      <c r="M2222" s="28" t="s">
        <v>64</v>
      </c>
      <c r="N2222" s="112" t="s">
        <v>14</v>
      </c>
      <c r="O2222" s="104" t="s">
        <v>52</v>
      </c>
      <c r="P2222" s="104" t="s">
        <v>52</v>
      </c>
      <c r="Q2222" s="105"/>
      <c r="R2222" s="28" t="s">
        <v>607</v>
      </c>
      <c r="S2222" s="225">
        <f t="shared" si="34"/>
        <v>47392</v>
      </c>
      <c r="T2222" s="162" t="s">
        <v>7694</v>
      </c>
      <c r="U2222" s="7" t="s">
        <v>141</v>
      </c>
      <c r="V2222" s="162" t="str" cm="1">
        <f t="array" ref="V2222">_xlfn.IFS(C2222="","",COUNTIF(C2222,"ตำแหน่งว่าง*"),"ว่าง",COUNTIF(C2222,"&lt;&gt;ตำแหน่งว่าง*"),"คนครอง")</f>
        <v>คนครอง</v>
      </c>
      <c r="W2222" s="5" cm="1">
        <f t="array" ref="W2222">_xlfn.IFS(COUNTIF(F2222,"ผบ.หมู่*"),51,COUNTIF(F2222,"รอง สว.*"),43)</f>
        <v>43</v>
      </c>
      <c r="X2222" s="5" t="s">
        <v>6530</v>
      </c>
      <c r="Y2222" s="1" t="s">
        <v>52</v>
      </c>
    </row>
    <row r="2223" spans="1:25" s="12" customFormat="1" ht="21.3" customHeight="1">
      <c r="A2223" s="27" t="s">
        <v>182</v>
      </c>
      <c r="B2223" s="28" t="s">
        <v>12</v>
      </c>
      <c r="C2223" s="27" t="s">
        <v>6600</v>
      </c>
      <c r="D2223" s="27" t="s">
        <v>10334</v>
      </c>
      <c r="E2223" s="27" t="s">
        <v>10335</v>
      </c>
      <c r="F2223" s="27" t="s">
        <v>6532</v>
      </c>
      <c r="G2223" s="101" t="s">
        <v>6534</v>
      </c>
      <c r="H2223" s="91">
        <v>45768</v>
      </c>
      <c r="I2223" s="75">
        <v>44043</v>
      </c>
      <c r="J2223" s="75">
        <v>44043</v>
      </c>
      <c r="K2223" s="75">
        <v>33241</v>
      </c>
      <c r="L2223" s="34" t="s">
        <v>82</v>
      </c>
      <c r="M2223" s="28" t="s">
        <v>57</v>
      </c>
      <c r="N2223" s="112" t="s">
        <v>14</v>
      </c>
      <c r="O2223" s="104" t="s">
        <v>52</v>
      </c>
      <c r="P2223" s="104" t="s">
        <v>52</v>
      </c>
      <c r="Q2223" s="105"/>
      <c r="R2223" s="28" t="s">
        <v>10713</v>
      </c>
      <c r="S2223" s="174">
        <f t="shared" si="34"/>
        <v>55427</v>
      </c>
      <c r="T2223" s="2" t="s">
        <v>7695</v>
      </c>
      <c r="U2223" s="2" t="s">
        <v>141</v>
      </c>
      <c r="V2223" s="2" t="str" cm="1">
        <f t="array" ref="V2223">_xlfn.IFS(C2223="","",COUNTIF(C2223,"ตำแหน่งว่าง*"),"ว่าง",COUNTIF(C2223,"&lt;&gt;ตำแหน่งว่าง*"),"คนครอง")</f>
        <v>คนครอง</v>
      </c>
      <c r="W2223" s="1" cm="1">
        <f t="array" ref="W2223">_xlfn.IFS(COUNTIF(F2223,"ผบ.หมู่*"),51,COUNTIF(F2223,"รอง สว.*"),43)</f>
        <v>51</v>
      </c>
      <c r="X2223" s="1" t="s">
        <v>6533</v>
      </c>
      <c r="Y2223" s="1" t="s">
        <v>52</v>
      </c>
    </row>
    <row r="2224" spans="1:25" s="10" customFormat="1" ht="21.3" customHeight="1">
      <c r="A2224" s="27" t="s">
        <v>157</v>
      </c>
      <c r="B2224" s="28" t="s">
        <v>12</v>
      </c>
      <c r="C2224" s="27" t="s">
        <v>10742</v>
      </c>
      <c r="D2224" s="27" t="s">
        <v>8011</v>
      </c>
      <c r="E2224" s="27" t="s">
        <v>10743</v>
      </c>
      <c r="F2224" s="27" t="s">
        <v>6532</v>
      </c>
      <c r="G2224" s="101" t="s">
        <v>6536</v>
      </c>
      <c r="H2224" s="91">
        <v>45768</v>
      </c>
      <c r="I2224" s="73">
        <v>35096</v>
      </c>
      <c r="J2224" s="73">
        <v>35096</v>
      </c>
      <c r="K2224" s="73">
        <v>27655</v>
      </c>
      <c r="L2224" s="11" t="s">
        <v>82</v>
      </c>
      <c r="M2224" s="1" t="s">
        <v>7609</v>
      </c>
      <c r="N2224" s="112" t="s">
        <v>14</v>
      </c>
      <c r="O2224" s="104" t="s">
        <v>52</v>
      </c>
      <c r="P2224" s="104" t="s">
        <v>52</v>
      </c>
      <c r="Q2224" s="105"/>
      <c r="R2224" s="28" t="s">
        <v>10804</v>
      </c>
      <c r="S2224" s="174">
        <f t="shared" si="34"/>
        <v>49583</v>
      </c>
      <c r="T2224" s="2" t="s">
        <v>7695</v>
      </c>
      <c r="U2224" s="2" t="s">
        <v>141</v>
      </c>
      <c r="V2224" s="2" t="str" cm="1">
        <f t="array" ref="V2224">_xlfn.IFS(C2224="","",COUNTIF(C2224,"ตำแหน่งว่าง*"),"ว่าง",COUNTIF(C2224,"&lt;&gt;ตำแหน่งว่าง*"),"คนครอง")</f>
        <v>คนครอง</v>
      </c>
      <c r="W2224" s="1" cm="1">
        <f t="array" ref="W2224">_xlfn.IFS(COUNTIF(F2224,"ผบ.หมู่*"),51,COUNTIF(F2224,"รอง สว.*"),43)</f>
        <v>51</v>
      </c>
      <c r="X2224" s="1" t="s">
        <v>6535</v>
      </c>
      <c r="Y2224" s="1" t="s">
        <v>52</v>
      </c>
    </row>
    <row r="2225" spans="1:25" s="10" customFormat="1" ht="21.3" customHeight="1">
      <c r="A2225" s="27"/>
      <c r="B2225" s="30"/>
      <c r="C2225" s="30" t="s">
        <v>18</v>
      </c>
      <c r="D2225" s="27"/>
      <c r="E2225" s="27"/>
      <c r="F2225" s="68" t="s">
        <v>6532</v>
      </c>
      <c r="G2225" s="121" t="s">
        <v>6538</v>
      </c>
      <c r="H2225" s="91" t="s">
        <v>19</v>
      </c>
      <c r="I2225" s="73" t="s">
        <v>19</v>
      </c>
      <c r="J2225" s="73" t="s">
        <v>19</v>
      </c>
      <c r="K2225" s="73" t="s">
        <v>19</v>
      </c>
      <c r="L2225" s="11"/>
      <c r="M2225" s="1"/>
      <c r="N2225" s="113" t="s">
        <v>14</v>
      </c>
      <c r="O2225" s="122" t="s">
        <v>52</v>
      </c>
      <c r="P2225" s="122" t="s">
        <v>52</v>
      </c>
      <c r="Q2225" s="106"/>
      <c r="R2225" s="30"/>
      <c r="S2225" s="225" t="str">
        <f t="shared" si="34"/>
        <v/>
      </c>
      <c r="T2225" s="7" t="s">
        <v>7695</v>
      </c>
      <c r="U2225" s="7" t="s">
        <v>141</v>
      </c>
      <c r="V2225" s="162" t="str" cm="1">
        <f t="array" ref="V2225">_xlfn.IFS(C2225="","",COUNTIF(C2225,"ตำแหน่งว่าง*"),"ว่าง",COUNTIF(C2225,"&lt;&gt;ตำแหน่งว่าง*"),"คนครอง")</f>
        <v>ว่าง</v>
      </c>
      <c r="W2225" s="6" cm="1">
        <f t="array" ref="W2225">_xlfn.IFS(COUNTIF(F2225,"ผบ.หมู่*"),51,COUNTIF(F2225,"รอง สว.*"),43)</f>
        <v>51</v>
      </c>
      <c r="X2225" s="6" t="s">
        <v>6537</v>
      </c>
      <c r="Y2225" s="6" t="s">
        <v>52</v>
      </c>
    </row>
    <row r="2226" spans="1:25" s="10" customFormat="1" ht="21.3" customHeight="1">
      <c r="A2226" s="27"/>
      <c r="B2226" s="28"/>
      <c r="C2226" s="30" t="s">
        <v>18</v>
      </c>
      <c r="D2226" s="27"/>
      <c r="E2226" s="27"/>
      <c r="F2226" s="68" t="s">
        <v>6532</v>
      </c>
      <c r="G2226" s="121" t="s">
        <v>6540</v>
      </c>
      <c r="H2226" s="91" t="s">
        <v>19</v>
      </c>
      <c r="I2226" s="73" t="s">
        <v>19</v>
      </c>
      <c r="J2226" s="73" t="s">
        <v>19</v>
      </c>
      <c r="K2226" s="73" t="s">
        <v>19</v>
      </c>
      <c r="L2226" s="11"/>
      <c r="M2226" s="1"/>
      <c r="N2226" s="113" t="s">
        <v>14</v>
      </c>
      <c r="O2226" s="122" t="s">
        <v>52</v>
      </c>
      <c r="P2226" s="122" t="s">
        <v>52</v>
      </c>
      <c r="Q2226" s="105"/>
      <c r="R2226" s="28"/>
      <c r="S2226" s="225" t="str">
        <f t="shared" si="34"/>
        <v/>
      </c>
      <c r="T2226" s="7" t="s">
        <v>7695</v>
      </c>
      <c r="U2226" s="7" t="s">
        <v>141</v>
      </c>
      <c r="V2226" s="162" t="str" cm="1">
        <f t="array" ref="V2226">_xlfn.IFS(C2226="","",COUNTIF(C2226,"ตำแหน่งว่าง*"),"ว่าง",COUNTIF(C2226,"&lt;&gt;ตำแหน่งว่าง*"),"คนครอง")</f>
        <v>ว่าง</v>
      </c>
      <c r="W2226" s="6" cm="1">
        <f t="array" ref="W2226">_xlfn.IFS(COUNTIF(F2226,"ผบ.หมู่*"),51,COUNTIF(F2226,"รอง สว.*"),43)</f>
        <v>51</v>
      </c>
      <c r="X2226" s="6" t="s">
        <v>6539</v>
      </c>
      <c r="Y2226" s="6" t="s">
        <v>52</v>
      </c>
    </row>
    <row r="2227" spans="1:25" s="9" customFormat="1" ht="23.55" customHeight="1">
      <c r="A2227" s="27" t="s">
        <v>157</v>
      </c>
      <c r="B2227" s="28" t="s">
        <v>12</v>
      </c>
      <c r="C2227" s="27" t="s">
        <v>6541</v>
      </c>
      <c r="D2227" s="27" t="s">
        <v>8024</v>
      </c>
      <c r="E2227" s="27" t="s">
        <v>10293</v>
      </c>
      <c r="F2227" s="27" t="s">
        <v>6542</v>
      </c>
      <c r="G2227" s="101" t="s">
        <v>6544</v>
      </c>
      <c r="H2227" s="91">
        <v>42501</v>
      </c>
      <c r="I2227" s="73">
        <v>34731</v>
      </c>
      <c r="J2227" s="73">
        <v>34731</v>
      </c>
      <c r="K2227" s="73">
        <v>27187</v>
      </c>
      <c r="L2227" s="2" t="s">
        <v>6545</v>
      </c>
      <c r="M2227" s="1" t="s">
        <v>64</v>
      </c>
      <c r="N2227" s="112" t="s">
        <v>14</v>
      </c>
      <c r="O2227" s="104" t="s">
        <v>52</v>
      </c>
      <c r="P2227" s="104" t="s">
        <v>52</v>
      </c>
      <c r="Q2227" s="105"/>
      <c r="R2227" s="28" t="s">
        <v>110</v>
      </c>
      <c r="S2227" s="225">
        <f t="shared" si="34"/>
        <v>49218</v>
      </c>
      <c r="T2227" s="2" t="s">
        <v>7696</v>
      </c>
      <c r="U2227" s="7" t="s">
        <v>141</v>
      </c>
      <c r="V2227" s="162" t="str" cm="1">
        <f t="array" ref="V2227">_xlfn.IFS(C2227="","",COUNTIF(C2227,"ตำแหน่งว่าง*"),"ว่าง",COUNTIF(C2227,"&lt;&gt;ตำแหน่งว่าง*"),"คนครอง")</f>
        <v>คนครอง</v>
      </c>
      <c r="W2227" s="6" cm="1">
        <f t="array" ref="W2227">_xlfn.IFS(COUNTIF(F2227,"ผบ.หมู่*"),51,COUNTIF(F2227,"รอง สว.*"),43)</f>
        <v>51</v>
      </c>
      <c r="X2227" s="1" t="s">
        <v>6543</v>
      </c>
      <c r="Y2227" s="1" t="s">
        <v>52</v>
      </c>
    </row>
    <row r="2228" spans="1:25" s="10" customFormat="1" ht="23.55" customHeight="1">
      <c r="A2228" s="27" t="s">
        <v>612</v>
      </c>
      <c r="B2228" s="28" t="s">
        <v>21</v>
      </c>
      <c r="C2228" s="34" t="s">
        <v>6546</v>
      </c>
      <c r="D2228" s="27" t="s">
        <v>9820</v>
      </c>
      <c r="E2228" s="27" t="s">
        <v>10294</v>
      </c>
      <c r="F2228" s="27" t="s">
        <v>6542</v>
      </c>
      <c r="G2228" s="101" t="s">
        <v>6548</v>
      </c>
      <c r="H2228" s="91">
        <v>44243</v>
      </c>
      <c r="I2228" s="73">
        <v>44243</v>
      </c>
      <c r="J2228" s="73">
        <v>42051</v>
      </c>
      <c r="K2228" s="73">
        <v>34137</v>
      </c>
      <c r="L2228" s="11" t="s">
        <v>82</v>
      </c>
      <c r="M2228" s="1" t="s">
        <v>85</v>
      </c>
      <c r="N2228" s="112" t="s">
        <v>14</v>
      </c>
      <c r="O2228" s="104" t="s">
        <v>52</v>
      </c>
      <c r="P2228" s="104" t="s">
        <v>52</v>
      </c>
      <c r="Q2228" s="105"/>
      <c r="R2228" s="28" t="s">
        <v>617</v>
      </c>
      <c r="S2228" s="225">
        <f t="shared" si="34"/>
        <v>56158</v>
      </c>
      <c r="T2228" s="7" t="s">
        <v>7696</v>
      </c>
      <c r="U2228" s="7" t="s">
        <v>141</v>
      </c>
      <c r="V2228" s="162" t="str" cm="1">
        <f t="array" ref="V2228">_xlfn.IFS(C2228="","",COUNTIF(C2228,"ตำแหน่งว่าง*"),"ว่าง",COUNTIF(C2228,"&lt;&gt;ตำแหน่งว่าง*"),"คนครอง")</f>
        <v>คนครอง</v>
      </c>
      <c r="W2228" s="6" cm="1">
        <f t="array" ref="W2228">_xlfn.IFS(COUNTIF(F2228,"ผบ.หมู่*"),51,COUNTIF(F2228,"รอง สว.*"),43)</f>
        <v>51</v>
      </c>
      <c r="X2228" s="1" t="s">
        <v>6547</v>
      </c>
      <c r="Y2228" s="1" t="s">
        <v>52</v>
      </c>
    </row>
    <row r="2229" spans="1:25" s="9" customFormat="1" ht="23.55" customHeight="1">
      <c r="A2229" s="27" t="s">
        <v>157</v>
      </c>
      <c r="B2229" s="28" t="s">
        <v>21</v>
      </c>
      <c r="C2229" s="27" t="s">
        <v>6549</v>
      </c>
      <c r="D2229" s="27" t="s">
        <v>8736</v>
      </c>
      <c r="E2229" s="27" t="s">
        <v>10285</v>
      </c>
      <c r="F2229" s="27" t="s">
        <v>6542</v>
      </c>
      <c r="G2229" s="101" t="s">
        <v>6551</v>
      </c>
      <c r="H2229" s="91">
        <v>42501</v>
      </c>
      <c r="I2229" s="73">
        <v>34352</v>
      </c>
      <c r="J2229" s="73">
        <v>34352</v>
      </c>
      <c r="K2229" s="73">
        <v>27037</v>
      </c>
      <c r="L2229" s="2" t="s">
        <v>2314</v>
      </c>
      <c r="M2229" s="1" t="s">
        <v>64</v>
      </c>
      <c r="N2229" s="112" t="s">
        <v>14</v>
      </c>
      <c r="O2229" s="104" t="s">
        <v>52</v>
      </c>
      <c r="P2229" s="104" t="s">
        <v>52</v>
      </c>
      <c r="Q2229" s="105"/>
      <c r="R2229" s="28" t="s">
        <v>110</v>
      </c>
      <c r="S2229" s="225">
        <f t="shared" si="34"/>
        <v>49218</v>
      </c>
      <c r="T2229" s="2" t="s">
        <v>7696</v>
      </c>
      <c r="U2229" s="7" t="s">
        <v>141</v>
      </c>
      <c r="V2229" s="162" t="str" cm="1">
        <f t="array" ref="V2229">_xlfn.IFS(C2229="","",COUNTIF(C2229,"ตำแหน่งว่าง*"),"ว่าง",COUNTIF(C2229,"&lt;&gt;ตำแหน่งว่าง*"),"คนครอง")</f>
        <v>คนครอง</v>
      </c>
      <c r="W2229" s="6" cm="1">
        <f t="array" ref="W2229">_xlfn.IFS(COUNTIF(F2229,"ผบ.หมู่*"),51,COUNTIF(F2229,"รอง สว.*"),43)</f>
        <v>51</v>
      </c>
      <c r="X2229" s="1" t="s">
        <v>6550</v>
      </c>
      <c r="Y2229" s="1" t="s">
        <v>52</v>
      </c>
    </row>
    <row r="2230" spans="1:25" s="12" customFormat="1" ht="23.55" customHeight="1">
      <c r="A2230" s="27" t="s">
        <v>44</v>
      </c>
      <c r="B2230" s="31" t="s">
        <v>12</v>
      </c>
      <c r="C2230" s="95" t="s">
        <v>6552</v>
      </c>
      <c r="D2230" s="27" t="s">
        <v>10295</v>
      </c>
      <c r="E2230" s="27" t="s">
        <v>10296</v>
      </c>
      <c r="F2230" s="95" t="s">
        <v>6553</v>
      </c>
      <c r="G2230" s="101" t="s">
        <v>6555</v>
      </c>
      <c r="H2230" s="92">
        <v>42501</v>
      </c>
      <c r="I2230" s="76">
        <v>33270</v>
      </c>
      <c r="J2230" s="76">
        <v>33270</v>
      </c>
      <c r="K2230" s="76">
        <v>25336</v>
      </c>
      <c r="L2230" s="162" t="s">
        <v>6556</v>
      </c>
      <c r="M2230" s="5" t="s">
        <v>64</v>
      </c>
      <c r="N2230" s="111" t="s">
        <v>14</v>
      </c>
      <c r="O2230" s="104" t="s">
        <v>52</v>
      </c>
      <c r="P2230" s="104" t="s">
        <v>52</v>
      </c>
      <c r="Q2230" s="108"/>
      <c r="R2230" s="31" t="s">
        <v>110</v>
      </c>
      <c r="S2230" s="225">
        <f t="shared" si="34"/>
        <v>47392</v>
      </c>
      <c r="T2230" s="162" t="s">
        <v>7696</v>
      </c>
      <c r="U2230" s="7" t="s">
        <v>141</v>
      </c>
      <c r="V2230" s="162" t="str" cm="1">
        <f t="array" ref="V2230">_xlfn.IFS(C2230="","",COUNTIF(C2230,"ตำแหน่งว่าง*"),"ว่าง",COUNTIF(C2230,"&lt;&gt;ตำแหน่งว่าง*"),"คนครอง")</f>
        <v>คนครอง</v>
      </c>
      <c r="W2230" s="5" cm="1">
        <f t="array" ref="W2230">_xlfn.IFS(COUNTIF(F2230,"ผบ.หมู่*"),51,COUNTIF(F2230,"รอง สว.*"),43)</f>
        <v>43</v>
      </c>
      <c r="X2230" s="5" t="s">
        <v>6554</v>
      </c>
      <c r="Y2230" s="5" t="s">
        <v>52</v>
      </c>
    </row>
    <row r="2231" spans="1:25" s="9" customFormat="1" ht="21.3" customHeight="1">
      <c r="A2231" s="27" t="s">
        <v>157</v>
      </c>
      <c r="B2231" s="28" t="s">
        <v>21</v>
      </c>
      <c r="C2231" s="27" t="s">
        <v>6557</v>
      </c>
      <c r="D2231" s="27" t="s">
        <v>8247</v>
      </c>
      <c r="E2231" s="27" t="s">
        <v>10297</v>
      </c>
      <c r="F2231" s="27" t="s">
        <v>6558</v>
      </c>
      <c r="G2231" s="101" t="s">
        <v>6560</v>
      </c>
      <c r="H2231" s="91">
        <v>42501</v>
      </c>
      <c r="I2231" s="73">
        <v>35095</v>
      </c>
      <c r="J2231" s="73">
        <v>35095</v>
      </c>
      <c r="K2231" s="73">
        <v>27289</v>
      </c>
      <c r="L2231" s="11" t="s">
        <v>6561</v>
      </c>
      <c r="M2231" s="1" t="s">
        <v>64</v>
      </c>
      <c r="N2231" s="112" t="s">
        <v>14</v>
      </c>
      <c r="O2231" s="104" t="s">
        <v>52</v>
      </c>
      <c r="P2231" s="104" t="s">
        <v>52</v>
      </c>
      <c r="Q2231" s="105"/>
      <c r="R2231" s="28" t="s">
        <v>110</v>
      </c>
      <c r="S2231" s="225">
        <f t="shared" si="34"/>
        <v>49218</v>
      </c>
      <c r="T2231" s="2" t="s">
        <v>7697</v>
      </c>
      <c r="U2231" s="7" t="s">
        <v>141</v>
      </c>
      <c r="V2231" s="162" t="str" cm="1">
        <f t="array" ref="V2231">_xlfn.IFS(C2231="","",COUNTIF(C2231,"ตำแหน่งว่าง*"),"ว่าง",COUNTIF(C2231,"&lt;&gt;ตำแหน่งว่าง*"),"คนครอง")</f>
        <v>คนครอง</v>
      </c>
      <c r="W2231" s="6" cm="1">
        <f t="array" ref="W2231">_xlfn.IFS(COUNTIF(F2231,"ผบ.หมู่*"),51,COUNTIF(F2231,"รอง สว.*"),43)</f>
        <v>51</v>
      </c>
      <c r="X2231" s="1" t="s">
        <v>6559</v>
      </c>
      <c r="Y2231" s="1" t="s">
        <v>52</v>
      </c>
    </row>
    <row r="2232" spans="1:25" s="9" customFormat="1" ht="21.3" customHeight="1">
      <c r="A2232" s="192" t="s">
        <v>169</v>
      </c>
      <c r="B2232" s="193" t="s">
        <v>21</v>
      </c>
      <c r="C2232" s="192" t="s">
        <v>7959</v>
      </c>
      <c r="D2232" s="27" t="s">
        <v>10298</v>
      </c>
      <c r="E2232" s="27" t="s">
        <v>10299</v>
      </c>
      <c r="F2232" s="192" t="s">
        <v>6562</v>
      </c>
      <c r="G2232" s="101" t="s">
        <v>6564</v>
      </c>
      <c r="H2232" s="73">
        <v>45463</v>
      </c>
      <c r="I2232" s="73">
        <v>45463</v>
      </c>
      <c r="J2232" s="73">
        <v>45463</v>
      </c>
      <c r="K2232" s="73">
        <v>36470</v>
      </c>
      <c r="L2232" s="2" t="s">
        <v>82</v>
      </c>
      <c r="M2232" s="1"/>
      <c r="N2232" s="112" t="s">
        <v>14</v>
      </c>
      <c r="O2232" s="104" t="s">
        <v>52</v>
      </c>
      <c r="P2232" s="104" t="s">
        <v>52</v>
      </c>
      <c r="Q2232" s="105"/>
      <c r="R2232" s="28" t="s">
        <v>7961</v>
      </c>
      <c r="S2232" s="174">
        <f t="shared" si="34"/>
        <v>58715</v>
      </c>
      <c r="T2232" s="2" t="s">
        <v>7665</v>
      </c>
      <c r="U2232" s="2" t="s">
        <v>141</v>
      </c>
      <c r="V2232" s="162" t="str" cm="1">
        <f t="array" ref="V2232">_xlfn.IFS(C2232="","",COUNTIF(C2232,"ตำแหน่งว่าง*"),"ว่าง",COUNTIF(C2232,"&lt;&gt;ตำแหน่งว่าง*"),"คนครอง")</f>
        <v>คนครอง</v>
      </c>
      <c r="W2232" s="1" cm="1">
        <f t="array" ref="W2232">_xlfn.IFS(COUNTIF(F2232,"ผบ.หมู่*"),51,COUNTIF(F2232,"รอง สว.*"),43)</f>
        <v>51</v>
      </c>
      <c r="X2232" s="1" t="s">
        <v>6563</v>
      </c>
      <c r="Y2232" s="1" t="s">
        <v>52</v>
      </c>
    </row>
    <row r="2233" spans="1:25" s="9" customFormat="1" ht="21.3" customHeight="1">
      <c r="A2233" s="27" t="s">
        <v>157</v>
      </c>
      <c r="B2233" s="28" t="s">
        <v>12</v>
      </c>
      <c r="C2233" s="27" t="s">
        <v>6565</v>
      </c>
      <c r="D2233" s="27" t="s">
        <v>8250</v>
      </c>
      <c r="E2233" s="27" t="s">
        <v>10300</v>
      </c>
      <c r="F2233" s="27" t="s">
        <v>6562</v>
      </c>
      <c r="G2233" s="101" t="s">
        <v>6567</v>
      </c>
      <c r="H2233" s="91">
        <v>42501</v>
      </c>
      <c r="I2233" s="73">
        <v>35462</v>
      </c>
      <c r="J2233" s="73">
        <v>35462</v>
      </c>
      <c r="K2233" s="73">
        <v>27825</v>
      </c>
      <c r="L2233" s="11" t="s">
        <v>4826</v>
      </c>
      <c r="M2233" s="1" t="s">
        <v>143</v>
      </c>
      <c r="N2233" s="112" t="s">
        <v>14</v>
      </c>
      <c r="O2233" s="104" t="s">
        <v>52</v>
      </c>
      <c r="P2233" s="104" t="s">
        <v>52</v>
      </c>
      <c r="Q2233" s="105"/>
      <c r="R2233" s="28" t="s">
        <v>110</v>
      </c>
      <c r="S2233" s="225">
        <f t="shared" si="34"/>
        <v>49949</v>
      </c>
      <c r="T2233" s="2" t="s">
        <v>7665</v>
      </c>
      <c r="U2233" s="7" t="s">
        <v>141</v>
      </c>
      <c r="V2233" s="162" t="str" cm="1">
        <f t="array" ref="V2233">_xlfn.IFS(C2233="","",COUNTIF(C2233,"ตำแหน่งว่าง*"),"ว่าง",COUNTIF(C2233,"&lt;&gt;ตำแหน่งว่าง*"),"คนครอง")</f>
        <v>คนครอง</v>
      </c>
      <c r="W2233" s="6" cm="1">
        <f t="array" ref="W2233">_xlfn.IFS(COUNTIF(F2233,"ผบ.หมู่*"),51,COUNTIF(F2233,"รอง สว.*"),43)</f>
        <v>51</v>
      </c>
      <c r="X2233" s="1" t="s">
        <v>6566</v>
      </c>
      <c r="Y2233" s="1" t="s">
        <v>52</v>
      </c>
    </row>
    <row r="2234" spans="1:25" s="9" customFormat="1" ht="21.3" customHeight="1">
      <c r="A2234" s="27" t="s">
        <v>157</v>
      </c>
      <c r="B2234" s="28" t="s">
        <v>21</v>
      </c>
      <c r="C2234" s="27" t="s">
        <v>6568</v>
      </c>
      <c r="D2234" s="27" t="s">
        <v>10301</v>
      </c>
      <c r="E2234" s="27" t="s">
        <v>10302</v>
      </c>
      <c r="F2234" s="27" t="s">
        <v>6562</v>
      </c>
      <c r="G2234" s="101" t="s">
        <v>6570</v>
      </c>
      <c r="H2234" s="91">
        <v>42501</v>
      </c>
      <c r="I2234" s="73">
        <v>39717</v>
      </c>
      <c r="J2234" s="73">
        <v>39717</v>
      </c>
      <c r="K2234" s="73">
        <v>29717</v>
      </c>
      <c r="L2234" s="11" t="s">
        <v>722</v>
      </c>
      <c r="M2234" s="1" t="s">
        <v>143</v>
      </c>
      <c r="N2234" s="112" t="s">
        <v>14</v>
      </c>
      <c r="O2234" s="104" t="s">
        <v>52</v>
      </c>
      <c r="P2234" s="104" t="s">
        <v>52</v>
      </c>
      <c r="Q2234" s="105"/>
      <c r="R2234" s="28" t="s">
        <v>110</v>
      </c>
      <c r="S2234" s="225">
        <f t="shared" si="34"/>
        <v>51775</v>
      </c>
      <c r="T2234" s="2" t="s">
        <v>7665</v>
      </c>
      <c r="U2234" s="7" t="s">
        <v>141</v>
      </c>
      <c r="V2234" s="162" t="str" cm="1">
        <f t="array" ref="V2234">_xlfn.IFS(C2234="","",COUNTIF(C2234,"ตำแหน่งว่าง*"),"ว่าง",COUNTIF(C2234,"&lt;&gt;ตำแหน่งว่าง*"),"คนครอง")</f>
        <v>คนครอง</v>
      </c>
      <c r="W2234" s="6" cm="1">
        <f t="array" ref="W2234">_xlfn.IFS(COUNTIF(F2234,"ผบ.หมู่*"),51,COUNTIF(F2234,"รอง สว.*"),43)</f>
        <v>51</v>
      </c>
      <c r="X2234" s="1" t="s">
        <v>6569</v>
      </c>
      <c r="Y2234" s="1" t="s">
        <v>52</v>
      </c>
    </row>
    <row r="2235" spans="1:25" s="9" customFormat="1" ht="21.3" customHeight="1">
      <c r="A2235" s="27" t="s">
        <v>60</v>
      </c>
      <c r="B2235" s="28" t="s">
        <v>21</v>
      </c>
      <c r="C2235" s="27" t="s">
        <v>6571</v>
      </c>
      <c r="D2235" s="27" t="s">
        <v>10303</v>
      </c>
      <c r="E2235" s="27" t="s">
        <v>10304</v>
      </c>
      <c r="F2235" s="27" t="s">
        <v>10809</v>
      </c>
      <c r="G2235" s="101" t="s">
        <v>6573</v>
      </c>
      <c r="H2235" s="91">
        <v>42501</v>
      </c>
      <c r="I2235" s="73">
        <v>34352</v>
      </c>
      <c r="J2235" s="73">
        <v>34352</v>
      </c>
      <c r="K2235" s="73">
        <v>26227</v>
      </c>
      <c r="L2235" s="11" t="s">
        <v>722</v>
      </c>
      <c r="M2235" s="1" t="s">
        <v>143</v>
      </c>
      <c r="N2235" s="112" t="s">
        <v>14</v>
      </c>
      <c r="O2235" s="104" t="s">
        <v>52</v>
      </c>
      <c r="P2235" s="104" t="s">
        <v>52</v>
      </c>
      <c r="Q2235" s="105"/>
      <c r="R2235" s="28" t="s">
        <v>110</v>
      </c>
      <c r="S2235" s="225">
        <f t="shared" si="34"/>
        <v>48488</v>
      </c>
      <c r="T2235" s="2" t="s">
        <v>7665</v>
      </c>
      <c r="U2235" s="7" t="s">
        <v>141</v>
      </c>
      <c r="V2235" s="162" t="str" cm="1">
        <f t="array" ref="V2235">_xlfn.IFS(C2235="","",COUNTIF(C2235,"ตำแหน่งว่าง*"),"ว่าง",COUNTIF(C2235,"&lt;&gt;ตำแหน่งว่าง*"),"คนครอง")</f>
        <v>คนครอง</v>
      </c>
      <c r="W2235" s="6" cm="1">
        <f t="array" ref="W2235">_xlfn.IFS(COUNTIF(F2235,"ผบ.หมู่*"),51,COUNTIF(F2235,"รอง สว.*"),43)</f>
        <v>43</v>
      </c>
      <c r="X2235" s="1" t="s">
        <v>6572</v>
      </c>
      <c r="Y2235" s="1" t="s">
        <v>52</v>
      </c>
    </row>
    <row r="2236" spans="1:25" s="9" customFormat="1" ht="21.3" customHeight="1">
      <c r="A2236" s="27"/>
      <c r="B2236" s="28"/>
      <c r="C2236" s="30" t="s">
        <v>18</v>
      </c>
      <c r="D2236" s="27"/>
      <c r="E2236" s="27"/>
      <c r="F2236" s="27" t="s">
        <v>6562</v>
      </c>
      <c r="G2236" s="101" t="s">
        <v>6575</v>
      </c>
      <c r="H2236" s="91"/>
      <c r="I2236" s="73"/>
      <c r="J2236" s="73"/>
      <c r="K2236" s="73"/>
      <c r="L2236" s="11"/>
      <c r="M2236" s="1"/>
      <c r="N2236" s="112" t="s">
        <v>14</v>
      </c>
      <c r="O2236" s="104" t="s">
        <v>52</v>
      </c>
      <c r="P2236" s="104" t="s">
        <v>52</v>
      </c>
      <c r="Q2236" s="105"/>
      <c r="R2236" s="28"/>
      <c r="S2236" s="225" t="str">
        <f t="shared" si="34"/>
        <v/>
      </c>
      <c r="T2236" s="2" t="s">
        <v>7665</v>
      </c>
      <c r="U2236" s="7" t="s">
        <v>141</v>
      </c>
      <c r="V2236" s="162" t="str" cm="1">
        <f t="array" ref="V2236">_xlfn.IFS(C2236="","",COUNTIF(C2236,"ตำแหน่งว่าง*"),"ว่าง",COUNTIF(C2236,"&lt;&gt;ตำแหน่งว่าง*"),"คนครอง")</f>
        <v>ว่าง</v>
      </c>
      <c r="W2236" s="5" cm="1">
        <f t="array" ref="W2236">_xlfn.IFS(COUNTIF(F2236,"ผบ.หมู่*"),51,COUNTIF(F2236,"รอง สว.*"),43)</f>
        <v>51</v>
      </c>
      <c r="X2236" s="1" t="s">
        <v>6574</v>
      </c>
      <c r="Y2236" s="1" t="s">
        <v>52</v>
      </c>
    </row>
    <row r="2237" spans="1:25" s="9" customFormat="1" ht="21.3" customHeight="1">
      <c r="A2237" s="27" t="s">
        <v>157</v>
      </c>
      <c r="B2237" s="28" t="s">
        <v>21</v>
      </c>
      <c r="C2237" s="27" t="s">
        <v>6576</v>
      </c>
      <c r="D2237" s="27" t="s">
        <v>8019</v>
      </c>
      <c r="E2237" s="27" t="s">
        <v>8237</v>
      </c>
      <c r="F2237" s="27" t="s">
        <v>6562</v>
      </c>
      <c r="G2237" s="101" t="s">
        <v>6578</v>
      </c>
      <c r="H2237" s="91">
        <v>42501</v>
      </c>
      <c r="I2237" s="73">
        <v>37316</v>
      </c>
      <c r="J2237" s="73">
        <v>37316</v>
      </c>
      <c r="K2237" s="73">
        <v>29831</v>
      </c>
      <c r="L2237" s="11" t="s">
        <v>6579</v>
      </c>
      <c r="M2237" s="1" t="s">
        <v>143</v>
      </c>
      <c r="N2237" s="112" t="s">
        <v>14</v>
      </c>
      <c r="O2237" s="104" t="s">
        <v>52</v>
      </c>
      <c r="P2237" s="104" t="s">
        <v>52</v>
      </c>
      <c r="Q2237" s="105"/>
      <c r="R2237" s="28" t="s">
        <v>110</v>
      </c>
      <c r="S2237" s="225">
        <f t="shared" si="34"/>
        <v>51775</v>
      </c>
      <c r="T2237" s="2" t="s">
        <v>7665</v>
      </c>
      <c r="U2237" s="7" t="s">
        <v>141</v>
      </c>
      <c r="V2237" s="162" t="str" cm="1">
        <f t="array" ref="V2237">_xlfn.IFS(C2237="","",COUNTIF(C2237,"ตำแหน่งว่าง*"),"ว่าง",COUNTIF(C2237,"&lt;&gt;ตำแหน่งว่าง*"),"คนครอง")</f>
        <v>คนครอง</v>
      </c>
      <c r="W2237" s="6" cm="1">
        <f t="array" ref="W2237">_xlfn.IFS(COUNTIF(F2237,"ผบ.หมู่*"),51,COUNTIF(F2237,"รอง สว.*"),43)</f>
        <v>51</v>
      </c>
      <c r="X2237" s="1" t="s">
        <v>6577</v>
      </c>
      <c r="Y2237" s="1" t="s">
        <v>52</v>
      </c>
    </row>
    <row r="2238" spans="1:25" s="10" customFormat="1" ht="21.3" customHeight="1">
      <c r="A2238" s="27"/>
      <c r="B2238" s="30"/>
      <c r="C2238" s="30" t="s">
        <v>18</v>
      </c>
      <c r="D2238" s="27"/>
      <c r="E2238" s="27"/>
      <c r="F2238" s="68" t="s">
        <v>6562</v>
      </c>
      <c r="G2238" s="121" t="s">
        <v>6581</v>
      </c>
      <c r="H2238" s="91" t="s">
        <v>19</v>
      </c>
      <c r="I2238" s="73" t="s">
        <v>19</v>
      </c>
      <c r="J2238" s="73" t="s">
        <v>19</v>
      </c>
      <c r="K2238" s="73" t="s">
        <v>19</v>
      </c>
      <c r="L2238" s="11"/>
      <c r="M2238" s="1"/>
      <c r="N2238" s="113" t="s">
        <v>14</v>
      </c>
      <c r="O2238" s="122" t="s">
        <v>52</v>
      </c>
      <c r="P2238" s="122" t="s">
        <v>52</v>
      </c>
      <c r="Q2238" s="106"/>
      <c r="R2238" s="30"/>
      <c r="S2238" s="225" t="str">
        <f t="shared" si="34"/>
        <v/>
      </c>
      <c r="T2238" s="7" t="s">
        <v>7665</v>
      </c>
      <c r="U2238" s="7" t="s">
        <v>141</v>
      </c>
      <c r="V2238" s="162" t="str" cm="1">
        <f t="array" ref="V2238">_xlfn.IFS(C2238="","",COUNTIF(C2238,"ตำแหน่งว่าง*"),"ว่าง",COUNTIF(C2238,"&lt;&gt;ตำแหน่งว่าง*"),"คนครอง")</f>
        <v>ว่าง</v>
      </c>
      <c r="W2238" s="6" cm="1">
        <f t="array" ref="W2238">_xlfn.IFS(COUNTIF(F2238,"ผบ.หมู่*"),51,COUNTIF(F2238,"รอง สว.*"),43)</f>
        <v>51</v>
      </c>
      <c r="X2238" s="6" t="s">
        <v>6580</v>
      </c>
      <c r="Y2238" s="6" t="s">
        <v>52</v>
      </c>
    </row>
    <row r="2239" spans="1:25" s="10" customFormat="1" ht="21.3" customHeight="1">
      <c r="A2239" s="27"/>
      <c r="B2239" s="28"/>
      <c r="C2239" s="30" t="s">
        <v>18</v>
      </c>
      <c r="D2239" s="27"/>
      <c r="E2239" s="27"/>
      <c r="F2239" s="68" t="s">
        <v>6562</v>
      </c>
      <c r="G2239" s="121" t="s">
        <v>6583</v>
      </c>
      <c r="H2239" s="91" t="s">
        <v>19</v>
      </c>
      <c r="I2239" s="73" t="s">
        <v>19</v>
      </c>
      <c r="J2239" s="73" t="s">
        <v>19</v>
      </c>
      <c r="K2239" s="73" t="s">
        <v>19</v>
      </c>
      <c r="L2239" s="11"/>
      <c r="M2239" s="1"/>
      <c r="N2239" s="113" t="s">
        <v>14</v>
      </c>
      <c r="O2239" s="122" t="s">
        <v>52</v>
      </c>
      <c r="P2239" s="122" t="s">
        <v>52</v>
      </c>
      <c r="Q2239" s="105"/>
      <c r="R2239" s="28"/>
      <c r="S2239" s="225" t="str">
        <f t="shared" si="34"/>
        <v/>
      </c>
      <c r="T2239" s="7" t="s">
        <v>7665</v>
      </c>
      <c r="U2239" s="7" t="s">
        <v>141</v>
      </c>
      <c r="V2239" s="162" t="str" cm="1">
        <f t="array" ref="V2239">_xlfn.IFS(C2239="","",COUNTIF(C2239,"ตำแหน่งว่าง*"),"ว่าง",COUNTIF(C2239,"&lt;&gt;ตำแหน่งว่าง*"),"คนครอง")</f>
        <v>ว่าง</v>
      </c>
      <c r="W2239" s="6" cm="1">
        <f t="array" ref="W2239">_xlfn.IFS(COUNTIF(F2239,"ผบ.หมู่*"),51,COUNTIF(F2239,"รอง สว.*"),43)</f>
        <v>51</v>
      </c>
      <c r="X2239" s="6" t="s">
        <v>6582</v>
      </c>
      <c r="Y2239" s="6" t="s">
        <v>52</v>
      </c>
    </row>
    <row r="2240" spans="1:25" s="9" customFormat="1" ht="21.3" customHeight="1">
      <c r="A2240" s="27" t="s">
        <v>157</v>
      </c>
      <c r="B2240" s="28" t="s">
        <v>21</v>
      </c>
      <c r="C2240" s="27" t="s">
        <v>6584</v>
      </c>
      <c r="D2240" s="27" t="s">
        <v>7990</v>
      </c>
      <c r="E2240" s="27" t="s">
        <v>10305</v>
      </c>
      <c r="F2240" s="27" t="s">
        <v>6562</v>
      </c>
      <c r="G2240" s="101" t="s">
        <v>6586</v>
      </c>
      <c r="H2240" s="91">
        <v>42501</v>
      </c>
      <c r="I2240" s="73">
        <v>34352</v>
      </c>
      <c r="J2240" s="73">
        <v>34352</v>
      </c>
      <c r="K2240" s="73">
        <v>26880</v>
      </c>
      <c r="L2240" s="11" t="s">
        <v>722</v>
      </c>
      <c r="M2240" s="1" t="s">
        <v>143</v>
      </c>
      <c r="N2240" s="112" t="s">
        <v>14</v>
      </c>
      <c r="O2240" s="104" t="s">
        <v>52</v>
      </c>
      <c r="P2240" s="104" t="s">
        <v>52</v>
      </c>
      <c r="Q2240" s="105"/>
      <c r="R2240" s="28" t="s">
        <v>110</v>
      </c>
      <c r="S2240" s="225">
        <f t="shared" si="34"/>
        <v>48853</v>
      </c>
      <c r="T2240" s="2" t="s">
        <v>7665</v>
      </c>
      <c r="U2240" s="7" t="s">
        <v>141</v>
      </c>
      <c r="V2240" s="162" t="str" cm="1">
        <f t="array" ref="V2240">_xlfn.IFS(C2240="","",COUNTIF(C2240,"ตำแหน่งว่าง*"),"ว่าง",COUNTIF(C2240,"&lt;&gt;ตำแหน่งว่าง*"),"คนครอง")</f>
        <v>คนครอง</v>
      </c>
      <c r="W2240" s="6" cm="1">
        <f t="array" ref="W2240">_xlfn.IFS(COUNTIF(F2240,"ผบ.หมู่*"),51,COUNTIF(F2240,"รอง สว.*"),43)</f>
        <v>51</v>
      </c>
      <c r="X2240" s="1" t="s">
        <v>6585</v>
      </c>
      <c r="Y2240" s="1" t="s">
        <v>52</v>
      </c>
    </row>
    <row r="2241" spans="1:25" s="10" customFormat="1" ht="21.3" customHeight="1">
      <c r="A2241" s="27"/>
      <c r="B2241" s="28"/>
      <c r="C2241" s="30" t="s">
        <v>18</v>
      </c>
      <c r="D2241" s="27"/>
      <c r="E2241" s="27"/>
      <c r="F2241" s="68" t="s">
        <v>6562</v>
      </c>
      <c r="G2241" s="121" t="s">
        <v>6588</v>
      </c>
      <c r="H2241" s="91" t="s">
        <v>19</v>
      </c>
      <c r="I2241" s="73" t="s">
        <v>19</v>
      </c>
      <c r="J2241" s="73" t="s">
        <v>19</v>
      </c>
      <c r="K2241" s="73" t="s">
        <v>19</v>
      </c>
      <c r="L2241" s="11"/>
      <c r="M2241" s="1"/>
      <c r="N2241" s="113" t="s">
        <v>14</v>
      </c>
      <c r="O2241" s="122" t="s">
        <v>52</v>
      </c>
      <c r="P2241" s="122" t="s">
        <v>52</v>
      </c>
      <c r="Q2241" s="105"/>
      <c r="R2241" s="28"/>
      <c r="S2241" s="225" t="str">
        <f t="shared" si="34"/>
        <v/>
      </c>
      <c r="T2241" s="7" t="s">
        <v>7665</v>
      </c>
      <c r="U2241" s="7" t="s">
        <v>141</v>
      </c>
      <c r="V2241" s="162" t="str" cm="1">
        <f t="array" ref="V2241">_xlfn.IFS(C2241="","",COUNTIF(C2241,"ตำแหน่งว่าง*"),"ว่าง",COUNTIF(C2241,"&lt;&gt;ตำแหน่งว่าง*"),"คนครอง")</f>
        <v>ว่าง</v>
      </c>
      <c r="W2241" s="6" cm="1">
        <f t="array" ref="W2241">_xlfn.IFS(COUNTIF(F2241,"ผบ.หมู่*"),51,COUNTIF(F2241,"รอง สว.*"),43)</f>
        <v>51</v>
      </c>
      <c r="X2241" s="6" t="s">
        <v>6587</v>
      </c>
      <c r="Y2241" s="6" t="s">
        <v>52</v>
      </c>
    </row>
    <row r="2242" spans="1:25" s="10" customFormat="1" ht="21.3" customHeight="1">
      <c r="A2242" s="27"/>
      <c r="B2242" s="28"/>
      <c r="C2242" s="30" t="s">
        <v>18</v>
      </c>
      <c r="D2242" s="27"/>
      <c r="E2242" s="27"/>
      <c r="F2242" s="68" t="s">
        <v>6562</v>
      </c>
      <c r="G2242" s="121" t="s">
        <v>6590</v>
      </c>
      <c r="H2242" s="91" t="s">
        <v>19</v>
      </c>
      <c r="I2242" s="73" t="s">
        <v>19</v>
      </c>
      <c r="J2242" s="73" t="s">
        <v>19</v>
      </c>
      <c r="K2242" s="73" t="s">
        <v>19</v>
      </c>
      <c r="L2242" s="11"/>
      <c r="M2242" s="1"/>
      <c r="N2242" s="113" t="s">
        <v>14</v>
      </c>
      <c r="O2242" s="122" t="s">
        <v>52</v>
      </c>
      <c r="P2242" s="122" t="s">
        <v>52</v>
      </c>
      <c r="Q2242" s="105"/>
      <c r="R2242" s="28"/>
      <c r="S2242" s="225" t="str">
        <f t="shared" ref="S2242:S2305" si="35">IF(K2242&lt;&gt;"",DATE(YEAR(K2242)+60+(K2242&gt;=DATE(YEAR(K2242),10,2)),10,1),"")</f>
        <v/>
      </c>
      <c r="T2242" s="7" t="s">
        <v>7665</v>
      </c>
      <c r="U2242" s="7" t="s">
        <v>141</v>
      </c>
      <c r="V2242" s="162" t="str" cm="1">
        <f t="array" ref="V2242">_xlfn.IFS(C2242="","",COUNTIF(C2242,"ตำแหน่งว่าง*"),"ว่าง",COUNTIF(C2242,"&lt;&gt;ตำแหน่งว่าง*"),"คนครอง")</f>
        <v>ว่าง</v>
      </c>
      <c r="W2242" s="6" cm="1">
        <f t="array" ref="W2242">_xlfn.IFS(COUNTIF(F2242,"ผบ.หมู่*"),51,COUNTIF(F2242,"รอง สว.*"),43)</f>
        <v>51</v>
      </c>
      <c r="X2242" s="6" t="s">
        <v>6589</v>
      </c>
      <c r="Y2242" s="6" t="s">
        <v>52</v>
      </c>
    </row>
    <row r="2243" spans="1:25" s="10" customFormat="1" ht="21.3" customHeight="1">
      <c r="A2243" s="27"/>
      <c r="B2243" s="28"/>
      <c r="C2243" s="30" t="s">
        <v>18</v>
      </c>
      <c r="D2243" s="27"/>
      <c r="E2243" s="27"/>
      <c r="F2243" s="68" t="s">
        <v>6562</v>
      </c>
      <c r="G2243" s="121" t="s">
        <v>6592</v>
      </c>
      <c r="H2243" s="91" t="s">
        <v>19</v>
      </c>
      <c r="I2243" s="73" t="s">
        <v>19</v>
      </c>
      <c r="J2243" s="73" t="s">
        <v>19</v>
      </c>
      <c r="K2243" s="73" t="s">
        <v>19</v>
      </c>
      <c r="L2243" s="11"/>
      <c r="M2243" s="1"/>
      <c r="N2243" s="113" t="s">
        <v>14</v>
      </c>
      <c r="O2243" s="122" t="s">
        <v>52</v>
      </c>
      <c r="P2243" s="122" t="s">
        <v>52</v>
      </c>
      <c r="Q2243" s="105"/>
      <c r="R2243" s="28"/>
      <c r="S2243" s="225" t="str">
        <f t="shared" si="35"/>
        <v/>
      </c>
      <c r="T2243" s="7" t="s">
        <v>7665</v>
      </c>
      <c r="U2243" s="7" t="s">
        <v>141</v>
      </c>
      <c r="V2243" s="162" t="str" cm="1">
        <f t="array" ref="V2243">_xlfn.IFS(C2243="","",COUNTIF(C2243,"ตำแหน่งว่าง*"),"ว่าง",COUNTIF(C2243,"&lt;&gt;ตำแหน่งว่าง*"),"คนครอง")</f>
        <v>ว่าง</v>
      </c>
      <c r="W2243" s="6" cm="1">
        <f t="array" ref="W2243">_xlfn.IFS(COUNTIF(F2243,"ผบ.หมู่*"),51,COUNTIF(F2243,"รอง สว.*"),43)</f>
        <v>51</v>
      </c>
      <c r="X2243" s="6" t="s">
        <v>6591</v>
      </c>
      <c r="Y2243" s="6" t="s">
        <v>52</v>
      </c>
    </row>
    <row r="2244" spans="1:25" s="10" customFormat="1" ht="21.3" customHeight="1">
      <c r="A2244" s="27"/>
      <c r="B2244" s="28"/>
      <c r="C2244" s="30" t="s">
        <v>18</v>
      </c>
      <c r="D2244" s="27"/>
      <c r="E2244" s="27"/>
      <c r="F2244" s="68" t="s">
        <v>6562</v>
      </c>
      <c r="G2244" s="121" t="s">
        <v>6594</v>
      </c>
      <c r="H2244" s="91" t="s">
        <v>19</v>
      </c>
      <c r="I2244" s="73" t="s">
        <v>19</v>
      </c>
      <c r="J2244" s="73" t="s">
        <v>19</v>
      </c>
      <c r="K2244" s="73" t="s">
        <v>19</v>
      </c>
      <c r="L2244" s="11"/>
      <c r="M2244" s="1"/>
      <c r="N2244" s="113" t="s">
        <v>14</v>
      </c>
      <c r="O2244" s="122" t="s">
        <v>52</v>
      </c>
      <c r="P2244" s="122" t="s">
        <v>52</v>
      </c>
      <c r="Q2244" s="105"/>
      <c r="R2244" s="28"/>
      <c r="S2244" s="225" t="str">
        <f t="shared" si="35"/>
        <v/>
      </c>
      <c r="T2244" s="7" t="s">
        <v>7665</v>
      </c>
      <c r="U2244" s="7" t="s">
        <v>141</v>
      </c>
      <c r="V2244" s="162" t="str" cm="1">
        <f t="array" ref="V2244">_xlfn.IFS(C2244="","",COUNTIF(C2244,"ตำแหน่งว่าง*"),"ว่าง",COUNTIF(C2244,"&lt;&gt;ตำแหน่งว่าง*"),"คนครอง")</f>
        <v>ว่าง</v>
      </c>
      <c r="W2244" s="6" cm="1">
        <f t="array" ref="W2244">_xlfn.IFS(COUNTIF(F2244,"ผบ.หมู่*"),51,COUNTIF(F2244,"รอง สว.*"),43)</f>
        <v>51</v>
      </c>
      <c r="X2244" s="6" t="s">
        <v>6593</v>
      </c>
      <c r="Y2244" s="6" t="s">
        <v>52</v>
      </c>
    </row>
    <row r="2245" spans="1:25" s="10" customFormat="1" ht="21.3" customHeight="1">
      <c r="A2245" s="27"/>
      <c r="B2245" s="28"/>
      <c r="C2245" s="30" t="s">
        <v>18</v>
      </c>
      <c r="D2245" s="27"/>
      <c r="E2245" s="27"/>
      <c r="F2245" s="68" t="s">
        <v>6562</v>
      </c>
      <c r="G2245" s="121" t="s">
        <v>6596</v>
      </c>
      <c r="H2245" s="91" t="s">
        <v>19</v>
      </c>
      <c r="I2245" s="73" t="s">
        <v>19</v>
      </c>
      <c r="J2245" s="73" t="s">
        <v>19</v>
      </c>
      <c r="K2245" s="73" t="s">
        <v>19</v>
      </c>
      <c r="L2245" s="11"/>
      <c r="M2245" s="1"/>
      <c r="N2245" s="113" t="s">
        <v>14</v>
      </c>
      <c r="O2245" s="122" t="s">
        <v>52</v>
      </c>
      <c r="P2245" s="122" t="s">
        <v>52</v>
      </c>
      <c r="Q2245" s="105"/>
      <c r="R2245" s="28"/>
      <c r="S2245" s="225" t="str">
        <f t="shared" si="35"/>
        <v/>
      </c>
      <c r="T2245" s="7" t="s">
        <v>7665</v>
      </c>
      <c r="U2245" s="7" t="s">
        <v>141</v>
      </c>
      <c r="V2245" s="162" t="str" cm="1">
        <f t="array" ref="V2245">_xlfn.IFS(C2245="","",COUNTIF(C2245,"ตำแหน่งว่าง*"),"ว่าง",COUNTIF(C2245,"&lt;&gt;ตำแหน่งว่าง*"),"คนครอง")</f>
        <v>ว่าง</v>
      </c>
      <c r="W2245" s="6" cm="1">
        <f t="array" ref="W2245">_xlfn.IFS(COUNTIF(F2245,"ผบ.หมู่*"),51,COUNTIF(F2245,"รอง สว.*"),43)</f>
        <v>51</v>
      </c>
      <c r="X2245" s="6" t="s">
        <v>6595</v>
      </c>
      <c r="Y2245" s="6" t="s">
        <v>52</v>
      </c>
    </row>
    <row r="2246" spans="1:25" s="12" customFormat="1" ht="21.3" customHeight="1">
      <c r="A2246" s="95" t="s">
        <v>157</v>
      </c>
      <c r="B2246" s="31" t="s">
        <v>12</v>
      </c>
      <c r="C2246" s="95" t="s">
        <v>6695</v>
      </c>
      <c r="D2246" s="27" t="s">
        <v>9041</v>
      </c>
      <c r="E2246" s="27" t="s">
        <v>10306</v>
      </c>
      <c r="F2246" s="95" t="s">
        <v>6696</v>
      </c>
      <c r="G2246" s="101" t="s">
        <v>6698</v>
      </c>
      <c r="H2246" s="92">
        <v>44599</v>
      </c>
      <c r="I2246" s="76">
        <v>40339</v>
      </c>
      <c r="J2246" s="76">
        <v>40339</v>
      </c>
      <c r="K2246" s="76">
        <v>27897</v>
      </c>
      <c r="L2246" s="17" t="s">
        <v>6699</v>
      </c>
      <c r="M2246" s="5" t="s">
        <v>64</v>
      </c>
      <c r="N2246" s="111" t="s">
        <v>14</v>
      </c>
      <c r="O2246" s="104" t="s">
        <v>52</v>
      </c>
      <c r="P2246" s="104" t="s">
        <v>52</v>
      </c>
      <c r="Q2246" s="108"/>
      <c r="R2246" s="31" t="s">
        <v>607</v>
      </c>
      <c r="S2246" s="225">
        <f t="shared" si="35"/>
        <v>49949</v>
      </c>
      <c r="T2246" s="162" t="s">
        <v>7668</v>
      </c>
      <c r="U2246" s="7" t="s">
        <v>141</v>
      </c>
      <c r="V2246" s="162" t="str" cm="1">
        <f t="array" ref="V2246">_xlfn.IFS(C2246="","",COUNTIF(C2246,"ตำแหน่งว่าง*"),"ว่าง",COUNTIF(C2246,"&lt;&gt;ตำแหน่งว่าง*"),"คนครอง")</f>
        <v>คนครอง</v>
      </c>
      <c r="W2246" s="6" cm="1">
        <f t="array" ref="W2246">_xlfn.IFS(COUNTIF(F2246,"ผบ.หมู่*"),51,COUNTIF(F2246,"รอง สว.*"),43)</f>
        <v>51</v>
      </c>
      <c r="X2246" s="5" t="s">
        <v>6697</v>
      </c>
      <c r="Y2246" s="5" t="s">
        <v>52</v>
      </c>
    </row>
    <row r="2247" spans="1:25" s="9" customFormat="1" ht="21.3" customHeight="1">
      <c r="A2247" s="68"/>
      <c r="B2247" s="30"/>
      <c r="C2247" s="30" t="s">
        <v>18</v>
      </c>
      <c r="D2247" s="27"/>
      <c r="E2247" s="27"/>
      <c r="F2247" s="68" t="s">
        <v>6696</v>
      </c>
      <c r="G2247" s="121" t="s">
        <v>6702</v>
      </c>
      <c r="H2247" s="93"/>
      <c r="I2247" s="74"/>
      <c r="J2247" s="74"/>
      <c r="K2247" s="74"/>
      <c r="L2247" s="16"/>
      <c r="M2247" s="6"/>
      <c r="N2247" s="113" t="s">
        <v>14</v>
      </c>
      <c r="O2247" s="122" t="s">
        <v>52</v>
      </c>
      <c r="P2247" s="122" t="s">
        <v>52</v>
      </c>
      <c r="Q2247" s="106"/>
      <c r="R2247" s="30"/>
      <c r="S2247" s="229" t="str">
        <f t="shared" si="35"/>
        <v/>
      </c>
      <c r="T2247" s="7" t="s">
        <v>7668</v>
      </c>
      <c r="U2247" s="7" t="s">
        <v>141</v>
      </c>
      <c r="V2247" s="162" t="str" cm="1">
        <f t="array" ref="V2247">_xlfn.IFS(C2247="","",COUNTIF(C2247,"ตำแหน่งว่าง*"),"ว่าง",COUNTIF(C2247,"&lt;&gt;ตำแหน่งว่าง*"),"คนครอง")</f>
        <v>ว่าง</v>
      </c>
      <c r="W2247" s="6" cm="1">
        <f t="array" ref="W2247">_xlfn.IFS(COUNTIF(F2247,"ผบ.หมู่*"),51,COUNTIF(F2247,"รอง สว.*"),43)</f>
        <v>51</v>
      </c>
      <c r="X2247" s="6" t="s">
        <v>6701</v>
      </c>
      <c r="Y2247" s="6" t="s">
        <v>52</v>
      </c>
    </row>
    <row r="2248" spans="1:25" s="9" customFormat="1" ht="21.3" customHeight="1">
      <c r="A2248" s="27" t="s">
        <v>157</v>
      </c>
      <c r="B2248" s="28" t="s">
        <v>21</v>
      </c>
      <c r="C2248" s="27" t="s">
        <v>6703</v>
      </c>
      <c r="D2248" s="27" t="s">
        <v>10307</v>
      </c>
      <c r="E2248" s="27" t="s">
        <v>10308</v>
      </c>
      <c r="F2248" s="27" t="s">
        <v>6696</v>
      </c>
      <c r="G2248" s="101" t="s">
        <v>6705</v>
      </c>
      <c r="H2248" s="91">
        <v>43235</v>
      </c>
      <c r="I2248" s="73">
        <v>41214</v>
      </c>
      <c r="J2248" s="73">
        <v>41214</v>
      </c>
      <c r="K2248" s="73">
        <v>30682</v>
      </c>
      <c r="L2248" s="11" t="s">
        <v>68</v>
      </c>
      <c r="M2248" s="1" t="s">
        <v>93</v>
      </c>
      <c r="N2248" s="112" t="s">
        <v>14</v>
      </c>
      <c r="O2248" s="104" t="s">
        <v>52</v>
      </c>
      <c r="P2248" s="104" t="s">
        <v>52</v>
      </c>
      <c r="Q2248" s="105"/>
      <c r="R2248" s="28" t="s">
        <v>4094</v>
      </c>
      <c r="S2248" s="225">
        <f t="shared" si="35"/>
        <v>52871</v>
      </c>
      <c r="T2248" s="2" t="s">
        <v>7668</v>
      </c>
      <c r="U2248" s="7" t="s">
        <v>141</v>
      </c>
      <c r="V2248" s="162" t="str" cm="1">
        <f t="array" ref="V2248">_xlfn.IFS(C2248="","",COUNTIF(C2248,"ตำแหน่งว่าง*"),"ว่าง",COUNTIF(C2248,"&lt;&gt;ตำแหน่งว่าง*"),"คนครอง")</f>
        <v>คนครอง</v>
      </c>
      <c r="W2248" s="6" cm="1">
        <f t="array" ref="W2248">_xlfn.IFS(COUNTIF(F2248,"ผบ.หมู่*"),51,COUNTIF(F2248,"รอง สว.*"),43)</f>
        <v>51</v>
      </c>
      <c r="X2248" s="1" t="s">
        <v>6704</v>
      </c>
      <c r="Y2248" s="1" t="s">
        <v>52</v>
      </c>
    </row>
    <row r="2249" spans="1:25" s="10" customFormat="1" ht="21.3" customHeight="1">
      <c r="A2249" s="27" t="s">
        <v>612</v>
      </c>
      <c r="B2249" s="28" t="s">
        <v>12</v>
      </c>
      <c r="C2249" s="27" t="s">
        <v>6706</v>
      </c>
      <c r="D2249" s="27" t="s">
        <v>10309</v>
      </c>
      <c r="E2249" s="27" t="s">
        <v>10310</v>
      </c>
      <c r="F2249" s="27" t="s">
        <v>6696</v>
      </c>
      <c r="G2249" s="101" t="s">
        <v>6708</v>
      </c>
      <c r="H2249" s="91">
        <v>44999</v>
      </c>
      <c r="I2249" s="73">
        <v>42156</v>
      </c>
      <c r="J2249" s="73">
        <v>42156</v>
      </c>
      <c r="K2249" s="73">
        <v>32780</v>
      </c>
      <c r="L2249" s="11" t="s">
        <v>82</v>
      </c>
      <c r="M2249" s="1" t="s">
        <v>57</v>
      </c>
      <c r="N2249" s="112" t="s">
        <v>14</v>
      </c>
      <c r="O2249" s="104" t="s">
        <v>52</v>
      </c>
      <c r="P2249" s="104" t="s">
        <v>52</v>
      </c>
      <c r="Q2249" s="105"/>
      <c r="R2249" s="28" t="s">
        <v>74</v>
      </c>
      <c r="S2249" s="225">
        <f t="shared" si="35"/>
        <v>54697</v>
      </c>
      <c r="T2249" s="7" t="s">
        <v>7668</v>
      </c>
      <c r="U2249" s="7" t="s">
        <v>141</v>
      </c>
      <c r="V2249" s="162" t="str" cm="1">
        <f t="array" ref="V2249">_xlfn.IFS(C2249="","",COUNTIF(C2249,"ตำแหน่งว่าง*"),"ว่าง",COUNTIF(C2249,"&lt;&gt;ตำแหน่งว่าง*"),"คนครอง")</f>
        <v>คนครอง</v>
      </c>
      <c r="W2249" s="6" cm="1">
        <f t="array" ref="W2249">_xlfn.IFS(COUNTIF(F2249,"ผบ.หมู่*"),51,COUNTIF(F2249,"รอง สว.*"),43)</f>
        <v>51</v>
      </c>
      <c r="X2249" s="1" t="s">
        <v>6707</v>
      </c>
      <c r="Y2249" s="1" t="s">
        <v>52</v>
      </c>
    </row>
    <row r="2250" spans="1:25" s="9" customFormat="1" ht="21.3" customHeight="1">
      <c r="A2250" s="27" t="s">
        <v>208</v>
      </c>
      <c r="B2250" s="28" t="s">
        <v>12</v>
      </c>
      <c r="C2250" s="27" t="s">
        <v>7766</v>
      </c>
      <c r="D2250" s="27" t="s">
        <v>10311</v>
      </c>
      <c r="E2250" s="27" t="s">
        <v>10312</v>
      </c>
      <c r="F2250" s="27" t="s">
        <v>6696</v>
      </c>
      <c r="G2250" s="101" t="s">
        <v>6710</v>
      </c>
      <c r="H2250" s="91">
        <v>45322</v>
      </c>
      <c r="I2250" s="73">
        <v>43693</v>
      </c>
      <c r="J2250" s="73">
        <v>43693</v>
      </c>
      <c r="K2250" s="73">
        <v>32317</v>
      </c>
      <c r="L2250" s="11" t="s">
        <v>82</v>
      </c>
      <c r="M2250" s="1" t="s">
        <v>35</v>
      </c>
      <c r="N2250" s="112" t="s">
        <v>14</v>
      </c>
      <c r="O2250" s="104" t="s">
        <v>52</v>
      </c>
      <c r="P2250" s="104" t="s">
        <v>52</v>
      </c>
      <c r="Q2250" s="105"/>
      <c r="R2250" s="30" t="s">
        <v>7708</v>
      </c>
      <c r="S2250" s="225">
        <f t="shared" si="35"/>
        <v>54332</v>
      </c>
      <c r="T2250" s="2" t="s">
        <v>7668</v>
      </c>
      <c r="U2250" s="7" t="s">
        <v>141</v>
      </c>
      <c r="V2250" s="162" t="str" cm="1">
        <f t="array" ref="V2250">_xlfn.IFS(C2250="","",COUNTIF(C2250,"ตำแหน่งว่าง*"),"ว่าง",COUNTIF(C2250,"&lt;&gt;ตำแหน่งว่าง*"),"คนครอง")</f>
        <v>คนครอง</v>
      </c>
      <c r="W2250" s="6" cm="1">
        <f t="array" ref="W2250">_xlfn.IFS(COUNTIF(F2250,"ผบ.หมู่*"),51,COUNTIF(F2250,"รอง สว.*"),43)</f>
        <v>51</v>
      </c>
      <c r="X2250" s="1" t="s">
        <v>6709</v>
      </c>
      <c r="Y2250" s="1" t="s">
        <v>52</v>
      </c>
    </row>
    <row r="2251" spans="1:25" s="10" customFormat="1" ht="21.3" customHeight="1">
      <c r="A2251" s="27" t="s">
        <v>208</v>
      </c>
      <c r="B2251" s="28" t="s">
        <v>12</v>
      </c>
      <c r="C2251" s="27" t="s">
        <v>7758</v>
      </c>
      <c r="D2251" s="27" t="s">
        <v>10313</v>
      </c>
      <c r="E2251" s="27" t="s">
        <v>10314</v>
      </c>
      <c r="F2251" s="27" t="s">
        <v>6696</v>
      </c>
      <c r="G2251" s="101" t="s">
        <v>6712</v>
      </c>
      <c r="H2251" s="91">
        <v>45322</v>
      </c>
      <c r="I2251" s="73">
        <v>43693</v>
      </c>
      <c r="J2251" s="73">
        <v>43693</v>
      </c>
      <c r="K2251" s="73">
        <v>32544</v>
      </c>
      <c r="L2251" s="11" t="s">
        <v>82</v>
      </c>
      <c r="M2251" s="1" t="s">
        <v>35</v>
      </c>
      <c r="N2251" s="112" t="s">
        <v>14</v>
      </c>
      <c r="O2251" s="104" t="s">
        <v>52</v>
      </c>
      <c r="P2251" s="104" t="s">
        <v>52</v>
      </c>
      <c r="Q2251" s="105"/>
      <c r="R2251" s="30" t="s">
        <v>7708</v>
      </c>
      <c r="S2251" s="225">
        <f t="shared" si="35"/>
        <v>54697</v>
      </c>
      <c r="T2251" s="7" t="s">
        <v>7668</v>
      </c>
      <c r="U2251" s="7" t="s">
        <v>141</v>
      </c>
      <c r="V2251" s="162" t="str" cm="1">
        <f t="array" ref="V2251">_xlfn.IFS(C2251="","",COUNTIF(C2251,"ตำแหน่งว่าง*"),"ว่าง",COUNTIF(C2251,"&lt;&gt;ตำแหน่งว่าง*"),"คนครอง")</f>
        <v>คนครอง</v>
      </c>
      <c r="W2251" s="6" cm="1">
        <f t="array" ref="W2251">_xlfn.IFS(COUNTIF(F2251,"ผบ.หมู่*"),51,COUNTIF(F2251,"รอง สว.*"),43)</f>
        <v>51</v>
      </c>
      <c r="X2251" s="1" t="s">
        <v>6711</v>
      </c>
      <c r="Y2251" s="1" t="s">
        <v>52</v>
      </c>
    </row>
    <row r="2252" spans="1:25" s="40" customFormat="1" ht="21.3" customHeight="1">
      <c r="A2252" s="27"/>
      <c r="B2252" s="28"/>
      <c r="C2252" s="27" t="s">
        <v>18</v>
      </c>
      <c r="D2252" s="27"/>
      <c r="E2252" s="27"/>
      <c r="F2252" s="27" t="s">
        <v>6696</v>
      </c>
      <c r="G2252" s="101" t="s">
        <v>6715</v>
      </c>
      <c r="H2252" s="91"/>
      <c r="I2252" s="73"/>
      <c r="J2252" s="73"/>
      <c r="K2252" s="73"/>
      <c r="L2252" s="11"/>
      <c r="M2252" s="1"/>
      <c r="N2252" s="112" t="s">
        <v>14</v>
      </c>
      <c r="O2252" s="104" t="s">
        <v>52</v>
      </c>
      <c r="P2252" s="104" t="s">
        <v>52</v>
      </c>
      <c r="Q2252" s="105"/>
      <c r="R2252" s="28"/>
      <c r="S2252" s="174" t="str">
        <f t="shared" si="35"/>
        <v/>
      </c>
      <c r="T2252" s="27" t="s">
        <v>7668</v>
      </c>
      <c r="U2252" s="2" t="s">
        <v>141</v>
      </c>
      <c r="V2252" s="2" t="str" cm="1">
        <f t="array" ref="V2252">_xlfn.IFS(C2252="","",COUNTIF(C2252,"ตำแหน่งว่าง*"),"ว่าง",COUNTIF(C2252,"&lt;&gt;ตำแหน่งว่าง*"),"คนครอง")</f>
        <v>ว่าง</v>
      </c>
      <c r="W2252" s="1" cm="1">
        <f t="array" ref="W2252">_xlfn.IFS(COUNTIF(F2252,"ผบ.หมู่*"),51,COUNTIF(F2252,"รอง สว.*"),43)</f>
        <v>51</v>
      </c>
      <c r="X2252" s="1" t="s">
        <v>6714</v>
      </c>
      <c r="Y2252" s="1" t="s">
        <v>52</v>
      </c>
    </row>
    <row r="2253" spans="1:25" s="41" customFormat="1" ht="21.3" customHeight="1">
      <c r="A2253" s="27" t="s">
        <v>157</v>
      </c>
      <c r="B2253" s="28" t="s">
        <v>12</v>
      </c>
      <c r="C2253" s="27" t="s">
        <v>6717</v>
      </c>
      <c r="D2253" s="27" t="s">
        <v>8123</v>
      </c>
      <c r="E2253" s="27" t="s">
        <v>10317</v>
      </c>
      <c r="F2253" s="27" t="s">
        <v>6696</v>
      </c>
      <c r="G2253" s="101" t="s">
        <v>6719</v>
      </c>
      <c r="H2253" s="91">
        <v>44243</v>
      </c>
      <c r="I2253" s="73">
        <v>40339</v>
      </c>
      <c r="J2253" s="73">
        <v>40339</v>
      </c>
      <c r="K2253" s="73">
        <v>31579</v>
      </c>
      <c r="L2253" s="11" t="s">
        <v>6720</v>
      </c>
      <c r="M2253" s="1" t="s">
        <v>93</v>
      </c>
      <c r="N2253" s="112" t="s">
        <v>14</v>
      </c>
      <c r="O2253" s="104" t="s">
        <v>52</v>
      </c>
      <c r="P2253" s="104" t="s">
        <v>52</v>
      </c>
      <c r="Q2253" s="105"/>
      <c r="R2253" s="28" t="s">
        <v>617</v>
      </c>
      <c r="S2253" s="225">
        <f t="shared" si="35"/>
        <v>53601</v>
      </c>
      <c r="T2253" s="27" t="s">
        <v>7668</v>
      </c>
      <c r="U2253" s="7" t="s">
        <v>141</v>
      </c>
      <c r="V2253" s="162" t="str" cm="1">
        <f t="array" ref="V2253">_xlfn.IFS(C2253="","",COUNTIF(C2253,"ตำแหน่งว่าง*"),"ว่าง",COUNTIF(C2253,"&lt;&gt;ตำแหน่งว่าง*"),"คนครอง")</f>
        <v>คนครอง</v>
      </c>
      <c r="W2253" s="6" cm="1">
        <f t="array" ref="W2253">_xlfn.IFS(COUNTIF(F2253,"ผบ.หมู่*"),51,COUNTIF(F2253,"รอง สว.*"),43)</f>
        <v>51</v>
      </c>
      <c r="X2253" s="1" t="s">
        <v>6718</v>
      </c>
      <c r="Y2253" s="1" t="s">
        <v>52</v>
      </c>
    </row>
    <row r="2254" spans="1:25" s="9" customFormat="1" ht="21.3" customHeight="1">
      <c r="A2254" s="68"/>
      <c r="B2254" s="30"/>
      <c r="C2254" s="30" t="s">
        <v>18</v>
      </c>
      <c r="D2254" s="27"/>
      <c r="E2254" s="27"/>
      <c r="F2254" s="68" t="s">
        <v>6696</v>
      </c>
      <c r="G2254" s="121" t="s">
        <v>6722</v>
      </c>
      <c r="H2254" s="93" t="s">
        <v>19</v>
      </c>
      <c r="I2254" s="74" t="s">
        <v>19</v>
      </c>
      <c r="J2254" s="74" t="s">
        <v>19</v>
      </c>
      <c r="K2254" s="74" t="s">
        <v>19</v>
      </c>
      <c r="L2254" s="16"/>
      <c r="M2254" s="6"/>
      <c r="N2254" s="113" t="s">
        <v>14</v>
      </c>
      <c r="O2254" s="122" t="s">
        <v>52</v>
      </c>
      <c r="P2254" s="122" t="s">
        <v>52</v>
      </c>
      <c r="Q2254" s="106"/>
      <c r="R2254" s="30"/>
      <c r="S2254" s="225" t="str">
        <f t="shared" si="35"/>
        <v/>
      </c>
      <c r="T2254" s="2" t="s">
        <v>7668</v>
      </c>
      <c r="U2254" s="7" t="s">
        <v>141</v>
      </c>
      <c r="V2254" s="162" t="str" cm="1">
        <f t="array" ref="V2254">_xlfn.IFS(C2254="","",COUNTIF(C2254,"ตำแหน่งว่าง*"),"ว่าง",COUNTIF(C2254,"&lt;&gt;ตำแหน่งว่าง*"),"คนครอง")</f>
        <v>ว่าง</v>
      </c>
      <c r="W2254" s="5" cm="1">
        <f t="array" ref="W2254">_xlfn.IFS(COUNTIF(F2254,"ผบ.หมู่*"),51,COUNTIF(F2254,"รอง สว.*"),43)</f>
        <v>51</v>
      </c>
      <c r="X2254" s="6" t="s">
        <v>6721</v>
      </c>
      <c r="Y2254" s="6" t="s">
        <v>52</v>
      </c>
    </row>
    <row r="2255" spans="1:25" s="41" customFormat="1" ht="21.3" customHeight="1">
      <c r="A2255" s="27"/>
      <c r="B2255" s="28"/>
      <c r="C2255" s="30" t="s">
        <v>18</v>
      </c>
      <c r="D2255" s="27"/>
      <c r="E2255" s="27"/>
      <c r="F2255" s="68" t="s">
        <v>6696</v>
      </c>
      <c r="G2255" s="121" t="s">
        <v>6724</v>
      </c>
      <c r="H2255" s="93"/>
      <c r="I2255" s="74"/>
      <c r="J2255" s="74"/>
      <c r="K2255" s="74"/>
      <c r="L2255" s="16"/>
      <c r="M2255" s="6"/>
      <c r="N2255" s="113" t="s">
        <v>14</v>
      </c>
      <c r="O2255" s="122" t="s">
        <v>52</v>
      </c>
      <c r="P2255" s="122" t="s">
        <v>52</v>
      </c>
      <c r="Q2255" s="106"/>
      <c r="R2255" s="30"/>
      <c r="S2255" s="225" t="str">
        <f t="shared" si="35"/>
        <v/>
      </c>
      <c r="T2255" s="27" t="s">
        <v>7668</v>
      </c>
      <c r="U2255" s="7" t="s">
        <v>141</v>
      </c>
      <c r="V2255" s="162" t="str" cm="1">
        <f t="array" ref="V2255">_xlfn.IFS(C2255="","",COUNTIF(C2255,"ตำแหน่งว่าง*"),"ว่าง",COUNTIF(C2255,"&lt;&gt;ตำแหน่งว่าง*"),"คนครอง")</f>
        <v>ว่าง</v>
      </c>
      <c r="W2255" s="6" cm="1">
        <f t="array" ref="W2255">_xlfn.IFS(COUNTIF(F2255,"ผบ.หมู่*"),51,COUNTIF(F2255,"รอง สว.*"),43)</f>
        <v>51</v>
      </c>
      <c r="X2255" s="6" t="s">
        <v>6723</v>
      </c>
      <c r="Y2255" s="6" t="s">
        <v>52</v>
      </c>
    </row>
    <row r="2256" spans="1:25" s="9" customFormat="1" ht="21.3" customHeight="1">
      <c r="A2256" s="132" t="s">
        <v>10753</v>
      </c>
      <c r="B2256" s="28" t="s">
        <v>21</v>
      </c>
      <c r="C2256" s="27" t="s">
        <v>6726</v>
      </c>
      <c r="D2256" s="27" t="s">
        <v>8115</v>
      </c>
      <c r="E2256" s="27" t="s">
        <v>10318</v>
      </c>
      <c r="F2256" s="27" t="s">
        <v>6700</v>
      </c>
      <c r="G2256" s="101" t="s">
        <v>6728</v>
      </c>
      <c r="H2256" s="91">
        <v>45382</v>
      </c>
      <c r="I2256" s="73">
        <v>45382</v>
      </c>
      <c r="J2256" s="73">
        <v>34729</v>
      </c>
      <c r="K2256" s="73">
        <v>26045</v>
      </c>
      <c r="L2256" s="11" t="s">
        <v>2314</v>
      </c>
      <c r="M2256" s="1" t="s">
        <v>85</v>
      </c>
      <c r="N2256" s="112" t="s">
        <v>14</v>
      </c>
      <c r="O2256" s="104" t="s">
        <v>52</v>
      </c>
      <c r="P2256" s="104" t="s">
        <v>52</v>
      </c>
      <c r="Q2256" s="105"/>
      <c r="R2256" s="33" t="s">
        <v>7801</v>
      </c>
      <c r="S2256" s="225">
        <f t="shared" si="35"/>
        <v>48122</v>
      </c>
      <c r="T2256" s="2" t="s">
        <v>7668</v>
      </c>
      <c r="U2256" s="7" t="s">
        <v>141</v>
      </c>
      <c r="V2256" s="162" t="str" cm="1">
        <f t="array" ref="V2256">_xlfn.IFS(C2256="","",COUNTIF(C2256,"ตำแหน่งว่าง*"),"ว่าง",COUNTIF(C2256,"&lt;&gt;ตำแหน่งว่าง*"),"คนครอง")</f>
        <v>คนครอง</v>
      </c>
      <c r="W2256" s="6" cm="1">
        <f t="array" ref="W2256">_xlfn.IFS(COUNTIF(F2256,"ผบ.หมู่*"),51,COUNTIF(F2256,"รอง สว.*"),43)</f>
        <v>43</v>
      </c>
      <c r="X2256" s="1" t="s">
        <v>6727</v>
      </c>
      <c r="Y2256" s="1" t="s">
        <v>52</v>
      </c>
    </row>
    <row r="2257" spans="1:25" s="9" customFormat="1" ht="21.3" customHeight="1">
      <c r="A2257" s="27"/>
      <c r="B2257" s="28"/>
      <c r="C2257" s="30" t="s">
        <v>18</v>
      </c>
      <c r="D2257" s="27"/>
      <c r="E2257" s="27"/>
      <c r="F2257" s="68" t="s">
        <v>6696</v>
      </c>
      <c r="G2257" s="121" t="s">
        <v>6731</v>
      </c>
      <c r="H2257" s="93"/>
      <c r="I2257" s="74"/>
      <c r="J2257" s="74"/>
      <c r="K2257" s="74"/>
      <c r="L2257" s="16"/>
      <c r="M2257" s="6"/>
      <c r="N2257" s="113" t="s">
        <v>14</v>
      </c>
      <c r="O2257" s="122" t="s">
        <v>52</v>
      </c>
      <c r="P2257" s="122" t="s">
        <v>52</v>
      </c>
      <c r="Q2257" s="106"/>
      <c r="R2257" s="30"/>
      <c r="S2257" s="225" t="str">
        <f t="shared" si="35"/>
        <v/>
      </c>
      <c r="T2257" s="2" t="s">
        <v>7668</v>
      </c>
      <c r="U2257" s="7" t="s">
        <v>141</v>
      </c>
      <c r="V2257" s="162" t="str" cm="1">
        <f t="array" ref="V2257">_xlfn.IFS(C2257="","",COUNTIF(C2257,"ตำแหน่งว่าง*"),"ว่าง",COUNTIF(C2257,"&lt;&gt;ตำแหน่งว่าง*"),"คนครอง")</f>
        <v>ว่าง</v>
      </c>
      <c r="W2257" s="6" cm="1">
        <f t="array" ref="W2257">_xlfn.IFS(COUNTIF(F2257,"ผบ.หมู่*"),51,COUNTIF(F2257,"รอง สว.*"),43)</f>
        <v>51</v>
      </c>
      <c r="X2257" s="6" t="s">
        <v>6730</v>
      </c>
      <c r="Y2257" s="6" t="s">
        <v>52</v>
      </c>
    </row>
    <row r="2258" spans="1:25" s="10" customFormat="1" ht="21.3" customHeight="1">
      <c r="A2258" s="27"/>
      <c r="B2258" s="28"/>
      <c r="C2258" s="30" t="s">
        <v>18</v>
      </c>
      <c r="D2258" s="27"/>
      <c r="E2258" s="27"/>
      <c r="F2258" s="68" t="s">
        <v>6696</v>
      </c>
      <c r="G2258" s="121" t="s">
        <v>6734</v>
      </c>
      <c r="H2258" s="91" t="s">
        <v>19</v>
      </c>
      <c r="I2258" s="73" t="s">
        <v>19</v>
      </c>
      <c r="J2258" s="73" t="s">
        <v>19</v>
      </c>
      <c r="K2258" s="73" t="s">
        <v>19</v>
      </c>
      <c r="L2258" s="11"/>
      <c r="M2258" s="1"/>
      <c r="N2258" s="113" t="s">
        <v>14</v>
      </c>
      <c r="O2258" s="122" t="s">
        <v>52</v>
      </c>
      <c r="P2258" s="122" t="s">
        <v>52</v>
      </c>
      <c r="Q2258" s="105"/>
      <c r="R2258" s="28"/>
      <c r="S2258" s="225" t="str">
        <f t="shared" si="35"/>
        <v/>
      </c>
      <c r="T2258" s="7" t="s">
        <v>7668</v>
      </c>
      <c r="U2258" s="7" t="s">
        <v>141</v>
      </c>
      <c r="V2258" s="162" t="str" cm="1">
        <f t="array" ref="V2258">_xlfn.IFS(C2258="","",COUNTIF(C2258,"ตำแหน่งว่าง*"),"ว่าง",COUNTIF(C2258,"&lt;&gt;ตำแหน่งว่าง*"),"คนครอง")</f>
        <v>ว่าง</v>
      </c>
      <c r="W2258" s="6" cm="1">
        <f t="array" ref="W2258">_xlfn.IFS(COUNTIF(F2258,"ผบ.หมู่*"),51,COUNTIF(F2258,"รอง สว.*"),43)</f>
        <v>51</v>
      </c>
      <c r="X2258" s="6" t="s">
        <v>6733</v>
      </c>
      <c r="Y2258" s="6" t="s">
        <v>52</v>
      </c>
    </row>
    <row r="2259" spans="1:25" s="12" customFormat="1" ht="21.3" customHeight="1">
      <c r="A2259" s="27" t="s">
        <v>612</v>
      </c>
      <c r="B2259" s="28" t="s">
        <v>12</v>
      </c>
      <c r="C2259" s="95" t="s">
        <v>6735</v>
      </c>
      <c r="D2259" s="27" t="s">
        <v>10319</v>
      </c>
      <c r="E2259" s="27" t="s">
        <v>10320</v>
      </c>
      <c r="F2259" s="27" t="s">
        <v>6696</v>
      </c>
      <c r="G2259" s="101" t="s">
        <v>6737</v>
      </c>
      <c r="H2259" s="91">
        <v>42501</v>
      </c>
      <c r="I2259" s="73">
        <v>42416</v>
      </c>
      <c r="J2259" s="73">
        <v>42416</v>
      </c>
      <c r="K2259" s="73">
        <v>31804</v>
      </c>
      <c r="L2259" s="11" t="s">
        <v>4073</v>
      </c>
      <c r="M2259" s="1" t="s">
        <v>93</v>
      </c>
      <c r="N2259" s="111" t="s">
        <v>14</v>
      </c>
      <c r="O2259" s="104" t="s">
        <v>52</v>
      </c>
      <c r="P2259" s="104" t="s">
        <v>52</v>
      </c>
      <c r="Q2259" s="105"/>
      <c r="R2259" s="28" t="s">
        <v>142</v>
      </c>
      <c r="S2259" s="225">
        <f t="shared" si="35"/>
        <v>53966</v>
      </c>
      <c r="T2259" s="162" t="s">
        <v>7668</v>
      </c>
      <c r="U2259" s="7" t="s">
        <v>141</v>
      </c>
      <c r="V2259" s="162" t="str" cm="1">
        <f t="array" ref="V2259">_xlfn.IFS(C2259="","",COUNTIF(C2259,"ตำแหน่งว่าง*"),"ว่าง",COUNTIF(C2259,"&lt;&gt;ตำแหน่งว่าง*"),"คนครอง")</f>
        <v>คนครอง</v>
      </c>
      <c r="W2259" s="6" cm="1">
        <f t="array" ref="W2259">_xlfn.IFS(COUNTIF(F2259,"ผบ.หมู่*"),51,COUNTIF(F2259,"รอง สว.*"),43)</f>
        <v>51</v>
      </c>
      <c r="X2259" s="5" t="s">
        <v>6736</v>
      </c>
      <c r="Y2259" s="5" t="s">
        <v>52</v>
      </c>
    </row>
    <row r="2260" spans="1:25" s="10" customFormat="1" ht="21.3" customHeight="1">
      <c r="A2260" s="27"/>
      <c r="B2260" s="28"/>
      <c r="C2260" s="30" t="s">
        <v>18</v>
      </c>
      <c r="D2260" s="27"/>
      <c r="E2260" s="27"/>
      <c r="F2260" s="68" t="s">
        <v>6696</v>
      </c>
      <c r="G2260" s="121" t="s">
        <v>6739</v>
      </c>
      <c r="H2260" s="91" t="s">
        <v>19</v>
      </c>
      <c r="I2260" s="73" t="s">
        <v>19</v>
      </c>
      <c r="J2260" s="73" t="s">
        <v>19</v>
      </c>
      <c r="K2260" s="73" t="s">
        <v>19</v>
      </c>
      <c r="L2260" s="11"/>
      <c r="M2260" s="1"/>
      <c r="N2260" s="113" t="s">
        <v>14</v>
      </c>
      <c r="O2260" s="122" t="s">
        <v>52</v>
      </c>
      <c r="P2260" s="122" t="s">
        <v>52</v>
      </c>
      <c r="Q2260" s="105"/>
      <c r="R2260" s="28"/>
      <c r="S2260" s="225" t="str">
        <f t="shared" si="35"/>
        <v/>
      </c>
      <c r="T2260" s="7" t="s">
        <v>7668</v>
      </c>
      <c r="U2260" s="7" t="s">
        <v>141</v>
      </c>
      <c r="V2260" s="162" t="str" cm="1">
        <f t="array" ref="V2260">_xlfn.IFS(C2260="","",COUNTIF(C2260,"ตำแหน่งว่าง*"),"ว่าง",COUNTIF(C2260,"&lt;&gt;ตำแหน่งว่าง*"),"คนครอง")</f>
        <v>ว่าง</v>
      </c>
      <c r="W2260" s="6" cm="1">
        <f t="array" ref="W2260">_xlfn.IFS(COUNTIF(F2260,"ผบ.หมู่*"),51,COUNTIF(F2260,"รอง สว.*"),43)</f>
        <v>51</v>
      </c>
      <c r="X2260" s="6" t="s">
        <v>6738</v>
      </c>
      <c r="Y2260" s="6" t="s">
        <v>52</v>
      </c>
    </row>
    <row r="2261" spans="1:25" s="10" customFormat="1" ht="21.3" customHeight="1">
      <c r="A2261" s="27"/>
      <c r="B2261" s="28"/>
      <c r="C2261" s="30" t="s">
        <v>18</v>
      </c>
      <c r="D2261" s="27"/>
      <c r="E2261" s="27"/>
      <c r="F2261" s="68" t="s">
        <v>6696</v>
      </c>
      <c r="G2261" s="121" t="s">
        <v>6741</v>
      </c>
      <c r="H2261" s="91" t="s">
        <v>19</v>
      </c>
      <c r="I2261" s="73" t="s">
        <v>19</v>
      </c>
      <c r="J2261" s="73" t="s">
        <v>19</v>
      </c>
      <c r="K2261" s="73" t="s">
        <v>19</v>
      </c>
      <c r="L2261" s="11"/>
      <c r="M2261" s="1"/>
      <c r="N2261" s="113" t="s">
        <v>14</v>
      </c>
      <c r="O2261" s="122" t="s">
        <v>52</v>
      </c>
      <c r="P2261" s="122" t="s">
        <v>52</v>
      </c>
      <c r="Q2261" s="105"/>
      <c r="R2261" s="28"/>
      <c r="S2261" s="225" t="str">
        <f t="shared" si="35"/>
        <v/>
      </c>
      <c r="T2261" s="7" t="s">
        <v>7668</v>
      </c>
      <c r="U2261" s="7" t="s">
        <v>141</v>
      </c>
      <c r="V2261" s="162" t="str" cm="1">
        <f t="array" ref="V2261">_xlfn.IFS(C2261="","",COUNTIF(C2261,"ตำแหน่งว่าง*"),"ว่าง",COUNTIF(C2261,"&lt;&gt;ตำแหน่งว่าง*"),"คนครอง")</f>
        <v>ว่าง</v>
      </c>
      <c r="W2261" s="6" cm="1">
        <f t="array" ref="W2261">_xlfn.IFS(COUNTIF(F2261,"ผบ.หมู่*"),51,COUNTIF(F2261,"รอง สว.*"),43)</f>
        <v>51</v>
      </c>
      <c r="X2261" s="6" t="s">
        <v>6740</v>
      </c>
      <c r="Y2261" s="6" t="s">
        <v>52</v>
      </c>
    </row>
    <row r="2262" spans="1:25" s="12" customFormat="1" ht="21.3" customHeight="1">
      <c r="A2262" s="27" t="s">
        <v>157</v>
      </c>
      <c r="B2262" s="28" t="s">
        <v>12</v>
      </c>
      <c r="C2262" s="95" t="s">
        <v>6742</v>
      </c>
      <c r="D2262" s="27" t="s">
        <v>8287</v>
      </c>
      <c r="E2262" s="27" t="s">
        <v>8321</v>
      </c>
      <c r="F2262" s="95" t="s">
        <v>6696</v>
      </c>
      <c r="G2262" s="101" t="s">
        <v>6744</v>
      </c>
      <c r="H2262" s="91">
        <v>42604</v>
      </c>
      <c r="I2262" s="73">
        <v>40339</v>
      </c>
      <c r="J2262" s="73">
        <v>40339</v>
      </c>
      <c r="K2262" s="73">
        <v>30834</v>
      </c>
      <c r="L2262" s="11" t="s">
        <v>6745</v>
      </c>
      <c r="M2262" s="1" t="s">
        <v>93</v>
      </c>
      <c r="N2262" s="111" t="s">
        <v>14</v>
      </c>
      <c r="O2262" s="104" t="s">
        <v>52</v>
      </c>
      <c r="P2262" s="104" t="s">
        <v>52</v>
      </c>
      <c r="Q2262" s="105"/>
      <c r="R2262" s="28" t="s">
        <v>6746</v>
      </c>
      <c r="S2262" s="225">
        <f t="shared" si="35"/>
        <v>52871</v>
      </c>
      <c r="T2262" s="162" t="s">
        <v>7668</v>
      </c>
      <c r="U2262" s="7" t="s">
        <v>141</v>
      </c>
      <c r="V2262" s="162" t="str" cm="1">
        <f t="array" ref="V2262">_xlfn.IFS(C2262="","",COUNTIF(C2262,"ตำแหน่งว่าง*"),"ว่าง",COUNTIF(C2262,"&lt;&gt;ตำแหน่งว่าง*"),"คนครอง")</f>
        <v>คนครอง</v>
      </c>
      <c r="W2262" s="6" cm="1">
        <f t="array" ref="W2262">_xlfn.IFS(COUNTIF(F2262,"ผบ.หมู่*"),51,COUNTIF(F2262,"รอง สว.*"),43)</f>
        <v>51</v>
      </c>
      <c r="X2262" s="5" t="s">
        <v>6743</v>
      </c>
      <c r="Y2262" s="5" t="s">
        <v>52</v>
      </c>
    </row>
    <row r="2263" spans="1:25" s="12" customFormat="1" ht="21.3" customHeight="1">
      <c r="A2263" s="27" t="s">
        <v>157</v>
      </c>
      <c r="B2263" s="28" t="s">
        <v>21</v>
      </c>
      <c r="C2263" s="95" t="s">
        <v>6747</v>
      </c>
      <c r="D2263" s="27" t="s">
        <v>10321</v>
      </c>
      <c r="E2263" s="27" t="s">
        <v>10322</v>
      </c>
      <c r="F2263" s="95" t="s">
        <v>6748</v>
      </c>
      <c r="G2263" s="101" t="s">
        <v>6750</v>
      </c>
      <c r="H2263" s="91">
        <v>42501</v>
      </c>
      <c r="I2263" s="73">
        <v>34729</v>
      </c>
      <c r="J2263" s="73">
        <v>34729</v>
      </c>
      <c r="K2263" s="73">
        <v>27377</v>
      </c>
      <c r="L2263" s="11" t="s">
        <v>2314</v>
      </c>
      <c r="M2263" s="1" t="s">
        <v>6751</v>
      </c>
      <c r="N2263" s="111" t="s">
        <v>14</v>
      </c>
      <c r="O2263" s="104" t="s">
        <v>52</v>
      </c>
      <c r="P2263" s="104" t="s">
        <v>52</v>
      </c>
      <c r="Q2263" s="105"/>
      <c r="R2263" s="28" t="s">
        <v>142</v>
      </c>
      <c r="S2263" s="225">
        <f t="shared" si="35"/>
        <v>49583</v>
      </c>
      <c r="T2263" s="162" t="s">
        <v>7669</v>
      </c>
      <c r="U2263" s="7" t="s">
        <v>141</v>
      </c>
      <c r="V2263" s="162" t="str" cm="1">
        <f t="array" ref="V2263">_xlfn.IFS(C2263="","",COUNTIF(C2263,"ตำแหน่งว่าง*"),"ว่าง",COUNTIF(C2263,"&lt;&gt;ตำแหน่งว่าง*"),"คนครอง")</f>
        <v>คนครอง</v>
      </c>
      <c r="W2263" s="6" cm="1">
        <f t="array" ref="W2263">_xlfn.IFS(COUNTIF(F2263,"ผบ.หมู่*"),51,COUNTIF(F2263,"รอง สว.*"),43)</f>
        <v>51</v>
      </c>
      <c r="X2263" s="5" t="s">
        <v>6749</v>
      </c>
      <c r="Y2263" s="5" t="s">
        <v>52</v>
      </c>
    </row>
    <row r="2264" spans="1:25" s="9" customFormat="1" ht="21.3" customHeight="1">
      <c r="A2264" s="27" t="s">
        <v>182</v>
      </c>
      <c r="B2264" s="28" t="s">
        <v>12</v>
      </c>
      <c r="C2264" s="27" t="s">
        <v>6752</v>
      </c>
      <c r="D2264" s="27" t="s">
        <v>8078</v>
      </c>
      <c r="E2264" s="27" t="s">
        <v>10323</v>
      </c>
      <c r="F2264" s="27" t="s">
        <v>6748</v>
      </c>
      <c r="G2264" s="101" t="s">
        <v>6754</v>
      </c>
      <c r="H2264" s="91">
        <v>44043</v>
      </c>
      <c r="I2264" s="73">
        <v>44043</v>
      </c>
      <c r="J2264" s="73">
        <v>44043</v>
      </c>
      <c r="K2264" s="73">
        <v>31621</v>
      </c>
      <c r="L2264" s="11" t="s">
        <v>82</v>
      </c>
      <c r="M2264" s="1" t="s">
        <v>6755</v>
      </c>
      <c r="N2264" s="112" t="s">
        <v>14</v>
      </c>
      <c r="O2264" s="104" t="s">
        <v>52</v>
      </c>
      <c r="P2264" s="104" t="s">
        <v>52</v>
      </c>
      <c r="Q2264" s="105"/>
      <c r="R2264" s="28" t="s">
        <v>2436</v>
      </c>
      <c r="S2264" s="225">
        <f t="shared" si="35"/>
        <v>53601</v>
      </c>
      <c r="T2264" s="2" t="s">
        <v>7669</v>
      </c>
      <c r="U2264" s="7" t="s">
        <v>141</v>
      </c>
      <c r="V2264" s="162" t="str" cm="1">
        <f t="array" ref="V2264">_xlfn.IFS(C2264="","",COUNTIF(C2264,"ตำแหน่งว่าง*"),"ว่าง",COUNTIF(C2264,"&lt;&gt;ตำแหน่งว่าง*"),"คนครอง")</f>
        <v>คนครอง</v>
      </c>
      <c r="W2264" s="6" cm="1">
        <f t="array" ref="W2264">_xlfn.IFS(COUNTIF(F2264,"ผบ.หมู่*"),51,COUNTIF(F2264,"รอง สว.*"),43)</f>
        <v>51</v>
      </c>
      <c r="X2264" s="1" t="s">
        <v>6753</v>
      </c>
      <c r="Y2264" s="1" t="s">
        <v>52</v>
      </c>
    </row>
    <row r="2265" spans="1:25" s="12" customFormat="1" ht="21.3" customHeight="1">
      <c r="A2265" s="192" t="s">
        <v>169</v>
      </c>
      <c r="B2265" s="193" t="s">
        <v>12</v>
      </c>
      <c r="C2265" s="192" t="s">
        <v>7960</v>
      </c>
      <c r="D2265" s="27" t="s">
        <v>7982</v>
      </c>
      <c r="E2265" s="27" t="s">
        <v>10324</v>
      </c>
      <c r="F2265" s="192" t="s">
        <v>6748</v>
      </c>
      <c r="G2265" s="101" t="s">
        <v>6757</v>
      </c>
      <c r="H2265" s="73">
        <v>45463</v>
      </c>
      <c r="I2265" s="73">
        <v>45463</v>
      </c>
      <c r="J2265" s="73">
        <v>45463</v>
      </c>
      <c r="K2265" s="73">
        <v>34757</v>
      </c>
      <c r="L2265" s="2" t="s">
        <v>82</v>
      </c>
      <c r="M2265" s="1"/>
      <c r="N2265" s="112" t="s">
        <v>14</v>
      </c>
      <c r="O2265" s="104" t="s">
        <v>52</v>
      </c>
      <c r="P2265" s="104" t="s">
        <v>52</v>
      </c>
      <c r="Q2265" s="105"/>
      <c r="R2265" s="28" t="s">
        <v>7961</v>
      </c>
      <c r="S2265" s="174">
        <f t="shared" si="35"/>
        <v>56888</v>
      </c>
      <c r="T2265" s="2" t="s">
        <v>7669</v>
      </c>
      <c r="U2265" s="2" t="s">
        <v>141</v>
      </c>
      <c r="V2265" s="162" t="str" cm="1">
        <f t="array" ref="V2265">_xlfn.IFS(C2265="","",COUNTIF(C2265,"ตำแหน่งว่าง*"),"ว่าง",COUNTIF(C2265,"&lt;&gt;ตำแหน่งว่าง*"),"คนครอง")</f>
        <v>คนครอง</v>
      </c>
      <c r="W2265" s="1" cm="1">
        <f t="array" ref="W2265">_xlfn.IFS(COUNTIF(F2265,"ผบ.หมู่*"),51,COUNTIF(F2265,"รอง สว.*"),43)</f>
        <v>51</v>
      </c>
      <c r="X2265" s="1" t="s">
        <v>6756</v>
      </c>
      <c r="Y2265" s="1" t="s">
        <v>52</v>
      </c>
    </row>
    <row r="2266" spans="1:25" s="12" customFormat="1" ht="21.3" customHeight="1">
      <c r="A2266" s="27" t="s">
        <v>612</v>
      </c>
      <c r="B2266" s="28" t="s">
        <v>12</v>
      </c>
      <c r="C2266" s="95" t="s">
        <v>6758</v>
      </c>
      <c r="D2266" s="27" t="s">
        <v>10325</v>
      </c>
      <c r="E2266" s="27" t="s">
        <v>10326</v>
      </c>
      <c r="F2266" s="95" t="s">
        <v>6748</v>
      </c>
      <c r="G2266" s="101" t="s">
        <v>6760</v>
      </c>
      <c r="H2266" s="91">
        <v>42501</v>
      </c>
      <c r="I2266" s="73">
        <v>42416</v>
      </c>
      <c r="J2266" s="73">
        <v>42416</v>
      </c>
      <c r="K2266" s="73">
        <v>32471</v>
      </c>
      <c r="L2266" s="11" t="s">
        <v>4073</v>
      </c>
      <c r="M2266" s="1" t="s">
        <v>6761</v>
      </c>
      <c r="N2266" s="111" t="s">
        <v>14</v>
      </c>
      <c r="O2266" s="104" t="s">
        <v>52</v>
      </c>
      <c r="P2266" s="104" t="s">
        <v>52</v>
      </c>
      <c r="Q2266" s="105"/>
      <c r="R2266" s="28" t="s">
        <v>142</v>
      </c>
      <c r="S2266" s="225">
        <f t="shared" si="35"/>
        <v>54697</v>
      </c>
      <c r="T2266" s="162" t="s">
        <v>7669</v>
      </c>
      <c r="U2266" s="7" t="s">
        <v>141</v>
      </c>
      <c r="V2266" s="162" t="str" cm="1">
        <f t="array" ref="V2266">_xlfn.IFS(C2266="","",COUNTIF(C2266,"ตำแหน่งว่าง*"),"ว่าง",COUNTIF(C2266,"&lt;&gt;ตำแหน่งว่าง*"),"คนครอง")</f>
        <v>คนครอง</v>
      </c>
      <c r="W2266" s="6" cm="1">
        <f t="array" ref="W2266">_xlfn.IFS(COUNTIF(F2266,"ผบ.หมู่*"),51,COUNTIF(F2266,"รอง สว.*"),43)</f>
        <v>51</v>
      </c>
      <c r="X2266" s="5" t="s">
        <v>6759</v>
      </c>
      <c r="Y2266" s="5" t="s">
        <v>52</v>
      </c>
    </row>
    <row r="2267" spans="1:25" s="12" customFormat="1" ht="21.3" customHeight="1">
      <c r="A2267" s="27" t="s">
        <v>612</v>
      </c>
      <c r="B2267" s="28" t="s">
        <v>12</v>
      </c>
      <c r="C2267" s="95" t="s">
        <v>6762</v>
      </c>
      <c r="D2267" s="27" t="s">
        <v>10327</v>
      </c>
      <c r="E2267" s="27" t="s">
        <v>10328</v>
      </c>
      <c r="F2267" s="95" t="s">
        <v>6748</v>
      </c>
      <c r="G2267" s="101" t="s">
        <v>6764</v>
      </c>
      <c r="H2267" s="91">
        <v>42501</v>
      </c>
      <c r="I2267" s="73">
        <v>42416</v>
      </c>
      <c r="J2267" s="73">
        <v>42416</v>
      </c>
      <c r="K2267" s="73">
        <v>31902</v>
      </c>
      <c r="L2267" s="11" t="s">
        <v>4073</v>
      </c>
      <c r="M2267" s="1" t="s">
        <v>6765</v>
      </c>
      <c r="N2267" s="111" t="s">
        <v>14</v>
      </c>
      <c r="O2267" s="104" t="s">
        <v>52</v>
      </c>
      <c r="P2267" s="104" t="s">
        <v>52</v>
      </c>
      <c r="Q2267" s="105"/>
      <c r="R2267" s="28" t="s">
        <v>142</v>
      </c>
      <c r="S2267" s="225">
        <f t="shared" si="35"/>
        <v>53966</v>
      </c>
      <c r="T2267" s="162" t="s">
        <v>7669</v>
      </c>
      <c r="U2267" s="7" t="s">
        <v>141</v>
      </c>
      <c r="V2267" s="162" t="str" cm="1">
        <f t="array" ref="V2267">_xlfn.IFS(C2267="","",COUNTIF(C2267,"ตำแหน่งว่าง*"),"ว่าง",COUNTIF(C2267,"&lt;&gt;ตำแหน่งว่าง*"),"คนครอง")</f>
        <v>คนครอง</v>
      </c>
      <c r="W2267" s="6" cm="1">
        <f t="array" ref="W2267">_xlfn.IFS(COUNTIF(F2267,"ผบ.หมู่*"),51,COUNTIF(F2267,"รอง สว.*"),43)</f>
        <v>51</v>
      </c>
      <c r="X2267" s="5" t="s">
        <v>6763</v>
      </c>
      <c r="Y2267" s="5" t="s">
        <v>52</v>
      </c>
    </row>
    <row r="2268" spans="1:25" s="9" customFormat="1" ht="21.3" customHeight="1">
      <c r="A2268" s="27" t="s">
        <v>182</v>
      </c>
      <c r="B2268" s="28" t="s">
        <v>12</v>
      </c>
      <c r="C2268" s="27" t="s">
        <v>6766</v>
      </c>
      <c r="D2268" s="27" t="s">
        <v>10329</v>
      </c>
      <c r="E2268" s="27" t="s">
        <v>10330</v>
      </c>
      <c r="F2268" s="27" t="s">
        <v>6748</v>
      </c>
      <c r="G2268" s="101" t="s">
        <v>6768</v>
      </c>
      <c r="H2268" s="91">
        <v>44043</v>
      </c>
      <c r="I2268" s="73">
        <v>44043</v>
      </c>
      <c r="J2268" s="85">
        <v>44043</v>
      </c>
      <c r="K2268" s="73">
        <v>35369</v>
      </c>
      <c r="L2268" s="11" t="s">
        <v>82</v>
      </c>
      <c r="M2268" s="1" t="s">
        <v>6755</v>
      </c>
      <c r="N2268" s="112" t="s">
        <v>14</v>
      </c>
      <c r="O2268" s="104" t="s">
        <v>52</v>
      </c>
      <c r="P2268" s="104" t="s">
        <v>52</v>
      </c>
      <c r="Q2268" s="105"/>
      <c r="R2268" s="28" t="s">
        <v>2436</v>
      </c>
      <c r="S2268" s="225">
        <f t="shared" si="35"/>
        <v>57619</v>
      </c>
      <c r="T2268" s="2" t="s">
        <v>7669</v>
      </c>
      <c r="U2268" s="7" t="s">
        <v>141</v>
      </c>
      <c r="V2268" s="162" t="str" cm="1">
        <f t="array" ref="V2268">_xlfn.IFS(C2268="","",COUNTIF(C2268,"ตำแหน่งว่าง*"),"ว่าง",COUNTIF(C2268,"&lt;&gt;ตำแหน่งว่าง*"),"คนครอง")</f>
        <v>คนครอง</v>
      </c>
      <c r="W2268" s="6" cm="1">
        <f t="array" ref="W2268">_xlfn.IFS(COUNTIF(F2268,"ผบ.หมู่*"),51,COUNTIF(F2268,"รอง สว.*"),43)</f>
        <v>51</v>
      </c>
      <c r="X2268" s="1" t="s">
        <v>6767</v>
      </c>
      <c r="Y2268" s="1" t="s">
        <v>52</v>
      </c>
    </row>
    <row r="2269" spans="1:25" s="9" customFormat="1" ht="21.3" customHeight="1">
      <c r="A2269" s="27" t="s">
        <v>182</v>
      </c>
      <c r="B2269" s="28" t="s">
        <v>12</v>
      </c>
      <c r="C2269" s="27" t="s">
        <v>6769</v>
      </c>
      <c r="D2269" s="27" t="s">
        <v>10331</v>
      </c>
      <c r="E2269" s="27" t="s">
        <v>10332</v>
      </c>
      <c r="F2269" s="27" t="s">
        <v>6748</v>
      </c>
      <c r="G2269" s="101" t="s">
        <v>6771</v>
      </c>
      <c r="H2269" s="91">
        <v>44043</v>
      </c>
      <c r="I2269" s="73">
        <v>44043</v>
      </c>
      <c r="J2269" s="85">
        <v>44043</v>
      </c>
      <c r="K2269" s="73">
        <v>33110</v>
      </c>
      <c r="L2269" s="11" t="s">
        <v>112</v>
      </c>
      <c r="M2269" s="1" t="s">
        <v>6772</v>
      </c>
      <c r="N2269" s="112" t="s">
        <v>14</v>
      </c>
      <c r="O2269" s="104" t="s">
        <v>52</v>
      </c>
      <c r="P2269" s="104" t="s">
        <v>52</v>
      </c>
      <c r="Q2269" s="105"/>
      <c r="R2269" s="28" t="s">
        <v>2436</v>
      </c>
      <c r="S2269" s="225">
        <f t="shared" si="35"/>
        <v>55062</v>
      </c>
      <c r="T2269" s="2" t="s">
        <v>7669</v>
      </c>
      <c r="U2269" s="7" t="s">
        <v>141</v>
      </c>
      <c r="V2269" s="162" t="str" cm="1">
        <f t="array" ref="V2269">_xlfn.IFS(C2269="","",COUNTIF(C2269,"ตำแหน่งว่าง*"),"ว่าง",COUNTIF(C2269,"&lt;&gt;ตำแหน่งว่าง*"),"คนครอง")</f>
        <v>คนครอง</v>
      </c>
      <c r="W2269" s="6" cm="1">
        <f t="array" ref="W2269">_xlfn.IFS(COUNTIF(F2269,"ผบ.หมู่*"),51,COUNTIF(F2269,"รอง สว.*"),43)</f>
        <v>51</v>
      </c>
      <c r="X2269" s="1" t="s">
        <v>6770</v>
      </c>
      <c r="Y2269" s="1" t="s">
        <v>52</v>
      </c>
    </row>
    <row r="2270" spans="1:25" s="10" customFormat="1" ht="21.3" customHeight="1">
      <c r="A2270" s="27" t="s">
        <v>208</v>
      </c>
      <c r="B2270" s="28" t="s">
        <v>21</v>
      </c>
      <c r="C2270" s="27" t="s">
        <v>10801</v>
      </c>
      <c r="D2270" s="27" t="s">
        <v>10802</v>
      </c>
      <c r="E2270" s="27" t="s">
        <v>10803</v>
      </c>
      <c r="F2270" s="27" t="s">
        <v>6748</v>
      </c>
      <c r="G2270" s="101" t="s">
        <v>6774</v>
      </c>
      <c r="H2270" s="91">
        <v>45768</v>
      </c>
      <c r="I2270" s="73">
        <v>43132</v>
      </c>
      <c r="J2270" s="73">
        <v>43132</v>
      </c>
      <c r="K2270" s="73">
        <v>35387</v>
      </c>
      <c r="L2270" s="11" t="s">
        <v>3316</v>
      </c>
      <c r="M2270" s="1" t="s">
        <v>7609</v>
      </c>
      <c r="N2270" s="112" t="s">
        <v>14</v>
      </c>
      <c r="O2270" s="104" t="s">
        <v>52</v>
      </c>
      <c r="P2270" s="104" t="s">
        <v>52</v>
      </c>
      <c r="Q2270" s="105"/>
      <c r="R2270" s="28" t="s">
        <v>10804</v>
      </c>
      <c r="S2270" s="174">
        <f t="shared" si="35"/>
        <v>57619</v>
      </c>
      <c r="T2270" s="2" t="s">
        <v>7669</v>
      </c>
      <c r="U2270" s="2" t="s">
        <v>141</v>
      </c>
      <c r="V2270" s="2" t="str" cm="1">
        <f t="array" ref="V2270">_xlfn.IFS(C2270="","",COUNTIF(C2270,"ตำแหน่งว่าง*"),"ว่าง",COUNTIF(C2270,"&lt;&gt;ตำแหน่งว่าง*"),"คนครอง")</f>
        <v>คนครอง</v>
      </c>
      <c r="W2270" s="1" cm="1">
        <f t="array" ref="W2270">_xlfn.IFS(COUNTIF(F2270,"ผบ.หมู่*"),51,COUNTIF(F2270,"รอง สว.*"),43)</f>
        <v>51</v>
      </c>
      <c r="X2270" s="1" t="s">
        <v>6773</v>
      </c>
      <c r="Y2270" s="1" t="s">
        <v>52</v>
      </c>
    </row>
    <row r="2271" spans="1:25" s="12" customFormat="1" ht="21.3" customHeight="1">
      <c r="A2271" s="27" t="s">
        <v>26</v>
      </c>
      <c r="B2271" s="28" t="s">
        <v>21</v>
      </c>
      <c r="C2271" s="95" t="s">
        <v>6775</v>
      </c>
      <c r="D2271" s="27" t="s">
        <v>8231</v>
      </c>
      <c r="E2271" s="27" t="s">
        <v>10333</v>
      </c>
      <c r="F2271" s="95" t="s">
        <v>6776</v>
      </c>
      <c r="G2271" s="101" t="s">
        <v>6778</v>
      </c>
      <c r="H2271" s="91">
        <v>44286</v>
      </c>
      <c r="I2271" s="73">
        <v>44286</v>
      </c>
      <c r="J2271" s="73">
        <v>34729</v>
      </c>
      <c r="K2271" s="73">
        <v>24842</v>
      </c>
      <c r="L2271" s="11" t="s">
        <v>6779</v>
      </c>
      <c r="M2271" s="1" t="s">
        <v>6780</v>
      </c>
      <c r="N2271" s="111" t="s">
        <v>14</v>
      </c>
      <c r="O2271" s="104" t="s">
        <v>52</v>
      </c>
      <c r="P2271" s="104" t="s">
        <v>52</v>
      </c>
      <c r="Q2271" s="105"/>
      <c r="R2271" s="28" t="s">
        <v>1313</v>
      </c>
      <c r="S2271" s="225">
        <f t="shared" si="35"/>
        <v>47027</v>
      </c>
      <c r="T2271" s="162" t="s">
        <v>7669</v>
      </c>
      <c r="U2271" s="7" t="s">
        <v>141</v>
      </c>
      <c r="V2271" s="162" t="str" cm="1">
        <f t="array" ref="V2271">_xlfn.IFS(C2271="","",COUNTIF(C2271,"ตำแหน่งว่าง*"),"ว่าง",COUNTIF(C2271,"&lt;&gt;ตำแหน่งว่าง*"),"คนครอง")</f>
        <v>คนครอง</v>
      </c>
      <c r="W2271" s="5" cm="1">
        <f t="array" ref="W2271">_xlfn.IFS(COUNTIF(F2271,"ผบ.หมู่*"),51,COUNTIF(F2271,"รอง สว.*"),43)</f>
        <v>43</v>
      </c>
      <c r="X2271" s="5" t="s">
        <v>6777</v>
      </c>
      <c r="Y2271" s="5" t="s">
        <v>52</v>
      </c>
    </row>
    <row r="2272" spans="1:25" s="10" customFormat="1" ht="21.3" customHeight="1">
      <c r="A2272" s="27"/>
      <c r="B2272" s="28"/>
      <c r="C2272" s="30" t="s">
        <v>18</v>
      </c>
      <c r="D2272" s="27"/>
      <c r="E2272" s="27"/>
      <c r="F2272" s="68" t="s">
        <v>6748</v>
      </c>
      <c r="G2272" s="121" t="s">
        <v>6782</v>
      </c>
      <c r="H2272" s="91" t="s">
        <v>19</v>
      </c>
      <c r="I2272" s="73" t="s">
        <v>19</v>
      </c>
      <c r="J2272" s="73" t="s">
        <v>19</v>
      </c>
      <c r="K2272" s="73" t="s">
        <v>19</v>
      </c>
      <c r="L2272" s="11"/>
      <c r="M2272" s="1"/>
      <c r="N2272" s="113" t="s">
        <v>14</v>
      </c>
      <c r="O2272" s="122" t="s">
        <v>52</v>
      </c>
      <c r="P2272" s="122" t="s">
        <v>52</v>
      </c>
      <c r="Q2272" s="105"/>
      <c r="R2272" s="28"/>
      <c r="S2272" s="225" t="str">
        <f t="shared" si="35"/>
        <v/>
      </c>
      <c r="T2272" s="7" t="s">
        <v>7669</v>
      </c>
      <c r="U2272" s="7" t="s">
        <v>141</v>
      </c>
      <c r="V2272" s="162" t="str" cm="1">
        <f t="array" ref="V2272">_xlfn.IFS(C2272="","",COUNTIF(C2272,"ตำแหน่งว่าง*"),"ว่าง",COUNTIF(C2272,"&lt;&gt;ตำแหน่งว่าง*"),"คนครอง")</f>
        <v>ว่าง</v>
      </c>
      <c r="W2272" s="6" cm="1">
        <f t="array" ref="W2272">_xlfn.IFS(COUNTIF(F2272,"ผบ.หมู่*"),51,COUNTIF(F2272,"รอง สว.*"),43)</f>
        <v>51</v>
      </c>
      <c r="X2272" s="6" t="s">
        <v>6781</v>
      </c>
      <c r="Y2272" s="6" t="s">
        <v>52</v>
      </c>
    </row>
    <row r="2273" spans="1:25" s="10" customFormat="1" ht="21.3" customHeight="1">
      <c r="A2273" s="27"/>
      <c r="B2273" s="28"/>
      <c r="C2273" s="30" t="s">
        <v>18</v>
      </c>
      <c r="D2273" s="27"/>
      <c r="E2273" s="27"/>
      <c r="F2273" s="68" t="s">
        <v>6748</v>
      </c>
      <c r="G2273" s="121" t="s">
        <v>6784</v>
      </c>
      <c r="H2273" s="91" t="s">
        <v>19</v>
      </c>
      <c r="I2273" s="73" t="s">
        <v>19</v>
      </c>
      <c r="J2273" s="73" t="s">
        <v>19</v>
      </c>
      <c r="K2273" s="73" t="s">
        <v>19</v>
      </c>
      <c r="L2273" s="11"/>
      <c r="M2273" s="1"/>
      <c r="N2273" s="113" t="s">
        <v>14</v>
      </c>
      <c r="O2273" s="122" t="s">
        <v>52</v>
      </c>
      <c r="P2273" s="122" t="s">
        <v>52</v>
      </c>
      <c r="Q2273" s="105"/>
      <c r="R2273" s="28"/>
      <c r="S2273" s="225" t="str">
        <f t="shared" si="35"/>
        <v/>
      </c>
      <c r="T2273" s="7" t="s">
        <v>7669</v>
      </c>
      <c r="U2273" s="7" t="s">
        <v>141</v>
      </c>
      <c r="V2273" s="162" t="str" cm="1">
        <f t="array" ref="V2273">_xlfn.IFS(C2273="","",COUNTIF(C2273,"ตำแหน่งว่าง*"),"ว่าง",COUNTIF(C2273,"&lt;&gt;ตำแหน่งว่าง*"),"คนครอง")</f>
        <v>ว่าง</v>
      </c>
      <c r="W2273" s="6" cm="1">
        <f t="array" ref="W2273">_xlfn.IFS(COUNTIF(F2273,"ผบ.หมู่*"),51,COUNTIF(F2273,"รอง สว.*"),43)</f>
        <v>51</v>
      </c>
      <c r="X2273" s="6" t="s">
        <v>6783</v>
      </c>
      <c r="Y2273" s="6" t="s">
        <v>52</v>
      </c>
    </row>
    <row r="2274" spans="1:25" s="10" customFormat="1" ht="21.3" customHeight="1">
      <c r="A2274" s="27"/>
      <c r="B2274" s="28"/>
      <c r="C2274" s="30" t="s">
        <v>18</v>
      </c>
      <c r="D2274" s="27"/>
      <c r="E2274" s="27"/>
      <c r="F2274" s="68" t="s">
        <v>6748</v>
      </c>
      <c r="G2274" s="121" t="s">
        <v>6786</v>
      </c>
      <c r="H2274" s="91" t="s">
        <v>19</v>
      </c>
      <c r="I2274" s="73" t="s">
        <v>19</v>
      </c>
      <c r="J2274" s="73" t="s">
        <v>19</v>
      </c>
      <c r="K2274" s="73" t="s">
        <v>19</v>
      </c>
      <c r="L2274" s="11"/>
      <c r="M2274" s="1"/>
      <c r="N2274" s="113" t="s">
        <v>14</v>
      </c>
      <c r="O2274" s="122" t="s">
        <v>52</v>
      </c>
      <c r="P2274" s="122" t="s">
        <v>52</v>
      </c>
      <c r="Q2274" s="105"/>
      <c r="R2274" s="28"/>
      <c r="S2274" s="225" t="str">
        <f t="shared" si="35"/>
        <v/>
      </c>
      <c r="T2274" s="7" t="s">
        <v>7669</v>
      </c>
      <c r="U2274" s="7" t="s">
        <v>141</v>
      </c>
      <c r="V2274" s="162" t="str" cm="1">
        <f t="array" ref="V2274">_xlfn.IFS(C2274="","",COUNTIF(C2274,"ตำแหน่งว่าง*"),"ว่าง",COUNTIF(C2274,"&lt;&gt;ตำแหน่งว่าง*"),"คนครอง")</f>
        <v>ว่าง</v>
      </c>
      <c r="W2274" s="6" cm="1">
        <f t="array" ref="W2274">_xlfn.IFS(COUNTIF(F2274,"ผบ.หมู่*"),51,COUNTIF(F2274,"รอง สว.*"),43)</f>
        <v>51</v>
      </c>
      <c r="X2274" s="6" t="s">
        <v>6785</v>
      </c>
      <c r="Y2274" s="6" t="s">
        <v>52</v>
      </c>
    </row>
    <row r="2275" spans="1:25" s="10" customFormat="1" ht="21.3" customHeight="1">
      <c r="A2275" s="27"/>
      <c r="B2275" s="28"/>
      <c r="C2275" s="30" t="s">
        <v>18</v>
      </c>
      <c r="D2275" s="27"/>
      <c r="E2275" s="27"/>
      <c r="F2275" s="68" t="s">
        <v>6748</v>
      </c>
      <c r="G2275" s="121" t="s">
        <v>6788</v>
      </c>
      <c r="H2275" s="91" t="s">
        <v>19</v>
      </c>
      <c r="I2275" s="73" t="s">
        <v>19</v>
      </c>
      <c r="J2275" s="73" t="s">
        <v>19</v>
      </c>
      <c r="K2275" s="73" t="s">
        <v>19</v>
      </c>
      <c r="L2275" s="11"/>
      <c r="M2275" s="1"/>
      <c r="N2275" s="113" t="s">
        <v>14</v>
      </c>
      <c r="O2275" s="122" t="s">
        <v>52</v>
      </c>
      <c r="P2275" s="122" t="s">
        <v>52</v>
      </c>
      <c r="Q2275" s="105"/>
      <c r="R2275" s="28"/>
      <c r="S2275" s="225" t="str">
        <f t="shared" si="35"/>
        <v/>
      </c>
      <c r="T2275" s="7" t="s">
        <v>7669</v>
      </c>
      <c r="U2275" s="7" t="s">
        <v>141</v>
      </c>
      <c r="V2275" s="162" t="str" cm="1">
        <f t="array" ref="V2275">_xlfn.IFS(C2275="","",COUNTIF(C2275,"ตำแหน่งว่าง*"),"ว่าง",COUNTIF(C2275,"&lt;&gt;ตำแหน่งว่าง*"),"คนครอง")</f>
        <v>ว่าง</v>
      </c>
      <c r="W2275" s="6" cm="1">
        <f t="array" ref="W2275">_xlfn.IFS(COUNTIF(F2275,"ผบ.หมู่*"),51,COUNTIF(F2275,"รอง สว.*"),43)</f>
        <v>51</v>
      </c>
      <c r="X2275" s="6" t="s">
        <v>6787</v>
      </c>
      <c r="Y2275" s="6" t="s">
        <v>52</v>
      </c>
    </row>
    <row r="2276" spans="1:25" s="10" customFormat="1" ht="21.3" customHeight="1">
      <c r="A2276" s="27"/>
      <c r="B2276" s="28"/>
      <c r="C2276" s="30" t="s">
        <v>18</v>
      </c>
      <c r="D2276" s="27"/>
      <c r="E2276" s="27"/>
      <c r="F2276" s="68" t="s">
        <v>6748</v>
      </c>
      <c r="G2276" s="121" t="s">
        <v>6790</v>
      </c>
      <c r="H2276" s="91" t="s">
        <v>19</v>
      </c>
      <c r="I2276" s="73" t="s">
        <v>19</v>
      </c>
      <c r="J2276" s="73" t="s">
        <v>19</v>
      </c>
      <c r="K2276" s="73" t="s">
        <v>19</v>
      </c>
      <c r="L2276" s="11"/>
      <c r="M2276" s="1"/>
      <c r="N2276" s="113" t="s">
        <v>14</v>
      </c>
      <c r="O2276" s="122" t="s">
        <v>52</v>
      </c>
      <c r="P2276" s="122" t="s">
        <v>52</v>
      </c>
      <c r="Q2276" s="105"/>
      <c r="R2276" s="28"/>
      <c r="S2276" s="225" t="str">
        <f t="shared" si="35"/>
        <v/>
      </c>
      <c r="T2276" s="7" t="s">
        <v>7669</v>
      </c>
      <c r="U2276" s="7" t="s">
        <v>141</v>
      </c>
      <c r="V2276" s="162" t="str" cm="1">
        <f t="array" ref="V2276">_xlfn.IFS(C2276="","",COUNTIF(C2276,"ตำแหน่งว่าง*"),"ว่าง",COUNTIF(C2276,"&lt;&gt;ตำแหน่งว่าง*"),"คนครอง")</f>
        <v>ว่าง</v>
      </c>
      <c r="W2276" s="6" cm="1">
        <f t="array" ref="W2276">_xlfn.IFS(COUNTIF(F2276,"ผบ.หมู่*"),51,COUNTIF(F2276,"รอง สว.*"),43)</f>
        <v>51</v>
      </c>
      <c r="X2276" s="6" t="s">
        <v>6789</v>
      </c>
      <c r="Y2276" s="6" t="s">
        <v>52</v>
      </c>
    </row>
    <row r="2277" spans="1:25" s="9" customFormat="1" ht="21.3" customHeight="1">
      <c r="A2277" s="68"/>
      <c r="B2277" s="30"/>
      <c r="C2277" s="68" t="s">
        <v>18</v>
      </c>
      <c r="D2277" s="27"/>
      <c r="E2277" s="27"/>
      <c r="F2277" s="68" t="s">
        <v>6597</v>
      </c>
      <c r="G2277" s="121" t="s">
        <v>6599</v>
      </c>
      <c r="H2277" s="80"/>
      <c r="I2277" s="74"/>
      <c r="J2277" s="74"/>
      <c r="K2277" s="74"/>
      <c r="L2277" s="16"/>
      <c r="M2277" s="6"/>
      <c r="N2277" s="113" t="s">
        <v>14</v>
      </c>
      <c r="O2277" s="122" t="s">
        <v>52</v>
      </c>
      <c r="P2277" s="122" t="s">
        <v>52</v>
      </c>
      <c r="Q2277" s="106"/>
      <c r="R2277" s="30"/>
      <c r="S2277" s="225" t="str">
        <f t="shared" si="35"/>
        <v/>
      </c>
      <c r="T2277" s="2" t="s">
        <v>7666</v>
      </c>
      <c r="U2277" s="7" t="s">
        <v>141</v>
      </c>
      <c r="V2277" s="162" t="str" cm="1">
        <f t="array" ref="V2277">_xlfn.IFS(C2277="","",COUNTIF(C2277,"ตำแหน่งว่าง*"),"ว่าง",COUNTIF(C2277,"&lt;&gt;ตำแหน่งว่าง*"),"คนครอง")</f>
        <v>ว่าง</v>
      </c>
      <c r="W2277" s="6" cm="1">
        <f t="array" ref="W2277">_xlfn.IFS(COUNTIF(F2277,"ผบ.หมู่*"),51,COUNTIF(F2277,"รอง สว.*"),43)</f>
        <v>51</v>
      </c>
      <c r="X2277" s="1" t="s">
        <v>6598</v>
      </c>
      <c r="Y2277" s="1" t="s">
        <v>52</v>
      </c>
    </row>
    <row r="2278" spans="1:25" s="9" customFormat="1" ht="21.3" customHeight="1">
      <c r="A2278" s="27"/>
      <c r="B2278" s="28"/>
      <c r="C2278" s="27" t="s">
        <v>18</v>
      </c>
      <c r="D2278" s="27"/>
      <c r="E2278" s="27"/>
      <c r="F2278" s="27" t="s">
        <v>6597</v>
      </c>
      <c r="G2278" s="101" t="s">
        <v>6602</v>
      </c>
      <c r="H2278" s="91"/>
      <c r="I2278" s="73"/>
      <c r="J2278" s="85"/>
      <c r="K2278" s="73"/>
      <c r="L2278" s="11"/>
      <c r="M2278" s="1"/>
      <c r="N2278" s="112" t="s">
        <v>14</v>
      </c>
      <c r="O2278" s="104" t="s">
        <v>52</v>
      </c>
      <c r="P2278" s="104" t="s">
        <v>52</v>
      </c>
      <c r="Q2278" s="105"/>
      <c r="R2278" s="28"/>
      <c r="S2278" s="174" t="str">
        <f t="shared" si="35"/>
        <v/>
      </c>
      <c r="T2278" s="2" t="s">
        <v>7666</v>
      </c>
      <c r="U2278" s="2" t="s">
        <v>141</v>
      </c>
      <c r="V2278" s="2" t="str" cm="1">
        <f t="array" ref="V2278">_xlfn.IFS(C2278="","",COUNTIF(C2278,"ตำแหน่งว่าง*"),"ว่าง",COUNTIF(C2278,"&lt;&gt;ตำแหน่งว่าง*"),"คนครอง")</f>
        <v>ว่าง</v>
      </c>
      <c r="W2278" s="1" cm="1">
        <f t="array" ref="W2278">_xlfn.IFS(COUNTIF(F2278,"ผบ.หมู่*"),51,COUNTIF(F2278,"รอง สว.*"),43)</f>
        <v>51</v>
      </c>
      <c r="X2278" s="1" t="s">
        <v>6601</v>
      </c>
      <c r="Y2278" s="1" t="s">
        <v>52</v>
      </c>
    </row>
    <row r="2279" spans="1:25" s="10" customFormat="1" ht="21.3" customHeight="1">
      <c r="A2279" s="27" t="s">
        <v>208</v>
      </c>
      <c r="B2279" s="28" t="s">
        <v>21</v>
      </c>
      <c r="C2279" s="27" t="s">
        <v>7762</v>
      </c>
      <c r="D2279" s="27" t="s">
        <v>8826</v>
      </c>
      <c r="E2279" s="27" t="s">
        <v>10336</v>
      </c>
      <c r="F2279" s="27" t="s">
        <v>6597</v>
      </c>
      <c r="G2279" s="101" t="s">
        <v>6604</v>
      </c>
      <c r="H2279" s="91">
        <v>45322</v>
      </c>
      <c r="I2279" s="73">
        <v>43693</v>
      </c>
      <c r="J2279" s="85">
        <v>43693</v>
      </c>
      <c r="K2279" s="73">
        <v>34305</v>
      </c>
      <c r="L2279" s="11" t="s">
        <v>1667</v>
      </c>
      <c r="M2279" s="1" t="s">
        <v>84</v>
      </c>
      <c r="N2279" s="112" t="s">
        <v>14</v>
      </c>
      <c r="O2279" s="104" t="s">
        <v>52</v>
      </c>
      <c r="P2279" s="104" t="s">
        <v>52</v>
      </c>
      <c r="Q2279" s="105"/>
      <c r="R2279" s="30" t="s">
        <v>7708</v>
      </c>
      <c r="S2279" s="225">
        <f t="shared" si="35"/>
        <v>56523</v>
      </c>
      <c r="T2279" s="7" t="s">
        <v>7666</v>
      </c>
      <c r="U2279" s="7" t="s">
        <v>141</v>
      </c>
      <c r="V2279" s="162" t="str" cm="1">
        <f t="array" ref="V2279">_xlfn.IFS(C2279="","",COUNTIF(C2279,"ตำแหน่งว่าง*"),"ว่าง",COUNTIF(C2279,"&lt;&gt;ตำแหน่งว่าง*"),"คนครอง")</f>
        <v>คนครอง</v>
      </c>
      <c r="W2279" s="6" cm="1">
        <f t="array" ref="W2279">_xlfn.IFS(COUNTIF(F2279,"ผบ.หมู่*"),51,COUNTIF(F2279,"รอง สว.*"),43)</f>
        <v>51</v>
      </c>
      <c r="X2279" s="1" t="s">
        <v>6603</v>
      </c>
      <c r="Y2279" s="1" t="s">
        <v>52</v>
      </c>
    </row>
    <row r="2280" spans="1:25" s="9" customFormat="1" ht="21.3" customHeight="1">
      <c r="A2280" s="27" t="s">
        <v>182</v>
      </c>
      <c r="B2280" s="28" t="s">
        <v>12</v>
      </c>
      <c r="C2280" s="27" t="s">
        <v>6605</v>
      </c>
      <c r="D2280" s="27" t="s">
        <v>10337</v>
      </c>
      <c r="E2280" s="27" t="s">
        <v>10338</v>
      </c>
      <c r="F2280" s="27" t="s">
        <v>6597</v>
      </c>
      <c r="G2280" s="101" t="s">
        <v>6607</v>
      </c>
      <c r="H2280" s="91">
        <v>44043</v>
      </c>
      <c r="I2280" s="73">
        <v>44043</v>
      </c>
      <c r="J2280" s="85">
        <v>44043</v>
      </c>
      <c r="K2280" s="73">
        <v>35282</v>
      </c>
      <c r="L2280" s="11" t="s">
        <v>82</v>
      </c>
      <c r="M2280" s="1" t="s">
        <v>33</v>
      </c>
      <c r="N2280" s="112" t="s">
        <v>14</v>
      </c>
      <c r="O2280" s="104" t="s">
        <v>52</v>
      </c>
      <c r="P2280" s="104" t="s">
        <v>52</v>
      </c>
      <c r="Q2280" s="105"/>
      <c r="R2280" s="28" t="s">
        <v>2436</v>
      </c>
      <c r="S2280" s="225">
        <f t="shared" si="35"/>
        <v>57254</v>
      </c>
      <c r="T2280" s="2" t="s">
        <v>7666</v>
      </c>
      <c r="U2280" s="7" t="s">
        <v>141</v>
      </c>
      <c r="V2280" s="162" t="str" cm="1">
        <f t="array" ref="V2280">_xlfn.IFS(C2280="","",COUNTIF(C2280,"ตำแหน่งว่าง*"),"ว่าง",COUNTIF(C2280,"&lt;&gt;ตำแหน่งว่าง*"),"คนครอง")</f>
        <v>คนครอง</v>
      </c>
      <c r="W2280" s="6" cm="1">
        <f t="array" ref="W2280">_xlfn.IFS(COUNTIF(F2280,"ผบ.หมู่*"),51,COUNTIF(F2280,"รอง สว.*"),43)</f>
        <v>51</v>
      </c>
      <c r="X2280" s="1" t="s">
        <v>6606</v>
      </c>
      <c r="Y2280" s="1" t="s">
        <v>52</v>
      </c>
    </row>
    <row r="2281" spans="1:25" s="9" customFormat="1" ht="21.3" customHeight="1">
      <c r="A2281" s="27" t="s">
        <v>182</v>
      </c>
      <c r="B2281" s="28" t="s">
        <v>12</v>
      </c>
      <c r="C2281" s="27" t="s">
        <v>6608</v>
      </c>
      <c r="D2281" s="27" t="s">
        <v>8193</v>
      </c>
      <c r="E2281" s="27" t="s">
        <v>10339</v>
      </c>
      <c r="F2281" s="27" t="s">
        <v>6597</v>
      </c>
      <c r="G2281" s="101" t="s">
        <v>6610</v>
      </c>
      <c r="H2281" s="91">
        <v>44043</v>
      </c>
      <c r="I2281" s="73">
        <v>44043</v>
      </c>
      <c r="J2281" s="85">
        <v>44043</v>
      </c>
      <c r="K2281" s="73">
        <v>34196</v>
      </c>
      <c r="L2281" s="11" t="s">
        <v>2570</v>
      </c>
      <c r="M2281" s="1" t="s">
        <v>16</v>
      </c>
      <c r="N2281" s="112" t="s">
        <v>14</v>
      </c>
      <c r="O2281" s="104" t="s">
        <v>52</v>
      </c>
      <c r="P2281" s="104" t="s">
        <v>52</v>
      </c>
      <c r="Q2281" s="105"/>
      <c r="R2281" s="28" t="s">
        <v>2436</v>
      </c>
      <c r="S2281" s="225">
        <f t="shared" si="35"/>
        <v>56158</v>
      </c>
      <c r="T2281" s="2" t="s">
        <v>7666</v>
      </c>
      <c r="U2281" s="7" t="s">
        <v>141</v>
      </c>
      <c r="V2281" s="162" t="str" cm="1">
        <f t="array" ref="V2281">_xlfn.IFS(C2281="","",COUNTIF(C2281,"ตำแหน่งว่าง*"),"ว่าง",COUNTIF(C2281,"&lt;&gt;ตำแหน่งว่าง*"),"คนครอง")</f>
        <v>คนครอง</v>
      </c>
      <c r="W2281" s="6" cm="1">
        <f t="array" ref="W2281">_xlfn.IFS(COUNTIF(F2281,"ผบ.หมู่*"),51,COUNTIF(F2281,"รอง สว.*"),43)</f>
        <v>51</v>
      </c>
      <c r="X2281" s="1" t="s">
        <v>6609</v>
      </c>
      <c r="Y2281" s="1" t="s">
        <v>52</v>
      </c>
    </row>
    <row r="2282" spans="1:25" s="9" customFormat="1" ht="21.3" customHeight="1">
      <c r="A2282" s="27" t="s">
        <v>30</v>
      </c>
      <c r="B2282" s="28" t="s">
        <v>12</v>
      </c>
      <c r="C2282" s="27" t="s">
        <v>6611</v>
      </c>
      <c r="D2282" s="27" t="s">
        <v>8116</v>
      </c>
      <c r="E2282" s="27" t="s">
        <v>10340</v>
      </c>
      <c r="F2282" s="27" t="s">
        <v>6612</v>
      </c>
      <c r="G2282" s="101" t="s">
        <v>6614</v>
      </c>
      <c r="H2282" s="91">
        <v>42501</v>
      </c>
      <c r="I2282" s="73">
        <v>42501</v>
      </c>
      <c r="J2282" s="73">
        <v>34001</v>
      </c>
      <c r="K2282" s="73">
        <v>24154</v>
      </c>
      <c r="L2282" s="11" t="s">
        <v>4826</v>
      </c>
      <c r="M2282" s="1" t="s">
        <v>84</v>
      </c>
      <c r="N2282" s="112" t="s">
        <v>14</v>
      </c>
      <c r="O2282" s="104" t="s">
        <v>52</v>
      </c>
      <c r="P2282" s="104" t="s">
        <v>52</v>
      </c>
      <c r="Q2282" s="105"/>
      <c r="R2282" s="28" t="s">
        <v>110</v>
      </c>
      <c r="S2282" s="225">
        <f t="shared" si="35"/>
        <v>46296</v>
      </c>
      <c r="T2282" s="2" t="s">
        <v>7666</v>
      </c>
      <c r="U2282" s="7" t="s">
        <v>141</v>
      </c>
      <c r="V2282" s="162" t="str" cm="1">
        <f t="array" ref="V2282">_xlfn.IFS(C2282="","",COUNTIF(C2282,"ตำแหน่งว่าง*"),"ว่าง",COUNTIF(C2282,"&lt;&gt;ตำแหน่งว่าง*"),"คนครอง")</f>
        <v>คนครอง</v>
      </c>
      <c r="W2282" s="5" cm="1">
        <f t="array" ref="W2282">_xlfn.IFS(COUNTIF(F2282,"ผบ.หมู่*"),51,COUNTIF(F2282,"รอง สว.*"),43)</f>
        <v>43</v>
      </c>
      <c r="X2282" s="1" t="s">
        <v>6613</v>
      </c>
      <c r="Y2282" s="1" t="s">
        <v>52</v>
      </c>
    </row>
    <row r="2283" spans="1:25" s="9" customFormat="1" ht="21.3" customHeight="1">
      <c r="A2283" s="132" t="s">
        <v>10753</v>
      </c>
      <c r="B2283" s="28" t="s">
        <v>12</v>
      </c>
      <c r="C2283" s="27" t="s">
        <v>6615</v>
      </c>
      <c r="D2283" s="27" t="s">
        <v>10261</v>
      </c>
      <c r="E2283" s="27" t="s">
        <v>10341</v>
      </c>
      <c r="F2283" s="27" t="s">
        <v>7804</v>
      </c>
      <c r="G2283" s="101" t="s">
        <v>6617</v>
      </c>
      <c r="H2283" s="91">
        <v>45382</v>
      </c>
      <c r="I2283" s="73">
        <v>45382</v>
      </c>
      <c r="J2283" s="73">
        <v>34001</v>
      </c>
      <c r="K2283" s="73">
        <v>25952</v>
      </c>
      <c r="L2283" s="11" t="s">
        <v>5749</v>
      </c>
      <c r="M2283" s="1" t="s">
        <v>84</v>
      </c>
      <c r="N2283" s="112" t="s">
        <v>14</v>
      </c>
      <c r="O2283" s="104" t="s">
        <v>52</v>
      </c>
      <c r="P2283" s="104" t="s">
        <v>52</v>
      </c>
      <c r="Q2283" s="105"/>
      <c r="R2283" s="33" t="s">
        <v>7801</v>
      </c>
      <c r="S2283" s="225">
        <f t="shared" si="35"/>
        <v>48122</v>
      </c>
      <c r="T2283" s="2" t="s">
        <v>7666</v>
      </c>
      <c r="U2283" s="7" t="s">
        <v>141</v>
      </c>
      <c r="V2283" s="162" t="str" cm="1">
        <f t="array" ref="V2283">_xlfn.IFS(C2283="","",COUNTIF(C2283,"ตำแหน่งว่าง*"),"ว่าง",COUNTIF(C2283,"&lt;&gt;ตำแหน่งว่าง*"),"คนครอง")</f>
        <v>คนครอง</v>
      </c>
      <c r="W2283" s="6" cm="1">
        <f t="array" ref="W2283">_xlfn.IFS(COUNTIF(F2283,"ผบ.หมู่*"),51,COUNTIF(F2283,"รอง สว.*"),43)</f>
        <v>43</v>
      </c>
      <c r="X2283" s="1" t="s">
        <v>6616</v>
      </c>
      <c r="Y2283" s="1" t="s">
        <v>52</v>
      </c>
    </row>
    <row r="2284" spans="1:25" s="12" customFormat="1" ht="21.3" customHeight="1">
      <c r="A2284" s="27" t="s">
        <v>26</v>
      </c>
      <c r="B2284" s="28" t="s">
        <v>12</v>
      </c>
      <c r="C2284" s="95" t="s">
        <v>6618</v>
      </c>
      <c r="D2284" s="27" t="s">
        <v>8148</v>
      </c>
      <c r="E2284" s="27" t="s">
        <v>10342</v>
      </c>
      <c r="F2284" s="27" t="s">
        <v>6612</v>
      </c>
      <c r="G2284" s="101" t="s">
        <v>6620</v>
      </c>
      <c r="H2284" s="91">
        <v>42501</v>
      </c>
      <c r="I2284" s="73">
        <v>42501</v>
      </c>
      <c r="J2284" s="73">
        <v>34352</v>
      </c>
      <c r="K2284" s="73">
        <v>24768</v>
      </c>
      <c r="L2284" s="11" t="s">
        <v>6621</v>
      </c>
      <c r="M2284" s="1" t="s">
        <v>84</v>
      </c>
      <c r="N2284" s="111" t="s">
        <v>14</v>
      </c>
      <c r="O2284" s="104" t="s">
        <v>52</v>
      </c>
      <c r="P2284" s="104" t="s">
        <v>52</v>
      </c>
      <c r="Q2284" s="105"/>
      <c r="R2284" s="28" t="s">
        <v>110</v>
      </c>
      <c r="S2284" s="225">
        <f t="shared" si="35"/>
        <v>47027</v>
      </c>
      <c r="T2284" s="162" t="s">
        <v>7666</v>
      </c>
      <c r="U2284" s="7" t="s">
        <v>141</v>
      </c>
      <c r="V2284" s="162" t="str" cm="1">
        <f t="array" ref="V2284">_xlfn.IFS(C2284="","",COUNTIF(C2284,"ตำแหน่งว่าง*"),"ว่าง",COUNTIF(C2284,"&lt;&gt;ตำแหน่งว่าง*"),"คนครอง")</f>
        <v>คนครอง</v>
      </c>
      <c r="W2284" s="5" cm="1">
        <f t="array" ref="W2284">_xlfn.IFS(COUNTIF(F2284,"ผบ.หมู่*"),51,COUNTIF(F2284,"รอง สว.*"),43)</f>
        <v>43</v>
      </c>
      <c r="X2284" s="5" t="s">
        <v>6619</v>
      </c>
      <c r="Y2284" s="5" t="s">
        <v>52</v>
      </c>
    </row>
    <row r="2285" spans="1:25" s="12" customFormat="1" ht="21.3" customHeight="1">
      <c r="A2285" s="95" t="s">
        <v>208</v>
      </c>
      <c r="B2285" s="31" t="s">
        <v>21</v>
      </c>
      <c r="C2285" s="95" t="s">
        <v>6622</v>
      </c>
      <c r="D2285" s="27" t="s">
        <v>8577</v>
      </c>
      <c r="E2285" s="27" t="s">
        <v>10343</v>
      </c>
      <c r="F2285" s="95" t="s">
        <v>6597</v>
      </c>
      <c r="G2285" s="101" t="s">
        <v>6624</v>
      </c>
      <c r="H2285" s="92">
        <v>43693</v>
      </c>
      <c r="I2285" s="76">
        <v>43693</v>
      </c>
      <c r="J2285" s="76">
        <v>43693</v>
      </c>
      <c r="K2285" s="76">
        <v>36088</v>
      </c>
      <c r="L2285" s="17" t="s">
        <v>6625</v>
      </c>
      <c r="M2285" s="5" t="s">
        <v>93</v>
      </c>
      <c r="N2285" s="111" t="s">
        <v>14</v>
      </c>
      <c r="O2285" s="104" t="s">
        <v>52</v>
      </c>
      <c r="P2285" s="104" t="s">
        <v>52</v>
      </c>
      <c r="Q2285" s="108"/>
      <c r="R2285" s="31" t="s">
        <v>645</v>
      </c>
      <c r="S2285" s="225">
        <f t="shared" si="35"/>
        <v>58349</v>
      </c>
      <c r="T2285" s="162" t="s">
        <v>7666</v>
      </c>
      <c r="U2285" s="7" t="s">
        <v>141</v>
      </c>
      <c r="V2285" s="162" t="str" cm="1">
        <f t="array" ref="V2285">_xlfn.IFS(C2285="","",COUNTIF(C2285,"ตำแหน่งว่าง*"),"ว่าง",COUNTIF(C2285,"&lt;&gt;ตำแหน่งว่าง*"),"คนครอง")</f>
        <v>คนครอง</v>
      </c>
      <c r="W2285" s="6" cm="1">
        <f t="array" ref="W2285">_xlfn.IFS(COUNTIF(F2285,"ผบ.หมู่*"),51,COUNTIF(F2285,"รอง สว.*"),43)</f>
        <v>51</v>
      </c>
      <c r="X2285" s="5" t="s">
        <v>6623</v>
      </c>
      <c r="Y2285" s="5" t="s">
        <v>52</v>
      </c>
    </row>
    <row r="2286" spans="1:25" s="12" customFormat="1" ht="21.3" customHeight="1">
      <c r="A2286" s="95"/>
      <c r="B2286" s="31"/>
      <c r="C2286" s="30" t="s">
        <v>18</v>
      </c>
      <c r="D2286" s="27"/>
      <c r="E2286" s="27"/>
      <c r="F2286" s="68" t="s">
        <v>6597</v>
      </c>
      <c r="G2286" s="121" t="s">
        <v>6627</v>
      </c>
      <c r="H2286" s="93"/>
      <c r="I2286" s="74"/>
      <c r="J2286" s="74"/>
      <c r="K2286" s="74"/>
      <c r="L2286" s="16"/>
      <c r="M2286" s="6"/>
      <c r="N2286" s="113" t="s">
        <v>14</v>
      </c>
      <c r="O2286" s="122" t="s">
        <v>52</v>
      </c>
      <c r="P2286" s="122" t="s">
        <v>52</v>
      </c>
      <c r="Q2286" s="106"/>
      <c r="R2286" s="30"/>
      <c r="S2286" s="225" t="str">
        <f t="shared" si="35"/>
        <v/>
      </c>
      <c r="T2286" s="162" t="s">
        <v>7666</v>
      </c>
      <c r="U2286" s="7" t="s">
        <v>141</v>
      </c>
      <c r="V2286" s="162" t="str" cm="1">
        <f t="array" ref="V2286">_xlfn.IFS(C2286="","",COUNTIF(C2286,"ตำแหน่งว่าง*"),"ว่าง",COUNTIF(C2286,"&lt;&gt;ตำแหน่งว่าง*"),"คนครอง")</f>
        <v>ว่าง</v>
      </c>
      <c r="W2286" s="6" cm="1">
        <f t="array" ref="W2286">_xlfn.IFS(COUNTIF(F2286,"ผบ.หมู่*"),51,COUNTIF(F2286,"รอง สว.*"),43)</f>
        <v>51</v>
      </c>
      <c r="X2286" s="6" t="s">
        <v>6626</v>
      </c>
      <c r="Y2286" s="6" t="s">
        <v>52</v>
      </c>
    </row>
    <row r="2287" spans="1:25" s="9" customFormat="1" ht="21.3" customHeight="1">
      <c r="A2287" s="27" t="s">
        <v>182</v>
      </c>
      <c r="B2287" s="28" t="s">
        <v>12</v>
      </c>
      <c r="C2287" s="27" t="s">
        <v>6628</v>
      </c>
      <c r="D2287" s="27" t="s">
        <v>8102</v>
      </c>
      <c r="E2287" s="27" t="s">
        <v>10344</v>
      </c>
      <c r="F2287" s="27" t="s">
        <v>6597</v>
      </c>
      <c r="G2287" s="101" t="s">
        <v>6630</v>
      </c>
      <c r="H2287" s="75">
        <v>44636</v>
      </c>
      <c r="I2287" s="73">
        <v>44636</v>
      </c>
      <c r="J2287" s="73">
        <v>44636</v>
      </c>
      <c r="K2287" s="73">
        <v>35399</v>
      </c>
      <c r="L2287" s="11" t="s">
        <v>82</v>
      </c>
      <c r="M2287" s="1" t="s">
        <v>86</v>
      </c>
      <c r="N2287" s="112" t="s">
        <v>14</v>
      </c>
      <c r="O2287" s="104" t="s">
        <v>52</v>
      </c>
      <c r="P2287" s="104" t="s">
        <v>52</v>
      </c>
      <c r="Q2287" s="105"/>
      <c r="R2287" s="28" t="s">
        <v>611</v>
      </c>
      <c r="S2287" s="225">
        <f t="shared" si="35"/>
        <v>57619</v>
      </c>
      <c r="T2287" s="2" t="s">
        <v>7666</v>
      </c>
      <c r="U2287" s="7" t="s">
        <v>141</v>
      </c>
      <c r="V2287" s="162" t="str" cm="1">
        <f t="array" ref="V2287">_xlfn.IFS(C2287="","",COUNTIF(C2287,"ตำแหน่งว่าง*"),"ว่าง",COUNTIF(C2287,"&lt;&gt;ตำแหน่งว่าง*"),"คนครอง")</f>
        <v>คนครอง</v>
      </c>
      <c r="W2287" s="6" cm="1">
        <f t="array" ref="W2287">_xlfn.IFS(COUNTIF(F2287,"ผบ.หมู่*"),51,COUNTIF(F2287,"รอง สว.*"),43)</f>
        <v>51</v>
      </c>
      <c r="X2287" s="1" t="s">
        <v>6629</v>
      </c>
      <c r="Y2287" s="1" t="s">
        <v>52</v>
      </c>
    </row>
    <row r="2288" spans="1:25" s="9" customFormat="1" ht="21.3" customHeight="1">
      <c r="A2288" s="27" t="s">
        <v>182</v>
      </c>
      <c r="B2288" s="28" t="s">
        <v>12</v>
      </c>
      <c r="C2288" s="27" t="s">
        <v>6631</v>
      </c>
      <c r="D2288" s="27" t="s">
        <v>10345</v>
      </c>
      <c r="E2288" s="27" t="s">
        <v>10346</v>
      </c>
      <c r="F2288" s="27" t="s">
        <v>6597</v>
      </c>
      <c r="G2288" s="101" t="s">
        <v>6633</v>
      </c>
      <c r="H2288" s="75">
        <v>44636</v>
      </c>
      <c r="I2288" s="73">
        <v>44636</v>
      </c>
      <c r="J2288" s="73">
        <v>44636</v>
      </c>
      <c r="K2288" s="73">
        <v>34122</v>
      </c>
      <c r="L2288" s="11" t="s">
        <v>82</v>
      </c>
      <c r="M2288" s="1" t="s">
        <v>96</v>
      </c>
      <c r="N2288" s="112" t="s">
        <v>14</v>
      </c>
      <c r="O2288" s="104" t="s">
        <v>52</v>
      </c>
      <c r="P2288" s="104" t="s">
        <v>52</v>
      </c>
      <c r="Q2288" s="105"/>
      <c r="R2288" s="28" t="s">
        <v>611</v>
      </c>
      <c r="S2288" s="225">
        <f t="shared" si="35"/>
        <v>56158</v>
      </c>
      <c r="T2288" s="2" t="s">
        <v>7666</v>
      </c>
      <c r="U2288" s="7" t="s">
        <v>141</v>
      </c>
      <c r="V2288" s="162" t="str" cm="1">
        <f t="array" ref="V2288">_xlfn.IFS(C2288="","",COUNTIF(C2288,"ตำแหน่งว่าง*"),"ว่าง",COUNTIF(C2288,"&lt;&gt;ตำแหน่งว่าง*"),"คนครอง")</f>
        <v>คนครอง</v>
      </c>
      <c r="W2288" s="6" cm="1">
        <f t="array" ref="W2288">_xlfn.IFS(COUNTIF(F2288,"ผบ.หมู่*"),51,COUNTIF(F2288,"รอง สว.*"),43)</f>
        <v>51</v>
      </c>
      <c r="X2288" s="1" t="s">
        <v>6632</v>
      </c>
      <c r="Y2288" s="1" t="s">
        <v>52</v>
      </c>
    </row>
    <row r="2289" spans="1:25" s="10" customFormat="1" ht="21.3" customHeight="1">
      <c r="A2289" s="27" t="s">
        <v>157</v>
      </c>
      <c r="B2289" s="28" t="s">
        <v>21</v>
      </c>
      <c r="C2289" s="27" t="s">
        <v>6634</v>
      </c>
      <c r="D2289" s="27" t="s">
        <v>10347</v>
      </c>
      <c r="E2289" s="27" t="s">
        <v>10348</v>
      </c>
      <c r="F2289" s="27" t="s">
        <v>6597</v>
      </c>
      <c r="G2289" s="101" t="s">
        <v>6636</v>
      </c>
      <c r="H2289" s="91">
        <v>44599</v>
      </c>
      <c r="I2289" s="73">
        <v>40084</v>
      </c>
      <c r="J2289" s="73">
        <v>40084</v>
      </c>
      <c r="K2289" s="73">
        <v>31634</v>
      </c>
      <c r="L2289" s="11" t="s">
        <v>68</v>
      </c>
      <c r="M2289" s="1" t="s">
        <v>84</v>
      </c>
      <c r="N2289" s="112" t="s">
        <v>14</v>
      </c>
      <c r="O2289" s="104" t="s">
        <v>52</v>
      </c>
      <c r="P2289" s="104" t="s">
        <v>52</v>
      </c>
      <c r="Q2289" s="105"/>
      <c r="R2289" s="28" t="s">
        <v>607</v>
      </c>
      <c r="S2289" s="225">
        <f t="shared" si="35"/>
        <v>53601</v>
      </c>
      <c r="T2289" s="7" t="s">
        <v>7666</v>
      </c>
      <c r="U2289" s="7" t="s">
        <v>141</v>
      </c>
      <c r="V2289" s="162" t="str" cm="1">
        <f t="array" ref="V2289">_xlfn.IFS(C2289="","",COUNTIF(C2289,"ตำแหน่งว่าง*"),"ว่าง",COUNTIF(C2289,"&lt;&gt;ตำแหน่งว่าง*"),"คนครอง")</f>
        <v>คนครอง</v>
      </c>
      <c r="W2289" s="6" cm="1">
        <f t="array" ref="W2289">_xlfn.IFS(COUNTIF(F2289,"ผบ.หมู่*"),51,COUNTIF(F2289,"รอง สว.*"),43)</f>
        <v>51</v>
      </c>
      <c r="X2289" s="1" t="s">
        <v>6635</v>
      </c>
      <c r="Y2289" s="1" t="s">
        <v>52</v>
      </c>
    </row>
    <row r="2290" spans="1:25" s="10" customFormat="1" ht="21.3" customHeight="1">
      <c r="A2290" s="27"/>
      <c r="B2290" s="28"/>
      <c r="C2290" s="30" t="s">
        <v>18</v>
      </c>
      <c r="D2290" s="27"/>
      <c r="E2290" s="27"/>
      <c r="F2290" s="68" t="s">
        <v>6597</v>
      </c>
      <c r="G2290" s="121" t="s">
        <v>6638</v>
      </c>
      <c r="H2290" s="91" t="s">
        <v>19</v>
      </c>
      <c r="I2290" s="73" t="s">
        <v>19</v>
      </c>
      <c r="J2290" s="73" t="s">
        <v>19</v>
      </c>
      <c r="K2290" s="73" t="s">
        <v>19</v>
      </c>
      <c r="L2290" s="11"/>
      <c r="M2290" s="1"/>
      <c r="N2290" s="113" t="s">
        <v>14</v>
      </c>
      <c r="O2290" s="122" t="s">
        <v>52</v>
      </c>
      <c r="P2290" s="122" t="s">
        <v>52</v>
      </c>
      <c r="Q2290" s="105"/>
      <c r="R2290" s="28"/>
      <c r="S2290" s="225" t="str">
        <f t="shared" si="35"/>
        <v/>
      </c>
      <c r="T2290" s="7" t="s">
        <v>7666</v>
      </c>
      <c r="U2290" s="7" t="s">
        <v>141</v>
      </c>
      <c r="V2290" s="162" t="str" cm="1">
        <f t="array" ref="V2290">_xlfn.IFS(C2290="","",COUNTIF(C2290,"ตำแหน่งว่าง*"),"ว่าง",COUNTIF(C2290,"&lt;&gt;ตำแหน่งว่าง*"),"คนครอง")</f>
        <v>ว่าง</v>
      </c>
      <c r="W2290" s="6" cm="1">
        <f t="array" ref="W2290">_xlfn.IFS(COUNTIF(F2290,"ผบ.หมู่*"),51,COUNTIF(F2290,"รอง สว.*"),43)</f>
        <v>51</v>
      </c>
      <c r="X2290" s="6" t="s">
        <v>6637</v>
      </c>
      <c r="Y2290" s="6" t="s">
        <v>52</v>
      </c>
    </row>
    <row r="2291" spans="1:25" s="10" customFormat="1" ht="21.3" customHeight="1">
      <c r="A2291" s="27"/>
      <c r="B2291" s="28"/>
      <c r="C2291" s="30" t="s">
        <v>18</v>
      </c>
      <c r="D2291" s="27"/>
      <c r="E2291" s="27"/>
      <c r="F2291" s="68" t="s">
        <v>6597</v>
      </c>
      <c r="G2291" s="121" t="s">
        <v>6640</v>
      </c>
      <c r="H2291" s="91" t="s">
        <v>19</v>
      </c>
      <c r="I2291" s="73" t="s">
        <v>19</v>
      </c>
      <c r="J2291" s="73" t="s">
        <v>19</v>
      </c>
      <c r="K2291" s="73" t="s">
        <v>19</v>
      </c>
      <c r="L2291" s="11"/>
      <c r="M2291" s="1"/>
      <c r="N2291" s="113" t="s">
        <v>14</v>
      </c>
      <c r="O2291" s="122" t="s">
        <v>52</v>
      </c>
      <c r="P2291" s="122" t="s">
        <v>52</v>
      </c>
      <c r="Q2291" s="105"/>
      <c r="R2291" s="28"/>
      <c r="S2291" s="225" t="str">
        <f t="shared" si="35"/>
        <v/>
      </c>
      <c r="T2291" s="7" t="s">
        <v>7666</v>
      </c>
      <c r="U2291" s="7" t="s">
        <v>141</v>
      </c>
      <c r="V2291" s="162" t="str" cm="1">
        <f t="array" ref="V2291">_xlfn.IFS(C2291="","",COUNTIF(C2291,"ตำแหน่งว่าง*"),"ว่าง",COUNTIF(C2291,"&lt;&gt;ตำแหน่งว่าง*"),"คนครอง")</f>
        <v>ว่าง</v>
      </c>
      <c r="W2291" s="6" cm="1">
        <f t="array" ref="W2291">_xlfn.IFS(COUNTIF(F2291,"ผบ.หมู่*"),51,COUNTIF(F2291,"รอง สว.*"),43)</f>
        <v>51</v>
      </c>
      <c r="X2291" s="6" t="s">
        <v>6639</v>
      </c>
      <c r="Y2291" s="6" t="s">
        <v>52</v>
      </c>
    </row>
    <row r="2292" spans="1:25" s="10" customFormat="1" ht="21.3" customHeight="1">
      <c r="A2292" s="27"/>
      <c r="B2292" s="28"/>
      <c r="C2292" s="30" t="s">
        <v>18</v>
      </c>
      <c r="D2292" s="27"/>
      <c r="E2292" s="27"/>
      <c r="F2292" s="68" t="s">
        <v>6597</v>
      </c>
      <c r="G2292" s="121" t="s">
        <v>6642</v>
      </c>
      <c r="H2292" s="91" t="s">
        <v>19</v>
      </c>
      <c r="I2292" s="73" t="s">
        <v>19</v>
      </c>
      <c r="J2292" s="73" t="s">
        <v>19</v>
      </c>
      <c r="K2292" s="73" t="s">
        <v>19</v>
      </c>
      <c r="L2292" s="11"/>
      <c r="M2292" s="1"/>
      <c r="N2292" s="113" t="s">
        <v>14</v>
      </c>
      <c r="O2292" s="122" t="s">
        <v>52</v>
      </c>
      <c r="P2292" s="122" t="s">
        <v>52</v>
      </c>
      <c r="Q2292" s="105"/>
      <c r="R2292" s="28"/>
      <c r="S2292" s="225" t="str">
        <f t="shared" si="35"/>
        <v/>
      </c>
      <c r="T2292" s="7" t="s">
        <v>7666</v>
      </c>
      <c r="U2292" s="7" t="s">
        <v>141</v>
      </c>
      <c r="V2292" s="162" t="str" cm="1">
        <f t="array" ref="V2292">_xlfn.IFS(C2292="","",COUNTIF(C2292,"ตำแหน่งว่าง*"),"ว่าง",COUNTIF(C2292,"&lt;&gt;ตำแหน่งว่าง*"),"คนครอง")</f>
        <v>ว่าง</v>
      </c>
      <c r="W2292" s="6" cm="1">
        <f t="array" ref="W2292">_xlfn.IFS(COUNTIF(F2292,"ผบ.หมู่*"),51,COUNTIF(F2292,"รอง สว.*"),43)</f>
        <v>51</v>
      </c>
      <c r="X2292" s="6" t="s">
        <v>6641</v>
      </c>
      <c r="Y2292" s="6" t="s">
        <v>52</v>
      </c>
    </row>
    <row r="2293" spans="1:25" s="10" customFormat="1" ht="21.3" customHeight="1">
      <c r="A2293" s="27"/>
      <c r="B2293" s="28"/>
      <c r="C2293" s="30" t="s">
        <v>18</v>
      </c>
      <c r="D2293" s="27"/>
      <c r="E2293" s="27"/>
      <c r="F2293" s="68" t="s">
        <v>6597</v>
      </c>
      <c r="G2293" s="121" t="s">
        <v>6644</v>
      </c>
      <c r="H2293" s="91" t="s">
        <v>19</v>
      </c>
      <c r="I2293" s="73" t="s">
        <v>19</v>
      </c>
      <c r="J2293" s="73" t="s">
        <v>19</v>
      </c>
      <c r="K2293" s="73" t="s">
        <v>19</v>
      </c>
      <c r="L2293" s="11"/>
      <c r="M2293" s="1"/>
      <c r="N2293" s="113" t="s">
        <v>14</v>
      </c>
      <c r="O2293" s="122" t="s">
        <v>52</v>
      </c>
      <c r="P2293" s="122" t="s">
        <v>52</v>
      </c>
      <c r="Q2293" s="105"/>
      <c r="R2293" s="28"/>
      <c r="S2293" s="225" t="str">
        <f t="shared" si="35"/>
        <v/>
      </c>
      <c r="T2293" s="7" t="s">
        <v>7666</v>
      </c>
      <c r="U2293" s="7" t="s">
        <v>141</v>
      </c>
      <c r="V2293" s="162" t="str" cm="1">
        <f t="array" ref="V2293">_xlfn.IFS(C2293="","",COUNTIF(C2293,"ตำแหน่งว่าง*"),"ว่าง",COUNTIF(C2293,"&lt;&gt;ตำแหน่งว่าง*"),"คนครอง")</f>
        <v>ว่าง</v>
      </c>
      <c r="W2293" s="6" cm="1">
        <f t="array" ref="W2293">_xlfn.IFS(COUNTIF(F2293,"ผบ.หมู่*"),51,COUNTIF(F2293,"รอง สว.*"),43)</f>
        <v>51</v>
      </c>
      <c r="X2293" s="6" t="s">
        <v>6643</v>
      </c>
      <c r="Y2293" s="6" t="s">
        <v>52</v>
      </c>
    </row>
    <row r="2294" spans="1:25" s="9" customFormat="1" ht="21.3" customHeight="1">
      <c r="A2294" s="27" t="s">
        <v>157</v>
      </c>
      <c r="B2294" s="28" t="s">
        <v>21</v>
      </c>
      <c r="C2294" s="27" t="s">
        <v>6791</v>
      </c>
      <c r="D2294" s="27" t="s">
        <v>10349</v>
      </c>
      <c r="E2294" s="27" t="s">
        <v>10350</v>
      </c>
      <c r="F2294" s="27" t="s">
        <v>6792</v>
      </c>
      <c r="G2294" s="101" t="s">
        <v>6794</v>
      </c>
      <c r="H2294" s="91">
        <v>42501</v>
      </c>
      <c r="I2294" s="73">
        <v>35095</v>
      </c>
      <c r="J2294" s="73">
        <v>35095</v>
      </c>
      <c r="K2294" s="73">
        <v>27169</v>
      </c>
      <c r="L2294" s="11" t="s">
        <v>5125</v>
      </c>
      <c r="M2294" s="43" t="s">
        <v>57</v>
      </c>
      <c r="N2294" s="112" t="s">
        <v>14</v>
      </c>
      <c r="O2294" s="104" t="s">
        <v>52</v>
      </c>
      <c r="P2294" s="104" t="s">
        <v>52</v>
      </c>
      <c r="Q2294" s="105"/>
      <c r="R2294" s="28" t="s">
        <v>110</v>
      </c>
      <c r="S2294" s="225">
        <f t="shared" si="35"/>
        <v>49218</v>
      </c>
      <c r="T2294" s="2" t="s">
        <v>7670</v>
      </c>
      <c r="U2294" s="7" t="s">
        <v>141</v>
      </c>
      <c r="V2294" s="162" t="str" cm="1">
        <f t="array" ref="V2294">_xlfn.IFS(C2294="","",COUNTIF(C2294,"ตำแหน่งว่าง*"),"ว่าง",COUNTIF(C2294,"&lt;&gt;ตำแหน่งว่าง*"),"คนครอง")</f>
        <v>คนครอง</v>
      </c>
      <c r="W2294" s="6" cm="1">
        <f t="array" ref="W2294">_xlfn.IFS(COUNTIF(F2294,"ผบ.หมู่*"),51,COUNTIF(F2294,"รอง สว.*"),43)</f>
        <v>51</v>
      </c>
      <c r="X2294" s="1" t="s">
        <v>6793</v>
      </c>
      <c r="Y2294" s="1" t="s">
        <v>52</v>
      </c>
    </row>
    <row r="2295" spans="1:25" s="10" customFormat="1" ht="21.3" customHeight="1">
      <c r="A2295" s="27" t="s">
        <v>157</v>
      </c>
      <c r="B2295" s="28" t="s">
        <v>21</v>
      </c>
      <c r="C2295" s="27" t="s">
        <v>6795</v>
      </c>
      <c r="D2295" s="27" t="s">
        <v>10351</v>
      </c>
      <c r="E2295" s="27" t="s">
        <v>10352</v>
      </c>
      <c r="F2295" s="27" t="s">
        <v>6792</v>
      </c>
      <c r="G2295" s="101" t="s">
        <v>6797</v>
      </c>
      <c r="H2295" s="75">
        <v>44999</v>
      </c>
      <c r="I2295" s="73">
        <v>40814</v>
      </c>
      <c r="J2295" s="73">
        <v>40814</v>
      </c>
      <c r="K2295" s="73">
        <v>30410</v>
      </c>
      <c r="L2295" s="11" t="s">
        <v>6798</v>
      </c>
      <c r="M2295" s="1" t="s">
        <v>57</v>
      </c>
      <c r="N2295" s="112" t="s">
        <v>14</v>
      </c>
      <c r="O2295" s="104" t="s">
        <v>52</v>
      </c>
      <c r="P2295" s="104" t="s">
        <v>52</v>
      </c>
      <c r="Q2295" s="105"/>
      <c r="R2295" s="26" t="s">
        <v>74</v>
      </c>
      <c r="S2295" s="225">
        <f t="shared" si="35"/>
        <v>52505</v>
      </c>
      <c r="T2295" s="7" t="s">
        <v>7670</v>
      </c>
      <c r="U2295" s="7" t="s">
        <v>141</v>
      </c>
      <c r="V2295" s="162" t="str" cm="1">
        <f t="array" ref="V2295">_xlfn.IFS(C2295="","",COUNTIF(C2295,"ตำแหน่งว่าง*"),"ว่าง",COUNTIF(C2295,"&lt;&gt;ตำแหน่งว่าง*"),"คนครอง")</f>
        <v>คนครอง</v>
      </c>
      <c r="W2295" s="6" cm="1">
        <f t="array" ref="W2295">_xlfn.IFS(COUNTIF(F2295,"ผบ.หมู่*"),51,COUNTIF(F2295,"รอง สว.*"),43)</f>
        <v>51</v>
      </c>
      <c r="X2295" s="1" t="s">
        <v>6796</v>
      </c>
      <c r="Y2295" s="1" t="s">
        <v>52</v>
      </c>
    </row>
    <row r="2296" spans="1:25" s="12" customFormat="1" ht="21.3" customHeight="1">
      <c r="A2296" s="95" t="s">
        <v>44</v>
      </c>
      <c r="B2296" s="31" t="s">
        <v>12</v>
      </c>
      <c r="C2296" s="95" t="s">
        <v>6799</v>
      </c>
      <c r="D2296" s="27" t="s">
        <v>8184</v>
      </c>
      <c r="E2296" s="27" t="s">
        <v>10353</v>
      </c>
      <c r="F2296" s="95" t="s">
        <v>6800</v>
      </c>
      <c r="G2296" s="101" t="s">
        <v>6802</v>
      </c>
      <c r="H2296" s="92">
        <v>42501</v>
      </c>
      <c r="I2296" s="76">
        <v>33635</v>
      </c>
      <c r="J2296" s="76">
        <v>33635</v>
      </c>
      <c r="K2296" s="76">
        <v>25132</v>
      </c>
      <c r="L2296" s="17" t="s">
        <v>6399</v>
      </c>
      <c r="M2296" s="5" t="s">
        <v>57</v>
      </c>
      <c r="N2296" s="111" t="s">
        <v>14</v>
      </c>
      <c r="O2296" s="104" t="s">
        <v>52</v>
      </c>
      <c r="P2296" s="104" t="s">
        <v>52</v>
      </c>
      <c r="Q2296" s="108"/>
      <c r="R2296" s="31" t="s">
        <v>110</v>
      </c>
      <c r="S2296" s="225">
        <f t="shared" si="35"/>
        <v>47392</v>
      </c>
      <c r="T2296" s="162" t="s">
        <v>7670</v>
      </c>
      <c r="U2296" s="7" t="s">
        <v>141</v>
      </c>
      <c r="V2296" s="162" t="str" cm="1">
        <f t="array" ref="V2296">_xlfn.IFS(C2296="","",COUNTIF(C2296,"ตำแหน่งว่าง*"),"ว่าง",COUNTIF(C2296,"&lt;&gt;ตำแหน่งว่าง*"),"คนครอง")</f>
        <v>คนครอง</v>
      </c>
      <c r="W2296" s="5" cm="1">
        <f t="array" ref="W2296">_xlfn.IFS(COUNTIF(F2296,"ผบ.หมู่*"),51,COUNTIF(F2296,"รอง สว.*"),43)</f>
        <v>43</v>
      </c>
      <c r="X2296" s="5" t="s">
        <v>6801</v>
      </c>
      <c r="Y2296" s="5" t="s">
        <v>52</v>
      </c>
    </row>
    <row r="2297" spans="1:25" s="9" customFormat="1" ht="21.3" customHeight="1">
      <c r="A2297" s="27" t="s">
        <v>612</v>
      </c>
      <c r="B2297" s="28" t="s">
        <v>21</v>
      </c>
      <c r="C2297" s="27" t="s">
        <v>6803</v>
      </c>
      <c r="D2297" s="27" t="s">
        <v>8072</v>
      </c>
      <c r="E2297" s="27" t="s">
        <v>10354</v>
      </c>
      <c r="F2297" s="27" t="s">
        <v>6792</v>
      </c>
      <c r="G2297" s="101" t="s">
        <v>6805</v>
      </c>
      <c r="H2297" s="91">
        <v>44599</v>
      </c>
      <c r="I2297" s="73">
        <v>41944</v>
      </c>
      <c r="J2297" s="73">
        <v>41944</v>
      </c>
      <c r="K2297" s="73">
        <v>32415</v>
      </c>
      <c r="L2297" s="11" t="s">
        <v>112</v>
      </c>
      <c r="M2297" s="1" t="s">
        <v>57</v>
      </c>
      <c r="N2297" s="112" t="s">
        <v>14</v>
      </c>
      <c r="O2297" s="104" t="s">
        <v>52</v>
      </c>
      <c r="P2297" s="104" t="s">
        <v>52</v>
      </c>
      <c r="Q2297" s="105"/>
      <c r="R2297" s="28" t="s">
        <v>607</v>
      </c>
      <c r="S2297" s="225">
        <f t="shared" si="35"/>
        <v>54332</v>
      </c>
      <c r="T2297" s="2" t="s">
        <v>7670</v>
      </c>
      <c r="U2297" s="7" t="s">
        <v>141</v>
      </c>
      <c r="V2297" s="162" t="str" cm="1">
        <f t="array" ref="V2297">_xlfn.IFS(C2297="","",COUNTIF(C2297,"ตำแหน่งว่าง*"),"ว่าง",COUNTIF(C2297,"&lt;&gt;ตำแหน่งว่าง*"),"คนครอง")</f>
        <v>คนครอง</v>
      </c>
      <c r="W2297" s="6" cm="1">
        <f t="array" ref="W2297">_xlfn.IFS(COUNTIF(F2297,"ผบ.หมู่*"),51,COUNTIF(F2297,"รอง สว.*"),43)</f>
        <v>51</v>
      </c>
      <c r="X2297" s="1" t="s">
        <v>6804</v>
      </c>
      <c r="Y2297" s="1" t="s">
        <v>52</v>
      </c>
    </row>
    <row r="2298" spans="1:25" s="10" customFormat="1" ht="21.3" customHeight="1">
      <c r="A2298" s="27" t="s">
        <v>60</v>
      </c>
      <c r="B2298" s="28" t="s">
        <v>12</v>
      </c>
      <c r="C2298" s="27" t="s">
        <v>6806</v>
      </c>
      <c r="D2298" s="27" t="s">
        <v>10355</v>
      </c>
      <c r="E2298" s="27" t="s">
        <v>10356</v>
      </c>
      <c r="F2298" s="27" t="s">
        <v>6800</v>
      </c>
      <c r="G2298" s="101" t="s">
        <v>6808</v>
      </c>
      <c r="H2298" s="91">
        <v>44999</v>
      </c>
      <c r="I2298" s="82">
        <v>34731</v>
      </c>
      <c r="J2298" s="82">
        <v>34731</v>
      </c>
      <c r="K2298" s="82">
        <v>26296</v>
      </c>
      <c r="L2298" s="58" t="s">
        <v>82</v>
      </c>
      <c r="M2298" s="56" t="s">
        <v>57</v>
      </c>
      <c r="N2298" s="112" t="s">
        <v>14</v>
      </c>
      <c r="O2298" s="104" t="s">
        <v>52</v>
      </c>
      <c r="P2298" s="104" t="s">
        <v>52</v>
      </c>
      <c r="Q2298" s="105"/>
      <c r="R2298" s="28" t="s">
        <v>74</v>
      </c>
      <c r="S2298" s="225">
        <f t="shared" si="35"/>
        <v>48488</v>
      </c>
      <c r="T2298" s="7" t="s">
        <v>7670</v>
      </c>
      <c r="U2298" s="7" t="s">
        <v>141</v>
      </c>
      <c r="V2298" s="162" t="str" cm="1">
        <f t="array" ref="V2298">_xlfn.IFS(C2298="","",COUNTIF(C2298,"ตำแหน่งว่าง*"),"ว่าง",COUNTIF(C2298,"&lt;&gt;ตำแหน่งว่าง*"),"คนครอง")</f>
        <v>คนครอง</v>
      </c>
      <c r="W2298" s="6" cm="1">
        <f t="array" ref="W2298">_xlfn.IFS(COUNTIF(F2298,"ผบ.หมู่*"),51,COUNTIF(F2298,"รอง สว.*"),43)</f>
        <v>43</v>
      </c>
      <c r="X2298" s="28" t="s">
        <v>6807</v>
      </c>
      <c r="Y2298" s="28" t="s">
        <v>52</v>
      </c>
    </row>
    <row r="2299" spans="1:25" s="9" customFormat="1" ht="21.3" customHeight="1">
      <c r="A2299" s="27" t="s">
        <v>157</v>
      </c>
      <c r="B2299" s="28" t="s">
        <v>21</v>
      </c>
      <c r="C2299" s="27" t="s">
        <v>6809</v>
      </c>
      <c r="D2299" s="27" t="s">
        <v>10357</v>
      </c>
      <c r="E2299" s="27" t="s">
        <v>10358</v>
      </c>
      <c r="F2299" s="27" t="s">
        <v>6792</v>
      </c>
      <c r="G2299" s="101" t="s">
        <v>6811</v>
      </c>
      <c r="H2299" s="91">
        <v>42501</v>
      </c>
      <c r="I2299" s="73">
        <v>42501</v>
      </c>
      <c r="J2299" s="73">
        <v>34729</v>
      </c>
      <c r="K2299" s="73">
        <v>27635</v>
      </c>
      <c r="L2299" s="11" t="s">
        <v>5125</v>
      </c>
      <c r="M2299" s="1" t="s">
        <v>57</v>
      </c>
      <c r="N2299" s="112" t="s">
        <v>14</v>
      </c>
      <c r="O2299" s="104" t="s">
        <v>52</v>
      </c>
      <c r="P2299" s="104" t="s">
        <v>52</v>
      </c>
      <c r="Q2299" s="105"/>
      <c r="R2299" s="28" t="s">
        <v>110</v>
      </c>
      <c r="S2299" s="225">
        <f t="shared" si="35"/>
        <v>49583</v>
      </c>
      <c r="T2299" s="2" t="s">
        <v>7670</v>
      </c>
      <c r="U2299" s="7" t="s">
        <v>141</v>
      </c>
      <c r="V2299" s="162" t="str" cm="1">
        <f t="array" ref="V2299">_xlfn.IFS(C2299="","",COUNTIF(C2299,"ตำแหน่งว่าง*"),"ว่าง",COUNTIF(C2299,"&lt;&gt;ตำแหน่งว่าง*"),"คนครอง")</f>
        <v>คนครอง</v>
      </c>
      <c r="W2299" s="6" cm="1">
        <f t="array" ref="W2299">_xlfn.IFS(COUNTIF(F2299,"ผบ.หมู่*"),51,COUNTIF(F2299,"รอง สว.*"),43)</f>
        <v>51</v>
      </c>
      <c r="X2299" s="1" t="s">
        <v>6810</v>
      </c>
      <c r="Y2299" s="1" t="s">
        <v>52</v>
      </c>
    </row>
    <row r="2300" spans="1:25" s="10" customFormat="1" ht="21.3" customHeight="1">
      <c r="A2300" s="27" t="s">
        <v>157</v>
      </c>
      <c r="B2300" s="28" t="s">
        <v>12</v>
      </c>
      <c r="C2300" s="27" t="s">
        <v>2722</v>
      </c>
      <c r="D2300" s="27" t="s">
        <v>10359</v>
      </c>
      <c r="E2300" s="27" t="s">
        <v>10360</v>
      </c>
      <c r="F2300" s="27" t="s">
        <v>6792</v>
      </c>
      <c r="G2300" s="101" t="s">
        <v>6813</v>
      </c>
      <c r="H2300" s="91">
        <v>45322</v>
      </c>
      <c r="I2300" s="73">
        <v>37316</v>
      </c>
      <c r="J2300" s="73">
        <v>37316</v>
      </c>
      <c r="K2300" s="73">
        <v>27178</v>
      </c>
      <c r="L2300" s="11" t="s">
        <v>112</v>
      </c>
      <c r="M2300" s="1" t="s">
        <v>41</v>
      </c>
      <c r="N2300" s="112" t="s">
        <v>14</v>
      </c>
      <c r="O2300" s="104" t="s">
        <v>52</v>
      </c>
      <c r="P2300" s="104" t="s">
        <v>52</v>
      </c>
      <c r="Q2300" s="105"/>
      <c r="R2300" s="30" t="s">
        <v>7708</v>
      </c>
      <c r="S2300" s="225">
        <f t="shared" si="35"/>
        <v>49218</v>
      </c>
      <c r="T2300" s="7" t="s">
        <v>7670</v>
      </c>
      <c r="U2300" s="7" t="s">
        <v>141</v>
      </c>
      <c r="V2300" s="162" t="str" cm="1">
        <f t="array" ref="V2300">_xlfn.IFS(C2300="","",COUNTIF(C2300,"ตำแหน่งว่าง*"),"ว่าง",COUNTIF(C2300,"&lt;&gt;ตำแหน่งว่าง*"),"คนครอง")</f>
        <v>คนครอง</v>
      </c>
      <c r="W2300" s="6" cm="1">
        <f t="array" ref="W2300">_xlfn.IFS(COUNTIF(F2300,"ผบ.หมู่*"),51,COUNTIF(F2300,"รอง สว.*"),43)</f>
        <v>51</v>
      </c>
      <c r="X2300" s="1" t="s">
        <v>6812</v>
      </c>
      <c r="Y2300" s="1" t="s">
        <v>52</v>
      </c>
    </row>
    <row r="2301" spans="1:25" s="9" customFormat="1" ht="21.3" customHeight="1">
      <c r="A2301" s="27" t="s">
        <v>26</v>
      </c>
      <c r="B2301" s="28" t="s">
        <v>12</v>
      </c>
      <c r="C2301" s="27" t="s">
        <v>6814</v>
      </c>
      <c r="D2301" s="27" t="s">
        <v>88</v>
      </c>
      <c r="E2301" s="27" t="s">
        <v>10361</v>
      </c>
      <c r="F2301" s="27" t="s">
        <v>6800</v>
      </c>
      <c r="G2301" s="101" t="s">
        <v>6816</v>
      </c>
      <c r="H2301" s="91">
        <v>44286</v>
      </c>
      <c r="I2301" s="73">
        <v>44286</v>
      </c>
      <c r="J2301" s="73">
        <v>34001</v>
      </c>
      <c r="K2301" s="73">
        <v>24792</v>
      </c>
      <c r="L2301" s="11" t="s">
        <v>6817</v>
      </c>
      <c r="M2301" s="1" t="s">
        <v>57</v>
      </c>
      <c r="N2301" s="112" t="s">
        <v>14</v>
      </c>
      <c r="O2301" s="104" t="s">
        <v>52</v>
      </c>
      <c r="P2301" s="104" t="s">
        <v>52</v>
      </c>
      <c r="Q2301" s="105"/>
      <c r="R2301" s="28" t="s">
        <v>110</v>
      </c>
      <c r="S2301" s="225">
        <f t="shared" si="35"/>
        <v>47027</v>
      </c>
      <c r="T2301" s="2" t="s">
        <v>7670</v>
      </c>
      <c r="U2301" s="7" t="s">
        <v>141</v>
      </c>
      <c r="V2301" s="162" t="str" cm="1">
        <f t="array" ref="V2301">_xlfn.IFS(C2301="","",COUNTIF(C2301,"ตำแหน่งว่าง*"),"ว่าง",COUNTIF(C2301,"&lt;&gt;ตำแหน่งว่าง*"),"คนครอง")</f>
        <v>คนครอง</v>
      </c>
      <c r="W2301" s="5" cm="1">
        <f t="array" ref="W2301">_xlfn.IFS(COUNTIF(F2301,"ผบ.หมู่*"),51,COUNTIF(F2301,"รอง สว.*"),43)</f>
        <v>43</v>
      </c>
      <c r="X2301" s="1" t="s">
        <v>6815</v>
      </c>
      <c r="Y2301" s="1" t="s">
        <v>52</v>
      </c>
    </row>
    <row r="2302" spans="1:25" s="9" customFormat="1" ht="21.3" customHeight="1">
      <c r="A2302" s="27" t="s">
        <v>60</v>
      </c>
      <c r="B2302" s="28" t="s">
        <v>21</v>
      </c>
      <c r="C2302" s="27" t="s">
        <v>6818</v>
      </c>
      <c r="D2302" s="27" t="s">
        <v>10362</v>
      </c>
      <c r="E2302" s="27" t="s">
        <v>10363</v>
      </c>
      <c r="F2302" s="27" t="s">
        <v>6800</v>
      </c>
      <c r="G2302" s="101" t="s">
        <v>6820</v>
      </c>
      <c r="H2302" s="91">
        <v>42501</v>
      </c>
      <c r="I2302" s="73">
        <v>34352</v>
      </c>
      <c r="J2302" s="73">
        <v>34352</v>
      </c>
      <c r="K2302" s="73">
        <v>26507</v>
      </c>
      <c r="L2302" s="11" t="s">
        <v>6821</v>
      </c>
      <c r="M2302" s="1" t="s">
        <v>57</v>
      </c>
      <c r="N2302" s="112" t="s">
        <v>14</v>
      </c>
      <c r="O2302" s="104" t="s">
        <v>52</v>
      </c>
      <c r="P2302" s="104" t="s">
        <v>52</v>
      </c>
      <c r="Q2302" s="105"/>
      <c r="R2302" s="28" t="s">
        <v>110</v>
      </c>
      <c r="S2302" s="225">
        <f t="shared" si="35"/>
        <v>48488</v>
      </c>
      <c r="T2302" s="2" t="s">
        <v>7670</v>
      </c>
      <c r="U2302" s="7" t="s">
        <v>141</v>
      </c>
      <c r="V2302" s="162" t="str" cm="1">
        <f t="array" ref="V2302">_xlfn.IFS(C2302="","",COUNTIF(C2302,"ตำแหน่งว่าง*"),"ว่าง",COUNTIF(C2302,"&lt;&gt;ตำแหน่งว่าง*"),"คนครอง")</f>
        <v>คนครอง</v>
      </c>
      <c r="W2302" s="6" cm="1">
        <f t="array" ref="W2302">_xlfn.IFS(COUNTIF(F2302,"ผบ.หมู่*"),51,COUNTIF(F2302,"รอง สว.*"),43)</f>
        <v>43</v>
      </c>
      <c r="X2302" s="1" t="s">
        <v>6819</v>
      </c>
      <c r="Y2302" s="1" t="s">
        <v>52</v>
      </c>
    </row>
    <row r="2303" spans="1:25" s="9" customFormat="1" ht="21.3" customHeight="1">
      <c r="A2303" s="27" t="s">
        <v>157</v>
      </c>
      <c r="B2303" s="28" t="s">
        <v>12</v>
      </c>
      <c r="C2303" s="27" t="s">
        <v>7725</v>
      </c>
      <c r="D2303" s="27" t="s">
        <v>8021</v>
      </c>
      <c r="E2303" s="27" t="s">
        <v>8254</v>
      </c>
      <c r="F2303" s="27" t="s">
        <v>6792</v>
      </c>
      <c r="G2303" s="101" t="s">
        <v>6823</v>
      </c>
      <c r="H2303" s="91">
        <v>45322</v>
      </c>
      <c r="I2303" s="73">
        <v>38200</v>
      </c>
      <c r="J2303" s="73">
        <v>38200</v>
      </c>
      <c r="K2303" s="73">
        <v>29251</v>
      </c>
      <c r="L2303" s="11" t="s">
        <v>7726</v>
      </c>
      <c r="M2303" s="1" t="s">
        <v>33</v>
      </c>
      <c r="N2303" s="112" t="s">
        <v>14</v>
      </c>
      <c r="O2303" s="104" t="s">
        <v>52</v>
      </c>
      <c r="P2303" s="104" t="s">
        <v>52</v>
      </c>
      <c r="Q2303" s="105"/>
      <c r="R2303" s="30" t="s">
        <v>7708</v>
      </c>
      <c r="S2303" s="225">
        <f t="shared" si="35"/>
        <v>51410</v>
      </c>
      <c r="T2303" s="2" t="s">
        <v>7670</v>
      </c>
      <c r="U2303" s="7" t="s">
        <v>141</v>
      </c>
      <c r="V2303" s="162" t="str" cm="1">
        <f t="array" ref="V2303">_xlfn.IFS(C2303="","",COUNTIF(C2303,"ตำแหน่งว่าง*"),"ว่าง",COUNTIF(C2303,"&lt;&gt;ตำแหน่งว่าง*"),"คนครอง")</f>
        <v>คนครอง</v>
      </c>
      <c r="W2303" s="6" cm="1">
        <f t="array" ref="W2303">_xlfn.IFS(COUNTIF(F2303,"ผบ.หมู่*"),51,COUNTIF(F2303,"รอง สว.*"),43)</f>
        <v>51</v>
      </c>
      <c r="X2303" s="1" t="s">
        <v>6822</v>
      </c>
      <c r="Y2303" s="1" t="s">
        <v>52</v>
      </c>
    </row>
    <row r="2304" spans="1:25" s="9" customFormat="1" ht="21.3" customHeight="1">
      <c r="A2304" s="68"/>
      <c r="B2304" s="30"/>
      <c r="C2304" s="68" t="s">
        <v>18</v>
      </c>
      <c r="D2304" s="27"/>
      <c r="E2304" s="27"/>
      <c r="F2304" s="68" t="s">
        <v>6792</v>
      </c>
      <c r="G2304" s="121" t="s">
        <v>6825</v>
      </c>
      <c r="H2304" s="93"/>
      <c r="I2304" s="74"/>
      <c r="J2304" s="74"/>
      <c r="K2304" s="74"/>
      <c r="L2304" s="16"/>
      <c r="M2304" s="6"/>
      <c r="N2304" s="113" t="s">
        <v>14</v>
      </c>
      <c r="O2304" s="122" t="s">
        <v>52</v>
      </c>
      <c r="P2304" s="122" t="s">
        <v>52</v>
      </c>
      <c r="Q2304" s="106"/>
      <c r="R2304" s="30"/>
      <c r="S2304" s="225" t="str">
        <f t="shared" si="35"/>
        <v/>
      </c>
      <c r="T2304" s="2" t="s">
        <v>7670</v>
      </c>
      <c r="U2304" s="7" t="s">
        <v>141</v>
      </c>
      <c r="V2304" s="162" t="str" cm="1">
        <f t="array" ref="V2304">_xlfn.IFS(C2304="","",COUNTIF(C2304,"ตำแหน่งว่าง*"),"ว่าง",COUNTIF(C2304,"&lt;&gt;ตำแหน่งว่าง*"),"คนครอง")</f>
        <v>ว่าง</v>
      </c>
      <c r="W2304" s="5" cm="1">
        <f t="array" ref="W2304">_xlfn.IFS(COUNTIF(F2304,"ผบ.หมู่*"),51,COUNTIF(F2304,"รอง สว.*"),43)</f>
        <v>51</v>
      </c>
      <c r="X2304" s="1" t="s">
        <v>6824</v>
      </c>
      <c r="Y2304" s="1" t="s">
        <v>52</v>
      </c>
    </row>
    <row r="2305" spans="1:25" s="9" customFormat="1" ht="21.3" customHeight="1">
      <c r="A2305" s="27" t="s">
        <v>157</v>
      </c>
      <c r="B2305" s="28" t="s">
        <v>21</v>
      </c>
      <c r="C2305" s="27" t="s">
        <v>6826</v>
      </c>
      <c r="D2305" s="27" t="s">
        <v>10364</v>
      </c>
      <c r="E2305" s="27" t="s">
        <v>10365</v>
      </c>
      <c r="F2305" s="27" t="s">
        <v>6792</v>
      </c>
      <c r="G2305" s="101" t="s">
        <v>6828</v>
      </c>
      <c r="H2305" s="91">
        <v>42501</v>
      </c>
      <c r="I2305" s="73">
        <v>35095</v>
      </c>
      <c r="J2305" s="73">
        <v>35095</v>
      </c>
      <c r="K2305" s="73">
        <v>27457</v>
      </c>
      <c r="L2305" s="11" t="s">
        <v>6829</v>
      </c>
      <c r="M2305" s="1" t="s">
        <v>57</v>
      </c>
      <c r="N2305" s="112" t="s">
        <v>14</v>
      </c>
      <c r="O2305" s="104" t="s">
        <v>52</v>
      </c>
      <c r="P2305" s="104" t="s">
        <v>52</v>
      </c>
      <c r="Q2305" s="105"/>
      <c r="R2305" s="28" t="s">
        <v>110</v>
      </c>
      <c r="S2305" s="225">
        <f t="shared" si="35"/>
        <v>49583</v>
      </c>
      <c r="T2305" s="2" t="s">
        <v>7670</v>
      </c>
      <c r="U2305" s="7" t="s">
        <v>141</v>
      </c>
      <c r="V2305" s="162" t="str" cm="1">
        <f t="array" ref="V2305">_xlfn.IFS(C2305="","",COUNTIF(C2305,"ตำแหน่งว่าง*"),"ว่าง",COUNTIF(C2305,"&lt;&gt;ตำแหน่งว่าง*"),"คนครอง")</f>
        <v>คนครอง</v>
      </c>
      <c r="W2305" s="6" cm="1">
        <f t="array" ref="W2305">_xlfn.IFS(COUNTIF(F2305,"ผบ.หมู่*"),51,COUNTIF(F2305,"รอง สว.*"),43)</f>
        <v>51</v>
      </c>
      <c r="X2305" s="1" t="s">
        <v>6827</v>
      </c>
      <c r="Y2305" s="1" t="s">
        <v>52</v>
      </c>
    </row>
    <row r="2306" spans="1:25" s="12" customFormat="1" ht="21.3" customHeight="1">
      <c r="A2306" s="27" t="s">
        <v>30</v>
      </c>
      <c r="B2306" s="28" t="s">
        <v>21</v>
      </c>
      <c r="C2306" s="95" t="s">
        <v>6830</v>
      </c>
      <c r="D2306" s="27" t="s">
        <v>10366</v>
      </c>
      <c r="E2306" s="27" t="s">
        <v>10367</v>
      </c>
      <c r="F2306" s="95" t="s">
        <v>6800</v>
      </c>
      <c r="G2306" s="101" t="s">
        <v>6832</v>
      </c>
      <c r="H2306" s="91">
        <v>42501</v>
      </c>
      <c r="I2306" s="73">
        <v>42501</v>
      </c>
      <c r="J2306" s="73">
        <v>35095</v>
      </c>
      <c r="K2306" s="73">
        <v>24077</v>
      </c>
      <c r="L2306" s="11" t="s">
        <v>6833</v>
      </c>
      <c r="M2306" s="1" t="s">
        <v>57</v>
      </c>
      <c r="N2306" s="111" t="s">
        <v>14</v>
      </c>
      <c r="O2306" s="104" t="s">
        <v>52</v>
      </c>
      <c r="P2306" s="104" t="s">
        <v>52</v>
      </c>
      <c r="Q2306" s="105"/>
      <c r="R2306" s="28" t="s">
        <v>110</v>
      </c>
      <c r="S2306" s="225">
        <f t="shared" ref="S2306:S2369" si="36">IF(K2306&lt;&gt;"",DATE(YEAR(K2306)+60+(K2306&gt;=DATE(YEAR(K2306),10,2)),10,1),"")</f>
        <v>46296</v>
      </c>
      <c r="T2306" s="162" t="s">
        <v>7670</v>
      </c>
      <c r="U2306" s="7" t="s">
        <v>141</v>
      </c>
      <c r="V2306" s="162" t="str" cm="1">
        <f t="array" ref="V2306">_xlfn.IFS(C2306="","",COUNTIF(C2306,"ตำแหน่งว่าง*"),"ว่าง",COUNTIF(C2306,"&lt;&gt;ตำแหน่งว่าง*"),"คนครอง")</f>
        <v>คนครอง</v>
      </c>
      <c r="W2306" s="5" cm="1">
        <f t="array" ref="W2306">_xlfn.IFS(COUNTIF(F2306,"ผบ.หมู่*"),51,COUNTIF(F2306,"รอง สว.*"),43)</f>
        <v>43</v>
      </c>
      <c r="X2306" s="5" t="s">
        <v>6831</v>
      </c>
      <c r="Y2306" s="5" t="s">
        <v>52</v>
      </c>
    </row>
    <row r="2307" spans="1:25" s="12" customFormat="1" ht="21.3" customHeight="1">
      <c r="A2307" s="27" t="s">
        <v>612</v>
      </c>
      <c r="B2307" s="28" t="s">
        <v>12</v>
      </c>
      <c r="C2307" s="27" t="s">
        <v>7749</v>
      </c>
      <c r="D2307" s="27" t="s">
        <v>10368</v>
      </c>
      <c r="E2307" s="27" t="s">
        <v>8311</v>
      </c>
      <c r="F2307" s="27" t="s">
        <v>6792</v>
      </c>
      <c r="G2307" s="101" t="s">
        <v>6835</v>
      </c>
      <c r="H2307" s="91">
        <v>45322</v>
      </c>
      <c r="I2307" s="73">
        <v>42416</v>
      </c>
      <c r="J2307" s="73">
        <v>42416</v>
      </c>
      <c r="K2307" s="73">
        <v>31964</v>
      </c>
      <c r="L2307" s="11" t="s">
        <v>7739</v>
      </c>
      <c r="M2307" s="1" t="s">
        <v>57</v>
      </c>
      <c r="N2307" s="112" t="s">
        <v>14</v>
      </c>
      <c r="O2307" s="104" t="s">
        <v>52</v>
      </c>
      <c r="P2307" s="104" t="s">
        <v>52</v>
      </c>
      <c r="Q2307" s="105"/>
      <c r="R2307" s="30" t="s">
        <v>7708</v>
      </c>
      <c r="S2307" s="225">
        <f t="shared" si="36"/>
        <v>53966</v>
      </c>
      <c r="T2307" s="162" t="s">
        <v>7670</v>
      </c>
      <c r="U2307" s="7" t="s">
        <v>141</v>
      </c>
      <c r="V2307" s="162" t="str" cm="1">
        <f t="array" ref="V2307">_xlfn.IFS(C2307="","",COUNTIF(C2307,"ตำแหน่งว่าง*"),"ว่าง",COUNTIF(C2307,"&lt;&gt;ตำแหน่งว่าง*"),"คนครอง")</f>
        <v>คนครอง</v>
      </c>
      <c r="W2307" s="6" cm="1">
        <f t="array" ref="W2307">_xlfn.IFS(COUNTIF(F2307,"ผบ.หมู่*"),51,COUNTIF(F2307,"รอง สว.*"),43)</f>
        <v>51</v>
      </c>
      <c r="X2307" s="1" t="s">
        <v>6834</v>
      </c>
      <c r="Y2307" s="1" t="s">
        <v>52</v>
      </c>
    </row>
    <row r="2308" spans="1:25" s="10" customFormat="1" ht="21.3" customHeight="1">
      <c r="A2308" s="27" t="s">
        <v>182</v>
      </c>
      <c r="B2308" s="28" t="s">
        <v>12</v>
      </c>
      <c r="C2308" s="27" t="s">
        <v>4720</v>
      </c>
      <c r="D2308" s="27" t="s">
        <v>9704</v>
      </c>
      <c r="E2308" s="27" t="s">
        <v>9705</v>
      </c>
      <c r="F2308" s="27" t="s">
        <v>6792</v>
      </c>
      <c r="G2308" s="101" t="s">
        <v>6837</v>
      </c>
      <c r="H2308" s="91">
        <v>45768</v>
      </c>
      <c r="I2308" s="73">
        <v>44043</v>
      </c>
      <c r="J2308" s="73">
        <v>44043</v>
      </c>
      <c r="K2308" s="73">
        <v>35624</v>
      </c>
      <c r="L2308" s="11" t="s">
        <v>82</v>
      </c>
      <c r="M2308" s="1" t="s">
        <v>57</v>
      </c>
      <c r="N2308" s="112" t="s">
        <v>14</v>
      </c>
      <c r="O2308" s="104" t="s">
        <v>52</v>
      </c>
      <c r="P2308" s="104" t="s">
        <v>52</v>
      </c>
      <c r="Q2308" s="105"/>
      <c r="R2308" s="28" t="s">
        <v>10804</v>
      </c>
      <c r="S2308" s="174">
        <f t="shared" si="36"/>
        <v>57619</v>
      </c>
      <c r="T2308" s="2" t="s">
        <v>7670</v>
      </c>
      <c r="U2308" s="2" t="s">
        <v>141</v>
      </c>
      <c r="V2308" s="2" t="str" cm="1">
        <f t="array" ref="V2308">_xlfn.IFS(C2308="","",COUNTIF(C2308,"ตำแหน่งว่าง*"),"ว่าง",COUNTIF(C2308,"&lt;&gt;ตำแหน่งว่าง*"),"คนครอง")</f>
        <v>คนครอง</v>
      </c>
      <c r="W2308" s="1" cm="1">
        <f t="array" ref="W2308">_xlfn.IFS(COUNTIF(F2308,"ผบ.หมู่*"),51,COUNTIF(F2308,"รอง สว.*"),43)</f>
        <v>51</v>
      </c>
      <c r="X2308" s="1" t="s">
        <v>6836</v>
      </c>
      <c r="Y2308" s="1" t="s">
        <v>52</v>
      </c>
    </row>
    <row r="2309" spans="1:25" s="12" customFormat="1" ht="21.3" customHeight="1">
      <c r="A2309" s="27" t="s">
        <v>157</v>
      </c>
      <c r="B2309" s="28" t="s">
        <v>21</v>
      </c>
      <c r="C2309" s="95" t="s">
        <v>6838</v>
      </c>
      <c r="D2309" s="27" t="s">
        <v>10369</v>
      </c>
      <c r="E2309" s="27" t="s">
        <v>8107</v>
      </c>
      <c r="F2309" s="95" t="s">
        <v>6792</v>
      </c>
      <c r="G2309" s="101" t="s">
        <v>6840</v>
      </c>
      <c r="H2309" s="91">
        <v>42501</v>
      </c>
      <c r="I2309" s="73">
        <v>34352</v>
      </c>
      <c r="J2309" s="73">
        <v>34352</v>
      </c>
      <c r="K2309" s="73">
        <v>26741</v>
      </c>
      <c r="L2309" s="11" t="s">
        <v>6821</v>
      </c>
      <c r="M2309" s="1" t="s">
        <v>57</v>
      </c>
      <c r="N2309" s="111" t="s">
        <v>14</v>
      </c>
      <c r="O2309" s="104" t="s">
        <v>52</v>
      </c>
      <c r="P2309" s="104" t="s">
        <v>52</v>
      </c>
      <c r="Q2309" s="105"/>
      <c r="R2309" s="28" t="s">
        <v>110</v>
      </c>
      <c r="S2309" s="225">
        <f t="shared" si="36"/>
        <v>48853</v>
      </c>
      <c r="T2309" s="162" t="s">
        <v>7670</v>
      </c>
      <c r="U2309" s="7" t="s">
        <v>141</v>
      </c>
      <c r="V2309" s="162" t="str" cm="1">
        <f t="array" ref="V2309">_xlfn.IFS(C2309="","",COUNTIF(C2309,"ตำแหน่งว่าง*"),"ว่าง",COUNTIF(C2309,"&lt;&gt;ตำแหน่งว่าง*"),"คนครอง")</f>
        <v>คนครอง</v>
      </c>
      <c r="W2309" s="6" cm="1">
        <f t="array" ref="W2309">_xlfn.IFS(COUNTIF(F2309,"ผบ.หมู่*"),51,COUNTIF(F2309,"รอง สว.*"),43)</f>
        <v>51</v>
      </c>
      <c r="X2309" s="5" t="s">
        <v>6839</v>
      </c>
      <c r="Y2309" s="5" t="s">
        <v>52</v>
      </c>
    </row>
    <row r="2310" spans="1:25" s="12" customFormat="1" ht="21.3" customHeight="1">
      <c r="A2310" s="27" t="s">
        <v>157</v>
      </c>
      <c r="B2310" s="28" t="s">
        <v>21</v>
      </c>
      <c r="C2310" s="95" t="s">
        <v>6841</v>
      </c>
      <c r="D2310" s="27" t="s">
        <v>10370</v>
      </c>
      <c r="E2310" s="27" t="s">
        <v>10371</v>
      </c>
      <c r="F2310" s="95" t="s">
        <v>6792</v>
      </c>
      <c r="G2310" s="101" t="s">
        <v>6843</v>
      </c>
      <c r="H2310" s="91">
        <v>42501</v>
      </c>
      <c r="I2310" s="73">
        <v>34352</v>
      </c>
      <c r="J2310" s="73">
        <v>34352</v>
      </c>
      <c r="K2310" s="73">
        <v>27009</v>
      </c>
      <c r="L2310" s="11" t="s">
        <v>5125</v>
      </c>
      <c r="M2310" s="1" t="s">
        <v>57</v>
      </c>
      <c r="N2310" s="111" t="s">
        <v>14</v>
      </c>
      <c r="O2310" s="104" t="s">
        <v>52</v>
      </c>
      <c r="P2310" s="104" t="s">
        <v>52</v>
      </c>
      <c r="Q2310" s="105"/>
      <c r="R2310" s="28" t="s">
        <v>110</v>
      </c>
      <c r="S2310" s="225">
        <f t="shared" si="36"/>
        <v>49218</v>
      </c>
      <c r="T2310" s="162" t="s">
        <v>7670</v>
      </c>
      <c r="U2310" s="7" t="s">
        <v>141</v>
      </c>
      <c r="V2310" s="162" t="str" cm="1">
        <f t="array" ref="V2310">_xlfn.IFS(C2310="","",COUNTIF(C2310,"ตำแหน่งว่าง*"),"ว่าง",COUNTIF(C2310,"&lt;&gt;ตำแหน่งว่าง*"),"คนครอง")</f>
        <v>คนครอง</v>
      </c>
      <c r="W2310" s="6" cm="1">
        <f t="array" ref="W2310">_xlfn.IFS(COUNTIF(F2310,"ผบ.หมู่*"),51,COUNTIF(F2310,"รอง สว.*"),43)</f>
        <v>51</v>
      </c>
      <c r="X2310" s="5" t="s">
        <v>6842</v>
      </c>
      <c r="Y2310" s="5" t="s">
        <v>52</v>
      </c>
    </row>
    <row r="2311" spans="1:25" s="9" customFormat="1" ht="21.3" customHeight="1">
      <c r="A2311" s="27" t="s">
        <v>182</v>
      </c>
      <c r="B2311" s="28" t="s">
        <v>12</v>
      </c>
      <c r="C2311" s="27" t="s">
        <v>6645</v>
      </c>
      <c r="D2311" s="27" t="s">
        <v>8080</v>
      </c>
      <c r="E2311" s="27" t="s">
        <v>10372</v>
      </c>
      <c r="F2311" s="27" t="s">
        <v>6646</v>
      </c>
      <c r="G2311" s="101" t="s">
        <v>6648</v>
      </c>
      <c r="H2311" s="75">
        <v>44636</v>
      </c>
      <c r="I2311" s="73">
        <v>44636</v>
      </c>
      <c r="J2311" s="73">
        <v>44636</v>
      </c>
      <c r="K2311" s="73">
        <v>34778</v>
      </c>
      <c r="L2311" s="11" t="s">
        <v>82</v>
      </c>
      <c r="M2311" s="1" t="s">
        <v>33</v>
      </c>
      <c r="N2311" s="112" t="s">
        <v>14</v>
      </c>
      <c r="O2311" s="104" t="s">
        <v>52</v>
      </c>
      <c r="P2311" s="104" t="s">
        <v>52</v>
      </c>
      <c r="Q2311" s="105"/>
      <c r="R2311" s="28" t="s">
        <v>611</v>
      </c>
      <c r="S2311" s="225">
        <f t="shared" si="36"/>
        <v>56888</v>
      </c>
      <c r="T2311" s="2" t="s">
        <v>7667</v>
      </c>
      <c r="U2311" s="7" t="s">
        <v>141</v>
      </c>
      <c r="V2311" s="162" t="str" cm="1">
        <f t="array" ref="V2311">_xlfn.IFS(C2311="","",COUNTIF(C2311,"ตำแหน่งว่าง*"),"ว่าง",COUNTIF(C2311,"&lt;&gt;ตำแหน่งว่าง*"),"คนครอง")</f>
        <v>คนครอง</v>
      </c>
      <c r="W2311" s="6" cm="1">
        <f t="array" ref="W2311">_xlfn.IFS(COUNTIF(F2311,"ผบ.หมู่*"),51,COUNTIF(F2311,"รอง สว.*"),43)</f>
        <v>51</v>
      </c>
      <c r="X2311" s="1" t="s">
        <v>6647</v>
      </c>
      <c r="Y2311" s="1" t="s">
        <v>52</v>
      </c>
    </row>
    <row r="2312" spans="1:25" s="9" customFormat="1" ht="21.3" customHeight="1">
      <c r="A2312" s="132" t="s">
        <v>10753</v>
      </c>
      <c r="B2312" s="28" t="s">
        <v>12</v>
      </c>
      <c r="C2312" s="27" t="s">
        <v>6649</v>
      </c>
      <c r="D2312" s="27" t="s">
        <v>10373</v>
      </c>
      <c r="E2312" s="27" t="s">
        <v>10374</v>
      </c>
      <c r="F2312" s="27" t="s">
        <v>6681</v>
      </c>
      <c r="G2312" s="101" t="s">
        <v>6651</v>
      </c>
      <c r="H2312" s="91">
        <v>45382</v>
      </c>
      <c r="I2312" s="73">
        <v>45382</v>
      </c>
      <c r="J2312" s="73">
        <v>35096</v>
      </c>
      <c r="K2312" s="73">
        <v>25996</v>
      </c>
      <c r="L2312" s="11" t="s">
        <v>4826</v>
      </c>
      <c r="M2312" s="1" t="s">
        <v>57</v>
      </c>
      <c r="N2312" s="112" t="s">
        <v>14</v>
      </c>
      <c r="O2312" s="104" t="s">
        <v>52</v>
      </c>
      <c r="P2312" s="104" t="s">
        <v>52</v>
      </c>
      <c r="Q2312" s="105"/>
      <c r="R2312" s="33" t="s">
        <v>7801</v>
      </c>
      <c r="S2312" s="225">
        <f t="shared" si="36"/>
        <v>48122</v>
      </c>
      <c r="T2312" s="2" t="s">
        <v>7667</v>
      </c>
      <c r="U2312" s="7" t="s">
        <v>141</v>
      </c>
      <c r="V2312" s="162" t="str" cm="1">
        <f t="array" ref="V2312">_xlfn.IFS(C2312="","",COUNTIF(C2312,"ตำแหน่งว่าง*"),"ว่าง",COUNTIF(C2312,"&lt;&gt;ตำแหน่งว่าง*"),"คนครอง")</f>
        <v>คนครอง</v>
      </c>
      <c r="W2312" s="6" cm="1">
        <f t="array" ref="W2312">_xlfn.IFS(COUNTIF(F2312,"ผบ.หมู่*"),51,COUNTIF(F2312,"รอง สว.*"),43)</f>
        <v>43</v>
      </c>
      <c r="X2312" s="1" t="s">
        <v>6650</v>
      </c>
      <c r="Y2312" s="1" t="s">
        <v>52</v>
      </c>
    </row>
    <row r="2313" spans="1:25" s="9" customFormat="1" ht="21.3" customHeight="1">
      <c r="A2313" s="27" t="s">
        <v>157</v>
      </c>
      <c r="B2313" s="28" t="s">
        <v>21</v>
      </c>
      <c r="C2313" s="27" t="s">
        <v>6652</v>
      </c>
      <c r="D2313" s="27" t="s">
        <v>8069</v>
      </c>
      <c r="E2313" s="27" t="s">
        <v>10375</v>
      </c>
      <c r="F2313" s="27" t="s">
        <v>6646</v>
      </c>
      <c r="G2313" s="101" t="s">
        <v>6654</v>
      </c>
      <c r="H2313" s="91">
        <v>42501</v>
      </c>
      <c r="I2313" s="73">
        <v>34352</v>
      </c>
      <c r="J2313" s="73">
        <v>34352</v>
      </c>
      <c r="K2313" s="73">
        <v>26811</v>
      </c>
      <c r="L2313" s="11" t="s">
        <v>2314</v>
      </c>
      <c r="M2313" s="1" t="s">
        <v>98</v>
      </c>
      <c r="N2313" s="112" t="s">
        <v>14</v>
      </c>
      <c r="O2313" s="104" t="s">
        <v>52</v>
      </c>
      <c r="P2313" s="104" t="s">
        <v>52</v>
      </c>
      <c r="Q2313" s="105"/>
      <c r="R2313" s="28" t="s">
        <v>6655</v>
      </c>
      <c r="S2313" s="225">
        <f t="shared" si="36"/>
        <v>48853</v>
      </c>
      <c r="T2313" s="2" t="s">
        <v>7667</v>
      </c>
      <c r="U2313" s="7" t="s">
        <v>141</v>
      </c>
      <c r="V2313" s="162" t="str" cm="1">
        <f t="array" ref="V2313">_xlfn.IFS(C2313="","",COUNTIF(C2313,"ตำแหน่งว่าง*"),"ว่าง",COUNTIF(C2313,"&lt;&gt;ตำแหน่งว่าง*"),"คนครอง")</f>
        <v>คนครอง</v>
      </c>
      <c r="W2313" s="6" cm="1">
        <f t="array" ref="W2313">_xlfn.IFS(COUNTIF(F2313,"ผบ.หมู่*"),51,COUNTIF(F2313,"รอง สว.*"),43)</f>
        <v>51</v>
      </c>
      <c r="X2313" s="1" t="s">
        <v>6653</v>
      </c>
      <c r="Y2313" s="1" t="s">
        <v>52</v>
      </c>
    </row>
    <row r="2314" spans="1:25" s="9" customFormat="1" ht="21.3" customHeight="1">
      <c r="A2314" s="68" t="s">
        <v>182</v>
      </c>
      <c r="B2314" s="30" t="s">
        <v>12</v>
      </c>
      <c r="C2314" s="68" t="s">
        <v>7337</v>
      </c>
      <c r="D2314" s="27" t="s">
        <v>10587</v>
      </c>
      <c r="E2314" s="27" t="s">
        <v>10588</v>
      </c>
      <c r="F2314" s="68" t="s">
        <v>6646</v>
      </c>
      <c r="G2314" s="121" t="s">
        <v>6657</v>
      </c>
      <c r="H2314" s="93">
        <v>45768</v>
      </c>
      <c r="I2314" s="74">
        <v>44043</v>
      </c>
      <c r="J2314" s="74">
        <v>44043</v>
      </c>
      <c r="K2314" s="74">
        <v>36258</v>
      </c>
      <c r="L2314" s="16" t="s">
        <v>1667</v>
      </c>
      <c r="M2314" s="6" t="s">
        <v>93</v>
      </c>
      <c r="N2314" s="113" t="s">
        <v>14</v>
      </c>
      <c r="O2314" s="122" t="s">
        <v>52</v>
      </c>
      <c r="P2314" s="122" t="s">
        <v>52</v>
      </c>
      <c r="Q2314" s="106"/>
      <c r="R2314" s="30" t="s">
        <v>10804</v>
      </c>
      <c r="S2314" s="225">
        <f t="shared" si="36"/>
        <v>58349</v>
      </c>
      <c r="T2314" s="2" t="s">
        <v>7667</v>
      </c>
      <c r="U2314" s="7" t="s">
        <v>141</v>
      </c>
      <c r="V2314" s="162" t="str" cm="1">
        <f t="array" ref="V2314">_xlfn.IFS(C2314="","",COUNTIF(C2314,"ตำแหน่งว่าง*"),"ว่าง",COUNTIF(C2314,"&lt;&gt;ตำแหน่งว่าง*"),"คนครอง")</f>
        <v>คนครอง</v>
      </c>
      <c r="W2314" s="6" cm="1">
        <f t="array" ref="W2314">_xlfn.IFS(COUNTIF(F2314,"ผบ.หมู่*"),51,COUNTIF(F2314,"รอง สว.*"),43)</f>
        <v>51</v>
      </c>
      <c r="X2314" s="1" t="s">
        <v>6656</v>
      </c>
      <c r="Y2314" s="1" t="s">
        <v>52</v>
      </c>
    </row>
    <row r="2315" spans="1:25" s="9" customFormat="1" ht="21.3" customHeight="1">
      <c r="A2315" s="27" t="s">
        <v>182</v>
      </c>
      <c r="B2315" s="28" t="s">
        <v>12</v>
      </c>
      <c r="C2315" s="27" t="s">
        <v>6658</v>
      </c>
      <c r="D2315" s="27" t="s">
        <v>10376</v>
      </c>
      <c r="E2315" s="27" t="s">
        <v>10377</v>
      </c>
      <c r="F2315" s="27" t="s">
        <v>6646</v>
      </c>
      <c r="G2315" s="101" t="s">
        <v>6660</v>
      </c>
      <c r="H2315" s="75">
        <v>44636</v>
      </c>
      <c r="I2315" s="73">
        <v>44636</v>
      </c>
      <c r="J2315" s="73">
        <v>44636</v>
      </c>
      <c r="K2315" s="73">
        <v>36145</v>
      </c>
      <c r="L2315" s="11" t="s">
        <v>82</v>
      </c>
      <c r="M2315" s="1" t="s">
        <v>98</v>
      </c>
      <c r="N2315" s="112" t="s">
        <v>14</v>
      </c>
      <c r="O2315" s="104" t="s">
        <v>52</v>
      </c>
      <c r="P2315" s="104" t="s">
        <v>52</v>
      </c>
      <c r="Q2315" s="105"/>
      <c r="R2315" s="28" t="s">
        <v>611</v>
      </c>
      <c r="S2315" s="225">
        <f t="shared" si="36"/>
        <v>58349</v>
      </c>
      <c r="T2315" s="2" t="s">
        <v>7667</v>
      </c>
      <c r="U2315" s="7" t="s">
        <v>141</v>
      </c>
      <c r="V2315" s="162" t="str" cm="1">
        <f t="array" ref="V2315">_xlfn.IFS(C2315="","",COUNTIF(C2315,"ตำแหน่งว่าง*"),"ว่าง",COUNTIF(C2315,"&lt;&gt;ตำแหน่งว่าง*"),"คนครอง")</f>
        <v>คนครอง</v>
      </c>
      <c r="W2315" s="6" cm="1">
        <f t="array" ref="W2315">_xlfn.IFS(COUNTIF(F2315,"ผบ.หมู่*"),51,COUNTIF(F2315,"รอง สว.*"),43)</f>
        <v>51</v>
      </c>
      <c r="X2315" s="1" t="s">
        <v>6659</v>
      </c>
      <c r="Y2315" s="1" t="s">
        <v>52</v>
      </c>
    </row>
    <row r="2316" spans="1:25" s="9" customFormat="1" ht="21.3" customHeight="1">
      <c r="A2316" s="27" t="s">
        <v>157</v>
      </c>
      <c r="B2316" s="28" t="s">
        <v>12</v>
      </c>
      <c r="C2316" s="27" t="s">
        <v>7727</v>
      </c>
      <c r="D2316" s="27" t="s">
        <v>10378</v>
      </c>
      <c r="E2316" s="27" t="s">
        <v>10379</v>
      </c>
      <c r="F2316" s="27" t="s">
        <v>6646</v>
      </c>
      <c r="G2316" s="101" t="s">
        <v>6662</v>
      </c>
      <c r="H2316" s="91">
        <v>45322</v>
      </c>
      <c r="I2316" s="73">
        <v>39479</v>
      </c>
      <c r="J2316" s="73">
        <v>39479</v>
      </c>
      <c r="K2316" s="73">
        <v>29181</v>
      </c>
      <c r="L2316" s="11" t="s">
        <v>7282</v>
      </c>
      <c r="M2316" s="1" t="s">
        <v>100</v>
      </c>
      <c r="N2316" s="112" t="s">
        <v>14</v>
      </c>
      <c r="O2316" s="104" t="s">
        <v>52</v>
      </c>
      <c r="P2316" s="104" t="s">
        <v>52</v>
      </c>
      <c r="Q2316" s="105"/>
      <c r="R2316" s="30" t="s">
        <v>7708</v>
      </c>
      <c r="S2316" s="225">
        <f t="shared" si="36"/>
        <v>51410</v>
      </c>
      <c r="T2316" s="2" t="s">
        <v>7667</v>
      </c>
      <c r="U2316" s="7" t="s">
        <v>141</v>
      </c>
      <c r="V2316" s="162" t="str" cm="1">
        <f t="array" ref="V2316">_xlfn.IFS(C2316="","",COUNTIF(C2316,"ตำแหน่งว่าง*"),"ว่าง",COUNTIF(C2316,"&lt;&gt;ตำแหน่งว่าง*"),"คนครอง")</f>
        <v>คนครอง</v>
      </c>
      <c r="W2316" s="6" cm="1">
        <f t="array" ref="W2316">_xlfn.IFS(COUNTIF(F2316,"ผบ.หมู่*"),51,COUNTIF(F2316,"รอง สว.*"),43)</f>
        <v>51</v>
      </c>
      <c r="X2316" s="1" t="s">
        <v>6661</v>
      </c>
      <c r="Y2316" s="1" t="s">
        <v>52</v>
      </c>
    </row>
    <row r="2317" spans="1:25" s="9" customFormat="1" ht="21.3" customHeight="1">
      <c r="A2317" s="27" t="s">
        <v>182</v>
      </c>
      <c r="B2317" s="28" t="s">
        <v>12</v>
      </c>
      <c r="C2317" s="27" t="s">
        <v>6663</v>
      </c>
      <c r="D2317" s="27" t="s">
        <v>10380</v>
      </c>
      <c r="E2317" s="27" t="s">
        <v>10381</v>
      </c>
      <c r="F2317" s="27" t="s">
        <v>6646</v>
      </c>
      <c r="G2317" s="101" t="s">
        <v>6665</v>
      </c>
      <c r="H2317" s="75">
        <v>44636</v>
      </c>
      <c r="I2317" s="73">
        <v>44636</v>
      </c>
      <c r="J2317" s="73">
        <v>44636</v>
      </c>
      <c r="K2317" s="73">
        <v>31654</v>
      </c>
      <c r="L2317" s="11" t="s">
        <v>82</v>
      </c>
      <c r="M2317" s="1" t="s">
        <v>98</v>
      </c>
      <c r="N2317" s="112" t="s">
        <v>14</v>
      </c>
      <c r="O2317" s="104" t="s">
        <v>52</v>
      </c>
      <c r="P2317" s="104" t="s">
        <v>52</v>
      </c>
      <c r="Q2317" s="105"/>
      <c r="R2317" s="28" t="s">
        <v>611</v>
      </c>
      <c r="S2317" s="225">
        <f t="shared" si="36"/>
        <v>53601</v>
      </c>
      <c r="T2317" s="2" t="s">
        <v>7667</v>
      </c>
      <c r="U2317" s="7" t="s">
        <v>141</v>
      </c>
      <c r="V2317" s="162" t="str" cm="1">
        <f t="array" ref="V2317">_xlfn.IFS(C2317="","",COUNTIF(C2317,"ตำแหน่งว่าง*"),"ว่าง",COUNTIF(C2317,"&lt;&gt;ตำแหน่งว่าง*"),"คนครอง")</f>
        <v>คนครอง</v>
      </c>
      <c r="W2317" s="6" cm="1">
        <f t="array" ref="W2317">_xlfn.IFS(COUNTIF(F2317,"ผบ.หมู่*"),51,COUNTIF(F2317,"รอง สว.*"),43)</f>
        <v>51</v>
      </c>
      <c r="X2317" s="1" t="s">
        <v>6664</v>
      </c>
      <c r="Y2317" s="1" t="s">
        <v>52</v>
      </c>
    </row>
    <row r="2318" spans="1:25" s="10" customFormat="1" ht="21.3" customHeight="1">
      <c r="A2318" s="95" t="s">
        <v>157</v>
      </c>
      <c r="B2318" s="31" t="s">
        <v>12</v>
      </c>
      <c r="C2318" s="95" t="s">
        <v>6666</v>
      </c>
      <c r="D2318" s="27" t="s">
        <v>10382</v>
      </c>
      <c r="E2318" s="27" t="s">
        <v>10383</v>
      </c>
      <c r="F2318" s="95" t="s">
        <v>6667</v>
      </c>
      <c r="G2318" s="101" t="s">
        <v>6669</v>
      </c>
      <c r="H2318" s="92">
        <v>44999</v>
      </c>
      <c r="I2318" s="76">
        <v>41214</v>
      </c>
      <c r="J2318" s="76">
        <v>41214</v>
      </c>
      <c r="K2318" s="76">
        <v>31509</v>
      </c>
      <c r="L2318" s="17" t="s">
        <v>82</v>
      </c>
      <c r="M2318" s="5" t="s">
        <v>63</v>
      </c>
      <c r="N2318" s="111" t="s">
        <v>14</v>
      </c>
      <c r="O2318" s="104" t="s">
        <v>52</v>
      </c>
      <c r="P2318" s="104" t="s">
        <v>52</v>
      </c>
      <c r="Q2318" s="108"/>
      <c r="R2318" s="31" t="s">
        <v>74</v>
      </c>
      <c r="S2318" s="225">
        <f t="shared" si="36"/>
        <v>53601</v>
      </c>
      <c r="T2318" s="7" t="s">
        <v>7667</v>
      </c>
      <c r="U2318" s="7" t="s">
        <v>141</v>
      </c>
      <c r="V2318" s="162" t="str" cm="1">
        <f t="array" ref="V2318">_xlfn.IFS(C2318="","",COUNTIF(C2318,"ตำแหน่งว่าง*"),"ว่าง",COUNTIF(C2318,"&lt;&gt;ตำแหน่งว่าง*"),"คนครอง")</f>
        <v>คนครอง</v>
      </c>
      <c r="W2318" s="6" cm="1">
        <f t="array" ref="W2318">_xlfn.IFS(COUNTIF(F2318,"ผบ.หมู่*"),51,COUNTIF(F2318,"รอง สว.*"),43)</f>
        <v>51</v>
      </c>
      <c r="X2318" s="5" t="s">
        <v>6668</v>
      </c>
      <c r="Y2318" s="5" t="s">
        <v>52</v>
      </c>
    </row>
    <row r="2319" spans="1:25" s="9" customFormat="1" ht="21.3" customHeight="1">
      <c r="A2319" s="27" t="s">
        <v>157</v>
      </c>
      <c r="B2319" s="28" t="s">
        <v>21</v>
      </c>
      <c r="C2319" s="27" t="s">
        <v>6670</v>
      </c>
      <c r="D2319" s="27" t="s">
        <v>10384</v>
      </c>
      <c r="E2319" s="27" t="s">
        <v>10385</v>
      </c>
      <c r="F2319" s="27" t="s">
        <v>6646</v>
      </c>
      <c r="G2319" s="101" t="s">
        <v>6672</v>
      </c>
      <c r="H2319" s="91">
        <v>42501</v>
      </c>
      <c r="I2319" s="73">
        <v>34352</v>
      </c>
      <c r="J2319" s="73">
        <v>34352</v>
      </c>
      <c r="K2319" s="73">
        <v>27549</v>
      </c>
      <c r="L2319" s="11" t="s">
        <v>6673</v>
      </c>
      <c r="M2319" s="1" t="s">
        <v>98</v>
      </c>
      <c r="N2319" s="112" t="s">
        <v>14</v>
      </c>
      <c r="O2319" s="104" t="s">
        <v>52</v>
      </c>
      <c r="P2319" s="104" t="s">
        <v>52</v>
      </c>
      <c r="Q2319" s="105"/>
      <c r="R2319" s="28" t="s">
        <v>6655</v>
      </c>
      <c r="S2319" s="225">
        <f t="shared" si="36"/>
        <v>49583</v>
      </c>
      <c r="T2319" s="2" t="s">
        <v>7667</v>
      </c>
      <c r="U2319" s="7" t="s">
        <v>141</v>
      </c>
      <c r="V2319" s="162" t="str" cm="1">
        <f t="array" ref="V2319">_xlfn.IFS(C2319="","",COUNTIF(C2319,"ตำแหน่งว่าง*"),"ว่าง",COUNTIF(C2319,"&lt;&gt;ตำแหน่งว่าง*"),"คนครอง")</f>
        <v>คนครอง</v>
      </c>
      <c r="W2319" s="6" cm="1">
        <f t="array" ref="W2319">_xlfn.IFS(COUNTIF(F2319,"ผบ.หมู่*"),51,COUNTIF(F2319,"รอง สว.*"),43)</f>
        <v>51</v>
      </c>
      <c r="X2319" s="1" t="s">
        <v>6671</v>
      </c>
      <c r="Y2319" s="1" t="s">
        <v>52</v>
      </c>
    </row>
    <row r="2320" spans="1:25" s="9" customFormat="1" ht="21.3" customHeight="1">
      <c r="A2320" s="68"/>
      <c r="B2320" s="30"/>
      <c r="C2320" s="30" t="s">
        <v>18</v>
      </c>
      <c r="D2320" s="27"/>
      <c r="E2320" s="27"/>
      <c r="F2320" s="68" t="s">
        <v>6646</v>
      </c>
      <c r="G2320" s="121" t="s">
        <v>6675</v>
      </c>
      <c r="H2320" s="93" t="s">
        <v>19</v>
      </c>
      <c r="I2320" s="74" t="s">
        <v>19</v>
      </c>
      <c r="J2320" s="74" t="s">
        <v>19</v>
      </c>
      <c r="K2320" s="74" t="s">
        <v>19</v>
      </c>
      <c r="L2320" s="16"/>
      <c r="M2320" s="6"/>
      <c r="N2320" s="113" t="s">
        <v>14</v>
      </c>
      <c r="O2320" s="122" t="s">
        <v>52</v>
      </c>
      <c r="P2320" s="122" t="s">
        <v>52</v>
      </c>
      <c r="Q2320" s="106"/>
      <c r="R2320" s="30"/>
      <c r="S2320" s="225" t="str">
        <f t="shared" si="36"/>
        <v/>
      </c>
      <c r="T2320" s="2" t="s">
        <v>7667</v>
      </c>
      <c r="U2320" s="7" t="s">
        <v>141</v>
      </c>
      <c r="V2320" s="162" t="str" cm="1">
        <f t="array" ref="V2320">_xlfn.IFS(C2320="","",COUNTIF(C2320,"ตำแหน่งว่าง*"),"ว่าง",COUNTIF(C2320,"&lt;&gt;ตำแหน่งว่าง*"),"คนครอง")</f>
        <v>ว่าง</v>
      </c>
      <c r="W2320" s="6" cm="1">
        <f t="array" ref="W2320">_xlfn.IFS(COUNTIF(F2320,"ผบ.หมู่*"),51,COUNTIF(F2320,"รอง สว.*"),43)</f>
        <v>51</v>
      </c>
      <c r="X2320" s="6" t="s">
        <v>6674</v>
      </c>
      <c r="Y2320" s="6" t="s">
        <v>52</v>
      </c>
    </row>
    <row r="2321" spans="1:25" s="9" customFormat="1" ht="21.3" customHeight="1">
      <c r="A2321" s="27" t="s">
        <v>157</v>
      </c>
      <c r="B2321" s="28" t="s">
        <v>12</v>
      </c>
      <c r="C2321" s="27" t="s">
        <v>6676</v>
      </c>
      <c r="D2321" s="27" t="s">
        <v>10386</v>
      </c>
      <c r="E2321" s="27" t="s">
        <v>10387</v>
      </c>
      <c r="F2321" s="27" t="s">
        <v>6646</v>
      </c>
      <c r="G2321" s="101" t="s">
        <v>6678</v>
      </c>
      <c r="H2321" s="75">
        <v>42501</v>
      </c>
      <c r="I2321" s="73">
        <v>35096</v>
      </c>
      <c r="J2321" s="73">
        <v>35096</v>
      </c>
      <c r="K2321" s="73">
        <v>27287</v>
      </c>
      <c r="L2321" s="11" t="s">
        <v>6679</v>
      </c>
      <c r="M2321" s="1" t="s">
        <v>98</v>
      </c>
      <c r="N2321" s="112" t="s">
        <v>14</v>
      </c>
      <c r="O2321" s="104" t="s">
        <v>52</v>
      </c>
      <c r="P2321" s="104" t="s">
        <v>52</v>
      </c>
      <c r="Q2321" s="105"/>
      <c r="R2321" s="28" t="s">
        <v>6655</v>
      </c>
      <c r="S2321" s="225">
        <f t="shared" si="36"/>
        <v>49218</v>
      </c>
      <c r="T2321" s="2" t="s">
        <v>7667</v>
      </c>
      <c r="U2321" s="7" t="s">
        <v>141</v>
      </c>
      <c r="V2321" s="162" t="str" cm="1">
        <f t="array" ref="V2321">_xlfn.IFS(C2321="","",COUNTIF(C2321,"ตำแหน่งว่าง*"),"ว่าง",COUNTIF(C2321,"&lt;&gt;ตำแหน่งว่าง*"),"คนครอง")</f>
        <v>คนครอง</v>
      </c>
      <c r="W2321" s="6" cm="1">
        <f t="array" ref="W2321">_xlfn.IFS(COUNTIF(F2321,"ผบ.หมู่*"),51,COUNTIF(F2321,"รอง สว.*"),43)</f>
        <v>51</v>
      </c>
      <c r="X2321" s="1" t="s">
        <v>6677</v>
      </c>
      <c r="Y2321" s="1" t="s">
        <v>52</v>
      </c>
    </row>
    <row r="2322" spans="1:25" s="9" customFormat="1" ht="21.3" customHeight="1">
      <c r="A2322" s="27" t="s">
        <v>26</v>
      </c>
      <c r="B2322" s="28" t="s">
        <v>12</v>
      </c>
      <c r="C2322" s="27" t="s">
        <v>6680</v>
      </c>
      <c r="D2322" s="27" t="s">
        <v>7968</v>
      </c>
      <c r="E2322" s="27" t="s">
        <v>10388</v>
      </c>
      <c r="F2322" s="27" t="s">
        <v>6681</v>
      </c>
      <c r="G2322" s="101" t="s">
        <v>6683</v>
      </c>
      <c r="H2322" s="75">
        <v>43921</v>
      </c>
      <c r="I2322" s="73">
        <v>43921</v>
      </c>
      <c r="J2322" s="73">
        <v>31809</v>
      </c>
      <c r="K2322" s="73">
        <v>24586</v>
      </c>
      <c r="L2322" s="11" t="s">
        <v>4826</v>
      </c>
      <c r="M2322" s="1" t="s">
        <v>98</v>
      </c>
      <c r="N2322" s="112" t="s">
        <v>14</v>
      </c>
      <c r="O2322" s="104" t="s">
        <v>52</v>
      </c>
      <c r="P2322" s="104" t="s">
        <v>52</v>
      </c>
      <c r="Q2322" s="105"/>
      <c r="R2322" s="28" t="s">
        <v>6655</v>
      </c>
      <c r="S2322" s="225">
        <f t="shared" si="36"/>
        <v>46661</v>
      </c>
      <c r="T2322" s="2" t="s">
        <v>7667</v>
      </c>
      <c r="U2322" s="7" t="s">
        <v>141</v>
      </c>
      <c r="V2322" s="162" t="str" cm="1">
        <f t="array" ref="V2322">_xlfn.IFS(C2322="","",COUNTIF(C2322,"ตำแหน่งว่าง*"),"ว่าง",COUNTIF(C2322,"&lt;&gt;ตำแหน่งว่าง*"),"คนครอง")</f>
        <v>คนครอง</v>
      </c>
      <c r="W2322" s="5" cm="1">
        <f t="array" ref="W2322">_xlfn.IFS(COUNTIF(F2322,"ผบ.หมู่*"),51,COUNTIF(F2322,"รอง สว.*"),43)</f>
        <v>43</v>
      </c>
      <c r="X2322" s="1" t="s">
        <v>6682</v>
      </c>
      <c r="Y2322" s="1" t="s">
        <v>52</v>
      </c>
    </row>
    <row r="2323" spans="1:25" s="9" customFormat="1" ht="21.3" customHeight="1">
      <c r="A2323" s="68"/>
      <c r="B2323" s="30"/>
      <c r="C2323" s="30" t="s">
        <v>18</v>
      </c>
      <c r="D2323" s="27"/>
      <c r="E2323" s="27"/>
      <c r="F2323" s="68" t="s">
        <v>6646</v>
      </c>
      <c r="G2323" s="121" t="s">
        <v>6685</v>
      </c>
      <c r="H2323" s="80"/>
      <c r="I2323" s="74"/>
      <c r="J2323" s="74"/>
      <c r="K2323" s="74"/>
      <c r="L2323" s="16"/>
      <c r="M2323" s="6"/>
      <c r="N2323" s="113" t="s">
        <v>14</v>
      </c>
      <c r="O2323" s="122" t="s">
        <v>52</v>
      </c>
      <c r="P2323" s="122" t="s">
        <v>52</v>
      </c>
      <c r="Q2323" s="106"/>
      <c r="R2323" s="30"/>
      <c r="S2323" s="225" t="str">
        <f t="shared" si="36"/>
        <v/>
      </c>
      <c r="T2323" s="2" t="s">
        <v>7667</v>
      </c>
      <c r="U2323" s="7" t="s">
        <v>141</v>
      </c>
      <c r="V2323" s="162" t="str" cm="1">
        <f t="array" ref="V2323">_xlfn.IFS(C2323="","",COUNTIF(C2323,"ตำแหน่งว่าง*"),"ว่าง",COUNTIF(C2323,"&lt;&gt;ตำแหน่งว่าง*"),"คนครอง")</f>
        <v>ว่าง</v>
      </c>
      <c r="W2323" s="6" cm="1">
        <f t="array" ref="W2323">_xlfn.IFS(COUNTIF(F2323,"ผบ.หมู่*"),51,COUNTIF(F2323,"รอง สว.*"),43)</f>
        <v>51</v>
      </c>
      <c r="X2323" s="6" t="s">
        <v>6684</v>
      </c>
      <c r="Y2323" s="6" t="s">
        <v>52</v>
      </c>
    </row>
    <row r="2324" spans="1:25" s="9" customFormat="1" ht="21.3" customHeight="1">
      <c r="A2324" s="27" t="s">
        <v>10753</v>
      </c>
      <c r="B2324" s="28" t="s">
        <v>12</v>
      </c>
      <c r="C2324" s="27" t="s">
        <v>6686</v>
      </c>
      <c r="D2324" s="27" t="s">
        <v>10389</v>
      </c>
      <c r="E2324" s="27" t="s">
        <v>10390</v>
      </c>
      <c r="F2324" s="27" t="s">
        <v>6681</v>
      </c>
      <c r="G2324" s="101" t="s">
        <v>6688</v>
      </c>
      <c r="H2324" s="91">
        <v>45016</v>
      </c>
      <c r="I2324" s="73">
        <v>45016</v>
      </c>
      <c r="J2324" s="73">
        <v>34352</v>
      </c>
      <c r="K2324" s="73">
        <v>25828</v>
      </c>
      <c r="L2324" s="11" t="s">
        <v>5125</v>
      </c>
      <c r="M2324" s="1" t="s">
        <v>98</v>
      </c>
      <c r="N2324" s="112" t="s">
        <v>14</v>
      </c>
      <c r="O2324" s="104" t="s">
        <v>52</v>
      </c>
      <c r="P2324" s="104" t="s">
        <v>52</v>
      </c>
      <c r="Q2324" s="105"/>
      <c r="R2324" s="28" t="s">
        <v>483</v>
      </c>
      <c r="S2324" s="225">
        <f t="shared" si="36"/>
        <v>47757</v>
      </c>
      <c r="T2324" s="2" t="s">
        <v>7667</v>
      </c>
      <c r="U2324" s="7" t="s">
        <v>141</v>
      </c>
      <c r="V2324" s="162" t="str" cm="1">
        <f t="array" ref="V2324">_xlfn.IFS(C2324="","",COUNTIF(C2324,"ตำแหน่งว่าง*"),"ว่าง",COUNTIF(C2324,"&lt;&gt;ตำแหน่งว่าง*"),"คนครอง")</f>
        <v>คนครอง</v>
      </c>
      <c r="W2324" s="5" cm="1">
        <f t="array" ref="W2324">_xlfn.IFS(COUNTIF(F2324,"ผบ.หมู่*"),51,COUNTIF(F2324,"รอง สว.*"),43)</f>
        <v>43</v>
      </c>
      <c r="X2324" s="1" t="s">
        <v>6687</v>
      </c>
      <c r="Y2324" s="1" t="s">
        <v>52</v>
      </c>
    </row>
    <row r="2325" spans="1:25" s="10" customFormat="1" ht="21.3" customHeight="1">
      <c r="A2325" s="27"/>
      <c r="B2325" s="30"/>
      <c r="C2325" s="30" t="s">
        <v>18</v>
      </c>
      <c r="D2325" s="27"/>
      <c r="E2325" s="27"/>
      <c r="F2325" s="68" t="s">
        <v>6646</v>
      </c>
      <c r="G2325" s="121" t="s">
        <v>6690</v>
      </c>
      <c r="H2325" s="91" t="s">
        <v>19</v>
      </c>
      <c r="I2325" s="73" t="s">
        <v>19</v>
      </c>
      <c r="J2325" s="73" t="s">
        <v>19</v>
      </c>
      <c r="K2325" s="73" t="s">
        <v>19</v>
      </c>
      <c r="L2325" s="11"/>
      <c r="M2325" s="1"/>
      <c r="N2325" s="113" t="s">
        <v>14</v>
      </c>
      <c r="O2325" s="122" t="s">
        <v>52</v>
      </c>
      <c r="P2325" s="122" t="s">
        <v>52</v>
      </c>
      <c r="Q2325" s="106"/>
      <c r="R2325" s="30"/>
      <c r="S2325" s="225" t="str">
        <f t="shared" si="36"/>
        <v/>
      </c>
      <c r="T2325" s="7" t="s">
        <v>7667</v>
      </c>
      <c r="U2325" s="7" t="s">
        <v>141</v>
      </c>
      <c r="V2325" s="162" t="str" cm="1">
        <f t="array" ref="V2325">_xlfn.IFS(C2325="","",COUNTIF(C2325,"ตำแหน่งว่าง*"),"ว่าง",COUNTIF(C2325,"&lt;&gt;ตำแหน่งว่าง*"),"คนครอง")</f>
        <v>ว่าง</v>
      </c>
      <c r="W2325" s="6" cm="1">
        <f t="array" ref="W2325">_xlfn.IFS(COUNTIF(F2325,"ผบ.หมู่*"),51,COUNTIF(F2325,"รอง สว.*"),43)</f>
        <v>51</v>
      </c>
      <c r="X2325" s="6" t="s">
        <v>6689</v>
      </c>
      <c r="Y2325" s="6" t="s">
        <v>52</v>
      </c>
    </row>
    <row r="2326" spans="1:25" s="10" customFormat="1" ht="21.3" customHeight="1">
      <c r="A2326" s="27"/>
      <c r="B2326" s="28"/>
      <c r="C2326" s="30" t="s">
        <v>18</v>
      </c>
      <c r="D2326" s="27"/>
      <c r="E2326" s="27"/>
      <c r="F2326" s="68" t="s">
        <v>6646</v>
      </c>
      <c r="G2326" s="121" t="s">
        <v>6692</v>
      </c>
      <c r="H2326" s="91" t="s">
        <v>19</v>
      </c>
      <c r="I2326" s="73" t="s">
        <v>19</v>
      </c>
      <c r="J2326" s="73" t="s">
        <v>19</v>
      </c>
      <c r="K2326" s="73" t="s">
        <v>19</v>
      </c>
      <c r="L2326" s="11"/>
      <c r="M2326" s="1"/>
      <c r="N2326" s="113" t="s">
        <v>14</v>
      </c>
      <c r="O2326" s="122" t="s">
        <v>52</v>
      </c>
      <c r="P2326" s="122" t="s">
        <v>52</v>
      </c>
      <c r="Q2326" s="105"/>
      <c r="R2326" s="28"/>
      <c r="S2326" s="225" t="str">
        <f t="shared" si="36"/>
        <v/>
      </c>
      <c r="T2326" s="7" t="s">
        <v>7667</v>
      </c>
      <c r="U2326" s="7" t="s">
        <v>141</v>
      </c>
      <c r="V2326" s="162" t="str" cm="1">
        <f t="array" ref="V2326">_xlfn.IFS(C2326="","",COUNTIF(C2326,"ตำแหน่งว่าง*"),"ว่าง",COUNTIF(C2326,"&lt;&gt;ตำแหน่งว่าง*"),"คนครอง")</f>
        <v>ว่าง</v>
      </c>
      <c r="W2326" s="6" cm="1">
        <f t="array" ref="W2326">_xlfn.IFS(COUNTIF(F2326,"ผบ.หมู่*"),51,COUNTIF(F2326,"รอง สว.*"),43)</f>
        <v>51</v>
      </c>
      <c r="X2326" s="6" t="s">
        <v>6691</v>
      </c>
      <c r="Y2326" s="6" t="s">
        <v>52</v>
      </c>
    </row>
    <row r="2327" spans="1:25" s="10" customFormat="1" ht="21.3" customHeight="1">
      <c r="A2327" s="27"/>
      <c r="B2327" s="30"/>
      <c r="C2327" s="30" t="s">
        <v>18</v>
      </c>
      <c r="D2327" s="27"/>
      <c r="E2327" s="27"/>
      <c r="F2327" s="68" t="s">
        <v>6646</v>
      </c>
      <c r="G2327" s="121" t="s">
        <v>6694</v>
      </c>
      <c r="H2327" s="91" t="s">
        <v>19</v>
      </c>
      <c r="I2327" s="73" t="s">
        <v>19</v>
      </c>
      <c r="J2327" s="73" t="s">
        <v>19</v>
      </c>
      <c r="K2327" s="73" t="s">
        <v>19</v>
      </c>
      <c r="L2327" s="11"/>
      <c r="M2327" s="1"/>
      <c r="N2327" s="113" t="s">
        <v>14</v>
      </c>
      <c r="O2327" s="122" t="s">
        <v>52</v>
      </c>
      <c r="P2327" s="122" t="s">
        <v>52</v>
      </c>
      <c r="Q2327" s="106"/>
      <c r="R2327" s="30"/>
      <c r="S2327" s="225" t="str">
        <f t="shared" si="36"/>
        <v/>
      </c>
      <c r="T2327" s="7" t="s">
        <v>7667</v>
      </c>
      <c r="U2327" s="7" t="s">
        <v>141</v>
      </c>
      <c r="V2327" s="162" t="str" cm="1">
        <f t="array" ref="V2327">_xlfn.IFS(C2327="","",COUNTIF(C2327,"ตำแหน่งว่าง*"),"ว่าง",COUNTIF(C2327,"&lt;&gt;ตำแหน่งว่าง*"),"คนครอง")</f>
        <v>ว่าง</v>
      </c>
      <c r="W2327" s="6" cm="1">
        <f t="array" ref="W2327">_xlfn.IFS(COUNTIF(F2327,"ผบ.หมู่*"),51,COUNTIF(F2327,"รอง สว.*"),43)</f>
        <v>51</v>
      </c>
      <c r="X2327" s="6" t="s">
        <v>6693</v>
      </c>
      <c r="Y2327" s="6" t="s">
        <v>52</v>
      </c>
    </row>
    <row r="2328" spans="1:25" s="12" customFormat="1" ht="21.3" customHeight="1">
      <c r="A2328" s="156" t="s">
        <v>144</v>
      </c>
      <c r="B2328" s="157"/>
      <c r="C2328" s="171"/>
      <c r="D2328" s="27"/>
      <c r="E2328" s="158"/>
      <c r="F2328" s="171"/>
      <c r="G2328" s="125"/>
      <c r="H2328" s="154" t="s">
        <v>19</v>
      </c>
      <c r="I2328" s="126" t="s">
        <v>19</v>
      </c>
      <c r="J2328" s="126" t="s">
        <v>19</v>
      </c>
      <c r="K2328" s="126" t="s">
        <v>19</v>
      </c>
      <c r="L2328" s="127"/>
      <c r="M2328" s="128"/>
      <c r="N2328" s="129"/>
      <c r="O2328" s="125"/>
      <c r="P2328" s="129"/>
      <c r="Q2328" s="160"/>
      <c r="R2328" s="128"/>
      <c r="S2328" s="226" t="str">
        <f t="shared" si="36"/>
        <v/>
      </c>
      <c r="T2328" s="171"/>
      <c r="U2328" s="171"/>
      <c r="V2328" s="171" t="str" cm="1">
        <f t="array" ref="V2328">_xlfn.IFS(C2328="","",COUNTIF(C2328,"ตำแหน่งว่าง*"),"ว่าง",COUNTIF(C2328,"&lt;&gt;ตำแหน่งว่าง*"),"คนครอง")</f>
        <v/>
      </c>
      <c r="W2328" s="129"/>
      <c r="X2328" s="129"/>
      <c r="Y2328" s="129"/>
    </row>
    <row r="2329" spans="1:25" s="12" customFormat="1" ht="21.3" customHeight="1">
      <c r="A2329" s="27" t="s">
        <v>157</v>
      </c>
      <c r="B2329" s="28" t="s">
        <v>12</v>
      </c>
      <c r="C2329" s="95" t="s">
        <v>6844</v>
      </c>
      <c r="D2329" s="27" t="s">
        <v>8332</v>
      </c>
      <c r="E2329" s="27" t="s">
        <v>10391</v>
      </c>
      <c r="F2329" s="95" t="s">
        <v>6845</v>
      </c>
      <c r="G2329" s="101" t="s">
        <v>6847</v>
      </c>
      <c r="H2329" s="91">
        <v>44243</v>
      </c>
      <c r="I2329" s="73">
        <v>41244</v>
      </c>
      <c r="J2329" s="73">
        <v>41244</v>
      </c>
      <c r="K2329" s="73">
        <v>32243</v>
      </c>
      <c r="L2329" s="11" t="s">
        <v>82</v>
      </c>
      <c r="M2329" s="1" t="s">
        <v>16</v>
      </c>
      <c r="N2329" s="111" t="s">
        <v>14</v>
      </c>
      <c r="O2329" s="104" t="s">
        <v>27</v>
      </c>
      <c r="P2329" s="104"/>
      <c r="Q2329" s="105"/>
      <c r="R2329" s="28" t="s">
        <v>617</v>
      </c>
      <c r="S2329" s="225">
        <f t="shared" si="36"/>
        <v>54332</v>
      </c>
      <c r="T2329" s="162" t="s">
        <v>144</v>
      </c>
      <c r="U2329" s="162" t="s">
        <v>144</v>
      </c>
      <c r="V2329" s="162" t="str" cm="1">
        <f t="array" ref="V2329">_xlfn.IFS(C2329="","",COUNTIF(C2329,"ตำแหน่งว่าง*"),"ว่าง",COUNTIF(C2329,"&lt;&gt;ตำแหน่งว่าง*"),"คนครอง")</f>
        <v>คนครอง</v>
      </c>
      <c r="W2329" s="6" cm="1">
        <f t="array" ref="W2329">_xlfn.IFS(COUNTIF(F2329,"ผบ.หมู่*"),51,COUNTIF(F2329,"รอง สว.*"),43)</f>
        <v>51</v>
      </c>
      <c r="X2329" s="5" t="s">
        <v>6846</v>
      </c>
      <c r="Y2329" s="5" t="s">
        <v>27</v>
      </c>
    </row>
    <row r="2330" spans="1:25" s="12" customFormat="1" ht="21.3" customHeight="1">
      <c r="A2330" s="27" t="s">
        <v>157</v>
      </c>
      <c r="B2330" s="28" t="s">
        <v>21</v>
      </c>
      <c r="C2330" s="27" t="s">
        <v>7724</v>
      </c>
      <c r="D2330" s="27" t="s">
        <v>10392</v>
      </c>
      <c r="E2330" s="27" t="s">
        <v>8339</v>
      </c>
      <c r="F2330" s="27" t="s">
        <v>6845</v>
      </c>
      <c r="G2330" s="101" t="s">
        <v>6849</v>
      </c>
      <c r="H2330" s="91">
        <v>45322</v>
      </c>
      <c r="I2330" s="73">
        <v>40339</v>
      </c>
      <c r="J2330" s="73">
        <v>40339</v>
      </c>
      <c r="K2330" s="73">
        <v>31630</v>
      </c>
      <c r="L2330" s="11" t="s">
        <v>68</v>
      </c>
      <c r="M2330" s="1" t="s">
        <v>16</v>
      </c>
      <c r="N2330" s="112" t="s">
        <v>14</v>
      </c>
      <c r="O2330" s="104" t="s">
        <v>27</v>
      </c>
      <c r="P2330" s="104"/>
      <c r="Q2330" s="105"/>
      <c r="R2330" s="30" t="s">
        <v>7708</v>
      </c>
      <c r="S2330" s="225">
        <f t="shared" si="36"/>
        <v>53601</v>
      </c>
      <c r="T2330" s="162" t="s">
        <v>144</v>
      </c>
      <c r="U2330" s="162" t="s">
        <v>144</v>
      </c>
      <c r="V2330" s="162" t="str" cm="1">
        <f t="array" ref="V2330">_xlfn.IFS(C2330="","",COUNTIF(C2330,"ตำแหน่งว่าง*"),"ว่าง",COUNTIF(C2330,"&lt;&gt;ตำแหน่งว่าง*"),"คนครอง")</f>
        <v>คนครอง</v>
      </c>
      <c r="W2330" s="6" cm="1">
        <f t="array" ref="W2330">_xlfn.IFS(COUNTIF(F2330,"ผบ.หมู่*"),51,COUNTIF(F2330,"รอง สว.*"),43)</f>
        <v>51</v>
      </c>
      <c r="X2330" s="1" t="s">
        <v>6848</v>
      </c>
      <c r="Y2330" s="1" t="s">
        <v>27</v>
      </c>
    </row>
    <row r="2331" spans="1:25" s="9" customFormat="1" ht="21.3" customHeight="1">
      <c r="A2331" s="27" t="s">
        <v>60</v>
      </c>
      <c r="B2331" s="28" t="s">
        <v>12</v>
      </c>
      <c r="C2331" s="27" t="s">
        <v>6850</v>
      </c>
      <c r="D2331" s="27" t="s">
        <v>10393</v>
      </c>
      <c r="E2331" s="27" t="s">
        <v>10394</v>
      </c>
      <c r="F2331" s="27" t="s">
        <v>10808</v>
      </c>
      <c r="G2331" s="101" t="s">
        <v>6852</v>
      </c>
      <c r="H2331" s="91">
        <v>44243</v>
      </c>
      <c r="I2331" s="73">
        <v>35096</v>
      </c>
      <c r="J2331" s="73">
        <v>35096</v>
      </c>
      <c r="K2331" s="73">
        <v>26290</v>
      </c>
      <c r="L2331" s="11" t="s">
        <v>114</v>
      </c>
      <c r="M2331" s="1" t="s">
        <v>16</v>
      </c>
      <c r="N2331" s="112" t="s">
        <v>14</v>
      </c>
      <c r="O2331" s="104" t="s">
        <v>27</v>
      </c>
      <c r="P2331" s="104"/>
      <c r="Q2331" s="105"/>
      <c r="R2331" s="28" t="s">
        <v>617</v>
      </c>
      <c r="S2331" s="225">
        <f t="shared" si="36"/>
        <v>48488</v>
      </c>
      <c r="T2331" s="2" t="s">
        <v>144</v>
      </c>
      <c r="U2331" s="162" t="s">
        <v>144</v>
      </c>
      <c r="V2331" s="162" t="str" cm="1">
        <f t="array" ref="V2331">_xlfn.IFS(C2331="","",COUNTIF(C2331,"ตำแหน่งว่าง*"),"ว่าง",COUNTIF(C2331,"&lt;&gt;ตำแหน่งว่าง*"),"คนครอง")</f>
        <v>คนครอง</v>
      </c>
      <c r="W2331" s="6" cm="1">
        <f t="array" ref="W2331">_xlfn.IFS(COUNTIF(F2331,"ผบ.หมู่*"),51,COUNTIF(F2331,"รอง สว.*"),43)</f>
        <v>43</v>
      </c>
      <c r="X2331" s="1" t="s">
        <v>6851</v>
      </c>
      <c r="Y2331" s="1" t="s">
        <v>27</v>
      </c>
    </row>
    <row r="2332" spans="1:25" s="12" customFormat="1" ht="21.3" customHeight="1">
      <c r="A2332" s="27" t="s">
        <v>612</v>
      </c>
      <c r="B2332" s="28" t="s">
        <v>12</v>
      </c>
      <c r="C2332" s="27" t="s">
        <v>6853</v>
      </c>
      <c r="D2332" s="27" t="s">
        <v>10395</v>
      </c>
      <c r="E2332" s="27" t="s">
        <v>10396</v>
      </c>
      <c r="F2332" s="27" t="s">
        <v>6854</v>
      </c>
      <c r="G2332" s="101" t="s">
        <v>6856</v>
      </c>
      <c r="H2332" s="91">
        <v>44999</v>
      </c>
      <c r="I2332" s="73">
        <v>42675</v>
      </c>
      <c r="J2332" s="73">
        <v>42675</v>
      </c>
      <c r="K2332" s="73">
        <v>33601</v>
      </c>
      <c r="L2332" s="11" t="s">
        <v>107</v>
      </c>
      <c r="M2332" s="1" t="s">
        <v>33</v>
      </c>
      <c r="N2332" s="112" t="s">
        <v>14</v>
      </c>
      <c r="O2332" s="104" t="s">
        <v>27</v>
      </c>
      <c r="P2332" s="104"/>
      <c r="Q2332" s="105"/>
      <c r="R2332" s="28" t="s">
        <v>74</v>
      </c>
      <c r="S2332" s="225">
        <f t="shared" si="36"/>
        <v>55793</v>
      </c>
      <c r="T2332" s="162" t="s">
        <v>7698</v>
      </c>
      <c r="U2332" s="162" t="s">
        <v>144</v>
      </c>
      <c r="V2332" s="162" t="str" cm="1">
        <f t="array" ref="V2332">_xlfn.IFS(C2332="","",COUNTIF(C2332,"ตำแหน่งว่าง*"),"ว่าง",COUNTIF(C2332,"&lt;&gt;ตำแหน่งว่าง*"),"คนครอง")</f>
        <v>คนครอง</v>
      </c>
      <c r="W2332" s="6" cm="1">
        <f t="array" ref="W2332">_xlfn.IFS(COUNTIF(F2332,"ผบ.หมู่*"),51,COUNTIF(F2332,"รอง สว.*"),43)</f>
        <v>51</v>
      </c>
      <c r="X2332" s="1" t="s">
        <v>6855</v>
      </c>
      <c r="Y2332" s="1" t="s">
        <v>27</v>
      </c>
    </row>
    <row r="2333" spans="1:25" s="9" customFormat="1" ht="21.3" customHeight="1">
      <c r="A2333" s="27" t="s">
        <v>612</v>
      </c>
      <c r="B2333" s="28" t="s">
        <v>21</v>
      </c>
      <c r="C2333" s="27" t="s">
        <v>10732</v>
      </c>
      <c r="D2333" s="27" t="s">
        <v>8297</v>
      </c>
      <c r="E2333" s="27" t="s">
        <v>10733</v>
      </c>
      <c r="F2333" s="27" t="s">
        <v>6854</v>
      </c>
      <c r="G2333" s="101" t="s">
        <v>6859</v>
      </c>
      <c r="H2333" s="91">
        <v>45768</v>
      </c>
      <c r="I2333" s="73">
        <v>42156</v>
      </c>
      <c r="J2333" s="73">
        <v>42156</v>
      </c>
      <c r="K2333" s="73">
        <v>33711</v>
      </c>
      <c r="L2333" s="11" t="s">
        <v>717</v>
      </c>
      <c r="M2333" s="1" t="s">
        <v>7609</v>
      </c>
      <c r="N2333" s="112" t="s">
        <v>14</v>
      </c>
      <c r="O2333" s="104" t="s">
        <v>27</v>
      </c>
      <c r="P2333" s="104"/>
      <c r="Q2333" s="105"/>
      <c r="R2333" s="28" t="s">
        <v>10804</v>
      </c>
      <c r="S2333" s="174">
        <f t="shared" si="36"/>
        <v>55793</v>
      </c>
      <c r="T2333" s="2" t="s">
        <v>7698</v>
      </c>
      <c r="U2333" s="2" t="s">
        <v>144</v>
      </c>
      <c r="V2333" s="2" t="str" cm="1">
        <f t="array" ref="V2333">_xlfn.IFS(C2333="","",COUNTIF(C2333,"ตำแหน่งว่าง*"),"ว่าง",COUNTIF(C2333,"&lt;&gt;ตำแหน่งว่าง*"),"คนครอง")</f>
        <v>คนครอง</v>
      </c>
      <c r="W2333" s="1" cm="1">
        <f t="array" ref="W2333">_xlfn.IFS(COUNTIF(F2333,"ผบ.หมู่*"),51,COUNTIF(F2333,"รอง สว.*"),43)</f>
        <v>51</v>
      </c>
      <c r="X2333" s="1" t="s">
        <v>6858</v>
      </c>
      <c r="Y2333" s="1" t="s">
        <v>27</v>
      </c>
    </row>
    <row r="2334" spans="1:25" s="9" customFormat="1" ht="21.3" customHeight="1">
      <c r="A2334" s="27"/>
      <c r="B2334" s="28"/>
      <c r="C2334" s="95" t="s">
        <v>18</v>
      </c>
      <c r="D2334" s="27"/>
      <c r="E2334" s="27"/>
      <c r="F2334" s="27" t="s">
        <v>6854</v>
      </c>
      <c r="G2334" s="101" t="s">
        <v>6862</v>
      </c>
      <c r="H2334" s="91"/>
      <c r="I2334" s="73"/>
      <c r="J2334" s="73"/>
      <c r="K2334" s="73"/>
      <c r="L2334" s="11"/>
      <c r="M2334" s="1"/>
      <c r="N2334" s="112" t="s">
        <v>14</v>
      </c>
      <c r="O2334" s="104" t="s">
        <v>27</v>
      </c>
      <c r="P2334" s="104"/>
      <c r="Q2334" s="105"/>
      <c r="R2334" s="28"/>
      <c r="S2334" s="225" t="str">
        <f t="shared" si="36"/>
        <v/>
      </c>
      <c r="T2334" s="2" t="s">
        <v>7698</v>
      </c>
      <c r="U2334" s="162" t="s">
        <v>144</v>
      </c>
      <c r="V2334" s="162" t="str" cm="1">
        <f t="array" ref="V2334">_xlfn.IFS(C2334="","",COUNTIF(C2334,"ตำแหน่งว่าง*"),"ว่าง",COUNTIF(C2334,"&lt;&gt;ตำแหน่งว่าง*"),"คนครอง")</f>
        <v>ว่าง</v>
      </c>
      <c r="W2334" s="6" cm="1">
        <f t="array" ref="W2334">_xlfn.IFS(COUNTIF(F2334,"ผบ.หมู่*"),51,COUNTIF(F2334,"รอง สว.*"),43)</f>
        <v>51</v>
      </c>
      <c r="X2334" s="1" t="s">
        <v>6861</v>
      </c>
      <c r="Y2334" s="1" t="s">
        <v>27</v>
      </c>
    </row>
    <row r="2335" spans="1:25" s="9" customFormat="1" ht="21.3" customHeight="1">
      <c r="A2335" s="27" t="s">
        <v>208</v>
      </c>
      <c r="B2335" s="28" t="s">
        <v>12</v>
      </c>
      <c r="C2335" s="27" t="s">
        <v>6863</v>
      </c>
      <c r="D2335" s="27" t="s">
        <v>10400</v>
      </c>
      <c r="E2335" s="27" t="s">
        <v>10401</v>
      </c>
      <c r="F2335" s="27" t="s">
        <v>6854</v>
      </c>
      <c r="G2335" s="101" t="s">
        <v>6865</v>
      </c>
      <c r="H2335" s="91">
        <v>43871</v>
      </c>
      <c r="I2335" s="73">
        <v>42766</v>
      </c>
      <c r="J2335" s="73">
        <v>42766</v>
      </c>
      <c r="K2335" s="73">
        <v>33534</v>
      </c>
      <c r="L2335" s="11" t="s">
        <v>82</v>
      </c>
      <c r="M2335" s="1" t="s">
        <v>16</v>
      </c>
      <c r="N2335" s="112" t="s">
        <v>14</v>
      </c>
      <c r="O2335" s="104" t="s">
        <v>27</v>
      </c>
      <c r="P2335" s="104"/>
      <c r="Q2335" s="105"/>
      <c r="R2335" s="28" t="s">
        <v>688</v>
      </c>
      <c r="S2335" s="225">
        <f t="shared" si="36"/>
        <v>55793</v>
      </c>
      <c r="T2335" s="2" t="s">
        <v>7698</v>
      </c>
      <c r="U2335" s="162" t="s">
        <v>144</v>
      </c>
      <c r="V2335" s="162" t="str" cm="1">
        <f t="array" ref="V2335">_xlfn.IFS(C2335="","",COUNTIF(C2335,"ตำแหน่งว่าง*"),"ว่าง",COUNTIF(C2335,"&lt;&gt;ตำแหน่งว่าง*"),"คนครอง")</f>
        <v>คนครอง</v>
      </c>
      <c r="W2335" s="6" cm="1">
        <f t="array" ref="W2335">_xlfn.IFS(COUNTIF(F2335,"ผบ.หมู่*"),51,COUNTIF(F2335,"รอง สว.*"),43)</f>
        <v>51</v>
      </c>
      <c r="X2335" s="1" t="s">
        <v>6864</v>
      </c>
      <c r="Y2335" s="1" t="s">
        <v>27</v>
      </c>
    </row>
    <row r="2336" spans="1:25" s="9" customFormat="1" ht="21.3" customHeight="1">
      <c r="A2336" s="27" t="s">
        <v>157</v>
      </c>
      <c r="B2336" s="28" t="s">
        <v>12</v>
      </c>
      <c r="C2336" s="27" t="s">
        <v>6866</v>
      </c>
      <c r="D2336" s="27" t="s">
        <v>10402</v>
      </c>
      <c r="E2336" s="27" t="s">
        <v>8324</v>
      </c>
      <c r="F2336" s="27" t="s">
        <v>6854</v>
      </c>
      <c r="G2336" s="101" t="s">
        <v>6868</v>
      </c>
      <c r="H2336" s="91">
        <v>43656</v>
      </c>
      <c r="I2336" s="73">
        <v>35462</v>
      </c>
      <c r="J2336" s="73">
        <v>35462</v>
      </c>
      <c r="K2336" s="73">
        <v>26861</v>
      </c>
      <c r="L2336" s="11" t="s">
        <v>82</v>
      </c>
      <c r="M2336" s="1" t="s">
        <v>16</v>
      </c>
      <c r="N2336" s="112" t="s">
        <v>14</v>
      </c>
      <c r="O2336" s="104" t="s">
        <v>27</v>
      </c>
      <c r="P2336" s="104"/>
      <c r="Q2336" s="105"/>
      <c r="R2336" s="28" t="s">
        <v>2794</v>
      </c>
      <c r="S2336" s="225">
        <f t="shared" si="36"/>
        <v>48853</v>
      </c>
      <c r="T2336" s="2" t="s">
        <v>7698</v>
      </c>
      <c r="U2336" s="162" t="s">
        <v>144</v>
      </c>
      <c r="V2336" s="162" t="str" cm="1">
        <f t="array" ref="V2336">_xlfn.IFS(C2336="","",COUNTIF(C2336,"ตำแหน่งว่าง*"),"ว่าง",COUNTIF(C2336,"&lt;&gt;ตำแหน่งว่าง*"),"คนครอง")</f>
        <v>คนครอง</v>
      </c>
      <c r="W2336" s="6" cm="1">
        <f t="array" ref="W2336">_xlfn.IFS(COUNTIF(F2336,"ผบ.หมู่*"),51,COUNTIF(F2336,"รอง สว.*"),43)</f>
        <v>51</v>
      </c>
      <c r="X2336" s="1" t="s">
        <v>6867</v>
      </c>
      <c r="Y2336" s="1" t="s">
        <v>27</v>
      </c>
    </row>
    <row r="2337" spans="1:25" s="9" customFormat="1" ht="21.3" customHeight="1">
      <c r="A2337" s="27" t="s">
        <v>30</v>
      </c>
      <c r="B2337" s="28" t="s">
        <v>12</v>
      </c>
      <c r="C2337" s="27" t="s">
        <v>6869</v>
      </c>
      <c r="D2337" s="27" t="s">
        <v>10403</v>
      </c>
      <c r="E2337" s="27" t="s">
        <v>8104</v>
      </c>
      <c r="F2337" s="27" t="s">
        <v>6870</v>
      </c>
      <c r="G2337" s="101" t="s">
        <v>6872</v>
      </c>
      <c r="H2337" s="91">
        <v>44999</v>
      </c>
      <c r="I2337" s="82">
        <v>43555</v>
      </c>
      <c r="J2337" s="82">
        <v>43555</v>
      </c>
      <c r="K2337" s="82">
        <v>24235</v>
      </c>
      <c r="L2337" s="58" t="s">
        <v>6873</v>
      </c>
      <c r="M2337" s="56" t="s">
        <v>16</v>
      </c>
      <c r="N2337" s="112" t="s">
        <v>14</v>
      </c>
      <c r="O2337" s="104" t="s">
        <v>27</v>
      </c>
      <c r="P2337" s="104"/>
      <c r="Q2337" s="105"/>
      <c r="R2337" s="28" t="s">
        <v>6874</v>
      </c>
      <c r="S2337" s="225">
        <f t="shared" si="36"/>
        <v>46296</v>
      </c>
      <c r="T2337" s="2" t="s">
        <v>7698</v>
      </c>
      <c r="U2337" s="162" t="s">
        <v>144</v>
      </c>
      <c r="V2337" s="162" t="str" cm="1">
        <f t="array" ref="V2337">_xlfn.IFS(C2337="","",COUNTIF(C2337,"ตำแหน่งว่าง*"),"ว่าง",COUNTIF(C2337,"&lt;&gt;ตำแหน่งว่าง*"),"คนครอง")</f>
        <v>คนครอง</v>
      </c>
      <c r="W2337" s="5" cm="1">
        <f t="array" ref="W2337">_xlfn.IFS(COUNTIF(F2337,"ผบ.หมู่*"),51,COUNTIF(F2337,"รอง สว.*"),43)</f>
        <v>43</v>
      </c>
      <c r="X2337" s="28" t="s">
        <v>6871</v>
      </c>
      <c r="Y2337" s="28" t="s">
        <v>27</v>
      </c>
    </row>
    <row r="2338" spans="1:25" s="12" customFormat="1" ht="21.3" customHeight="1">
      <c r="A2338" s="27" t="s">
        <v>157</v>
      </c>
      <c r="B2338" s="28" t="s">
        <v>21</v>
      </c>
      <c r="C2338" s="95" t="s">
        <v>6875</v>
      </c>
      <c r="D2338" s="27" t="s">
        <v>10404</v>
      </c>
      <c r="E2338" s="27" t="s">
        <v>10405</v>
      </c>
      <c r="F2338" s="95" t="s">
        <v>6854</v>
      </c>
      <c r="G2338" s="101" t="s">
        <v>6877</v>
      </c>
      <c r="H2338" s="91">
        <v>42604</v>
      </c>
      <c r="I2338" s="73">
        <v>40814</v>
      </c>
      <c r="J2338" s="73">
        <v>40814</v>
      </c>
      <c r="K2338" s="73">
        <v>29469</v>
      </c>
      <c r="L2338" s="11" t="s">
        <v>6878</v>
      </c>
      <c r="M2338" s="1" t="s">
        <v>57</v>
      </c>
      <c r="N2338" s="111" t="s">
        <v>14</v>
      </c>
      <c r="O2338" s="104" t="s">
        <v>27</v>
      </c>
      <c r="P2338" s="104"/>
      <c r="Q2338" s="105"/>
      <c r="R2338" s="28" t="s">
        <v>6746</v>
      </c>
      <c r="S2338" s="225">
        <f t="shared" si="36"/>
        <v>51410</v>
      </c>
      <c r="T2338" s="162" t="s">
        <v>7698</v>
      </c>
      <c r="U2338" s="162" t="s">
        <v>144</v>
      </c>
      <c r="V2338" s="162" t="str" cm="1">
        <f t="array" ref="V2338">_xlfn.IFS(C2338="","",COUNTIF(C2338,"ตำแหน่งว่าง*"),"ว่าง",COUNTIF(C2338,"&lt;&gt;ตำแหน่งว่าง*"),"คนครอง")</f>
        <v>คนครอง</v>
      </c>
      <c r="W2338" s="6" cm="1">
        <f t="array" ref="W2338">_xlfn.IFS(COUNTIF(F2338,"ผบ.หมู่*"),51,COUNTIF(F2338,"รอง สว.*"),43)</f>
        <v>51</v>
      </c>
      <c r="X2338" s="5" t="s">
        <v>6876</v>
      </c>
      <c r="Y2338" s="5" t="s">
        <v>27</v>
      </c>
    </row>
    <row r="2339" spans="1:25" s="9" customFormat="1" ht="21.3" customHeight="1">
      <c r="A2339" s="27"/>
      <c r="B2339" s="28"/>
      <c r="C2339" s="95" t="s">
        <v>18</v>
      </c>
      <c r="D2339" s="27"/>
      <c r="E2339" s="27"/>
      <c r="F2339" s="95" t="s">
        <v>6854</v>
      </c>
      <c r="G2339" s="101" t="s">
        <v>6881</v>
      </c>
      <c r="H2339" s="91"/>
      <c r="I2339" s="73"/>
      <c r="J2339" s="73"/>
      <c r="K2339" s="73"/>
      <c r="L2339" s="11"/>
      <c r="M2339" s="1"/>
      <c r="N2339" s="112" t="s">
        <v>14</v>
      </c>
      <c r="O2339" s="104" t="s">
        <v>27</v>
      </c>
      <c r="P2339" s="104"/>
      <c r="Q2339" s="105"/>
      <c r="R2339" s="28"/>
      <c r="S2339" s="225" t="str">
        <f t="shared" si="36"/>
        <v/>
      </c>
      <c r="T2339" s="2" t="s">
        <v>7698</v>
      </c>
      <c r="U2339" s="162" t="s">
        <v>144</v>
      </c>
      <c r="V2339" s="162" t="str" cm="1">
        <f t="array" ref="V2339">_xlfn.IFS(C2339="","",COUNTIF(C2339,"ตำแหน่งว่าง*"),"ว่าง",COUNTIF(C2339,"&lt;&gt;ตำแหน่งว่าง*"),"คนครอง")</f>
        <v>ว่าง</v>
      </c>
      <c r="W2339" s="6" cm="1">
        <f t="array" ref="W2339">_xlfn.IFS(COUNTIF(F2339,"ผบ.หมู่*"),51,COUNTIF(F2339,"รอง สว.*"),43)</f>
        <v>51</v>
      </c>
      <c r="X2339" s="1" t="s">
        <v>6880</v>
      </c>
      <c r="Y2339" s="1" t="s">
        <v>27</v>
      </c>
    </row>
    <row r="2340" spans="1:25" s="9" customFormat="1" ht="21.3" customHeight="1">
      <c r="A2340" s="132" t="s">
        <v>10753</v>
      </c>
      <c r="B2340" s="28" t="s">
        <v>21</v>
      </c>
      <c r="C2340" s="27" t="s">
        <v>6882</v>
      </c>
      <c r="D2340" s="27" t="s">
        <v>8333</v>
      </c>
      <c r="E2340" s="27" t="s">
        <v>10408</v>
      </c>
      <c r="F2340" s="27" t="s">
        <v>6870</v>
      </c>
      <c r="G2340" s="101" t="s">
        <v>6884</v>
      </c>
      <c r="H2340" s="91">
        <v>45382</v>
      </c>
      <c r="I2340" s="73">
        <v>45382</v>
      </c>
      <c r="J2340" s="73">
        <v>34352</v>
      </c>
      <c r="K2340" s="73">
        <v>25948</v>
      </c>
      <c r="L2340" s="11" t="s">
        <v>4907</v>
      </c>
      <c r="M2340" s="1" t="s">
        <v>16</v>
      </c>
      <c r="N2340" s="112" t="s">
        <v>14</v>
      </c>
      <c r="O2340" s="104" t="s">
        <v>27</v>
      </c>
      <c r="P2340" s="104"/>
      <c r="Q2340" s="105"/>
      <c r="R2340" s="33" t="s">
        <v>7801</v>
      </c>
      <c r="S2340" s="225">
        <f t="shared" si="36"/>
        <v>48122</v>
      </c>
      <c r="T2340" s="2" t="s">
        <v>7698</v>
      </c>
      <c r="U2340" s="162" t="s">
        <v>144</v>
      </c>
      <c r="V2340" s="162" t="str" cm="1">
        <f t="array" ref="V2340">_xlfn.IFS(C2340="","",COUNTIF(C2340,"ตำแหน่งว่าง*"),"ว่าง",COUNTIF(C2340,"&lt;&gt;ตำแหน่งว่าง*"),"คนครอง")</f>
        <v>คนครอง</v>
      </c>
      <c r="W2340" s="6" cm="1">
        <f t="array" ref="W2340">_xlfn.IFS(COUNTIF(F2340,"ผบ.หมู่*"),51,COUNTIF(F2340,"รอง สว.*"),43)</f>
        <v>43</v>
      </c>
      <c r="X2340" s="1" t="s">
        <v>6883</v>
      </c>
      <c r="Y2340" s="1" t="s">
        <v>27</v>
      </c>
    </row>
    <row r="2341" spans="1:25" s="9" customFormat="1" ht="21.3" customHeight="1">
      <c r="A2341" s="27" t="s">
        <v>612</v>
      </c>
      <c r="B2341" s="28" t="s">
        <v>21</v>
      </c>
      <c r="C2341" s="27" t="s">
        <v>1010</v>
      </c>
      <c r="D2341" s="27" t="s">
        <v>8357</v>
      </c>
      <c r="E2341" s="27" t="s">
        <v>10409</v>
      </c>
      <c r="F2341" s="27" t="s">
        <v>6854</v>
      </c>
      <c r="G2341" s="101" t="s">
        <v>6916</v>
      </c>
      <c r="H2341" s="91">
        <v>45322</v>
      </c>
      <c r="I2341" s="75">
        <v>41944</v>
      </c>
      <c r="J2341" s="75">
        <v>41944</v>
      </c>
      <c r="K2341" s="75">
        <v>32416</v>
      </c>
      <c r="L2341" s="34" t="s">
        <v>1013</v>
      </c>
      <c r="M2341" s="28" t="s">
        <v>16</v>
      </c>
      <c r="N2341" s="112" t="s">
        <v>14</v>
      </c>
      <c r="O2341" s="104" t="s">
        <v>43</v>
      </c>
      <c r="P2341" s="104"/>
      <c r="Q2341" s="105"/>
      <c r="R2341" s="30" t="s">
        <v>7708</v>
      </c>
      <c r="S2341" s="225">
        <f t="shared" si="36"/>
        <v>54332</v>
      </c>
      <c r="T2341" s="2" t="s">
        <v>7698</v>
      </c>
      <c r="U2341" s="162" t="s">
        <v>144</v>
      </c>
      <c r="V2341" s="162" t="str" cm="1">
        <f t="array" ref="V2341">_xlfn.IFS(C2341="","",COUNTIF(C2341,"ตำแหน่งว่าง*"),"ว่าง",COUNTIF(C2341,"&lt;&gt;ตำแหน่งว่าง*"),"คนครอง")</f>
        <v>คนครอง</v>
      </c>
      <c r="W2341" s="6" cm="1">
        <f t="array" ref="W2341">_xlfn.IFS(COUNTIF(F2341,"ผบ.หมู่*"),51,COUNTIF(F2341,"รอง สว.*"),43)</f>
        <v>51</v>
      </c>
      <c r="X2341" s="1" t="s">
        <v>6915</v>
      </c>
      <c r="Y2341" s="28" t="s">
        <v>48</v>
      </c>
    </row>
    <row r="2342" spans="1:25" s="9" customFormat="1" ht="21.3" customHeight="1">
      <c r="A2342" s="27" t="s">
        <v>60</v>
      </c>
      <c r="B2342" s="28" t="s">
        <v>12</v>
      </c>
      <c r="C2342" s="27" t="s">
        <v>6879</v>
      </c>
      <c r="D2342" s="27" t="s">
        <v>10406</v>
      </c>
      <c r="E2342" s="27" t="s">
        <v>10407</v>
      </c>
      <c r="F2342" s="27" t="s">
        <v>6870</v>
      </c>
      <c r="G2342" s="101" t="s">
        <v>6886</v>
      </c>
      <c r="H2342" s="91">
        <v>45768</v>
      </c>
      <c r="I2342" s="73">
        <v>35094</v>
      </c>
      <c r="J2342" s="73">
        <v>35094</v>
      </c>
      <c r="K2342" s="73">
        <v>26515</v>
      </c>
      <c r="L2342" s="11" t="s">
        <v>6873</v>
      </c>
      <c r="M2342" s="1" t="s">
        <v>16</v>
      </c>
      <c r="N2342" s="112" t="s">
        <v>14</v>
      </c>
      <c r="O2342" s="104" t="s">
        <v>52</v>
      </c>
      <c r="P2342" s="104" t="s">
        <v>52</v>
      </c>
      <c r="Q2342" s="105"/>
      <c r="R2342" s="28" t="s">
        <v>10714</v>
      </c>
      <c r="S2342" s="225">
        <f t="shared" si="36"/>
        <v>48488</v>
      </c>
      <c r="T2342" s="2" t="s">
        <v>7698</v>
      </c>
      <c r="U2342" s="162" t="s">
        <v>144</v>
      </c>
      <c r="V2342" s="162" t="str" cm="1">
        <f t="array" ref="V2342">_xlfn.IFS(C2342="","",COUNTIF(C2342,"ตำแหน่งว่าง*"),"ว่าง",COUNTIF(C2342,"&lt;&gt;ตำแหน่งว่าง*"),"คนครอง")</f>
        <v>คนครอง</v>
      </c>
      <c r="W2342" s="5" cm="1">
        <f t="array" ref="W2342">_xlfn.IFS(COUNTIF(F2342,"ผบ.หมู่*"),51,COUNTIF(F2342,"รอง สว.*"),43)</f>
        <v>43</v>
      </c>
      <c r="X2342" s="1" t="s">
        <v>6885</v>
      </c>
      <c r="Y2342" s="1" t="s">
        <v>52</v>
      </c>
    </row>
    <row r="2343" spans="1:25" s="12" customFormat="1" ht="21.3" customHeight="1">
      <c r="A2343" s="27" t="s">
        <v>612</v>
      </c>
      <c r="B2343" s="28" t="s">
        <v>12</v>
      </c>
      <c r="C2343" s="27" t="s">
        <v>6887</v>
      </c>
      <c r="D2343" s="27" t="s">
        <v>8265</v>
      </c>
      <c r="E2343" s="27" t="s">
        <v>8033</v>
      </c>
      <c r="F2343" s="27" t="s">
        <v>6854</v>
      </c>
      <c r="G2343" s="101" t="s">
        <v>6889</v>
      </c>
      <c r="H2343" s="75">
        <v>44999</v>
      </c>
      <c r="I2343" s="73">
        <v>42416</v>
      </c>
      <c r="J2343" s="73">
        <v>42416</v>
      </c>
      <c r="K2343" s="73">
        <v>30619</v>
      </c>
      <c r="L2343" s="11" t="s">
        <v>6890</v>
      </c>
      <c r="M2343" s="1" t="s">
        <v>16</v>
      </c>
      <c r="N2343" s="112" t="s">
        <v>14</v>
      </c>
      <c r="O2343" s="104" t="s">
        <v>52</v>
      </c>
      <c r="P2343" s="104" t="s">
        <v>52</v>
      </c>
      <c r="Q2343" s="105"/>
      <c r="R2343" s="28" t="s">
        <v>74</v>
      </c>
      <c r="S2343" s="225">
        <f t="shared" si="36"/>
        <v>52871</v>
      </c>
      <c r="T2343" s="162" t="s">
        <v>7698</v>
      </c>
      <c r="U2343" s="162" t="s">
        <v>144</v>
      </c>
      <c r="V2343" s="162" t="str" cm="1">
        <f t="array" ref="V2343">_xlfn.IFS(C2343="","",COUNTIF(C2343,"ตำแหน่งว่าง*"),"ว่าง",COUNTIF(C2343,"&lt;&gt;ตำแหน่งว่าง*"),"คนครอง")</f>
        <v>คนครอง</v>
      </c>
      <c r="W2343" s="6" cm="1">
        <f t="array" ref="W2343">_xlfn.IFS(COUNTIF(F2343,"ผบ.หมู่*"),51,COUNTIF(F2343,"รอง สว.*"),43)</f>
        <v>51</v>
      </c>
      <c r="X2343" s="1" t="s">
        <v>6888</v>
      </c>
      <c r="Y2343" s="1" t="s">
        <v>52</v>
      </c>
    </row>
    <row r="2344" spans="1:25" s="12" customFormat="1" ht="21.3" customHeight="1">
      <c r="A2344" s="27" t="s">
        <v>157</v>
      </c>
      <c r="B2344" s="28" t="s">
        <v>21</v>
      </c>
      <c r="C2344" s="95" t="s">
        <v>6891</v>
      </c>
      <c r="D2344" s="27" t="s">
        <v>8032</v>
      </c>
      <c r="E2344" s="27" t="s">
        <v>8342</v>
      </c>
      <c r="F2344" s="95" t="s">
        <v>6854</v>
      </c>
      <c r="G2344" s="101" t="s">
        <v>6893</v>
      </c>
      <c r="H2344" s="75">
        <v>42501</v>
      </c>
      <c r="I2344" s="73">
        <v>34729</v>
      </c>
      <c r="J2344" s="73">
        <v>34729</v>
      </c>
      <c r="K2344" s="73">
        <v>26870</v>
      </c>
      <c r="L2344" s="11" t="s">
        <v>5319</v>
      </c>
      <c r="M2344" s="1" t="s">
        <v>16</v>
      </c>
      <c r="N2344" s="111" t="s">
        <v>14</v>
      </c>
      <c r="O2344" s="104" t="s">
        <v>52</v>
      </c>
      <c r="P2344" s="104" t="s">
        <v>52</v>
      </c>
      <c r="Q2344" s="105"/>
      <c r="R2344" s="28" t="s">
        <v>6746</v>
      </c>
      <c r="S2344" s="225">
        <f t="shared" si="36"/>
        <v>48853</v>
      </c>
      <c r="T2344" s="162" t="s">
        <v>7698</v>
      </c>
      <c r="U2344" s="162" t="s">
        <v>144</v>
      </c>
      <c r="V2344" s="162" t="str" cm="1">
        <f t="array" ref="V2344">_xlfn.IFS(C2344="","",COUNTIF(C2344,"ตำแหน่งว่าง*"),"ว่าง",COUNTIF(C2344,"&lt;&gt;ตำแหน่งว่าง*"),"คนครอง")</f>
        <v>คนครอง</v>
      </c>
      <c r="W2344" s="6" cm="1">
        <f t="array" ref="W2344">_xlfn.IFS(COUNTIF(F2344,"ผบ.หมู่*"),51,COUNTIF(F2344,"รอง สว.*"),43)</f>
        <v>51</v>
      </c>
      <c r="X2344" s="5" t="s">
        <v>6892</v>
      </c>
      <c r="Y2344" s="5" t="s">
        <v>52</v>
      </c>
    </row>
    <row r="2345" spans="1:25" s="12" customFormat="1" ht="21.3" customHeight="1">
      <c r="A2345" s="27" t="s">
        <v>157</v>
      </c>
      <c r="B2345" s="28" t="s">
        <v>21</v>
      </c>
      <c r="C2345" s="95" t="s">
        <v>6894</v>
      </c>
      <c r="D2345" s="27" t="s">
        <v>10410</v>
      </c>
      <c r="E2345" s="27" t="s">
        <v>10411</v>
      </c>
      <c r="F2345" s="95" t="s">
        <v>6854</v>
      </c>
      <c r="G2345" s="101" t="s">
        <v>6896</v>
      </c>
      <c r="H2345" s="75">
        <v>42501</v>
      </c>
      <c r="I2345" s="73">
        <v>34352</v>
      </c>
      <c r="J2345" s="73">
        <v>34352</v>
      </c>
      <c r="K2345" s="73">
        <v>27414</v>
      </c>
      <c r="L2345" s="11" t="s">
        <v>112</v>
      </c>
      <c r="M2345" s="1" t="s">
        <v>16</v>
      </c>
      <c r="N2345" s="111" t="s">
        <v>14</v>
      </c>
      <c r="O2345" s="104" t="s">
        <v>52</v>
      </c>
      <c r="P2345" s="104" t="s">
        <v>52</v>
      </c>
      <c r="Q2345" s="105"/>
      <c r="R2345" s="28" t="s">
        <v>110</v>
      </c>
      <c r="S2345" s="225">
        <f t="shared" si="36"/>
        <v>49583</v>
      </c>
      <c r="T2345" s="162" t="s">
        <v>7698</v>
      </c>
      <c r="U2345" s="162" t="s">
        <v>144</v>
      </c>
      <c r="V2345" s="162" t="str" cm="1">
        <f t="array" ref="V2345">_xlfn.IFS(C2345="","",COUNTIF(C2345,"ตำแหน่งว่าง*"),"ว่าง",COUNTIF(C2345,"&lt;&gt;ตำแหน่งว่าง*"),"คนครอง")</f>
        <v>คนครอง</v>
      </c>
      <c r="W2345" s="6" cm="1">
        <f t="array" ref="W2345">_xlfn.IFS(COUNTIF(F2345,"ผบ.หมู่*"),51,COUNTIF(F2345,"รอง สว.*"),43)</f>
        <v>51</v>
      </c>
      <c r="X2345" s="5" t="s">
        <v>6895</v>
      </c>
      <c r="Y2345" s="5" t="s">
        <v>52</v>
      </c>
    </row>
    <row r="2346" spans="1:25" s="12" customFormat="1" ht="21.3" customHeight="1">
      <c r="A2346" s="27" t="s">
        <v>157</v>
      </c>
      <c r="B2346" s="28" t="s">
        <v>21</v>
      </c>
      <c r="C2346" s="95" t="s">
        <v>6897</v>
      </c>
      <c r="D2346" s="27" t="s">
        <v>8296</v>
      </c>
      <c r="E2346" s="27" t="s">
        <v>8235</v>
      </c>
      <c r="F2346" s="95" t="s">
        <v>6854</v>
      </c>
      <c r="G2346" s="101" t="s">
        <v>6899</v>
      </c>
      <c r="H2346" s="75">
        <v>42501</v>
      </c>
      <c r="I2346" s="73">
        <v>35095</v>
      </c>
      <c r="J2346" s="73">
        <v>35095</v>
      </c>
      <c r="K2346" s="73">
        <v>26906</v>
      </c>
      <c r="L2346" s="11" t="s">
        <v>2314</v>
      </c>
      <c r="M2346" s="1" t="s">
        <v>16</v>
      </c>
      <c r="N2346" s="111" t="s">
        <v>14</v>
      </c>
      <c r="O2346" s="104" t="s">
        <v>52</v>
      </c>
      <c r="P2346" s="104" t="s">
        <v>52</v>
      </c>
      <c r="Q2346" s="105"/>
      <c r="R2346" s="28" t="s">
        <v>110</v>
      </c>
      <c r="S2346" s="225">
        <f t="shared" si="36"/>
        <v>48853</v>
      </c>
      <c r="T2346" s="162" t="s">
        <v>7698</v>
      </c>
      <c r="U2346" s="162" t="s">
        <v>144</v>
      </c>
      <c r="V2346" s="162" t="str" cm="1">
        <f t="array" ref="V2346">_xlfn.IFS(C2346="","",COUNTIF(C2346,"ตำแหน่งว่าง*"),"ว่าง",COUNTIF(C2346,"&lt;&gt;ตำแหน่งว่าง*"),"คนครอง")</f>
        <v>คนครอง</v>
      </c>
      <c r="W2346" s="6" cm="1">
        <f t="array" ref="W2346">_xlfn.IFS(COUNTIF(F2346,"ผบ.หมู่*"),51,COUNTIF(F2346,"รอง สว.*"),43)</f>
        <v>51</v>
      </c>
      <c r="X2346" s="5" t="s">
        <v>6898</v>
      </c>
      <c r="Y2346" s="5" t="s">
        <v>52</v>
      </c>
    </row>
    <row r="2347" spans="1:25" s="12" customFormat="1" ht="21.3" customHeight="1">
      <c r="A2347" s="27" t="s">
        <v>157</v>
      </c>
      <c r="B2347" s="28" t="s">
        <v>21</v>
      </c>
      <c r="C2347" s="95" t="s">
        <v>6900</v>
      </c>
      <c r="D2347" s="27" t="s">
        <v>10412</v>
      </c>
      <c r="E2347" s="27" t="s">
        <v>10413</v>
      </c>
      <c r="F2347" s="95" t="s">
        <v>6854</v>
      </c>
      <c r="G2347" s="101" t="s">
        <v>6902</v>
      </c>
      <c r="H2347" s="75">
        <v>42501</v>
      </c>
      <c r="I2347" s="73">
        <v>39717</v>
      </c>
      <c r="J2347" s="73">
        <v>39717</v>
      </c>
      <c r="K2347" s="73">
        <v>29637</v>
      </c>
      <c r="L2347" s="11" t="s">
        <v>2314</v>
      </c>
      <c r="M2347" s="1" t="s">
        <v>16</v>
      </c>
      <c r="N2347" s="111" t="s">
        <v>14</v>
      </c>
      <c r="O2347" s="104" t="s">
        <v>52</v>
      </c>
      <c r="P2347" s="104" t="s">
        <v>52</v>
      </c>
      <c r="Q2347" s="105"/>
      <c r="R2347" s="28" t="s">
        <v>110</v>
      </c>
      <c r="S2347" s="225">
        <f t="shared" si="36"/>
        <v>51775</v>
      </c>
      <c r="T2347" s="162" t="s">
        <v>7698</v>
      </c>
      <c r="U2347" s="162" t="s">
        <v>144</v>
      </c>
      <c r="V2347" s="162" t="str" cm="1">
        <f t="array" ref="V2347">_xlfn.IFS(C2347="","",COUNTIF(C2347,"ตำแหน่งว่าง*"),"ว่าง",COUNTIF(C2347,"&lt;&gt;ตำแหน่งว่าง*"),"คนครอง")</f>
        <v>คนครอง</v>
      </c>
      <c r="W2347" s="6" cm="1">
        <f t="array" ref="W2347">_xlfn.IFS(COUNTIF(F2347,"ผบ.หมู่*"),51,COUNTIF(F2347,"รอง สว.*"),43)</f>
        <v>51</v>
      </c>
      <c r="X2347" s="5" t="s">
        <v>6901</v>
      </c>
      <c r="Y2347" s="5" t="s">
        <v>52</v>
      </c>
    </row>
    <row r="2348" spans="1:25" s="12" customFormat="1" ht="21.3" customHeight="1">
      <c r="A2348" s="27" t="s">
        <v>157</v>
      </c>
      <c r="B2348" s="28" t="s">
        <v>21</v>
      </c>
      <c r="C2348" s="95" t="s">
        <v>6903</v>
      </c>
      <c r="D2348" s="27" t="s">
        <v>10414</v>
      </c>
      <c r="E2348" s="27" t="s">
        <v>10415</v>
      </c>
      <c r="F2348" s="95" t="s">
        <v>6854</v>
      </c>
      <c r="G2348" s="101" t="s">
        <v>6905</v>
      </c>
      <c r="H2348" s="75">
        <v>42501</v>
      </c>
      <c r="I2348" s="73">
        <v>39717</v>
      </c>
      <c r="J2348" s="73">
        <v>39717</v>
      </c>
      <c r="K2348" s="73">
        <v>29163</v>
      </c>
      <c r="L2348" s="11" t="s">
        <v>6906</v>
      </c>
      <c r="M2348" s="1" t="s">
        <v>16</v>
      </c>
      <c r="N2348" s="111" t="s">
        <v>14</v>
      </c>
      <c r="O2348" s="104" t="s">
        <v>52</v>
      </c>
      <c r="P2348" s="104" t="s">
        <v>52</v>
      </c>
      <c r="Q2348" s="105"/>
      <c r="R2348" s="28" t="s">
        <v>110</v>
      </c>
      <c r="S2348" s="225">
        <f t="shared" si="36"/>
        <v>51410</v>
      </c>
      <c r="T2348" s="162" t="s">
        <v>7698</v>
      </c>
      <c r="U2348" s="162" t="s">
        <v>144</v>
      </c>
      <c r="V2348" s="162" t="str" cm="1">
        <f t="array" ref="V2348">_xlfn.IFS(C2348="","",COUNTIF(C2348,"ตำแหน่งว่าง*"),"ว่าง",COUNTIF(C2348,"&lt;&gt;ตำแหน่งว่าง*"),"คนครอง")</f>
        <v>คนครอง</v>
      </c>
      <c r="W2348" s="6" cm="1">
        <f t="array" ref="W2348">_xlfn.IFS(COUNTIF(F2348,"ผบ.หมู่*"),51,COUNTIF(F2348,"รอง สว.*"),43)</f>
        <v>51</v>
      </c>
      <c r="X2348" s="5" t="s">
        <v>6904</v>
      </c>
      <c r="Y2348" s="5" t="s">
        <v>52</v>
      </c>
    </row>
    <row r="2349" spans="1:25" s="12" customFormat="1" ht="21.3" customHeight="1">
      <c r="A2349" s="27" t="s">
        <v>157</v>
      </c>
      <c r="B2349" s="28" t="s">
        <v>12</v>
      </c>
      <c r="C2349" s="95" t="s">
        <v>6860</v>
      </c>
      <c r="D2349" s="27" t="s">
        <v>10398</v>
      </c>
      <c r="E2349" s="27" t="s">
        <v>10399</v>
      </c>
      <c r="F2349" s="27" t="s">
        <v>6854</v>
      </c>
      <c r="G2349" s="101" t="s">
        <v>6908</v>
      </c>
      <c r="H2349" s="91">
        <v>45768</v>
      </c>
      <c r="I2349" s="73">
        <v>39479</v>
      </c>
      <c r="J2349" s="73">
        <v>39479</v>
      </c>
      <c r="K2349" s="73">
        <v>32489</v>
      </c>
      <c r="L2349" s="11" t="s">
        <v>82</v>
      </c>
      <c r="M2349" s="1" t="s">
        <v>16</v>
      </c>
      <c r="N2349" s="111" t="s">
        <v>14</v>
      </c>
      <c r="O2349" s="104" t="s">
        <v>52</v>
      </c>
      <c r="P2349" s="104" t="s">
        <v>52</v>
      </c>
      <c r="Q2349" s="105"/>
      <c r="R2349" s="28" t="s">
        <v>10714</v>
      </c>
      <c r="S2349" s="225">
        <f t="shared" si="36"/>
        <v>54697</v>
      </c>
      <c r="T2349" s="162" t="s">
        <v>7698</v>
      </c>
      <c r="U2349" s="162" t="s">
        <v>144</v>
      </c>
      <c r="V2349" s="162" t="str" cm="1">
        <f t="array" ref="V2349">_xlfn.IFS(C2349="","",COUNTIF(C2349,"ตำแหน่งว่าง*"),"ว่าง",COUNTIF(C2349,"&lt;&gt;ตำแหน่งว่าง*"),"คนครอง")</f>
        <v>คนครอง</v>
      </c>
      <c r="W2349" s="5" cm="1">
        <f t="array" ref="W2349">_xlfn.IFS(COUNTIF(F2349,"ผบ.หมู่*"),51,COUNTIF(F2349,"รอง สว.*"),43)</f>
        <v>51</v>
      </c>
      <c r="X2349" s="5" t="s">
        <v>6907</v>
      </c>
      <c r="Y2349" s="5" t="s">
        <v>52</v>
      </c>
    </row>
    <row r="2350" spans="1:25" s="12" customFormat="1" ht="21.3" customHeight="1">
      <c r="A2350" s="27" t="s">
        <v>157</v>
      </c>
      <c r="B2350" s="28" t="s">
        <v>21</v>
      </c>
      <c r="C2350" s="95" t="s">
        <v>6909</v>
      </c>
      <c r="D2350" s="27" t="s">
        <v>10416</v>
      </c>
      <c r="E2350" s="27" t="s">
        <v>10417</v>
      </c>
      <c r="F2350" s="95" t="s">
        <v>6854</v>
      </c>
      <c r="G2350" s="101" t="s">
        <v>6911</v>
      </c>
      <c r="H2350" s="91">
        <v>42501</v>
      </c>
      <c r="I2350" s="73">
        <v>42501</v>
      </c>
      <c r="J2350" s="73">
        <v>34352</v>
      </c>
      <c r="K2350" s="73">
        <v>27250</v>
      </c>
      <c r="L2350" s="11" t="s">
        <v>5012</v>
      </c>
      <c r="M2350" s="1" t="s">
        <v>16</v>
      </c>
      <c r="N2350" s="111" t="s">
        <v>14</v>
      </c>
      <c r="O2350" s="104" t="s">
        <v>52</v>
      </c>
      <c r="P2350" s="104" t="s">
        <v>52</v>
      </c>
      <c r="Q2350" s="105"/>
      <c r="R2350" s="28" t="s">
        <v>110</v>
      </c>
      <c r="S2350" s="225">
        <f t="shared" si="36"/>
        <v>49218</v>
      </c>
      <c r="T2350" s="162" t="s">
        <v>7698</v>
      </c>
      <c r="U2350" s="162" t="s">
        <v>144</v>
      </c>
      <c r="V2350" s="162" t="str" cm="1">
        <f t="array" ref="V2350">_xlfn.IFS(C2350="","",COUNTIF(C2350,"ตำแหน่งว่าง*"),"ว่าง",COUNTIF(C2350,"&lt;&gt;ตำแหน่งว่าง*"),"คนครอง")</f>
        <v>คนครอง</v>
      </c>
      <c r="W2350" s="6" cm="1">
        <f t="array" ref="W2350">_xlfn.IFS(COUNTIF(F2350,"ผบ.หมู่*"),51,COUNTIF(F2350,"รอง สว.*"),43)</f>
        <v>51</v>
      </c>
      <c r="X2350" s="5" t="s">
        <v>6910</v>
      </c>
      <c r="Y2350" s="5" t="s">
        <v>52</v>
      </c>
    </row>
    <row r="2351" spans="1:25" s="9" customFormat="1" ht="21.3" customHeight="1">
      <c r="A2351" s="27" t="s">
        <v>157</v>
      </c>
      <c r="B2351" s="28" t="s">
        <v>21</v>
      </c>
      <c r="C2351" s="27" t="s">
        <v>6912</v>
      </c>
      <c r="D2351" s="27" t="s">
        <v>8765</v>
      </c>
      <c r="E2351" s="27" t="s">
        <v>10418</v>
      </c>
      <c r="F2351" s="27" t="s">
        <v>6854</v>
      </c>
      <c r="G2351" s="101" t="s">
        <v>6914</v>
      </c>
      <c r="H2351" s="91">
        <v>43220</v>
      </c>
      <c r="I2351" s="73">
        <v>37316</v>
      </c>
      <c r="J2351" s="73">
        <v>37316</v>
      </c>
      <c r="K2351" s="73">
        <v>28255</v>
      </c>
      <c r="L2351" s="11" t="s">
        <v>133</v>
      </c>
      <c r="M2351" s="1" t="s">
        <v>16</v>
      </c>
      <c r="N2351" s="112" t="s">
        <v>14</v>
      </c>
      <c r="O2351" s="104" t="s">
        <v>52</v>
      </c>
      <c r="P2351" s="104" t="s">
        <v>52</v>
      </c>
      <c r="Q2351" s="105"/>
      <c r="R2351" s="28" t="s">
        <v>4018</v>
      </c>
      <c r="S2351" s="225">
        <f t="shared" si="36"/>
        <v>50314</v>
      </c>
      <c r="T2351" s="2" t="s">
        <v>7698</v>
      </c>
      <c r="U2351" s="162" t="s">
        <v>144</v>
      </c>
      <c r="V2351" s="162" t="str" cm="1">
        <f t="array" ref="V2351">_xlfn.IFS(C2351="","",COUNTIF(C2351,"ตำแหน่งว่าง*"),"ว่าง",COUNTIF(C2351,"&lt;&gt;ตำแหน่งว่าง*"),"คนครอง")</f>
        <v>คนครอง</v>
      </c>
      <c r="W2351" s="6" cm="1">
        <f t="array" ref="W2351">_xlfn.IFS(COUNTIF(F2351,"ผบ.หมู่*"),51,COUNTIF(F2351,"รอง สว.*"),43)</f>
        <v>51</v>
      </c>
      <c r="X2351" s="1" t="s">
        <v>6913</v>
      </c>
      <c r="Y2351" s="1" t="s">
        <v>52</v>
      </c>
    </row>
    <row r="2352" spans="1:25" s="12" customFormat="1" ht="21.3" customHeight="1">
      <c r="A2352" s="27" t="s">
        <v>10753</v>
      </c>
      <c r="B2352" s="28" t="s">
        <v>12</v>
      </c>
      <c r="C2352" s="95" t="s">
        <v>6917</v>
      </c>
      <c r="D2352" s="27" t="s">
        <v>8141</v>
      </c>
      <c r="E2352" s="27" t="s">
        <v>10419</v>
      </c>
      <c r="F2352" s="95" t="s">
        <v>6933</v>
      </c>
      <c r="G2352" s="104" t="s">
        <v>6920</v>
      </c>
      <c r="H2352" s="91">
        <v>45382</v>
      </c>
      <c r="I2352" s="73">
        <v>45382</v>
      </c>
      <c r="J2352" s="75">
        <v>34001</v>
      </c>
      <c r="K2352" s="75">
        <v>25942</v>
      </c>
      <c r="L2352" s="34" t="s">
        <v>6921</v>
      </c>
      <c r="M2352" s="28" t="s">
        <v>16</v>
      </c>
      <c r="N2352" s="111" t="s">
        <v>14</v>
      </c>
      <c r="O2352" s="104" t="s">
        <v>52</v>
      </c>
      <c r="P2352" s="104" t="s">
        <v>52</v>
      </c>
      <c r="Q2352" s="105"/>
      <c r="R2352" s="33" t="s">
        <v>7801</v>
      </c>
      <c r="S2352" s="225">
        <f t="shared" si="36"/>
        <v>48122</v>
      </c>
      <c r="T2352" s="162" t="s">
        <v>7690</v>
      </c>
      <c r="U2352" s="162" t="s">
        <v>144</v>
      </c>
      <c r="V2352" s="162" t="str" cm="1">
        <f t="array" ref="V2352">_xlfn.IFS(C2352="","",COUNTIF(C2352,"ตำแหน่งว่าง*"),"ว่าง",COUNTIF(C2352,"&lt;&gt;ตำแหน่งว่าง*"),"คนครอง")</f>
        <v>คนครอง</v>
      </c>
      <c r="W2352" s="6" cm="1">
        <f t="array" ref="W2352">_xlfn.IFS(COUNTIF(F2352,"ผบ.หมู่*"),51,COUNTIF(F2352,"รอง สว.*"),43)</f>
        <v>43</v>
      </c>
      <c r="X2352" s="5" t="s">
        <v>6919</v>
      </c>
      <c r="Y2352" s="31" t="s">
        <v>52</v>
      </c>
    </row>
    <row r="2353" spans="1:25" s="12" customFormat="1" ht="21.3" customHeight="1">
      <c r="A2353" s="27" t="s">
        <v>10753</v>
      </c>
      <c r="B2353" s="28" t="s">
        <v>12</v>
      </c>
      <c r="C2353" s="95" t="s">
        <v>6922</v>
      </c>
      <c r="D2353" s="27" t="s">
        <v>10420</v>
      </c>
      <c r="E2353" s="27" t="s">
        <v>8354</v>
      </c>
      <c r="F2353" s="95" t="s">
        <v>6933</v>
      </c>
      <c r="G2353" s="104" t="s">
        <v>6924</v>
      </c>
      <c r="H2353" s="91">
        <v>45382</v>
      </c>
      <c r="I2353" s="73">
        <v>45382</v>
      </c>
      <c r="J2353" s="75">
        <v>34729</v>
      </c>
      <c r="K2353" s="75">
        <v>26096</v>
      </c>
      <c r="L2353" s="34" t="s">
        <v>112</v>
      </c>
      <c r="M2353" s="28" t="s">
        <v>16</v>
      </c>
      <c r="N2353" s="111" t="s">
        <v>14</v>
      </c>
      <c r="O2353" s="104" t="s">
        <v>52</v>
      </c>
      <c r="P2353" s="104" t="s">
        <v>52</v>
      </c>
      <c r="Q2353" s="105"/>
      <c r="R2353" s="33" t="s">
        <v>7801</v>
      </c>
      <c r="S2353" s="225">
        <f t="shared" si="36"/>
        <v>48122</v>
      </c>
      <c r="T2353" s="162" t="s">
        <v>7690</v>
      </c>
      <c r="U2353" s="162" t="s">
        <v>144</v>
      </c>
      <c r="V2353" s="162" t="str" cm="1">
        <f t="array" ref="V2353">_xlfn.IFS(C2353="","",COUNTIF(C2353,"ตำแหน่งว่าง*"),"ว่าง",COUNTIF(C2353,"&lt;&gt;ตำแหน่งว่าง*"),"คนครอง")</f>
        <v>คนครอง</v>
      </c>
      <c r="W2353" s="6" cm="1">
        <f t="array" ref="W2353">_xlfn.IFS(COUNTIF(F2353,"ผบ.หมู่*"),51,COUNTIF(F2353,"รอง สว.*"),43)</f>
        <v>43</v>
      </c>
      <c r="X2353" s="5" t="s">
        <v>6923</v>
      </c>
      <c r="Y2353" s="31" t="s">
        <v>52</v>
      </c>
    </row>
    <row r="2354" spans="1:25" s="12" customFormat="1" ht="21.3" customHeight="1">
      <c r="A2354" s="175" t="s">
        <v>157</v>
      </c>
      <c r="B2354" s="151" t="s">
        <v>21</v>
      </c>
      <c r="C2354" s="175" t="s">
        <v>6925</v>
      </c>
      <c r="D2354" s="27" t="s">
        <v>10421</v>
      </c>
      <c r="E2354" s="27" t="s">
        <v>10422</v>
      </c>
      <c r="F2354" s="175" t="s">
        <v>6918</v>
      </c>
      <c r="G2354" s="103" t="s">
        <v>6927</v>
      </c>
      <c r="H2354" s="91">
        <v>44999</v>
      </c>
      <c r="I2354" s="73">
        <v>40084</v>
      </c>
      <c r="J2354" s="73">
        <v>40084</v>
      </c>
      <c r="K2354" s="73">
        <v>30245</v>
      </c>
      <c r="L2354" s="11" t="s">
        <v>3993</v>
      </c>
      <c r="M2354" s="1" t="s">
        <v>16</v>
      </c>
      <c r="N2354" s="112" t="s">
        <v>14</v>
      </c>
      <c r="O2354" s="104" t="s">
        <v>52</v>
      </c>
      <c r="P2354" s="104" t="s">
        <v>52</v>
      </c>
      <c r="Q2354" s="105"/>
      <c r="R2354" s="28" t="s">
        <v>74</v>
      </c>
      <c r="S2354" s="225">
        <f t="shared" si="36"/>
        <v>52505</v>
      </c>
      <c r="T2354" s="162" t="s">
        <v>7690</v>
      </c>
      <c r="U2354" s="162" t="s">
        <v>144</v>
      </c>
      <c r="V2354" s="162" t="str" cm="1">
        <f t="array" ref="V2354">_xlfn.IFS(C2354="","",COUNTIF(C2354,"ตำแหน่งว่าง*"),"ว่าง",COUNTIF(C2354,"&lt;&gt;ตำแหน่งว่าง*"),"คนครอง")</f>
        <v>คนครอง</v>
      </c>
      <c r="W2354" s="6" cm="1">
        <f t="array" ref="W2354">_xlfn.IFS(COUNTIF(F2354,"ผบ.หมู่*"),51,COUNTIF(F2354,"รอง สว.*"),43)</f>
        <v>51</v>
      </c>
      <c r="X2354" s="1" t="s">
        <v>6926</v>
      </c>
      <c r="Y2354" s="1" t="s">
        <v>52</v>
      </c>
    </row>
    <row r="2355" spans="1:25" s="12" customFormat="1" ht="21.3" customHeight="1">
      <c r="A2355" s="27" t="s">
        <v>157</v>
      </c>
      <c r="B2355" s="28" t="s">
        <v>12</v>
      </c>
      <c r="C2355" s="95" t="s">
        <v>6928</v>
      </c>
      <c r="D2355" s="27" t="s">
        <v>10423</v>
      </c>
      <c r="E2355" s="27" t="s">
        <v>10424</v>
      </c>
      <c r="F2355" s="95" t="s">
        <v>6918</v>
      </c>
      <c r="G2355" s="102" t="s">
        <v>6930</v>
      </c>
      <c r="H2355" s="147">
        <v>42648</v>
      </c>
      <c r="I2355" s="75">
        <v>39717</v>
      </c>
      <c r="J2355" s="75">
        <v>39717</v>
      </c>
      <c r="K2355" s="75">
        <v>29230</v>
      </c>
      <c r="L2355" s="34" t="s">
        <v>6931</v>
      </c>
      <c r="M2355" s="28" t="s">
        <v>33</v>
      </c>
      <c r="N2355" s="111" t="s">
        <v>14</v>
      </c>
      <c r="O2355" s="104" t="s">
        <v>52</v>
      </c>
      <c r="P2355" s="104" t="s">
        <v>52</v>
      </c>
      <c r="Q2355" s="105"/>
      <c r="R2355" s="28" t="s">
        <v>110</v>
      </c>
      <c r="S2355" s="225">
        <f t="shared" si="36"/>
        <v>51410</v>
      </c>
      <c r="T2355" s="162" t="s">
        <v>7690</v>
      </c>
      <c r="U2355" s="162" t="s">
        <v>144</v>
      </c>
      <c r="V2355" s="162" t="str" cm="1">
        <f t="array" ref="V2355">_xlfn.IFS(C2355="","",COUNTIF(C2355,"ตำแหน่งว่าง*"),"ว่าง",COUNTIF(C2355,"&lt;&gt;ตำแหน่งว่าง*"),"คนครอง")</f>
        <v>คนครอง</v>
      </c>
      <c r="W2355" s="6" cm="1">
        <f t="array" ref="W2355">_xlfn.IFS(COUNTIF(F2355,"ผบ.หมู่*"),51,COUNTIF(F2355,"รอง สว.*"),43)</f>
        <v>51</v>
      </c>
      <c r="X2355" s="5" t="s">
        <v>6929</v>
      </c>
      <c r="Y2355" s="31" t="s">
        <v>52</v>
      </c>
    </row>
    <row r="2356" spans="1:25" s="12" customFormat="1" ht="21.3" customHeight="1">
      <c r="A2356" s="27" t="s">
        <v>10753</v>
      </c>
      <c r="B2356" s="28" t="s">
        <v>12</v>
      </c>
      <c r="C2356" s="95" t="s">
        <v>6932</v>
      </c>
      <c r="D2356" s="27" t="s">
        <v>8238</v>
      </c>
      <c r="E2356" s="27" t="s">
        <v>10425</v>
      </c>
      <c r="F2356" s="95" t="s">
        <v>6933</v>
      </c>
      <c r="G2356" s="101" t="s">
        <v>6935</v>
      </c>
      <c r="H2356" s="75">
        <v>45016</v>
      </c>
      <c r="I2356" s="75">
        <v>45016</v>
      </c>
      <c r="J2356" s="75">
        <v>34731</v>
      </c>
      <c r="K2356" s="75">
        <v>25614</v>
      </c>
      <c r="L2356" s="34" t="s">
        <v>6873</v>
      </c>
      <c r="M2356" s="28" t="s">
        <v>16</v>
      </c>
      <c r="N2356" s="111" t="s">
        <v>14</v>
      </c>
      <c r="O2356" s="104" t="s">
        <v>52</v>
      </c>
      <c r="P2356" s="104" t="s">
        <v>52</v>
      </c>
      <c r="Q2356" s="105"/>
      <c r="R2356" s="28" t="s">
        <v>483</v>
      </c>
      <c r="S2356" s="225">
        <f t="shared" si="36"/>
        <v>47757</v>
      </c>
      <c r="T2356" s="162" t="s">
        <v>7690</v>
      </c>
      <c r="U2356" s="162" t="s">
        <v>144</v>
      </c>
      <c r="V2356" s="162" t="str" cm="1">
        <f t="array" ref="V2356">_xlfn.IFS(C2356="","",COUNTIF(C2356,"ตำแหน่งว่าง*"),"ว่าง",COUNTIF(C2356,"&lt;&gt;ตำแหน่งว่าง*"),"คนครอง")</f>
        <v>คนครอง</v>
      </c>
      <c r="W2356" s="5" cm="1">
        <f t="array" ref="W2356">_xlfn.IFS(COUNTIF(F2356,"ผบ.หมู่*"),51,COUNTIF(F2356,"รอง สว.*"),43)</f>
        <v>43</v>
      </c>
      <c r="X2356" s="5" t="s">
        <v>6934</v>
      </c>
      <c r="Y2356" s="31" t="s">
        <v>52</v>
      </c>
    </row>
    <row r="2357" spans="1:25" s="9" customFormat="1" ht="21.3" customHeight="1">
      <c r="A2357" s="27" t="s">
        <v>157</v>
      </c>
      <c r="B2357" s="28" t="s">
        <v>21</v>
      </c>
      <c r="C2357" s="27" t="s">
        <v>6936</v>
      </c>
      <c r="D2357" s="27" t="s">
        <v>8119</v>
      </c>
      <c r="E2357" s="27" t="s">
        <v>8283</v>
      </c>
      <c r="F2357" s="27" t="s">
        <v>6918</v>
      </c>
      <c r="G2357" s="102" t="s">
        <v>6938</v>
      </c>
      <c r="H2357" s="147">
        <v>43220</v>
      </c>
      <c r="I2357" s="75">
        <v>40084</v>
      </c>
      <c r="J2357" s="75">
        <v>40084</v>
      </c>
      <c r="K2357" s="75">
        <v>31423</v>
      </c>
      <c r="L2357" s="34" t="s">
        <v>6939</v>
      </c>
      <c r="M2357" s="28" t="s">
        <v>16</v>
      </c>
      <c r="N2357" s="112" t="s">
        <v>14</v>
      </c>
      <c r="O2357" s="104" t="s">
        <v>52</v>
      </c>
      <c r="P2357" s="104" t="s">
        <v>52</v>
      </c>
      <c r="Q2357" s="105"/>
      <c r="R2357" s="28" t="s">
        <v>593</v>
      </c>
      <c r="S2357" s="225">
        <f t="shared" si="36"/>
        <v>53601</v>
      </c>
      <c r="T2357" s="2" t="s">
        <v>7690</v>
      </c>
      <c r="U2357" s="162" t="s">
        <v>144</v>
      </c>
      <c r="V2357" s="162" t="str" cm="1">
        <f t="array" ref="V2357">_xlfn.IFS(C2357="","",COUNTIF(C2357,"ตำแหน่งว่าง*"),"ว่าง",COUNTIF(C2357,"&lt;&gt;ตำแหน่งว่าง*"),"คนครอง")</f>
        <v>คนครอง</v>
      </c>
      <c r="W2357" s="6" cm="1">
        <f t="array" ref="W2357">_xlfn.IFS(COUNTIF(F2357,"ผบ.หมู่*"),51,COUNTIF(F2357,"รอง สว.*"),43)</f>
        <v>51</v>
      </c>
      <c r="X2357" s="1" t="s">
        <v>6937</v>
      </c>
      <c r="Y2357" s="28" t="s">
        <v>52</v>
      </c>
    </row>
    <row r="2358" spans="1:25" s="9" customFormat="1" ht="21.3" customHeight="1">
      <c r="A2358" s="27" t="s">
        <v>26</v>
      </c>
      <c r="B2358" s="28" t="s">
        <v>12</v>
      </c>
      <c r="C2358" s="27" t="s">
        <v>6940</v>
      </c>
      <c r="D2358" s="27" t="s">
        <v>10426</v>
      </c>
      <c r="E2358" s="27" t="s">
        <v>10427</v>
      </c>
      <c r="F2358" s="27" t="s">
        <v>6933</v>
      </c>
      <c r="G2358" s="101" t="s">
        <v>6942</v>
      </c>
      <c r="H2358" s="75">
        <v>44284</v>
      </c>
      <c r="I2358" s="75">
        <v>44284</v>
      </c>
      <c r="J2358" s="75">
        <v>34366</v>
      </c>
      <c r="K2358" s="75">
        <v>24985</v>
      </c>
      <c r="L2358" s="34" t="s">
        <v>6943</v>
      </c>
      <c r="M2358" s="28" t="s">
        <v>16</v>
      </c>
      <c r="N2358" s="112" t="s">
        <v>14</v>
      </c>
      <c r="O2358" s="104" t="s">
        <v>52</v>
      </c>
      <c r="P2358" s="104" t="s">
        <v>52</v>
      </c>
      <c r="Q2358" s="105"/>
      <c r="R2358" s="28" t="s">
        <v>1313</v>
      </c>
      <c r="S2358" s="225">
        <f t="shared" si="36"/>
        <v>47027</v>
      </c>
      <c r="T2358" s="2" t="s">
        <v>7690</v>
      </c>
      <c r="U2358" s="162" t="s">
        <v>144</v>
      </c>
      <c r="V2358" s="162" t="str" cm="1">
        <f t="array" ref="V2358">_xlfn.IFS(C2358="","",COUNTIF(C2358,"ตำแหน่งว่าง*"),"ว่าง",COUNTIF(C2358,"&lt;&gt;ตำแหน่งว่าง*"),"คนครอง")</f>
        <v>คนครอง</v>
      </c>
      <c r="W2358" s="5" cm="1">
        <f t="array" ref="W2358">_xlfn.IFS(COUNTIF(F2358,"ผบ.หมู่*"),51,COUNTIF(F2358,"รอง สว.*"),43)</f>
        <v>43</v>
      </c>
      <c r="X2358" s="1" t="s">
        <v>6941</v>
      </c>
      <c r="Y2358" s="28" t="s">
        <v>52</v>
      </c>
    </row>
    <row r="2359" spans="1:25" s="9" customFormat="1" ht="21.3" customHeight="1">
      <c r="A2359" s="27" t="s">
        <v>157</v>
      </c>
      <c r="B2359" s="28" t="s">
        <v>21</v>
      </c>
      <c r="C2359" s="27" t="s">
        <v>6944</v>
      </c>
      <c r="D2359" s="27" t="s">
        <v>10428</v>
      </c>
      <c r="E2359" s="27" t="s">
        <v>10429</v>
      </c>
      <c r="F2359" s="27" t="s">
        <v>6918</v>
      </c>
      <c r="G2359" s="102" t="s">
        <v>6946</v>
      </c>
      <c r="H2359" s="147">
        <v>42937</v>
      </c>
      <c r="I2359" s="75">
        <v>40339</v>
      </c>
      <c r="J2359" s="75">
        <v>40339</v>
      </c>
      <c r="K2359" s="75">
        <v>31946</v>
      </c>
      <c r="L2359" s="34" t="s">
        <v>31</v>
      </c>
      <c r="M2359" s="28" t="s">
        <v>33</v>
      </c>
      <c r="N2359" s="112" t="s">
        <v>14</v>
      </c>
      <c r="O2359" s="104" t="s">
        <v>52</v>
      </c>
      <c r="P2359" s="104" t="s">
        <v>52</v>
      </c>
      <c r="Q2359" s="105"/>
      <c r="R2359" s="28" t="s">
        <v>4298</v>
      </c>
      <c r="S2359" s="225">
        <f t="shared" si="36"/>
        <v>53966</v>
      </c>
      <c r="T2359" s="2" t="s">
        <v>7690</v>
      </c>
      <c r="U2359" s="162" t="s">
        <v>144</v>
      </c>
      <c r="V2359" s="162" t="str" cm="1">
        <f t="array" ref="V2359">_xlfn.IFS(C2359="","",COUNTIF(C2359,"ตำแหน่งว่าง*"),"ว่าง",COUNTIF(C2359,"&lt;&gt;ตำแหน่งว่าง*"),"คนครอง")</f>
        <v>คนครอง</v>
      </c>
      <c r="W2359" s="6" cm="1">
        <f t="array" ref="W2359">_xlfn.IFS(COUNTIF(F2359,"ผบ.หมู่*"),51,COUNTIF(F2359,"รอง สว.*"),43)</f>
        <v>51</v>
      </c>
      <c r="X2359" s="1" t="s">
        <v>6945</v>
      </c>
      <c r="Y2359" s="28" t="s">
        <v>52</v>
      </c>
    </row>
    <row r="2360" spans="1:25" s="9" customFormat="1" ht="21.3" customHeight="1">
      <c r="A2360" s="27" t="s">
        <v>157</v>
      </c>
      <c r="B2360" s="28" t="s">
        <v>12</v>
      </c>
      <c r="C2360" s="27" t="s">
        <v>6947</v>
      </c>
      <c r="D2360" s="27" t="s">
        <v>8193</v>
      </c>
      <c r="E2360" s="27" t="s">
        <v>10430</v>
      </c>
      <c r="F2360" s="27" t="s">
        <v>6918</v>
      </c>
      <c r="G2360" s="101" t="s">
        <v>6949</v>
      </c>
      <c r="H2360" s="75">
        <v>44599</v>
      </c>
      <c r="I2360" s="73">
        <v>38018</v>
      </c>
      <c r="J2360" s="73">
        <v>38018</v>
      </c>
      <c r="K2360" s="73">
        <v>28338</v>
      </c>
      <c r="L2360" s="11" t="s">
        <v>2831</v>
      </c>
      <c r="M2360" s="1" t="s">
        <v>16</v>
      </c>
      <c r="N2360" s="112" t="s">
        <v>14</v>
      </c>
      <c r="O2360" s="104" t="s">
        <v>52</v>
      </c>
      <c r="P2360" s="104" t="s">
        <v>52</v>
      </c>
      <c r="Q2360" s="105"/>
      <c r="R2360" s="28" t="s">
        <v>2883</v>
      </c>
      <c r="S2360" s="225">
        <f t="shared" si="36"/>
        <v>50314</v>
      </c>
      <c r="T2360" s="2" t="s">
        <v>7690</v>
      </c>
      <c r="U2360" s="162" t="s">
        <v>144</v>
      </c>
      <c r="V2360" s="162" t="str" cm="1">
        <f t="array" ref="V2360">_xlfn.IFS(C2360="","",COUNTIF(C2360,"ตำแหน่งว่าง*"),"ว่าง",COUNTIF(C2360,"&lt;&gt;ตำแหน่งว่าง*"),"คนครอง")</f>
        <v>คนครอง</v>
      </c>
      <c r="W2360" s="6" cm="1">
        <f t="array" ref="W2360">_xlfn.IFS(COUNTIF(F2360,"ผบ.หมู่*"),51,COUNTIF(F2360,"รอง สว.*"),43)</f>
        <v>51</v>
      </c>
      <c r="X2360" s="1" t="s">
        <v>6948</v>
      </c>
      <c r="Y2360" s="28" t="s">
        <v>52</v>
      </c>
    </row>
    <row r="2361" spans="1:25" s="12" customFormat="1" ht="21.3" customHeight="1">
      <c r="A2361" s="27" t="s">
        <v>26</v>
      </c>
      <c r="B2361" s="28" t="s">
        <v>12</v>
      </c>
      <c r="C2361" s="95" t="s">
        <v>6950</v>
      </c>
      <c r="D2361" s="27" t="s">
        <v>9046</v>
      </c>
      <c r="E2361" s="27" t="s">
        <v>10431</v>
      </c>
      <c r="F2361" s="95" t="s">
        <v>6933</v>
      </c>
      <c r="G2361" s="101" t="s">
        <v>6952</v>
      </c>
      <c r="H2361" s="75">
        <v>44284</v>
      </c>
      <c r="I2361" s="75">
        <v>44284</v>
      </c>
      <c r="J2361" s="75">
        <v>34352</v>
      </c>
      <c r="K2361" s="75">
        <v>24913</v>
      </c>
      <c r="L2361" s="34" t="s">
        <v>6621</v>
      </c>
      <c r="M2361" s="28" t="s">
        <v>16</v>
      </c>
      <c r="N2361" s="111" t="s">
        <v>14</v>
      </c>
      <c r="O2361" s="104" t="s">
        <v>52</v>
      </c>
      <c r="P2361" s="104" t="s">
        <v>52</v>
      </c>
      <c r="Q2361" s="105"/>
      <c r="R2361" s="28" t="s">
        <v>1313</v>
      </c>
      <c r="S2361" s="225">
        <f t="shared" si="36"/>
        <v>47027</v>
      </c>
      <c r="T2361" s="162" t="s">
        <v>7690</v>
      </c>
      <c r="U2361" s="162" t="s">
        <v>144</v>
      </c>
      <c r="V2361" s="162" t="str" cm="1">
        <f t="array" ref="V2361">_xlfn.IFS(C2361="","",COUNTIF(C2361,"ตำแหน่งว่าง*"),"ว่าง",COUNTIF(C2361,"&lt;&gt;ตำแหน่งว่าง*"),"คนครอง")</f>
        <v>คนครอง</v>
      </c>
      <c r="W2361" s="5" cm="1">
        <f t="array" ref="W2361">_xlfn.IFS(COUNTIF(F2361,"ผบ.หมู่*"),51,COUNTIF(F2361,"รอง สว.*"),43)</f>
        <v>43</v>
      </c>
      <c r="X2361" s="5" t="s">
        <v>6951</v>
      </c>
      <c r="Y2361" s="31" t="s">
        <v>52</v>
      </c>
    </row>
    <row r="2362" spans="1:25" s="12" customFormat="1" ht="21.3" customHeight="1">
      <c r="A2362" s="27" t="s">
        <v>157</v>
      </c>
      <c r="B2362" s="28" t="s">
        <v>12</v>
      </c>
      <c r="C2362" s="95" t="s">
        <v>6953</v>
      </c>
      <c r="D2362" s="27" t="s">
        <v>8179</v>
      </c>
      <c r="E2362" s="27" t="s">
        <v>10432</v>
      </c>
      <c r="F2362" s="95" t="s">
        <v>6918</v>
      </c>
      <c r="G2362" s="101" t="s">
        <v>6955</v>
      </c>
      <c r="H2362" s="75">
        <v>41754</v>
      </c>
      <c r="I2362" s="75">
        <v>42501</v>
      </c>
      <c r="J2362" s="75">
        <v>35094</v>
      </c>
      <c r="K2362" s="75">
        <v>27281</v>
      </c>
      <c r="L2362" s="34" t="s">
        <v>5190</v>
      </c>
      <c r="M2362" s="28" t="s">
        <v>16</v>
      </c>
      <c r="N2362" s="111" t="s">
        <v>14</v>
      </c>
      <c r="O2362" s="104" t="s">
        <v>52</v>
      </c>
      <c r="P2362" s="104" t="s">
        <v>52</v>
      </c>
      <c r="Q2362" s="105"/>
      <c r="R2362" s="28" t="s">
        <v>110</v>
      </c>
      <c r="S2362" s="225">
        <f t="shared" si="36"/>
        <v>49218</v>
      </c>
      <c r="T2362" s="162" t="s">
        <v>7690</v>
      </c>
      <c r="U2362" s="162" t="s">
        <v>144</v>
      </c>
      <c r="V2362" s="162" t="str" cm="1">
        <f t="array" ref="V2362">_xlfn.IFS(C2362="","",COUNTIF(C2362,"ตำแหน่งว่าง*"),"ว่าง",COUNTIF(C2362,"&lt;&gt;ตำแหน่งว่าง*"),"คนครอง")</f>
        <v>คนครอง</v>
      </c>
      <c r="W2362" s="6" cm="1">
        <f t="array" ref="W2362">_xlfn.IFS(COUNTIF(F2362,"ผบ.หมู่*"),51,COUNTIF(F2362,"รอง สว.*"),43)</f>
        <v>51</v>
      </c>
      <c r="X2362" s="5" t="s">
        <v>6954</v>
      </c>
      <c r="Y2362" s="31" t="s">
        <v>52</v>
      </c>
    </row>
    <row r="2363" spans="1:25" s="9" customFormat="1" ht="21.3" customHeight="1">
      <c r="A2363" s="27" t="s">
        <v>10753</v>
      </c>
      <c r="B2363" s="28" t="s">
        <v>12</v>
      </c>
      <c r="C2363" s="27" t="s">
        <v>7850</v>
      </c>
      <c r="D2363" s="27" t="s">
        <v>10433</v>
      </c>
      <c r="E2363" s="27" t="s">
        <v>8235</v>
      </c>
      <c r="F2363" s="27" t="s">
        <v>6960</v>
      </c>
      <c r="G2363" s="104" t="s">
        <v>6958</v>
      </c>
      <c r="H2363" s="91">
        <v>45382</v>
      </c>
      <c r="I2363" s="73">
        <v>45382</v>
      </c>
      <c r="J2363" s="75">
        <v>35096</v>
      </c>
      <c r="K2363" s="75">
        <v>26189</v>
      </c>
      <c r="L2363" s="34" t="s">
        <v>82</v>
      </c>
      <c r="M2363" s="28" t="s">
        <v>16</v>
      </c>
      <c r="N2363" s="112" t="s">
        <v>14</v>
      </c>
      <c r="O2363" s="104" t="s">
        <v>52</v>
      </c>
      <c r="P2363" s="104" t="s">
        <v>52</v>
      </c>
      <c r="Q2363" s="105"/>
      <c r="R2363" s="33" t="s">
        <v>7801</v>
      </c>
      <c r="S2363" s="225">
        <f t="shared" si="36"/>
        <v>48122</v>
      </c>
      <c r="T2363" s="2" t="s">
        <v>115</v>
      </c>
      <c r="U2363" s="162" t="s">
        <v>144</v>
      </c>
      <c r="V2363" s="162" t="str" cm="1">
        <f t="array" ref="V2363">_xlfn.IFS(C2363="","",COUNTIF(C2363,"ตำแหน่งว่าง*"),"ว่าง",COUNTIF(C2363,"&lt;&gt;ตำแหน่งว่าง*"),"คนครอง")</f>
        <v>คนครอง</v>
      </c>
      <c r="W2363" s="6" cm="1">
        <f t="array" ref="W2363">_xlfn.IFS(COUNTIF(F2363,"ผบ.หมู่*"),51,COUNTIF(F2363,"รอง สว.*"),43)</f>
        <v>43</v>
      </c>
      <c r="X2363" s="1" t="s">
        <v>6957</v>
      </c>
      <c r="Y2363" s="28" t="s">
        <v>52</v>
      </c>
    </row>
    <row r="2364" spans="1:25" s="9" customFormat="1" ht="21.3" customHeight="1">
      <c r="A2364" s="175" t="s">
        <v>30</v>
      </c>
      <c r="B2364" s="151" t="s">
        <v>12</v>
      </c>
      <c r="C2364" s="175" t="s">
        <v>6959</v>
      </c>
      <c r="D2364" s="27" t="s">
        <v>10434</v>
      </c>
      <c r="E2364" s="27" t="s">
        <v>10408</v>
      </c>
      <c r="F2364" s="175" t="s">
        <v>6960</v>
      </c>
      <c r="G2364" s="103" t="s">
        <v>6962</v>
      </c>
      <c r="H2364" s="198">
        <v>44599</v>
      </c>
      <c r="I2364" s="87">
        <v>43871</v>
      </c>
      <c r="J2364" s="87">
        <v>31809</v>
      </c>
      <c r="K2364" s="87">
        <v>24067</v>
      </c>
      <c r="L2364" s="32" t="s">
        <v>6963</v>
      </c>
      <c r="M2364" s="33" t="s">
        <v>16</v>
      </c>
      <c r="N2364" s="206" t="s">
        <v>14</v>
      </c>
      <c r="O2364" s="104" t="s">
        <v>52</v>
      </c>
      <c r="P2364" s="104" t="s">
        <v>52</v>
      </c>
      <c r="Q2364" s="110"/>
      <c r="R2364" s="151" t="s">
        <v>2662</v>
      </c>
      <c r="S2364" s="225">
        <f t="shared" si="36"/>
        <v>46296</v>
      </c>
      <c r="T2364" s="2" t="s">
        <v>115</v>
      </c>
      <c r="U2364" s="162" t="s">
        <v>144</v>
      </c>
      <c r="V2364" s="162" t="str" cm="1">
        <f t="array" ref="V2364">_xlfn.IFS(C2364="","",COUNTIF(C2364,"ตำแหน่งว่าง*"),"ว่าง",COUNTIF(C2364,"&lt;&gt;ตำแหน่งว่าง*"),"คนครอง")</f>
        <v>คนครอง</v>
      </c>
      <c r="W2364" s="5" cm="1">
        <f t="array" ref="W2364">_xlfn.IFS(COUNTIF(F2364,"ผบ.หมู่*"),51,COUNTIF(F2364,"รอง สว.*"),43)</f>
        <v>43</v>
      </c>
      <c r="X2364" s="1" t="s">
        <v>6961</v>
      </c>
      <c r="Y2364" s="211" t="s">
        <v>52</v>
      </c>
    </row>
    <row r="2365" spans="1:25" s="9" customFormat="1" ht="21.3" customHeight="1">
      <c r="A2365" s="27" t="s">
        <v>157</v>
      </c>
      <c r="B2365" s="28" t="s">
        <v>12</v>
      </c>
      <c r="C2365" s="27" t="s">
        <v>6964</v>
      </c>
      <c r="D2365" s="27" t="s">
        <v>8238</v>
      </c>
      <c r="E2365" s="27" t="s">
        <v>10435</v>
      </c>
      <c r="F2365" s="27" t="s">
        <v>6956</v>
      </c>
      <c r="G2365" s="101" t="s">
        <v>6966</v>
      </c>
      <c r="H2365" s="91">
        <v>43871</v>
      </c>
      <c r="I2365" s="75">
        <v>37288</v>
      </c>
      <c r="J2365" s="75">
        <v>37288</v>
      </c>
      <c r="K2365" s="75">
        <v>29105</v>
      </c>
      <c r="L2365" s="34" t="s">
        <v>10831</v>
      </c>
      <c r="M2365" s="28" t="s">
        <v>16</v>
      </c>
      <c r="N2365" s="112" t="s">
        <v>14</v>
      </c>
      <c r="O2365" s="104" t="s">
        <v>52</v>
      </c>
      <c r="P2365" s="104" t="s">
        <v>52</v>
      </c>
      <c r="Q2365" s="105"/>
      <c r="R2365" s="28" t="s">
        <v>688</v>
      </c>
      <c r="S2365" s="225">
        <f t="shared" si="36"/>
        <v>51044</v>
      </c>
      <c r="T2365" s="2" t="s">
        <v>115</v>
      </c>
      <c r="U2365" s="162" t="s">
        <v>144</v>
      </c>
      <c r="V2365" s="162" t="str" cm="1">
        <f t="array" ref="V2365">_xlfn.IFS(C2365="","",COUNTIF(C2365,"ตำแหน่งว่าง*"),"ว่าง",COUNTIF(C2365,"&lt;&gt;ตำแหน่งว่าง*"),"คนครอง")</f>
        <v>คนครอง</v>
      </c>
      <c r="W2365" s="6" cm="1">
        <f t="array" ref="W2365">_xlfn.IFS(COUNTIF(F2365,"ผบ.หมู่*"),51,COUNTIF(F2365,"รอง สว.*"),43)</f>
        <v>51</v>
      </c>
      <c r="X2365" s="1" t="s">
        <v>6965</v>
      </c>
      <c r="Y2365" s="28" t="s">
        <v>52</v>
      </c>
    </row>
    <row r="2366" spans="1:25" s="9" customFormat="1" ht="21.3" customHeight="1">
      <c r="A2366" s="27" t="s">
        <v>157</v>
      </c>
      <c r="B2366" s="28" t="s">
        <v>12</v>
      </c>
      <c r="C2366" s="27" t="s">
        <v>6967</v>
      </c>
      <c r="D2366" s="27" t="s">
        <v>9640</v>
      </c>
      <c r="E2366" s="27" t="s">
        <v>10436</v>
      </c>
      <c r="F2366" s="27" t="s">
        <v>6956</v>
      </c>
      <c r="G2366" s="101" t="s">
        <v>6969</v>
      </c>
      <c r="H2366" s="91">
        <v>42501</v>
      </c>
      <c r="I2366" s="73">
        <v>37484</v>
      </c>
      <c r="J2366" s="73">
        <v>37484</v>
      </c>
      <c r="K2366" s="73">
        <v>27797</v>
      </c>
      <c r="L2366" s="11" t="s">
        <v>4993</v>
      </c>
      <c r="M2366" s="1" t="s">
        <v>16</v>
      </c>
      <c r="N2366" s="112" t="s">
        <v>14</v>
      </c>
      <c r="O2366" s="104" t="s">
        <v>52</v>
      </c>
      <c r="P2366" s="104" t="s">
        <v>52</v>
      </c>
      <c r="Q2366" s="105"/>
      <c r="R2366" s="28" t="s">
        <v>110</v>
      </c>
      <c r="S2366" s="225">
        <f t="shared" si="36"/>
        <v>49949</v>
      </c>
      <c r="T2366" s="2" t="s">
        <v>115</v>
      </c>
      <c r="U2366" s="162" t="s">
        <v>144</v>
      </c>
      <c r="V2366" s="162" t="str" cm="1">
        <f t="array" ref="V2366">_xlfn.IFS(C2366="","",COUNTIF(C2366,"ตำแหน่งว่าง*"),"ว่าง",COUNTIF(C2366,"&lt;&gt;ตำแหน่งว่าง*"),"คนครอง")</f>
        <v>คนครอง</v>
      </c>
      <c r="W2366" s="6" cm="1">
        <f t="array" ref="W2366">_xlfn.IFS(COUNTIF(F2366,"ผบ.หมู่*"),51,COUNTIF(F2366,"รอง สว.*"),43)</f>
        <v>51</v>
      </c>
      <c r="X2366" s="1" t="s">
        <v>6968</v>
      </c>
      <c r="Y2366" s="1" t="s">
        <v>52</v>
      </c>
    </row>
    <row r="2367" spans="1:25" s="12" customFormat="1" ht="21.3" customHeight="1">
      <c r="A2367" s="27" t="s">
        <v>208</v>
      </c>
      <c r="B2367" s="28" t="s">
        <v>21</v>
      </c>
      <c r="C2367" s="27" t="s">
        <v>7849</v>
      </c>
      <c r="D2367" s="27" t="s">
        <v>10126</v>
      </c>
      <c r="E2367" s="27" t="s">
        <v>10127</v>
      </c>
      <c r="F2367" s="27" t="s">
        <v>6970</v>
      </c>
      <c r="G2367" s="101" t="s">
        <v>6972</v>
      </c>
      <c r="H2367" s="91">
        <v>45768</v>
      </c>
      <c r="I2367" s="75">
        <v>43693</v>
      </c>
      <c r="J2367" s="75">
        <v>43693</v>
      </c>
      <c r="K2367" s="75">
        <v>34154</v>
      </c>
      <c r="L2367" s="34" t="s">
        <v>1667</v>
      </c>
      <c r="M2367" s="28" t="s">
        <v>33</v>
      </c>
      <c r="N2367" s="112" t="s">
        <v>14</v>
      </c>
      <c r="O2367" s="104" t="s">
        <v>52</v>
      </c>
      <c r="P2367" s="104" t="s">
        <v>52</v>
      </c>
      <c r="Q2367" s="105"/>
      <c r="R2367" s="28" t="s">
        <v>10804</v>
      </c>
      <c r="S2367" s="174">
        <f t="shared" si="36"/>
        <v>56158</v>
      </c>
      <c r="T2367" s="2" t="s">
        <v>7691</v>
      </c>
      <c r="U2367" s="2" t="s">
        <v>144</v>
      </c>
      <c r="V2367" s="203" t="str" cm="1">
        <f t="array" ref="V2367">_xlfn.IFS(C2367="","",COUNTIF(C2367,"ตำแหน่งว่าง*"),"ว่าง",COUNTIF(C2367,"&lt;&gt;ตำแหน่งว่าง*"),"คนครอง")</f>
        <v>คนครอง</v>
      </c>
      <c r="W2367" s="1" cm="1">
        <f t="array" ref="W2367">_xlfn.IFS(COUNTIF(F2367,"ผบ.หมู่*"),51,COUNTIF(F2367,"รอง สว.*"),43)</f>
        <v>51</v>
      </c>
      <c r="X2367" s="1" t="s">
        <v>6971</v>
      </c>
      <c r="Y2367" s="28" t="s">
        <v>52</v>
      </c>
    </row>
    <row r="2368" spans="1:25" s="12" customFormat="1" ht="21.3" customHeight="1">
      <c r="A2368" s="27" t="s">
        <v>157</v>
      </c>
      <c r="B2368" s="28" t="s">
        <v>12</v>
      </c>
      <c r="C2368" s="27" t="s">
        <v>6973</v>
      </c>
      <c r="D2368" s="27" t="s">
        <v>10437</v>
      </c>
      <c r="E2368" s="27" t="s">
        <v>10438</v>
      </c>
      <c r="F2368" s="27" t="s">
        <v>6970</v>
      </c>
      <c r="G2368" s="101" t="s">
        <v>6975</v>
      </c>
      <c r="H2368" s="91">
        <v>44599</v>
      </c>
      <c r="I2368" s="75">
        <v>38018</v>
      </c>
      <c r="J2368" s="75">
        <v>38018</v>
      </c>
      <c r="K2368" s="75">
        <v>30194</v>
      </c>
      <c r="L2368" s="34" t="s">
        <v>82</v>
      </c>
      <c r="M2368" s="28" t="s">
        <v>16</v>
      </c>
      <c r="N2368" s="112" t="s">
        <v>14</v>
      </c>
      <c r="O2368" s="104" t="s">
        <v>52</v>
      </c>
      <c r="P2368" s="104" t="s">
        <v>52</v>
      </c>
      <c r="Q2368" s="105"/>
      <c r="R2368" s="28" t="s">
        <v>6976</v>
      </c>
      <c r="S2368" s="225">
        <f t="shared" si="36"/>
        <v>52140</v>
      </c>
      <c r="T2368" s="162" t="s">
        <v>7691</v>
      </c>
      <c r="U2368" s="162" t="s">
        <v>144</v>
      </c>
      <c r="V2368" s="162" t="str" cm="1">
        <f t="array" ref="V2368">_xlfn.IFS(C2368="","",COUNTIF(C2368,"ตำแหน่งว่าง*"),"ว่าง",COUNTIF(C2368,"&lt;&gt;ตำแหน่งว่าง*"),"คนครอง")</f>
        <v>คนครอง</v>
      </c>
      <c r="W2368" s="6" cm="1">
        <f t="array" ref="W2368">_xlfn.IFS(COUNTIF(F2368,"ผบ.หมู่*"),51,COUNTIF(F2368,"รอง สว.*"),43)</f>
        <v>51</v>
      </c>
      <c r="X2368" s="1" t="s">
        <v>6974</v>
      </c>
      <c r="Y2368" s="28" t="s">
        <v>52</v>
      </c>
    </row>
    <row r="2369" spans="1:25" s="10" customFormat="1" ht="21.3" customHeight="1">
      <c r="A2369" s="95" t="s">
        <v>157</v>
      </c>
      <c r="B2369" s="31" t="s">
        <v>12</v>
      </c>
      <c r="C2369" s="95" t="s">
        <v>6977</v>
      </c>
      <c r="D2369" s="27" t="s">
        <v>8123</v>
      </c>
      <c r="E2369" s="27" t="s">
        <v>10439</v>
      </c>
      <c r="F2369" s="95" t="s">
        <v>6970</v>
      </c>
      <c r="G2369" s="101" t="s">
        <v>6979</v>
      </c>
      <c r="H2369" s="92">
        <v>44999</v>
      </c>
      <c r="I2369" s="88">
        <v>41244</v>
      </c>
      <c r="J2369" s="88">
        <v>41244</v>
      </c>
      <c r="K2369" s="88">
        <v>31835</v>
      </c>
      <c r="L2369" s="51" t="s">
        <v>200</v>
      </c>
      <c r="M2369" s="31" t="s">
        <v>16</v>
      </c>
      <c r="N2369" s="111" t="s">
        <v>14</v>
      </c>
      <c r="O2369" s="104" t="s">
        <v>52</v>
      </c>
      <c r="P2369" s="104" t="s">
        <v>52</v>
      </c>
      <c r="Q2369" s="108"/>
      <c r="R2369" s="31" t="s">
        <v>74</v>
      </c>
      <c r="S2369" s="225">
        <f t="shared" si="36"/>
        <v>53966</v>
      </c>
      <c r="T2369" s="7" t="s">
        <v>7691</v>
      </c>
      <c r="U2369" s="162" t="s">
        <v>144</v>
      </c>
      <c r="V2369" s="162" t="str" cm="1">
        <f t="array" ref="V2369">_xlfn.IFS(C2369="","",COUNTIF(C2369,"ตำแหน่งว่าง*"),"ว่าง",COUNTIF(C2369,"&lt;&gt;ตำแหน่งว่าง*"),"คนครอง")</f>
        <v>คนครอง</v>
      </c>
      <c r="W2369" s="6" cm="1">
        <f t="array" ref="W2369">_xlfn.IFS(COUNTIF(F2369,"ผบ.หมู่*"),51,COUNTIF(F2369,"รอง สว.*"),43)</f>
        <v>51</v>
      </c>
      <c r="X2369" s="5" t="s">
        <v>6978</v>
      </c>
      <c r="Y2369" s="31" t="s">
        <v>52</v>
      </c>
    </row>
    <row r="2370" spans="1:25" s="9" customFormat="1" ht="21.3" customHeight="1">
      <c r="A2370" s="27" t="s">
        <v>26</v>
      </c>
      <c r="B2370" s="28" t="s">
        <v>12</v>
      </c>
      <c r="C2370" s="27" t="s">
        <v>6980</v>
      </c>
      <c r="D2370" s="27" t="s">
        <v>8007</v>
      </c>
      <c r="E2370" s="27" t="s">
        <v>10440</v>
      </c>
      <c r="F2370" s="27" t="s">
        <v>6981</v>
      </c>
      <c r="G2370" s="101" t="s">
        <v>6983</v>
      </c>
      <c r="H2370" s="91">
        <v>44225</v>
      </c>
      <c r="I2370" s="75">
        <v>44243</v>
      </c>
      <c r="J2370" s="75">
        <v>33634</v>
      </c>
      <c r="K2370" s="75">
        <v>24466</v>
      </c>
      <c r="L2370" s="34" t="s">
        <v>82</v>
      </c>
      <c r="M2370" s="28" t="s">
        <v>58</v>
      </c>
      <c r="N2370" s="112" t="s">
        <v>14</v>
      </c>
      <c r="O2370" s="104" t="s">
        <v>52</v>
      </c>
      <c r="P2370" s="104" t="s">
        <v>52</v>
      </c>
      <c r="Q2370" s="105"/>
      <c r="R2370" s="28" t="s">
        <v>4127</v>
      </c>
      <c r="S2370" s="225">
        <f t="shared" ref="S2370:S2390" si="37">IF(K2370&lt;&gt;"",DATE(YEAR(K2370)+60+(K2370&gt;=DATE(YEAR(K2370),10,2)),10,1),"")</f>
        <v>46661</v>
      </c>
      <c r="T2370" s="2" t="s">
        <v>7691</v>
      </c>
      <c r="U2370" s="162" t="s">
        <v>144</v>
      </c>
      <c r="V2370" s="162" t="str" cm="1">
        <f t="array" ref="V2370">_xlfn.IFS(C2370="","",COUNTIF(C2370,"ตำแหน่งว่าง*"),"ว่าง",COUNTIF(C2370,"&lt;&gt;ตำแหน่งว่าง*"),"คนครอง")</f>
        <v>คนครอง</v>
      </c>
      <c r="W2370" s="5" cm="1">
        <f t="array" ref="W2370">_xlfn.IFS(COUNTIF(F2370,"ผบ.หมู่*"),51,COUNTIF(F2370,"รอง สว.*"),43)</f>
        <v>43</v>
      </c>
      <c r="X2370" s="1" t="s">
        <v>6982</v>
      </c>
      <c r="Y2370" s="28" t="s">
        <v>52</v>
      </c>
    </row>
    <row r="2371" spans="1:25" s="9" customFormat="1" ht="21.3" customHeight="1">
      <c r="A2371" s="27" t="s">
        <v>10753</v>
      </c>
      <c r="B2371" s="28" t="s">
        <v>12</v>
      </c>
      <c r="C2371" s="27" t="s">
        <v>6984</v>
      </c>
      <c r="D2371" s="27" t="s">
        <v>10441</v>
      </c>
      <c r="E2371" s="27" t="s">
        <v>10442</v>
      </c>
      <c r="F2371" s="27" t="s">
        <v>6981</v>
      </c>
      <c r="G2371" s="101" t="s">
        <v>6986</v>
      </c>
      <c r="H2371" s="91">
        <v>45016</v>
      </c>
      <c r="I2371" s="75">
        <v>45016</v>
      </c>
      <c r="J2371" s="75">
        <v>34001</v>
      </c>
      <c r="K2371" s="75">
        <v>25821</v>
      </c>
      <c r="L2371" s="34" t="s">
        <v>6237</v>
      </c>
      <c r="M2371" s="28" t="s">
        <v>16</v>
      </c>
      <c r="N2371" s="112" t="s">
        <v>14</v>
      </c>
      <c r="O2371" s="104" t="s">
        <v>52</v>
      </c>
      <c r="P2371" s="104" t="s">
        <v>52</v>
      </c>
      <c r="Q2371" s="105"/>
      <c r="R2371" s="28" t="s">
        <v>483</v>
      </c>
      <c r="S2371" s="225">
        <f t="shared" si="37"/>
        <v>47757</v>
      </c>
      <c r="T2371" s="2" t="s">
        <v>7691</v>
      </c>
      <c r="U2371" s="162" t="s">
        <v>144</v>
      </c>
      <c r="V2371" s="162" t="str" cm="1">
        <f t="array" ref="V2371">_xlfn.IFS(C2371="","",COUNTIF(C2371,"ตำแหน่งว่าง*"),"ว่าง",COUNTIF(C2371,"&lt;&gt;ตำแหน่งว่าง*"),"คนครอง")</f>
        <v>คนครอง</v>
      </c>
      <c r="W2371" s="5" cm="1">
        <f t="array" ref="W2371">_xlfn.IFS(COUNTIF(F2371,"ผบ.หมู่*"),51,COUNTIF(F2371,"รอง สว.*"),43)</f>
        <v>43</v>
      </c>
      <c r="X2371" s="1" t="s">
        <v>6985</v>
      </c>
      <c r="Y2371" s="28" t="s">
        <v>52</v>
      </c>
    </row>
    <row r="2372" spans="1:25" s="12" customFormat="1" ht="21.3" customHeight="1">
      <c r="A2372" s="27" t="s">
        <v>157</v>
      </c>
      <c r="B2372" s="28" t="s">
        <v>21</v>
      </c>
      <c r="C2372" s="95" t="s">
        <v>6987</v>
      </c>
      <c r="D2372" s="27" t="s">
        <v>10443</v>
      </c>
      <c r="E2372" s="27" t="s">
        <v>10444</v>
      </c>
      <c r="F2372" s="95" t="s">
        <v>6970</v>
      </c>
      <c r="G2372" s="101" t="s">
        <v>6989</v>
      </c>
      <c r="H2372" s="91">
        <v>42501</v>
      </c>
      <c r="I2372" s="75">
        <v>34352</v>
      </c>
      <c r="J2372" s="75">
        <v>34352</v>
      </c>
      <c r="K2372" s="75">
        <v>26963</v>
      </c>
      <c r="L2372" s="34" t="s">
        <v>5108</v>
      </c>
      <c r="M2372" s="28" t="s">
        <v>33</v>
      </c>
      <c r="N2372" s="111" t="s">
        <v>14</v>
      </c>
      <c r="O2372" s="104" t="s">
        <v>52</v>
      </c>
      <c r="P2372" s="104" t="s">
        <v>52</v>
      </c>
      <c r="Q2372" s="105"/>
      <c r="R2372" s="28" t="s">
        <v>110</v>
      </c>
      <c r="S2372" s="225">
        <f t="shared" si="37"/>
        <v>49218</v>
      </c>
      <c r="T2372" s="162" t="s">
        <v>7691</v>
      </c>
      <c r="U2372" s="162" t="s">
        <v>144</v>
      </c>
      <c r="V2372" s="162" t="str" cm="1">
        <f t="array" ref="V2372">_xlfn.IFS(C2372="","",COUNTIF(C2372,"ตำแหน่งว่าง*"),"ว่าง",COUNTIF(C2372,"&lt;&gt;ตำแหน่งว่าง*"),"คนครอง")</f>
        <v>คนครอง</v>
      </c>
      <c r="W2372" s="6" cm="1">
        <f t="array" ref="W2372">_xlfn.IFS(COUNTIF(F2372,"ผบ.หมู่*"),51,COUNTIF(F2372,"รอง สว.*"),43)</f>
        <v>51</v>
      </c>
      <c r="X2372" s="5" t="s">
        <v>6988</v>
      </c>
      <c r="Y2372" s="31" t="s">
        <v>52</v>
      </c>
    </row>
    <row r="2373" spans="1:25" s="12" customFormat="1" ht="21.3" customHeight="1">
      <c r="A2373" s="27" t="s">
        <v>157</v>
      </c>
      <c r="B2373" s="28" t="s">
        <v>12</v>
      </c>
      <c r="C2373" s="95" t="s">
        <v>6990</v>
      </c>
      <c r="D2373" s="27" t="s">
        <v>8256</v>
      </c>
      <c r="E2373" s="27" t="s">
        <v>10445</v>
      </c>
      <c r="F2373" s="95" t="s">
        <v>6970</v>
      </c>
      <c r="G2373" s="101" t="s">
        <v>6992</v>
      </c>
      <c r="H2373" s="91">
        <v>42501</v>
      </c>
      <c r="I2373" s="75">
        <v>39717</v>
      </c>
      <c r="J2373" s="75">
        <v>39717</v>
      </c>
      <c r="K2373" s="75">
        <v>30129</v>
      </c>
      <c r="L2373" s="34" t="s">
        <v>6147</v>
      </c>
      <c r="M2373" s="28" t="s">
        <v>96</v>
      </c>
      <c r="N2373" s="111" t="s">
        <v>14</v>
      </c>
      <c r="O2373" s="104" t="s">
        <v>52</v>
      </c>
      <c r="P2373" s="104" t="s">
        <v>52</v>
      </c>
      <c r="Q2373" s="105"/>
      <c r="R2373" s="28" t="s">
        <v>110</v>
      </c>
      <c r="S2373" s="225">
        <f t="shared" si="37"/>
        <v>52140</v>
      </c>
      <c r="T2373" s="162" t="s">
        <v>7691</v>
      </c>
      <c r="U2373" s="162" t="s">
        <v>144</v>
      </c>
      <c r="V2373" s="162" t="str" cm="1">
        <f t="array" ref="V2373">_xlfn.IFS(C2373="","",COUNTIF(C2373,"ตำแหน่งว่าง*"),"ว่าง",COUNTIF(C2373,"&lt;&gt;ตำแหน่งว่าง*"),"คนครอง")</f>
        <v>คนครอง</v>
      </c>
      <c r="W2373" s="6" cm="1">
        <f t="array" ref="W2373">_xlfn.IFS(COUNTIF(F2373,"ผบ.หมู่*"),51,COUNTIF(F2373,"รอง สว.*"),43)</f>
        <v>51</v>
      </c>
      <c r="X2373" s="5" t="s">
        <v>6991</v>
      </c>
      <c r="Y2373" s="31" t="s">
        <v>52</v>
      </c>
    </row>
    <row r="2374" spans="1:25" s="12" customFormat="1" ht="21.3" customHeight="1">
      <c r="A2374" s="27" t="s">
        <v>44</v>
      </c>
      <c r="B2374" s="31" t="s">
        <v>12</v>
      </c>
      <c r="C2374" s="95" t="s">
        <v>6993</v>
      </c>
      <c r="D2374" s="27" t="s">
        <v>8242</v>
      </c>
      <c r="E2374" s="27" t="s">
        <v>10446</v>
      </c>
      <c r="F2374" s="95" t="s">
        <v>6994</v>
      </c>
      <c r="G2374" s="101" t="s">
        <v>6996</v>
      </c>
      <c r="H2374" s="88">
        <v>42501</v>
      </c>
      <c r="I2374" s="88">
        <v>34730</v>
      </c>
      <c r="J2374" s="88">
        <v>34730</v>
      </c>
      <c r="K2374" s="88">
        <v>25290</v>
      </c>
      <c r="L2374" s="51" t="s">
        <v>114</v>
      </c>
      <c r="M2374" s="31" t="s">
        <v>16</v>
      </c>
      <c r="N2374" s="111" t="s">
        <v>14</v>
      </c>
      <c r="O2374" s="104" t="s">
        <v>52</v>
      </c>
      <c r="P2374" s="104" t="s">
        <v>52</v>
      </c>
      <c r="Q2374" s="108"/>
      <c r="R2374" s="31" t="s">
        <v>110</v>
      </c>
      <c r="S2374" s="225">
        <f t="shared" si="37"/>
        <v>47392</v>
      </c>
      <c r="T2374" s="162" t="s">
        <v>7692</v>
      </c>
      <c r="U2374" s="162" t="s">
        <v>144</v>
      </c>
      <c r="V2374" s="162" t="str" cm="1">
        <f t="array" ref="V2374">_xlfn.IFS(C2374="","",COUNTIF(C2374,"ตำแหน่งว่าง*"),"ว่าง",COUNTIF(C2374,"&lt;&gt;ตำแหน่งว่าง*"),"คนครอง")</f>
        <v>คนครอง</v>
      </c>
      <c r="W2374" s="5" cm="1">
        <f t="array" ref="W2374">_xlfn.IFS(COUNTIF(F2374,"ผบ.หมู่*"),51,COUNTIF(F2374,"รอง สว.*"),43)</f>
        <v>43</v>
      </c>
      <c r="X2374" s="5" t="s">
        <v>6995</v>
      </c>
      <c r="Y2374" s="31" t="s">
        <v>52</v>
      </c>
    </row>
    <row r="2375" spans="1:25" s="12" customFormat="1" ht="21.3" customHeight="1">
      <c r="A2375" s="27" t="s">
        <v>157</v>
      </c>
      <c r="B2375" s="28" t="s">
        <v>12</v>
      </c>
      <c r="C2375" s="95" t="s">
        <v>6997</v>
      </c>
      <c r="D2375" s="27" t="s">
        <v>10447</v>
      </c>
      <c r="E2375" s="27" t="s">
        <v>8352</v>
      </c>
      <c r="F2375" s="95" t="s">
        <v>6998</v>
      </c>
      <c r="G2375" s="101" t="s">
        <v>7000</v>
      </c>
      <c r="H2375" s="75">
        <v>42501</v>
      </c>
      <c r="I2375" s="75">
        <v>35094</v>
      </c>
      <c r="J2375" s="75">
        <v>35094</v>
      </c>
      <c r="K2375" s="75">
        <v>27573</v>
      </c>
      <c r="L2375" s="34" t="s">
        <v>7001</v>
      </c>
      <c r="M2375" s="28" t="s">
        <v>16</v>
      </c>
      <c r="N2375" s="111" t="s">
        <v>14</v>
      </c>
      <c r="O2375" s="104" t="s">
        <v>52</v>
      </c>
      <c r="P2375" s="104" t="s">
        <v>52</v>
      </c>
      <c r="Q2375" s="105"/>
      <c r="R2375" s="28" t="s">
        <v>110</v>
      </c>
      <c r="S2375" s="225">
        <f t="shared" si="37"/>
        <v>49583</v>
      </c>
      <c r="T2375" s="162" t="s">
        <v>7692</v>
      </c>
      <c r="U2375" s="162" t="s">
        <v>144</v>
      </c>
      <c r="V2375" s="162" t="str" cm="1">
        <f t="array" ref="V2375">_xlfn.IFS(C2375="","",COUNTIF(C2375,"ตำแหน่งว่าง*"),"ว่าง",COUNTIF(C2375,"&lt;&gt;ตำแหน่งว่าง*"),"คนครอง")</f>
        <v>คนครอง</v>
      </c>
      <c r="W2375" s="6" cm="1">
        <f t="array" ref="W2375">_xlfn.IFS(COUNTIF(F2375,"ผบ.หมู่*"),51,COUNTIF(F2375,"รอง สว.*"),43)</f>
        <v>51</v>
      </c>
      <c r="X2375" s="5" t="s">
        <v>6999</v>
      </c>
      <c r="Y2375" s="31" t="s">
        <v>52</v>
      </c>
    </row>
    <row r="2376" spans="1:25" s="12" customFormat="1" ht="21.3" customHeight="1">
      <c r="A2376" s="27" t="s">
        <v>157</v>
      </c>
      <c r="B2376" s="28" t="s">
        <v>21</v>
      </c>
      <c r="C2376" s="95" t="s">
        <v>7002</v>
      </c>
      <c r="D2376" s="27" t="s">
        <v>10448</v>
      </c>
      <c r="E2376" s="27" t="s">
        <v>8249</v>
      </c>
      <c r="F2376" s="95" t="s">
        <v>6998</v>
      </c>
      <c r="G2376" s="101" t="s">
        <v>7004</v>
      </c>
      <c r="H2376" s="75">
        <v>42501</v>
      </c>
      <c r="I2376" s="75">
        <v>37316</v>
      </c>
      <c r="J2376" s="75">
        <v>37316</v>
      </c>
      <c r="K2376" s="75">
        <v>28750</v>
      </c>
      <c r="L2376" s="34" t="s">
        <v>2314</v>
      </c>
      <c r="M2376" s="28" t="s">
        <v>16</v>
      </c>
      <c r="N2376" s="111" t="s">
        <v>14</v>
      </c>
      <c r="O2376" s="104" t="s">
        <v>52</v>
      </c>
      <c r="P2376" s="104" t="s">
        <v>52</v>
      </c>
      <c r="Q2376" s="105"/>
      <c r="R2376" s="28" t="s">
        <v>110</v>
      </c>
      <c r="S2376" s="225">
        <f t="shared" si="37"/>
        <v>50679</v>
      </c>
      <c r="T2376" s="162" t="s">
        <v>7692</v>
      </c>
      <c r="U2376" s="162" t="s">
        <v>144</v>
      </c>
      <c r="V2376" s="162" t="str" cm="1">
        <f t="array" ref="V2376">_xlfn.IFS(C2376="","",COUNTIF(C2376,"ตำแหน่งว่าง*"),"ว่าง",COUNTIF(C2376,"&lt;&gt;ตำแหน่งว่าง*"),"คนครอง")</f>
        <v>คนครอง</v>
      </c>
      <c r="W2376" s="6" cm="1">
        <f t="array" ref="W2376">_xlfn.IFS(COUNTIF(F2376,"ผบ.หมู่*"),51,COUNTIF(F2376,"รอง สว.*"),43)</f>
        <v>51</v>
      </c>
      <c r="X2376" s="5" t="s">
        <v>7003</v>
      </c>
      <c r="Y2376" s="31" t="s">
        <v>52</v>
      </c>
    </row>
    <row r="2377" spans="1:25" s="12" customFormat="1" ht="21.3" customHeight="1">
      <c r="A2377" s="27" t="s">
        <v>157</v>
      </c>
      <c r="B2377" s="28" t="s">
        <v>21</v>
      </c>
      <c r="C2377" s="95" t="s">
        <v>7005</v>
      </c>
      <c r="D2377" s="27" t="s">
        <v>9032</v>
      </c>
      <c r="E2377" s="27" t="s">
        <v>10449</v>
      </c>
      <c r="F2377" s="95" t="s">
        <v>6998</v>
      </c>
      <c r="G2377" s="101" t="s">
        <v>7007</v>
      </c>
      <c r="H2377" s="75">
        <v>42501</v>
      </c>
      <c r="I2377" s="75">
        <v>39717</v>
      </c>
      <c r="J2377" s="75">
        <v>39717</v>
      </c>
      <c r="K2377" s="75">
        <v>29107</v>
      </c>
      <c r="L2377" s="34" t="s">
        <v>6147</v>
      </c>
      <c r="M2377" s="28" t="s">
        <v>16</v>
      </c>
      <c r="N2377" s="111" t="s">
        <v>14</v>
      </c>
      <c r="O2377" s="104" t="s">
        <v>52</v>
      </c>
      <c r="P2377" s="104" t="s">
        <v>52</v>
      </c>
      <c r="Q2377" s="105"/>
      <c r="R2377" s="28" t="s">
        <v>110</v>
      </c>
      <c r="S2377" s="225">
        <f t="shared" si="37"/>
        <v>51044</v>
      </c>
      <c r="T2377" s="162" t="s">
        <v>7692</v>
      </c>
      <c r="U2377" s="162" t="s">
        <v>144</v>
      </c>
      <c r="V2377" s="162" t="str" cm="1">
        <f t="array" ref="V2377">_xlfn.IFS(C2377="","",COUNTIF(C2377,"ตำแหน่งว่าง*"),"ว่าง",COUNTIF(C2377,"&lt;&gt;ตำแหน่งว่าง*"),"คนครอง")</f>
        <v>คนครอง</v>
      </c>
      <c r="W2377" s="6" cm="1">
        <f t="array" ref="W2377">_xlfn.IFS(COUNTIF(F2377,"ผบ.หมู่*"),51,COUNTIF(F2377,"รอง สว.*"),43)</f>
        <v>51</v>
      </c>
      <c r="X2377" s="5" t="s">
        <v>7006</v>
      </c>
      <c r="Y2377" s="31" t="s">
        <v>52</v>
      </c>
    </row>
    <row r="2378" spans="1:25" s="12" customFormat="1" ht="21.3" customHeight="1">
      <c r="A2378" s="27" t="s">
        <v>60</v>
      </c>
      <c r="B2378" s="28" t="s">
        <v>21</v>
      </c>
      <c r="C2378" s="95" t="s">
        <v>7008</v>
      </c>
      <c r="D2378" s="27" t="s">
        <v>10450</v>
      </c>
      <c r="E2378" s="27" t="s">
        <v>10451</v>
      </c>
      <c r="F2378" s="95" t="s">
        <v>10807</v>
      </c>
      <c r="G2378" s="101" t="s">
        <v>7011</v>
      </c>
      <c r="H2378" s="91">
        <v>42604</v>
      </c>
      <c r="I2378" s="73">
        <v>34352</v>
      </c>
      <c r="J2378" s="73">
        <v>34352</v>
      </c>
      <c r="K2378" s="73">
        <v>26545</v>
      </c>
      <c r="L2378" s="11" t="s">
        <v>2314</v>
      </c>
      <c r="M2378" s="1" t="s">
        <v>16</v>
      </c>
      <c r="N2378" s="111" t="s">
        <v>14</v>
      </c>
      <c r="O2378" s="104" t="s">
        <v>52</v>
      </c>
      <c r="P2378" s="104" t="s">
        <v>52</v>
      </c>
      <c r="Q2378" s="105"/>
      <c r="R2378" s="28" t="s">
        <v>6746</v>
      </c>
      <c r="S2378" s="225">
        <f t="shared" si="37"/>
        <v>48488</v>
      </c>
      <c r="T2378" s="162" t="s">
        <v>7693</v>
      </c>
      <c r="U2378" s="162" t="s">
        <v>144</v>
      </c>
      <c r="V2378" s="162" t="str" cm="1">
        <f t="array" ref="V2378">_xlfn.IFS(C2378="","",COUNTIF(C2378,"ตำแหน่งว่าง*"),"ว่าง",COUNTIF(C2378,"&lt;&gt;ตำแหน่งว่าง*"),"คนครอง")</f>
        <v>คนครอง</v>
      </c>
      <c r="W2378" s="6" cm="1">
        <f t="array" ref="W2378">_xlfn.IFS(COUNTIF(F2378,"ผบ.หมู่*"),51,COUNTIF(F2378,"รอง สว.*"),43)</f>
        <v>43</v>
      </c>
      <c r="X2378" s="5" t="s">
        <v>7010</v>
      </c>
      <c r="Y2378" s="5" t="s">
        <v>52</v>
      </c>
    </row>
    <row r="2379" spans="1:25" s="12" customFormat="1" ht="21.3" customHeight="1">
      <c r="A2379" s="27" t="s">
        <v>60</v>
      </c>
      <c r="B2379" s="28" t="s">
        <v>21</v>
      </c>
      <c r="C2379" s="95" t="s">
        <v>7012</v>
      </c>
      <c r="D2379" s="27" t="s">
        <v>9539</v>
      </c>
      <c r="E2379" s="27" t="s">
        <v>10452</v>
      </c>
      <c r="F2379" s="95" t="s">
        <v>10807</v>
      </c>
      <c r="G2379" s="101" t="s">
        <v>7014</v>
      </c>
      <c r="H2379" s="91">
        <v>42501</v>
      </c>
      <c r="I2379" s="73">
        <v>34352</v>
      </c>
      <c r="J2379" s="73">
        <v>34352</v>
      </c>
      <c r="K2379" s="73">
        <v>26515</v>
      </c>
      <c r="L2379" s="11" t="s">
        <v>2314</v>
      </c>
      <c r="M2379" s="1" t="s">
        <v>16</v>
      </c>
      <c r="N2379" s="111" t="s">
        <v>14</v>
      </c>
      <c r="O2379" s="104" t="s">
        <v>52</v>
      </c>
      <c r="P2379" s="104" t="s">
        <v>52</v>
      </c>
      <c r="Q2379" s="105"/>
      <c r="R2379" s="28" t="s">
        <v>110</v>
      </c>
      <c r="S2379" s="225">
        <f t="shared" si="37"/>
        <v>48488</v>
      </c>
      <c r="T2379" s="162" t="s">
        <v>7693</v>
      </c>
      <c r="U2379" s="162" t="s">
        <v>144</v>
      </c>
      <c r="V2379" s="162" t="str" cm="1">
        <f t="array" ref="V2379">_xlfn.IFS(C2379="","",COUNTIF(C2379,"ตำแหน่งว่าง*"),"ว่าง",COUNTIF(C2379,"&lt;&gt;ตำแหน่งว่าง*"),"คนครอง")</f>
        <v>คนครอง</v>
      </c>
      <c r="W2379" s="6" cm="1">
        <f t="array" ref="W2379">_xlfn.IFS(COUNTIF(F2379,"ผบ.หมู่*"),51,COUNTIF(F2379,"รอง สว.*"),43)</f>
        <v>43</v>
      </c>
      <c r="X2379" s="5" t="s">
        <v>7013</v>
      </c>
      <c r="Y2379" s="5" t="s">
        <v>52</v>
      </c>
    </row>
    <row r="2380" spans="1:25" s="12" customFormat="1" ht="21.3" customHeight="1">
      <c r="A2380" s="27" t="s">
        <v>60</v>
      </c>
      <c r="B2380" s="28" t="s">
        <v>21</v>
      </c>
      <c r="C2380" s="27" t="s">
        <v>7015</v>
      </c>
      <c r="D2380" s="27" t="s">
        <v>8258</v>
      </c>
      <c r="E2380" s="27" t="s">
        <v>8104</v>
      </c>
      <c r="F2380" s="95" t="s">
        <v>10807</v>
      </c>
      <c r="G2380" s="101" t="s">
        <v>7017</v>
      </c>
      <c r="H2380" s="91">
        <v>42501</v>
      </c>
      <c r="I2380" s="73">
        <v>34352</v>
      </c>
      <c r="J2380" s="73">
        <v>34352</v>
      </c>
      <c r="K2380" s="73">
        <v>26332</v>
      </c>
      <c r="L2380" s="11" t="s">
        <v>2314</v>
      </c>
      <c r="M2380" s="1" t="s">
        <v>16</v>
      </c>
      <c r="N2380" s="111" t="s">
        <v>14</v>
      </c>
      <c r="O2380" s="104" t="s">
        <v>52</v>
      </c>
      <c r="P2380" s="104" t="s">
        <v>52</v>
      </c>
      <c r="Q2380" s="105"/>
      <c r="R2380" s="28" t="s">
        <v>688</v>
      </c>
      <c r="S2380" s="225">
        <f t="shared" si="37"/>
        <v>48488</v>
      </c>
      <c r="T2380" s="162" t="s">
        <v>7693</v>
      </c>
      <c r="U2380" s="162" t="s">
        <v>144</v>
      </c>
      <c r="V2380" s="162" t="str" cm="1">
        <f t="array" ref="V2380">_xlfn.IFS(C2380="","",COUNTIF(C2380,"ตำแหน่งว่าง*"),"ว่าง",COUNTIF(C2380,"&lt;&gt;ตำแหน่งว่าง*"),"คนครอง")</f>
        <v>คนครอง</v>
      </c>
      <c r="W2380" s="6" cm="1">
        <f t="array" ref="W2380">_xlfn.IFS(COUNTIF(F2380,"ผบ.หมู่*"),51,COUNTIF(F2380,"รอง สว.*"),43)</f>
        <v>43</v>
      </c>
      <c r="X2380" s="5" t="s">
        <v>7016</v>
      </c>
      <c r="Y2380" s="5" t="s">
        <v>52</v>
      </c>
    </row>
    <row r="2381" spans="1:25" s="12" customFormat="1" ht="21.3" customHeight="1">
      <c r="A2381" s="27" t="s">
        <v>157</v>
      </c>
      <c r="B2381" s="28" t="s">
        <v>21</v>
      </c>
      <c r="C2381" s="95" t="s">
        <v>7018</v>
      </c>
      <c r="D2381" s="27" t="s">
        <v>8224</v>
      </c>
      <c r="E2381" s="27" t="s">
        <v>10453</v>
      </c>
      <c r="F2381" s="95" t="s">
        <v>7009</v>
      </c>
      <c r="G2381" s="101" t="s">
        <v>7020</v>
      </c>
      <c r="H2381" s="91">
        <v>42501</v>
      </c>
      <c r="I2381" s="73">
        <v>34352</v>
      </c>
      <c r="J2381" s="73">
        <v>34352</v>
      </c>
      <c r="K2381" s="73">
        <v>26838</v>
      </c>
      <c r="L2381" s="11" t="s">
        <v>2314</v>
      </c>
      <c r="M2381" s="1" t="s">
        <v>16</v>
      </c>
      <c r="N2381" s="111" t="s">
        <v>14</v>
      </c>
      <c r="O2381" s="104" t="s">
        <v>52</v>
      </c>
      <c r="P2381" s="104" t="s">
        <v>52</v>
      </c>
      <c r="Q2381" s="105"/>
      <c r="R2381" s="28" t="s">
        <v>110</v>
      </c>
      <c r="S2381" s="225">
        <f t="shared" si="37"/>
        <v>48853</v>
      </c>
      <c r="T2381" s="162" t="s">
        <v>7693</v>
      </c>
      <c r="U2381" s="162" t="s">
        <v>144</v>
      </c>
      <c r="V2381" s="162" t="str" cm="1">
        <f t="array" ref="V2381">_xlfn.IFS(C2381="","",COUNTIF(C2381,"ตำแหน่งว่าง*"),"ว่าง",COUNTIF(C2381,"&lt;&gt;ตำแหน่งว่าง*"),"คนครอง")</f>
        <v>คนครอง</v>
      </c>
      <c r="W2381" s="6" cm="1">
        <f t="array" ref="W2381">_xlfn.IFS(COUNTIF(F2381,"ผบ.หมู่*"),51,COUNTIF(F2381,"รอง สว.*"),43)</f>
        <v>51</v>
      </c>
      <c r="X2381" s="5" t="s">
        <v>7019</v>
      </c>
      <c r="Y2381" s="5" t="s">
        <v>52</v>
      </c>
    </row>
    <row r="2382" spans="1:25" s="9" customFormat="1" ht="21.3" customHeight="1">
      <c r="A2382" s="27" t="s">
        <v>157</v>
      </c>
      <c r="B2382" s="28" t="s">
        <v>21</v>
      </c>
      <c r="C2382" s="27" t="s">
        <v>7021</v>
      </c>
      <c r="D2382" s="27" t="s">
        <v>10454</v>
      </c>
      <c r="E2382" s="27" t="s">
        <v>10455</v>
      </c>
      <c r="F2382" s="27" t="s">
        <v>7022</v>
      </c>
      <c r="G2382" s="101" t="s">
        <v>7024</v>
      </c>
      <c r="H2382" s="91">
        <v>42501</v>
      </c>
      <c r="I2382" s="75">
        <v>34352</v>
      </c>
      <c r="J2382" s="75">
        <v>34352</v>
      </c>
      <c r="K2382" s="75">
        <v>26908</v>
      </c>
      <c r="L2382" s="34" t="s">
        <v>31</v>
      </c>
      <c r="M2382" s="28" t="s">
        <v>16</v>
      </c>
      <c r="N2382" s="112" t="s">
        <v>14</v>
      </c>
      <c r="O2382" s="104" t="s">
        <v>52</v>
      </c>
      <c r="P2382" s="104" t="s">
        <v>52</v>
      </c>
      <c r="Q2382" s="105"/>
      <c r="R2382" s="28" t="s">
        <v>110</v>
      </c>
      <c r="S2382" s="225">
        <f t="shared" si="37"/>
        <v>48853</v>
      </c>
      <c r="T2382" s="2" t="s">
        <v>7694</v>
      </c>
      <c r="U2382" s="162" t="s">
        <v>144</v>
      </c>
      <c r="V2382" s="162" t="str" cm="1">
        <f t="array" ref="V2382">_xlfn.IFS(C2382="","",COUNTIF(C2382,"ตำแหน่งว่าง*"),"ว่าง",COUNTIF(C2382,"&lt;&gt;ตำแหน่งว่าง*"),"คนครอง")</f>
        <v>คนครอง</v>
      </c>
      <c r="W2382" s="6" cm="1">
        <f t="array" ref="W2382">_xlfn.IFS(COUNTIF(F2382,"ผบ.หมู่*"),51,COUNTIF(F2382,"รอง สว.*"),43)</f>
        <v>51</v>
      </c>
      <c r="X2382" s="1" t="s">
        <v>7023</v>
      </c>
      <c r="Y2382" s="28" t="s">
        <v>52</v>
      </c>
    </row>
    <row r="2383" spans="1:25" s="10" customFormat="1" ht="21.3" customHeight="1">
      <c r="A2383" s="27" t="s">
        <v>10753</v>
      </c>
      <c r="B2383" s="28" t="s">
        <v>12</v>
      </c>
      <c r="C2383" s="95" t="s">
        <v>7025</v>
      </c>
      <c r="D2383" s="27" t="s">
        <v>10456</v>
      </c>
      <c r="E2383" s="27" t="s">
        <v>10457</v>
      </c>
      <c r="F2383" s="27" t="s">
        <v>7026</v>
      </c>
      <c r="G2383" s="101" t="s">
        <v>7028</v>
      </c>
      <c r="H2383" s="91">
        <v>45016</v>
      </c>
      <c r="I2383" s="75">
        <v>45016</v>
      </c>
      <c r="J2383" s="75">
        <v>34366</v>
      </c>
      <c r="K2383" s="75">
        <v>25831</v>
      </c>
      <c r="L2383" s="34" t="s">
        <v>4826</v>
      </c>
      <c r="M2383" s="28" t="s">
        <v>16</v>
      </c>
      <c r="N2383" s="112" t="s">
        <v>14</v>
      </c>
      <c r="O2383" s="104" t="s">
        <v>52</v>
      </c>
      <c r="P2383" s="104" t="s">
        <v>52</v>
      </c>
      <c r="Q2383" s="105"/>
      <c r="R2383" s="31" t="s">
        <v>483</v>
      </c>
      <c r="S2383" s="225">
        <f t="shared" si="37"/>
        <v>47757</v>
      </c>
      <c r="T2383" s="7" t="s">
        <v>7694</v>
      </c>
      <c r="U2383" s="162" t="s">
        <v>144</v>
      </c>
      <c r="V2383" s="162" t="str" cm="1">
        <f t="array" ref="V2383">_xlfn.IFS(C2383="","",COUNTIF(C2383,"ตำแหน่งว่าง*"),"ว่าง",COUNTIF(C2383,"&lt;&gt;ตำแหน่งว่าง*"),"คนครอง")</f>
        <v>คนครอง</v>
      </c>
      <c r="W2383" s="5" cm="1">
        <f t="array" ref="W2383">_xlfn.IFS(COUNTIF(F2383,"ผบ.หมู่*"),51,COUNTIF(F2383,"รอง สว.*"),43)</f>
        <v>43</v>
      </c>
      <c r="X2383" s="1" t="s">
        <v>7027</v>
      </c>
      <c r="Y2383" s="28" t="s">
        <v>52</v>
      </c>
    </row>
    <row r="2384" spans="1:25" s="9" customFormat="1" ht="21.3" customHeight="1">
      <c r="A2384" s="27" t="s">
        <v>10753</v>
      </c>
      <c r="B2384" s="28" t="s">
        <v>12</v>
      </c>
      <c r="C2384" s="27" t="s">
        <v>7029</v>
      </c>
      <c r="D2384" s="27" t="s">
        <v>10458</v>
      </c>
      <c r="E2384" s="27" t="s">
        <v>10459</v>
      </c>
      <c r="F2384" s="27" t="s">
        <v>7026</v>
      </c>
      <c r="G2384" s="101" t="s">
        <v>7031</v>
      </c>
      <c r="H2384" s="91">
        <v>45016</v>
      </c>
      <c r="I2384" s="75">
        <v>45016</v>
      </c>
      <c r="J2384" s="75">
        <v>34731</v>
      </c>
      <c r="K2384" s="75">
        <v>25662</v>
      </c>
      <c r="L2384" s="34" t="s">
        <v>114</v>
      </c>
      <c r="M2384" s="28" t="s">
        <v>16</v>
      </c>
      <c r="N2384" s="112" t="s">
        <v>14</v>
      </c>
      <c r="O2384" s="104" t="s">
        <v>52</v>
      </c>
      <c r="P2384" s="104" t="s">
        <v>52</v>
      </c>
      <c r="Q2384" s="105"/>
      <c r="R2384" s="28" t="s">
        <v>483</v>
      </c>
      <c r="S2384" s="225">
        <f t="shared" si="37"/>
        <v>47757</v>
      </c>
      <c r="T2384" s="2" t="s">
        <v>7694</v>
      </c>
      <c r="U2384" s="162" t="s">
        <v>144</v>
      </c>
      <c r="V2384" s="162" t="str" cm="1">
        <f t="array" ref="V2384">_xlfn.IFS(C2384="","",COUNTIF(C2384,"ตำแหน่งว่าง*"),"ว่าง",COUNTIF(C2384,"&lt;&gt;ตำแหน่งว่าง*"),"คนครอง")</f>
        <v>คนครอง</v>
      </c>
      <c r="W2384" s="5" cm="1">
        <f t="array" ref="W2384">_xlfn.IFS(COUNTIF(F2384,"ผบ.หมู่*"),51,COUNTIF(F2384,"รอง สว.*"),43)</f>
        <v>43</v>
      </c>
      <c r="X2384" s="1" t="s">
        <v>7030</v>
      </c>
      <c r="Y2384" s="28" t="s">
        <v>52</v>
      </c>
    </row>
    <row r="2385" spans="1:25" s="9" customFormat="1" ht="21.3" customHeight="1">
      <c r="A2385" s="27" t="s">
        <v>157</v>
      </c>
      <c r="B2385" s="28" t="s">
        <v>21</v>
      </c>
      <c r="C2385" s="27" t="s">
        <v>7032</v>
      </c>
      <c r="D2385" s="27" t="s">
        <v>8132</v>
      </c>
      <c r="E2385" s="27" t="s">
        <v>10460</v>
      </c>
      <c r="F2385" s="27" t="s">
        <v>7022</v>
      </c>
      <c r="G2385" s="101" t="s">
        <v>7034</v>
      </c>
      <c r="H2385" s="91">
        <v>42937</v>
      </c>
      <c r="I2385" s="75">
        <v>34352</v>
      </c>
      <c r="J2385" s="75">
        <v>34352</v>
      </c>
      <c r="K2385" s="75">
        <v>27095</v>
      </c>
      <c r="L2385" s="34" t="s">
        <v>7035</v>
      </c>
      <c r="M2385" s="28" t="s">
        <v>16</v>
      </c>
      <c r="N2385" s="112" t="s">
        <v>14</v>
      </c>
      <c r="O2385" s="104" t="s">
        <v>52</v>
      </c>
      <c r="P2385" s="104" t="s">
        <v>52</v>
      </c>
      <c r="Q2385" s="105"/>
      <c r="R2385" s="28" t="s">
        <v>4058</v>
      </c>
      <c r="S2385" s="225">
        <f t="shared" si="37"/>
        <v>49218</v>
      </c>
      <c r="T2385" s="2" t="s">
        <v>7694</v>
      </c>
      <c r="U2385" s="162" t="s">
        <v>144</v>
      </c>
      <c r="V2385" s="162" t="str" cm="1">
        <f t="array" ref="V2385">_xlfn.IFS(C2385="","",COUNTIF(C2385,"ตำแหน่งว่าง*"),"ว่าง",COUNTIF(C2385,"&lt;&gt;ตำแหน่งว่าง*"),"คนครอง")</f>
        <v>คนครอง</v>
      </c>
      <c r="W2385" s="6" cm="1">
        <f t="array" ref="W2385">_xlfn.IFS(COUNTIF(F2385,"ผบ.หมู่*"),51,COUNTIF(F2385,"รอง สว.*"),43)</f>
        <v>51</v>
      </c>
      <c r="X2385" s="1" t="s">
        <v>7033</v>
      </c>
      <c r="Y2385" s="28" t="s">
        <v>52</v>
      </c>
    </row>
    <row r="2386" spans="1:25" s="9" customFormat="1" ht="21.3" customHeight="1">
      <c r="A2386" s="27" t="s">
        <v>157</v>
      </c>
      <c r="B2386" s="28" t="s">
        <v>21</v>
      </c>
      <c r="C2386" s="27" t="s">
        <v>7036</v>
      </c>
      <c r="D2386" s="27" t="s">
        <v>10049</v>
      </c>
      <c r="E2386" s="27" t="s">
        <v>10310</v>
      </c>
      <c r="F2386" s="27" t="s">
        <v>7022</v>
      </c>
      <c r="G2386" s="101" t="s">
        <v>7038</v>
      </c>
      <c r="H2386" s="91">
        <v>42501</v>
      </c>
      <c r="I2386" s="75">
        <v>34729</v>
      </c>
      <c r="J2386" s="75">
        <v>34729</v>
      </c>
      <c r="K2386" s="75">
        <v>26762</v>
      </c>
      <c r="L2386" s="34" t="s">
        <v>31</v>
      </c>
      <c r="M2386" s="28" t="s">
        <v>16</v>
      </c>
      <c r="N2386" s="112" t="s">
        <v>14</v>
      </c>
      <c r="O2386" s="104" t="s">
        <v>52</v>
      </c>
      <c r="P2386" s="104" t="s">
        <v>52</v>
      </c>
      <c r="Q2386" s="105"/>
      <c r="R2386" s="28" t="s">
        <v>110</v>
      </c>
      <c r="S2386" s="225">
        <f t="shared" si="37"/>
        <v>48853</v>
      </c>
      <c r="T2386" s="2" t="s">
        <v>7694</v>
      </c>
      <c r="U2386" s="162" t="s">
        <v>144</v>
      </c>
      <c r="V2386" s="162" t="str" cm="1">
        <f t="array" ref="V2386">_xlfn.IFS(C2386="","",COUNTIF(C2386,"ตำแหน่งว่าง*"),"ว่าง",COUNTIF(C2386,"&lt;&gt;ตำแหน่งว่าง*"),"คนครอง")</f>
        <v>คนครอง</v>
      </c>
      <c r="W2386" s="6" cm="1">
        <f t="array" ref="W2386">_xlfn.IFS(COUNTIF(F2386,"ผบ.หมู่*"),51,COUNTIF(F2386,"รอง สว.*"),43)</f>
        <v>51</v>
      </c>
      <c r="X2386" s="1" t="s">
        <v>7037</v>
      </c>
      <c r="Y2386" s="28" t="s">
        <v>52</v>
      </c>
    </row>
    <row r="2387" spans="1:25" s="12" customFormat="1" ht="21.3" customHeight="1">
      <c r="A2387" s="27" t="s">
        <v>157</v>
      </c>
      <c r="B2387" s="28" t="s">
        <v>21</v>
      </c>
      <c r="C2387" s="95" t="s">
        <v>7039</v>
      </c>
      <c r="D2387" s="27" t="s">
        <v>8074</v>
      </c>
      <c r="E2387" s="27" t="s">
        <v>10461</v>
      </c>
      <c r="F2387" s="95" t="s">
        <v>7040</v>
      </c>
      <c r="G2387" s="101" t="s">
        <v>7042</v>
      </c>
      <c r="H2387" s="91">
        <v>42937</v>
      </c>
      <c r="I2387" s="75">
        <v>39717</v>
      </c>
      <c r="J2387" s="75">
        <v>39717</v>
      </c>
      <c r="K2387" s="75">
        <v>28372</v>
      </c>
      <c r="L2387" s="34" t="s">
        <v>68</v>
      </c>
      <c r="M2387" s="28" t="s">
        <v>33</v>
      </c>
      <c r="N2387" s="112" t="s">
        <v>14</v>
      </c>
      <c r="O2387" s="104" t="s">
        <v>52</v>
      </c>
      <c r="P2387" s="104" t="s">
        <v>52</v>
      </c>
      <c r="Q2387" s="105"/>
      <c r="R2387" s="28" t="s">
        <v>1125</v>
      </c>
      <c r="S2387" s="225">
        <f t="shared" si="37"/>
        <v>50314</v>
      </c>
      <c r="T2387" s="162" t="s">
        <v>7695</v>
      </c>
      <c r="U2387" s="162" t="s">
        <v>144</v>
      </c>
      <c r="V2387" s="162" t="str" cm="1">
        <f t="array" ref="V2387">_xlfn.IFS(C2387="","",COUNTIF(C2387,"ตำแหน่งว่าง*"),"ว่าง",COUNTIF(C2387,"&lt;&gt;ตำแหน่งว่าง*"),"คนครอง")</f>
        <v>คนครอง</v>
      </c>
      <c r="W2387" s="6" cm="1">
        <f t="array" ref="W2387">_xlfn.IFS(COUNTIF(F2387,"ผบ.หมู่*"),51,COUNTIF(F2387,"รอง สว.*"),43)</f>
        <v>51</v>
      </c>
      <c r="X2387" s="5" t="s">
        <v>7041</v>
      </c>
      <c r="Y2387" s="28" t="s">
        <v>52</v>
      </c>
    </row>
    <row r="2388" spans="1:25" s="12" customFormat="1" ht="21.3" customHeight="1">
      <c r="A2388" s="27" t="s">
        <v>10753</v>
      </c>
      <c r="B2388" s="28" t="s">
        <v>21</v>
      </c>
      <c r="C2388" s="95" t="s">
        <v>7043</v>
      </c>
      <c r="D2388" s="27" t="s">
        <v>10462</v>
      </c>
      <c r="E2388" s="27" t="s">
        <v>10463</v>
      </c>
      <c r="F2388" s="95" t="s">
        <v>7044</v>
      </c>
      <c r="G2388" s="101" t="s">
        <v>7046</v>
      </c>
      <c r="H2388" s="91">
        <v>45016</v>
      </c>
      <c r="I2388" s="75">
        <v>45016</v>
      </c>
      <c r="J2388" s="75">
        <v>34352</v>
      </c>
      <c r="K2388" s="75">
        <v>25729</v>
      </c>
      <c r="L2388" s="34" t="s">
        <v>31</v>
      </c>
      <c r="M2388" s="28" t="s">
        <v>16</v>
      </c>
      <c r="N2388" s="111" t="s">
        <v>14</v>
      </c>
      <c r="O2388" s="104" t="s">
        <v>52</v>
      </c>
      <c r="P2388" s="104" t="s">
        <v>52</v>
      </c>
      <c r="Q2388" s="105"/>
      <c r="R2388" s="28" t="s">
        <v>483</v>
      </c>
      <c r="S2388" s="225">
        <f t="shared" si="37"/>
        <v>47757</v>
      </c>
      <c r="T2388" s="162" t="s">
        <v>7695</v>
      </c>
      <c r="U2388" s="162" t="s">
        <v>144</v>
      </c>
      <c r="V2388" s="162" t="str" cm="1">
        <f t="array" ref="V2388">_xlfn.IFS(C2388="","",COUNTIF(C2388,"ตำแหน่งว่าง*"),"ว่าง",COUNTIF(C2388,"&lt;&gt;ตำแหน่งว่าง*"),"คนครอง")</f>
        <v>คนครอง</v>
      </c>
      <c r="W2388" s="5" cm="1">
        <f t="array" ref="W2388">_xlfn.IFS(COUNTIF(F2388,"ผบ.หมู่*"),51,COUNTIF(F2388,"รอง สว.*"),43)</f>
        <v>43</v>
      </c>
      <c r="X2388" s="5" t="s">
        <v>7045</v>
      </c>
      <c r="Y2388" s="31" t="s">
        <v>52</v>
      </c>
    </row>
    <row r="2389" spans="1:25" s="9" customFormat="1" ht="21.3" customHeight="1">
      <c r="A2389" s="27" t="s">
        <v>612</v>
      </c>
      <c r="B2389" s="28" t="s">
        <v>21</v>
      </c>
      <c r="C2389" s="27" t="s">
        <v>7047</v>
      </c>
      <c r="D2389" s="27" t="s">
        <v>8020</v>
      </c>
      <c r="E2389" s="27" t="s">
        <v>10464</v>
      </c>
      <c r="F2389" s="27" t="s">
        <v>7040</v>
      </c>
      <c r="G2389" s="101" t="s">
        <v>7049</v>
      </c>
      <c r="H2389" s="91">
        <v>44021</v>
      </c>
      <c r="I2389" s="75">
        <v>41944</v>
      </c>
      <c r="J2389" s="75">
        <v>41944</v>
      </c>
      <c r="K2389" s="75">
        <v>32609</v>
      </c>
      <c r="L2389" s="34" t="s">
        <v>112</v>
      </c>
      <c r="M2389" s="28" t="s">
        <v>16</v>
      </c>
      <c r="N2389" s="112" t="s">
        <v>14</v>
      </c>
      <c r="O2389" s="104" t="s">
        <v>52</v>
      </c>
      <c r="P2389" s="104" t="s">
        <v>52</v>
      </c>
      <c r="Q2389" s="105"/>
      <c r="R2389" s="28" t="s">
        <v>617</v>
      </c>
      <c r="S2389" s="225">
        <f t="shared" si="37"/>
        <v>54697</v>
      </c>
      <c r="T2389" s="2" t="s">
        <v>7695</v>
      </c>
      <c r="U2389" s="162" t="s">
        <v>144</v>
      </c>
      <c r="V2389" s="162" t="str" cm="1">
        <f t="array" ref="V2389">_xlfn.IFS(C2389="","",COUNTIF(C2389,"ตำแหน่งว่าง*"),"ว่าง",COUNTIF(C2389,"&lt;&gt;ตำแหน่งว่าง*"),"คนครอง")</f>
        <v>คนครอง</v>
      </c>
      <c r="W2389" s="6" cm="1">
        <f t="array" ref="W2389">_xlfn.IFS(COUNTIF(F2389,"ผบ.หมู่*"),51,COUNTIF(F2389,"รอง สว.*"),43)</f>
        <v>51</v>
      </c>
      <c r="X2389" s="1" t="s">
        <v>7048</v>
      </c>
      <c r="Y2389" s="28" t="s">
        <v>52</v>
      </c>
    </row>
    <row r="2390" spans="1:25" s="12" customFormat="1" ht="21.3" customHeight="1">
      <c r="A2390" s="27" t="s">
        <v>44</v>
      </c>
      <c r="B2390" s="31" t="s">
        <v>21</v>
      </c>
      <c r="C2390" s="95" t="s">
        <v>7050</v>
      </c>
      <c r="D2390" s="27" t="s">
        <v>10465</v>
      </c>
      <c r="E2390" s="27" t="s">
        <v>10466</v>
      </c>
      <c r="F2390" s="95" t="s">
        <v>7044</v>
      </c>
      <c r="G2390" s="101" t="s">
        <v>7052</v>
      </c>
      <c r="H2390" s="92">
        <v>42937</v>
      </c>
      <c r="I2390" s="88">
        <v>32174</v>
      </c>
      <c r="J2390" s="88">
        <v>32174</v>
      </c>
      <c r="K2390" s="88">
        <v>25188</v>
      </c>
      <c r="L2390" s="51" t="s">
        <v>31</v>
      </c>
      <c r="M2390" s="31" t="s">
        <v>16</v>
      </c>
      <c r="N2390" s="111" t="s">
        <v>14</v>
      </c>
      <c r="O2390" s="104" t="s">
        <v>52</v>
      </c>
      <c r="P2390" s="104" t="s">
        <v>52</v>
      </c>
      <c r="Q2390" s="108"/>
      <c r="R2390" s="31" t="s">
        <v>718</v>
      </c>
      <c r="S2390" s="225">
        <f t="shared" si="37"/>
        <v>47392</v>
      </c>
      <c r="T2390" s="162" t="s">
        <v>7695</v>
      </c>
      <c r="U2390" s="162" t="s">
        <v>144</v>
      </c>
      <c r="V2390" s="162" t="str" cm="1">
        <f t="array" ref="V2390">_xlfn.IFS(C2390="","",COUNTIF(C2390,"ตำแหน่งว่าง*"),"ว่าง",COUNTIF(C2390,"&lt;&gt;ตำแหน่งว่าง*"),"คนครอง")</f>
        <v>คนครอง</v>
      </c>
      <c r="W2390" s="5" cm="1">
        <f t="array" ref="W2390">_xlfn.IFS(COUNTIF(F2390,"ผบ.หมู่*"),51,COUNTIF(F2390,"รอง สว.*"),43)</f>
        <v>43</v>
      </c>
      <c r="X2390" s="5" t="s">
        <v>7051</v>
      </c>
      <c r="Y2390" s="31" t="s">
        <v>52</v>
      </c>
    </row>
    <row r="2391" spans="1:25" s="12" customFormat="1" ht="21.3" customHeight="1">
      <c r="A2391" s="27" t="s">
        <v>208</v>
      </c>
      <c r="B2391" s="28" t="s">
        <v>21</v>
      </c>
      <c r="C2391" s="27" t="s">
        <v>7772</v>
      </c>
      <c r="D2391" s="27" t="s">
        <v>10467</v>
      </c>
      <c r="E2391" s="27" t="s">
        <v>10468</v>
      </c>
      <c r="F2391" s="27" t="s">
        <v>7053</v>
      </c>
      <c r="G2391" s="101" t="s">
        <v>7055</v>
      </c>
      <c r="H2391" s="91">
        <v>45322</v>
      </c>
      <c r="I2391" s="75">
        <v>43693</v>
      </c>
      <c r="J2391" s="75">
        <v>43693</v>
      </c>
      <c r="K2391" s="75">
        <v>32735</v>
      </c>
      <c r="L2391" s="34" t="s">
        <v>2061</v>
      </c>
      <c r="M2391" s="28" t="s">
        <v>98</v>
      </c>
      <c r="N2391" s="112" t="s">
        <v>14</v>
      </c>
      <c r="O2391" s="104" t="s">
        <v>52</v>
      </c>
      <c r="P2391" s="104" t="s">
        <v>52</v>
      </c>
      <c r="Q2391" s="105"/>
      <c r="R2391" s="30" t="s">
        <v>7708</v>
      </c>
      <c r="S2391" s="225"/>
      <c r="T2391" s="162" t="s">
        <v>7696</v>
      </c>
      <c r="U2391" s="162" t="s">
        <v>144</v>
      </c>
      <c r="V2391" s="162" t="str" cm="1">
        <f t="array" ref="V2391">_xlfn.IFS(C2391="","",COUNTIF(C2391,"ตำแหน่งว่าง*"),"ว่าง",COUNTIF(C2391,"&lt;&gt;ตำแหน่งว่าง*"),"คนครอง")</f>
        <v>คนครอง</v>
      </c>
      <c r="W2391" s="6" cm="1">
        <f t="array" ref="W2391">_xlfn.IFS(COUNTIF(F2391,"ผบ.หมู่*"),51,COUNTIF(F2391,"รอง สว.*"),43)</f>
        <v>51</v>
      </c>
      <c r="X2391" s="1" t="s">
        <v>7054</v>
      </c>
      <c r="Y2391" s="28" t="s">
        <v>52</v>
      </c>
    </row>
    <row r="2392" spans="1:25" s="10" customFormat="1" ht="21.3" customHeight="1">
      <c r="A2392" s="27" t="s">
        <v>157</v>
      </c>
      <c r="B2392" s="28" t="s">
        <v>12</v>
      </c>
      <c r="C2392" s="27" t="s">
        <v>7056</v>
      </c>
      <c r="D2392" s="27" t="s">
        <v>10403</v>
      </c>
      <c r="E2392" s="27" t="s">
        <v>10469</v>
      </c>
      <c r="F2392" s="27" t="s">
        <v>7053</v>
      </c>
      <c r="G2392" s="101" t="s">
        <v>7058</v>
      </c>
      <c r="H2392" s="91">
        <v>44999</v>
      </c>
      <c r="I2392" s="73">
        <v>35461</v>
      </c>
      <c r="J2392" s="73">
        <v>35461</v>
      </c>
      <c r="K2392" s="73">
        <v>27879</v>
      </c>
      <c r="L2392" s="11" t="s">
        <v>112</v>
      </c>
      <c r="M2392" s="1" t="s">
        <v>16</v>
      </c>
      <c r="N2392" s="112" t="s">
        <v>14</v>
      </c>
      <c r="O2392" s="104" t="s">
        <v>52</v>
      </c>
      <c r="P2392" s="104" t="s">
        <v>52</v>
      </c>
      <c r="Q2392" s="105"/>
      <c r="R2392" s="28" t="s">
        <v>74</v>
      </c>
      <c r="S2392" s="225">
        <f t="shared" ref="S2392:S2423" si="38">IF(K2392&lt;&gt;"",DATE(YEAR(K2392)+60+(K2392&gt;=DATE(YEAR(K2392),10,2)),10,1),"")</f>
        <v>49949</v>
      </c>
      <c r="T2392" s="7" t="s">
        <v>7696</v>
      </c>
      <c r="U2392" s="162" t="s">
        <v>144</v>
      </c>
      <c r="V2392" s="162" t="str" cm="1">
        <f t="array" ref="V2392">_xlfn.IFS(C2392="","",COUNTIF(C2392,"ตำแหน่งว่าง*"),"ว่าง",COUNTIF(C2392,"&lt;&gt;ตำแหน่งว่าง*"),"คนครอง")</f>
        <v>คนครอง</v>
      </c>
      <c r="W2392" s="6" cm="1">
        <f t="array" ref="W2392">_xlfn.IFS(COUNTIF(F2392,"ผบ.หมู่*"),51,COUNTIF(F2392,"รอง สว.*"),43)</f>
        <v>51</v>
      </c>
      <c r="X2392" s="3" t="s">
        <v>7057</v>
      </c>
      <c r="Y2392" s="1" t="s">
        <v>52</v>
      </c>
    </row>
    <row r="2393" spans="1:25" s="12" customFormat="1" ht="21.3" customHeight="1">
      <c r="A2393" s="27" t="s">
        <v>157</v>
      </c>
      <c r="B2393" s="28" t="s">
        <v>12</v>
      </c>
      <c r="C2393" s="95" t="s">
        <v>7059</v>
      </c>
      <c r="D2393" s="27" t="s">
        <v>10470</v>
      </c>
      <c r="E2393" s="27" t="s">
        <v>10471</v>
      </c>
      <c r="F2393" s="27" t="s">
        <v>7053</v>
      </c>
      <c r="G2393" s="101" t="s">
        <v>7061</v>
      </c>
      <c r="H2393" s="91">
        <v>44999</v>
      </c>
      <c r="I2393" s="73">
        <v>40814</v>
      </c>
      <c r="J2393" s="73">
        <v>40814</v>
      </c>
      <c r="K2393" s="73">
        <v>30382</v>
      </c>
      <c r="L2393" s="11" t="s">
        <v>31</v>
      </c>
      <c r="M2393" s="1" t="s">
        <v>16</v>
      </c>
      <c r="N2393" s="113" t="s">
        <v>14</v>
      </c>
      <c r="O2393" s="104" t="s">
        <v>52</v>
      </c>
      <c r="P2393" s="104" t="s">
        <v>52</v>
      </c>
      <c r="Q2393" s="105"/>
      <c r="R2393" s="28" t="s">
        <v>29</v>
      </c>
      <c r="S2393" s="225">
        <f t="shared" si="38"/>
        <v>52505</v>
      </c>
      <c r="T2393" s="162" t="s">
        <v>7696</v>
      </c>
      <c r="U2393" s="162" t="s">
        <v>144</v>
      </c>
      <c r="V2393" s="162" t="str" cm="1">
        <f t="array" ref="V2393">_xlfn.IFS(C2393="","",COUNTIF(C2393,"ตำแหน่งว่าง*"),"ว่าง",COUNTIF(C2393,"&lt;&gt;ตำแหน่งว่าง*"),"คนครอง")</f>
        <v>คนครอง</v>
      </c>
      <c r="W2393" s="6" cm="1">
        <f t="array" ref="W2393">_xlfn.IFS(COUNTIF(F2393,"ผบ.หมู่*"),51,COUNTIF(F2393,"รอง สว.*"),43)</f>
        <v>51</v>
      </c>
      <c r="X2393" s="1" t="s">
        <v>7060</v>
      </c>
      <c r="Y2393" s="6" t="s">
        <v>52</v>
      </c>
    </row>
    <row r="2394" spans="1:25" s="12" customFormat="1" ht="21.3" customHeight="1">
      <c r="A2394" s="27" t="s">
        <v>157</v>
      </c>
      <c r="B2394" s="28" t="s">
        <v>21</v>
      </c>
      <c r="C2394" s="95" t="s">
        <v>7062</v>
      </c>
      <c r="D2394" s="27" t="s">
        <v>10472</v>
      </c>
      <c r="E2394" s="27" t="s">
        <v>10473</v>
      </c>
      <c r="F2394" s="95" t="s">
        <v>7053</v>
      </c>
      <c r="G2394" s="101" t="s">
        <v>7064</v>
      </c>
      <c r="H2394" s="75">
        <v>42501</v>
      </c>
      <c r="I2394" s="73">
        <v>34352</v>
      </c>
      <c r="J2394" s="73">
        <v>34352</v>
      </c>
      <c r="K2394" s="73">
        <v>27115</v>
      </c>
      <c r="L2394" s="11" t="s">
        <v>5319</v>
      </c>
      <c r="M2394" s="1" t="s">
        <v>16</v>
      </c>
      <c r="N2394" s="111" t="s">
        <v>14</v>
      </c>
      <c r="O2394" s="104" t="s">
        <v>52</v>
      </c>
      <c r="P2394" s="104" t="s">
        <v>52</v>
      </c>
      <c r="Q2394" s="105"/>
      <c r="R2394" s="28" t="s">
        <v>110</v>
      </c>
      <c r="S2394" s="225">
        <f t="shared" si="38"/>
        <v>49218</v>
      </c>
      <c r="T2394" s="162" t="s">
        <v>7696</v>
      </c>
      <c r="U2394" s="162" t="s">
        <v>144</v>
      </c>
      <c r="V2394" s="162" t="str" cm="1">
        <f t="array" ref="V2394">_xlfn.IFS(C2394="","",COUNTIF(C2394,"ตำแหน่งว่าง*"),"ว่าง",COUNTIF(C2394,"&lt;&gt;ตำแหน่งว่าง*"),"คนครอง")</f>
        <v>คนครอง</v>
      </c>
      <c r="W2394" s="6" cm="1">
        <f t="array" ref="W2394">_xlfn.IFS(COUNTIF(F2394,"ผบ.หมู่*"),51,COUNTIF(F2394,"รอง สว.*"),43)</f>
        <v>51</v>
      </c>
      <c r="X2394" s="5" t="s">
        <v>7063</v>
      </c>
      <c r="Y2394" s="5" t="s">
        <v>52</v>
      </c>
    </row>
    <row r="2395" spans="1:25" s="9" customFormat="1" ht="21.3" customHeight="1">
      <c r="A2395" s="27" t="s">
        <v>30</v>
      </c>
      <c r="B2395" s="28" t="s">
        <v>21</v>
      </c>
      <c r="C2395" s="27" t="s">
        <v>7065</v>
      </c>
      <c r="D2395" s="27" t="s">
        <v>10474</v>
      </c>
      <c r="E2395" s="27" t="s">
        <v>10475</v>
      </c>
      <c r="F2395" s="27" t="s">
        <v>7066</v>
      </c>
      <c r="G2395" s="101" t="s">
        <v>7068</v>
      </c>
      <c r="H2395" s="91">
        <v>42501</v>
      </c>
      <c r="I2395" s="75">
        <v>34352</v>
      </c>
      <c r="J2395" s="75">
        <v>34352</v>
      </c>
      <c r="K2395" s="75">
        <v>24191</v>
      </c>
      <c r="L2395" s="34" t="s">
        <v>2314</v>
      </c>
      <c r="M2395" s="28" t="s">
        <v>16</v>
      </c>
      <c r="N2395" s="112" t="s">
        <v>14</v>
      </c>
      <c r="O2395" s="104" t="s">
        <v>52</v>
      </c>
      <c r="P2395" s="104" t="s">
        <v>52</v>
      </c>
      <c r="Q2395" s="105"/>
      <c r="R2395" s="28" t="s">
        <v>2892</v>
      </c>
      <c r="S2395" s="225">
        <f t="shared" si="38"/>
        <v>46296</v>
      </c>
      <c r="T2395" s="2" t="s">
        <v>7697</v>
      </c>
      <c r="U2395" s="162" t="s">
        <v>144</v>
      </c>
      <c r="V2395" s="162" t="str" cm="1">
        <f t="array" ref="V2395">_xlfn.IFS(C2395="","",COUNTIF(C2395,"ตำแหน่งว่าง*"),"ว่าง",COUNTIF(C2395,"&lt;&gt;ตำแหน่งว่าง*"),"คนครอง")</f>
        <v>คนครอง</v>
      </c>
      <c r="W2395" s="5" cm="1">
        <f t="array" ref="W2395">_xlfn.IFS(COUNTIF(F2395,"ผบ.หมู่*"),51,COUNTIF(F2395,"รอง สว.*"),43)</f>
        <v>43</v>
      </c>
      <c r="X2395" s="1" t="s">
        <v>7067</v>
      </c>
      <c r="Y2395" s="28" t="s">
        <v>52</v>
      </c>
    </row>
    <row r="2396" spans="1:25" s="12" customFormat="1" ht="21.3" customHeight="1">
      <c r="A2396" s="27" t="s">
        <v>182</v>
      </c>
      <c r="B2396" s="28" t="s">
        <v>21</v>
      </c>
      <c r="C2396" s="27" t="s">
        <v>10784</v>
      </c>
      <c r="D2396" s="27" t="s">
        <v>8040</v>
      </c>
      <c r="E2396" s="27" t="s">
        <v>10785</v>
      </c>
      <c r="F2396" s="27" t="s">
        <v>7072</v>
      </c>
      <c r="G2396" s="101" t="s">
        <v>7071</v>
      </c>
      <c r="H2396" s="75">
        <v>45768</v>
      </c>
      <c r="I2396" s="73">
        <v>43867</v>
      </c>
      <c r="J2396" s="73">
        <v>43867</v>
      </c>
      <c r="K2396" s="73">
        <v>35466</v>
      </c>
      <c r="L2396" s="11" t="s">
        <v>1667</v>
      </c>
      <c r="M2396" s="1" t="s">
        <v>7609</v>
      </c>
      <c r="N2396" s="112" t="s">
        <v>14</v>
      </c>
      <c r="O2396" s="104" t="s">
        <v>52</v>
      </c>
      <c r="P2396" s="104" t="s">
        <v>52</v>
      </c>
      <c r="Q2396" s="105"/>
      <c r="R2396" s="28" t="s">
        <v>10804</v>
      </c>
      <c r="S2396" s="174">
        <f t="shared" si="38"/>
        <v>57619</v>
      </c>
      <c r="T2396" s="2" t="s">
        <v>7671</v>
      </c>
      <c r="U2396" s="2" t="s">
        <v>144</v>
      </c>
      <c r="V2396" s="2" t="str" cm="1">
        <f t="array" ref="V2396">_xlfn.IFS(C2396="","",COUNTIF(C2396,"ตำแหน่งว่าง*"),"ว่าง",COUNTIF(C2396,"&lt;&gt;ตำแหน่งว่าง*"),"คนครอง")</f>
        <v>คนครอง</v>
      </c>
      <c r="W2396" s="1" cm="1">
        <f t="array" ref="W2396">_xlfn.IFS(COUNTIF(F2396,"ผบ.หมู่*"),51,COUNTIF(F2396,"รอง สว.*"),43)</f>
        <v>51</v>
      </c>
      <c r="X2396" s="1" t="s">
        <v>7070</v>
      </c>
      <c r="Y2396" s="1" t="s">
        <v>52</v>
      </c>
    </row>
    <row r="2397" spans="1:25" s="9" customFormat="1" ht="21.3" customHeight="1">
      <c r="A2397" s="27" t="s">
        <v>157</v>
      </c>
      <c r="B2397" s="28" t="s">
        <v>21</v>
      </c>
      <c r="C2397" s="27" t="s">
        <v>7851</v>
      </c>
      <c r="D2397" s="27" t="s">
        <v>10476</v>
      </c>
      <c r="E2397" s="27" t="s">
        <v>10477</v>
      </c>
      <c r="F2397" s="27" t="s">
        <v>7072</v>
      </c>
      <c r="G2397" s="101" t="s">
        <v>7074</v>
      </c>
      <c r="H2397" s="75">
        <v>43871</v>
      </c>
      <c r="I2397" s="73">
        <v>40339</v>
      </c>
      <c r="J2397" s="73">
        <v>40339</v>
      </c>
      <c r="K2397" s="73">
        <v>28233</v>
      </c>
      <c r="L2397" s="11" t="s">
        <v>68</v>
      </c>
      <c r="M2397" s="1" t="s">
        <v>33</v>
      </c>
      <c r="N2397" s="112" t="s">
        <v>14</v>
      </c>
      <c r="O2397" s="104" t="s">
        <v>52</v>
      </c>
      <c r="P2397" s="104" t="s">
        <v>52</v>
      </c>
      <c r="Q2397" s="105"/>
      <c r="R2397" s="28" t="s">
        <v>688</v>
      </c>
      <c r="S2397" s="225">
        <f t="shared" si="38"/>
        <v>50314</v>
      </c>
      <c r="T2397" s="2" t="s">
        <v>7671</v>
      </c>
      <c r="U2397" s="162" t="s">
        <v>144</v>
      </c>
      <c r="V2397" s="162" t="str" cm="1">
        <f t="array" ref="V2397">_xlfn.IFS(C2397="","",COUNTIF(C2397,"ตำแหน่งว่าง*"),"ว่าง",COUNTIF(C2397,"&lt;&gt;ตำแหน่งว่าง*"),"คนครอง")</f>
        <v>คนครอง</v>
      </c>
      <c r="W2397" s="6" cm="1">
        <f t="array" ref="W2397">_xlfn.IFS(COUNTIF(F2397,"ผบ.หมู่*"),51,COUNTIF(F2397,"รอง สว.*"),43)</f>
        <v>51</v>
      </c>
      <c r="X2397" s="1" t="s">
        <v>7073</v>
      </c>
      <c r="Y2397" s="1" t="s">
        <v>52</v>
      </c>
    </row>
    <row r="2398" spans="1:25" s="9" customFormat="1" ht="21.3" customHeight="1">
      <c r="A2398" s="27" t="s">
        <v>157</v>
      </c>
      <c r="B2398" s="28" t="s">
        <v>21</v>
      </c>
      <c r="C2398" s="27" t="s">
        <v>7075</v>
      </c>
      <c r="D2398" s="27" t="s">
        <v>7971</v>
      </c>
      <c r="E2398" s="27" t="s">
        <v>10478</v>
      </c>
      <c r="F2398" s="27" t="s">
        <v>7072</v>
      </c>
      <c r="G2398" s="101" t="s">
        <v>7077</v>
      </c>
      <c r="H2398" s="75">
        <v>44243</v>
      </c>
      <c r="I2398" s="73">
        <v>39717</v>
      </c>
      <c r="J2398" s="73">
        <v>39717</v>
      </c>
      <c r="K2398" s="73">
        <v>30462</v>
      </c>
      <c r="L2398" s="11" t="s">
        <v>7078</v>
      </c>
      <c r="M2398" s="1" t="s">
        <v>33</v>
      </c>
      <c r="N2398" s="112" t="s">
        <v>14</v>
      </c>
      <c r="O2398" s="104" t="s">
        <v>52</v>
      </c>
      <c r="P2398" s="104" t="s">
        <v>52</v>
      </c>
      <c r="Q2398" s="105"/>
      <c r="R2398" s="28" t="s">
        <v>617</v>
      </c>
      <c r="S2398" s="225">
        <f t="shared" si="38"/>
        <v>52505</v>
      </c>
      <c r="T2398" s="2" t="s">
        <v>7671</v>
      </c>
      <c r="U2398" s="162" t="s">
        <v>144</v>
      </c>
      <c r="V2398" s="162" t="str" cm="1">
        <f t="array" ref="V2398">_xlfn.IFS(C2398="","",COUNTIF(C2398,"ตำแหน่งว่าง*"),"ว่าง",COUNTIF(C2398,"&lt;&gt;ตำแหน่งว่าง*"),"คนครอง")</f>
        <v>คนครอง</v>
      </c>
      <c r="W2398" s="6" cm="1">
        <f t="array" ref="W2398">_xlfn.IFS(COUNTIF(F2398,"ผบ.หมู่*"),51,COUNTIF(F2398,"รอง สว.*"),43)</f>
        <v>51</v>
      </c>
      <c r="X2398" s="1" t="s">
        <v>7076</v>
      </c>
      <c r="Y2398" s="1" t="s">
        <v>52</v>
      </c>
    </row>
    <row r="2399" spans="1:25" s="9" customFormat="1" ht="21.3" customHeight="1">
      <c r="A2399" s="27" t="s">
        <v>157</v>
      </c>
      <c r="B2399" s="28" t="s">
        <v>21</v>
      </c>
      <c r="C2399" s="27" t="s">
        <v>7079</v>
      </c>
      <c r="D2399" s="27" t="s">
        <v>10479</v>
      </c>
      <c r="E2399" s="27" t="s">
        <v>10480</v>
      </c>
      <c r="F2399" s="27" t="s">
        <v>7072</v>
      </c>
      <c r="G2399" s="101" t="s">
        <v>7081</v>
      </c>
      <c r="H2399" s="75">
        <v>43871</v>
      </c>
      <c r="I2399" s="73">
        <v>27885</v>
      </c>
      <c r="J2399" s="73">
        <v>40339</v>
      </c>
      <c r="K2399" s="73">
        <v>27885</v>
      </c>
      <c r="L2399" s="11" t="s">
        <v>129</v>
      </c>
      <c r="M2399" s="1" t="s">
        <v>33</v>
      </c>
      <c r="N2399" s="112" t="s">
        <v>14</v>
      </c>
      <c r="O2399" s="104" t="s">
        <v>52</v>
      </c>
      <c r="P2399" s="104" t="s">
        <v>52</v>
      </c>
      <c r="Q2399" s="105"/>
      <c r="R2399" s="28" t="s">
        <v>688</v>
      </c>
      <c r="S2399" s="225">
        <f t="shared" si="38"/>
        <v>49949</v>
      </c>
      <c r="T2399" s="2" t="s">
        <v>7671</v>
      </c>
      <c r="U2399" s="162" t="s">
        <v>144</v>
      </c>
      <c r="V2399" s="162" t="str" cm="1">
        <f t="array" ref="V2399">_xlfn.IFS(C2399="","",COUNTIF(C2399,"ตำแหน่งว่าง*"),"ว่าง",COUNTIF(C2399,"&lt;&gt;ตำแหน่งว่าง*"),"คนครอง")</f>
        <v>คนครอง</v>
      </c>
      <c r="W2399" s="6" cm="1">
        <f t="array" ref="W2399">_xlfn.IFS(COUNTIF(F2399,"ผบ.หมู่*"),51,COUNTIF(F2399,"รอง สว.*"),43)</f>
        <v>51</v>
      </c>
      <c r="X2399" s="1" t="s">
        <v>7080</v>
      </c>
      <c r="Y2399" s="1" t="s">
        <v>52</v>
      </c>
    </row>
    <row r="2400" spans="1:25" s="12" customFormat="1" ht="21.3" customHeight="1">
      <c r="A2400" s="27" t="s">
        <v>157</v>
      </c>
      <c r="B2400" s="28" t="s">
        <v>21</v>
      </c>
      <c r="C2400" s="95" t="s">
        <v>7082</v>
      </c>
      <c r="D2400" s="27" t="s">
        <v>8174</v>
      </c>
      <c r="E2400" s="27" t="s">
        <v>10481</v>
      </c>
      <c r="F2400" s="95" t="s">
        <v>7072</v>
      </c>
      <c r="G2400" s="101" t="s">
        <v>7084</v>
      </c>
      <c r="H2400" s="75">
        <v>42501</v>
      </c>
      <c r="I2400" s="73">
        <v>39717</v>
      </c>
      <c r="J2400" s="73">
        <v>39717</v>
      </c>
      <c r="K2400" s="73">
        <v>29148</v>
      </c>
      <c r="L2400" s="11" t="s">
        <v>5012</v>
      </c>
      <c r="M2400" s="1" t="s">
        <v>33</v>
      </c>
      <c r="N2400" s="111" t="s">
        <v>14</v>
      </c>
      <c r="O2400" s="104" t="s">
        <v>52</v>
      </c>
      <c r="P2400" s="104" t="s">
        <v>52</v>
      </c>
      <c r="Q2400" s="105"/>
      <c r="R2400" s="28" t="s">
        <v>110</v>
      </c>
      <c r="S2400" s="225">
        <f t="shared" si="38"/>
        <v>51410</v>
      </c>
      <c r="T2400" s="162" t="s">
        <v>7671</v>
      </c>
      <c r="U2400" s="162" t="s">
        <v>144</v>
      </c>
      <c r="V2400" s="162" t="str" cm="1">
        <f t="array" ref="V2400">_xlfn.IFS(C2400="","",COUNTIF(C2400,"ตำแหน่งว่าง*"),"ว่าง",COUNTIF(C2400,"&lt;&gt;ตำแหน่งว่าง*"),"คนครอง")</f>
        <v>คนครอง</v>
      </c>
      <c r="W2400" s="6" cm="1">
        <f t="array" ref="W2400">_xlfn.IFS(COUNTIF(F2400,"ผบ.หมู่*"),51,COUNTIF(F2400,"รอง สว.*"),43)</f>
        <v>51</v>
      </c>
      <c r="X2400" s="5" t="s">
        <v>7083</v>
      </c>
      <c r="Y2400" s="5" t="s">
        <v>52</v>
      </c>
    </row>
    <row r="2401" spans="1:25" s="9" customFormat="1" ht="21.3" customHeight="1">
      <c r="A2401" s="27" t="s">
        <v>157</v>
      </c>
      <c r="B2401" s="28" t="s">
        <v>21</v>
      </c>
      <c r="C2401" s="27" t="s">
        <v>7085</v>
      </c>
      <c r="D2401" s="27" t="s">
        <v>10482</v>
      </c>
      <c r="E2401" s="27" t="s">
        <v>10483</v>
      </c>
      <c r="F2401" s="27" t="s">
        <v>7072</v>
      </c>
      <c r="G2401" s="101" t="s">
        <v>7087</v>
      </c>
      <c r="H2401" s="75">
        <v>43871</v>
      </c>
      <c r="I2401" s="73">
        <v>41214</v>
      </c>
      <c r="J2401" s="73">
        <v>41214</v>
      </c>
      <c r="K2401" s="73">
        <v>30215</v>
      </c>
      <c r="L2401" s="11" t="s">
        <v>7088</v>
      </c>
      <c r="M2401" s="1" t="s">
        <v>33</v>
      </c>
      <c r="N2401" s="112" t="s">
        <v>14</v>
      </c>
      <c r="O2401" s="104" t="s">
        <v>52</v>
      </c>
      <c r="P2401" s="104" t="s">
        <v>52</v>
      </c>
      <c r="Q2401" s="105"/>
      <c r="R2401" s="28" t="s">
        <v>688</v>
      </c>
      <c r="S2401" s="225">
        <f t="shared" si="38"/>
        <v>52140</v>
      </c>
      <c r="T2401" s="2" t="s">
        <v>7671</v>
      </c>
      <c r="U2401" s="162" t="s">
        <v>144</v>
      </c>
      <c r="V2401" s="162" t="str" cm="1">
        <f t="array" ref="V2401">_xlfn.IFS(C2401="","",COUNTIF(C2401,"ตำแหน่งว่าง*"),"ว่าง",COUNTIF(C2401,"&lt;&gt;ตำแหน่งว่าง*"),"คนครอง")</f>
        <v>คนครอง</v>
      </c>
      <c r="W2401" s="6" cm="1">
        <f t="array" ref="W2401">_xlfn.IFS(COUNTIF(F2401,"ผบ.หมู่*"),51,COUNTIF(F2401,"รอง สว.*"),43)</f>
        <v>51</v>
      </c>
      <c r="X2401" s="1" t="s">
        <v>7086</v>
      </c>
      <c r="Y2401" s="1" t="s">
        <v>52</v>
      </c>
    </row>
    <row r="2402" spans="1:25" s="12" customFormat="1" ht="21.3" customHeight="1">
      <c r="A2402" s="27" t="s">
        <v>10753</v>
      </c>
      <c r="B2402" s="28" t="s">
        <v>12</v>
      </c>
      <c r="C2402" s="95" t="s">
        <v>7089</v>
      </c>
      <c r="D2402" s="27" t="s">
        <v>9041</v>
      </c>
      <c r="E2402" s="27" t="s">
        <v>10484</v>
      </c>
      <c r="F2402" s="95" t="s">
        <v>7069</v>
      </c>
      <c r="G2402" s="104" t="s">
        <v>7091</v>
      </c>
      <c r="H2402" s="91">
        <v>45382</v>
      </c>
      <c r="I2402" s="73">
        <v>45382</v>
      </c>
      <c r="J2402" s="73">
        <v>34001</v>
      </c>
      <c r="K2402" s="73">
        <v>26014</v>
      </c>
      <c r="L2402" s="11" t="s">
        <v>4826</v>
      </c>
      <c r="M2402" s="1" t="s">
        <v>33</v>
      </c>
      <c r="N2402" s="111" t="s">
        <v>14</v>
      </c>
      <c r="O2402" s="104" t="s">
        <v>52</v>
      </c>
      <c r="P2402" s="104" t="s">
        <v>52</v>
      </c>
      <c r="Q2402" s="105"/>
      <c r="R2402" s="33" t="s">
        <v>7801</v>
      </c>
      <c r="S2402" s="225">
        <f t="shared" si="38"/>
        <v>48122</v>
      </c>
      <c r="T2402" s="162" t="s">
        <v>7671</v>
      </c>
      <c r="U2402" s="162" t="s">
        <v>144</v>
      </c>
      <c r="V2402" s="162" t="str" cm="1">
        <f t="array" ref="V2402">_xlfn.IFS(C2402="","",COUNTIF(C2402,"ตำแหน่งว่าง*"),"ว่าง",COUNTIF(C2402,"&lt;&gt;ตำแหน่งว่าง*"),"คนครอง")</f>
        <v>คนครอง</v>
      </c>
      <c r="W2402" s="6" cm="1">
        <f t="array" ref="W2402">_xlfn.IFS(COUNTIF(F2402,"ผบ.หมู่*"),51,COUNTIF(F2402,"รอง สว.*"),43)</f>
        <v>43</v>
      </c>
      <c r="X2402" s="5" t="s">
        <v>7090</v>
      </c>
      <c r="Y2402" s="5" t="s">
        <v>52</v>
      </c>
    </row>
    <row r="2403" spans="1:25" s="9" customFormat="1" ht="21.3" customHeight="1">
      <c r="A2403" s="175" t="s">
        <v>157</v>
      </c>
      <c r="B2403" s="151" t="s">
        <v>21</v>
      </c>
      <c r="C2403" s="175" t="s">
        <v>7092</v>
      </c>
      <c r="D2403" s="27" t="s">
        <v>10485</v>
      </c>
      <c r="E2403" s="27" t="s">
        <v>10486</v>
      </c>
      <c r="F2403" s="175" t="s">
        <v>7072</v>
      </c>
      <c r="G2403" s="103" t="s">
        <v>7094</v>
      </c>
      <c r="H2403" s="75">
        <v>43220</v>
      </c>
      <c r="I2403" s="73">
        <v>39719</v>
      </c>
      <c r="J2403" s="73">
        <v>39719</v>
      </c>
      <c r="K2403" s="73">
        <v>29604</v>
      </c>
      <c r="L2403" s="11" t="s">
        <v>7095</v>
      </c>
      <c r="M2403" s="1" t="s">
        <v>33</v>
      </c>
      <c r="N2403" s="112" t="s">
        <v>14</v>
      </c>
      <c r="O2403" s="104" t="s">
        <v>52</v>
      </c>
      <c r="P2403" s="104" t="s">
        <v>52</v>
      </c>
      <c r="Q2403" s="105"/>
      <c r="R2403" s="28" t="s">
        <v>593</v>
      </c>
      <c r="S2403" s="225">
        <f t="shared" si="38"/>
        <v>51775</v>
      </c>
      <c r="T2403" s="2" t="s">
        <v>7671</v>
      </c>
      <c r="U2403" s="162" t="s">
        <v>144</v>
      </c>
      <c r="V2403" s="162" t="str" cm="1">
        <f t="array" ref="V2403">_xlfn.IFS(C2403="","",COUNTIF(C2403,"ตำแหน่งว่าง*"),"ว่าง",COUNTIF(C2403,"&lt;&gt;ตำแหน่งว่าง*"),"คนครอง")</f>
        <v>คนครอง</v>
      </c>
      <c r="W2403" s="6" cm="1">
        <f t="array" ref="W2403">_xlfn.IFS(COUNTIF(F2403,"ผบ.หมู่*"),51,COUNTIF(F2403,"รอง สว.*"),43)</f>
        <v>51</v>
      </c>
      <c r="X2403" s="1" t="s">
        <v>7093</v>
      </c>
      <c r="Y2403" s="1" t="s">
        <v>52</v>
      </c>
    </row>
    <row r="2404" spans="1:25" s="12" customFormat="1" ht="21.3" customHeight="1">
      <c r="A2404" s="27" t="s">
        <v>157</v>
      </c>
      <c r="B2404" s="28" t="s">
        <v>21</v>
      </c>
      <c r="C2404" s="27" t="s">
        <v>7096</v>
      </c>
      <c r="D2404" s="27" t="s">
        <v>8183</v>
      </c>
      <c r="E2404" s="27" t="s">
        <v>8472</v>
      </c>
      <c r="F2404" s="95" t="s">
        <v>7072</v>
      </c>
      <c r="G2404" s="101" t="s">
        <v>7098</v>
      </c>
      <c r="H2404" s="75">
        <v>42604</v>
      </c>
      <c r="I2404" s="73">
        <v>40814</v>
      </c>
      <c r="J2404" s="73">
        <v>40814</v>
      </c>
      <c r="K2404" s="73">
        <v>31431</v>
      </c>
      <c r="L2404" s="11" t="s">
        <v>7099</v>
      </c>
      <c r="M2404" s="1" t="s">
        <v>33</v>
      </c>
      <c r="N2404" s="111" t="s">
        <v>14</v>
      </c>
      <c r="O2404" s="104" t="s">
        <v>52</v>
      </c>
      <c r="P2404" s="104" t="s">
        <v>52</v>
      </c>
      <c r="Q2404" s="105"/>
      <c r="R2404" s="28" t="s">
        <v>7100</v>
      </c>
      <c r="S2404" s="225">
        <f t="shared" si="38"/>
        <v>53601</v>
      </c>
      <c r="T2404" s="162" t="s">
        <v>7671</v>
      </c>
      <c r="U2404" s="162" t="s">
        <v>144</v>
      </c>
      <c r="V2404" s="162" t="str" cm="1">
        <f t="array" ref="V2404">_xlfn.IFS(C2404="","",COUNTIF(C2404,"ตำแหน่งว่าง*"),"ว่าง",COUNTIF(C2404,"&lt;&gt;ตำแหน่งว่าง*"),"คนครอง")</f>
        <v>คนครอง</v>
      </c>
      <c r="W2404" s="6" cm="1">
        <f t="array" ref="W2404">_xlfn.IFS(COUNTIF(F2404,"ผบ.หมู่*"),51,COUNTIF(F2404,"รอง สว.*"),43)</f>
        <v>51</v>
      </c>
      <c r="X2404" s="5" t="s">
        <v>7097</v>
      </c>
      <c r="Y2404" s="5" t="s">
        <v>52</v>
      </c>
    </row>
    <row r="2405" spans="1:25" s="9" customFormat="1" ht="21.3" customHeight="1">
      <c r="A2405" s="27" t="s">
        <v>157</v>
      </c>
      <c r="B2405" s="28" t="s">
        <v>12</v>
      </c>
      <c r="C2405" s="27" t="s">
        <v>7101</v>
      </c>
      <c r="D2405" s="27" t="s">
        <v>10487</v>
      </c>
      <c r="E2405" s="27" t="s">
        <v>10180</v>
      </c>
      <c r="F2405" s="27" t="s">
        <v>7072</v>
      </c>
      <c r="G2405" s="101" t="s">
        <v>7103</v>
      </c>
      <c r="H2405" s="75">
        <v>42937</v>
      </c>
      <c r="I2405" s="73">
        <v>40339</v>
      </c>
      <c r="J2405" s="73">
        <v>40339</v>
      </c>
      <c r="K2405" s="73">
        <v>27816</v>
      </c>
      <c r="L2405" s="11" t="s">
        <v>7104</v>
      </c>
      <c r="M2405" s="1" t="s">
        <v>33</v>
      </c>
      <c r="N2405" s="112" t="s">
        <v>14</v>
      </c>
      <c r="O2405" s="104" t="s">
        <v>52</v>
      </c>
      <c r="P2405" s="104" t="s">
        <v>52</v>
      </c>
      <c r="Q2405" s="105"/>
      <c r="R2405" s="28" t="s">
        <v>4058</v>
      </c>
      <c r="S2405" s="225">
        <f t="shared" si="38"/>
        <v>49949</v>
      </c>
      <c r="T2405" s="2" t="s">
        <v>7671</v>
      </c>
      <c r="U2405" s="162" t="s">
        <v>144</v>
      </c>
      <c r="V2405" s="162" t="str" cm="1">
        <f t="array" ref="V2405">_xlfn.IFS(C2405="","",COUNTIF(C2405,"ตำแหน่งว่าง*"),"ว่าง",COUNTIF(C2405,"&lt;&gt;ตำแหน่งว่าง*"),"คนครอง")</f>
        <v>คนครอง</v>
      </c>
      <c r="W2405" s="6" cm="1">
        <f t="array" ref="W2405">_xlfn.IFS(COUNTIF(F2405,"ผบ.หมู่*"),51,COUNTIF(F2405,"รอง สว.*"),43)</f>
        <v>51</v>
      </c>
      <c r="X2405" s="1" t="s">
        <v>7102</v>
      </c>
      <c r="Y2405" s="1" t="s">
        <v>52</v>
      </c>
    </row>
    <row r="2406" spans="1:25" s="12" customFormat="1" ht="21.3" customHeight="1">
      <c r="A2406" s="27" t="s">
        <v>10753</v>
      </c>
      <c r="B2406" s="28" t="s">
        <v>21</v>
      </c>
      <c r="C2406" s="95" t="s">
        <v>7105</v>
      </c>
      <c r="D2406" s="27" t="s">
        <v>10488</v>
      </c>
      <c r="E2406" s="27" t="s">
        <v>10489</v>
      </c>
      <c r="F2406" s="95" t="s">
        <v>7069</v>
      </c>
      <c r="G2406" s="101" t="s">
        <v>7107</v>
      </c>
      <c r="H2406" s="75">
        <v>45016</v>
      </c>
      <c r="I2406" s="73">
        <v>45016</v>
      </c>
      <c r="J2406" s="73">
        <v>34352</v>
      </c>
      <c r="K2406" s="73">
        <v>25800</v>
      </c>
      <c r="L2406" s="11" t="s">
        <v>4073</v>
      </c>
      <c r="M2406" s="1" t="s">
        <v>33</v>
      </c>
      <c r="N2406" s="111" t="s">
        <v>14</v>
      </c>
      <c r="O2406" s="104" t="s">
        <v>52</v>
      </c>
      <c r="P2406" s="104" t="s">
        <v>52</v>
      </c>
      <c r="Q2406" s="105"/>
      <c r="R2406" s="28" t="s">
        <v>483</v>
      </c>
      <c r="S2406" s="225">
        <f t="shared" si="38"/>
        <v>47757</v>
      </c>
      <c r="T2406" s="162" t="s">
        <v>7671</v>
      </c>
      <c r="U2406" s="162" t="s">
        <v>144</v>
      </c>
      <c r="V2406" s="162" t="str" cm="1">
        <f t="array" ref="V2406">_xlfn.IFS(C2406="","",COUNTIF(C2406,"ตำแหน่งว่าง*"),"ว่าง",COUNTIF(C2406,"&lt;&gt;ตำแหน่งว่าง*"),"คนครอง")</f>
        <v>คนครอง</v>
      </c>
      <c r="W2406" s="5" cm="1">
        <f t="array" ref="W2406">_xlfn.IFS(COUNTIF(F2406,"ผบ.หมู่*"),51,COUNTIF(F2406,"รอง สว.*"),43)</f>
        <v>43</v>
      </c>
      <c r="X2406" s="5" t="s">
        <v>7106</v>
      </c>
      <c r="Y2406" s="5" t="s">
        <v>52</v>
      </c>
    </row>
    <row r="2407" spans="1:25" s="12" customFormat="1" ht="21.3" customHeight="1">
      <c r="A2407" s="27" t="s">
        <v>60</v>
      </c>
      <c r="B2407" s="28" t="s">
        <v>21</v>
      </c>
      <c r="C2407" s="95" t="s">
        <v>7108</v>
      </c>
      <c r="D2407" s="27" t="s">
        <v>10490</v>
      </c>
      <c r="E2407" s="27" t="s">
        <v>10491</v>
      </c>
      <c r="F2407" s="95" t="s">
        <v>7069</v>
      </c>
      <c r="G2407" s="101" t="s">
        <v>7110</v>
      </c>
      <c r="H2407" s="75">
        <v>42501</v>
      </c>
      <c r="I2407" s="73">
        <v>34352</v>
      </c>
      <c r="J2407" s="73">
        <v>34352</v>
      </c>
      <c r="K2407" s="73">
        <v>26566</v>
      </c>
      <c r="L2407" s="11" t="s">
        <v>7111</v>
      </c>
      <c r="M2407" s="1" t="s">
        <v>33</v>
      </c>
      <c r="N2407" s="111" t="s">
        <v>14</v>
      </c>
      <c r="O2407" s="104" t="s">
        <v>52</v>
      </c>
      <c r="P2407" s="104" t="s">
        <v>52</v>
      </c>
      <c r="Q2407" s="105"/>
      <c r="R2407" s="28" t="s">
        <v>110</v>
      </c>
      <c r="S2407" s="225">
        <f t="shared" si="38"/>
        <v>48488</v>
      </c>
      <c r="T2407" s="162" t="s">
        <v>7671</v>
      </c>
      <c r="U2407" s="162" t="s">
        <v>144</v>
      </c>
      <c r="V2407" s="162" t="str" cm="1">
        <f t="array" ref="V2407">_xlfn.IFS(C2407="","",COUNTIF(C2407,"ตำแหน่งว่าง*"),"ว่าง",COUNTIF(C2407,"&lt;&gt;ตำแหน่งว่าง*"),"คนครอง")</f>
        <v>คนครอง</v>
      </c>
      <c r="W2407" s="6" cm="1">
        <f t="array" ref="W2407">_xlfn.IFS(COUNTIF(F2407,"ผบ.หมู่*"),51,COUNTIF(F2407,"รอง สว.*"),43)</f>
        <v>43</v>
      </c>
      <c r="X2407" s="5" t="s">
        <v>7109</v>
      </c>
      <c r="Y2407" s="5" t="s">
        <v>52</v>
      </c>
    </row>
    <row r="2408" spans="1:25" s="12" customFormat="1" ht="21.3" customHeight="1">
      <c r="A2408" s="27" t="s">
        <v>157</v>
      </c>
      <c r="B2408" s="28" t="s">
        <v>21</v>
      </c>
      <c r="C2408" s="27" t="s">
        <v>7112</v>
      </c>
      <c r="D2408" s="27" t="s">
        <v>8191</v>
      </c>
      <c r="E2408" s="27" t="s">
        <v>10492</v>
      </c>
      <c r="F2408" s="95" t="s">
        <v>7072</v>
      </c>
      <c r="G2408" s="101" t="s">
        <v>7114</v>
      </c>
      <c r="H2408" s="75">
        <v>42501</v>
      </c>
      <c r="I2408" s="73">
        <v>34352</v>
      </c>
      <c r="J2408" s="73">
        <v>34352</v>
      </c>
      <c r="K2408" s="73">
        <v>27439</v>
      </c>
      <c r="L2408" s="11" t="s">
        <v>7111</v>
      </c>
      <c r="M2408" s="1" t="s">
        <v>33</v>
      </c>
      <c r="N2408" s="111" t="s">
        <v>14</v>
      </c>
      <c r="O2408" s="104" t="s">
        <v>52</v>
      </c>
      <c r="P2408" s="104" t="s">
        <v>52</v>
      </c>
      <c r="Q2408" s="105"/>
      <c r="R2408" s="28" t="s">
        <v>110</v>
      </c>
      <c r="S2408" s="225">
        <f t="shared" si="38"/>
        <v>49583</v>
      </c>
      <c r="T2408" s="162" t="s">
        <v>7671</v>
      </c>
      <c r="U2408" s="162" t="s">
        <v>144</v>
      </c>
      <c r="V2408" s="162" t="str" cm="1">
        <f t="array" ref="V2408">_xlfn.IFS(C2408="","",COUNTIF(C2408,"ตำแหน่งว่าง*"),"ว่าง",COUNTIF(C2408,"&lt;&gt;ตำแหน่งว่าง*"),"คนครอง")</f>
        <v>คนครอง</v>
      </c>
      <c r="W2408" s="6" cm="1">
        <f t="array" ref="W2408">_xlfn.IFS(COUNTIF(F2408,"ผบ.หมู่*"),51,COUNTIF(F2408,"รอง สว.*"),43)</f>
        <v>51</v>
      </c>
      <c r="X2408" s="5" t="s">
        <v>7113</v>
      </c>
      <c r="Y2408" s="5" t="s">
        <v>52</v>
      </c>
    </row>
    <row r="2409" spans="1:25" s="12" customFormat="1" ht="21.3" customHeight="1">
      <c r="A2409" s="27" t="s">
        <v>157</v>
      </c>
      <c r="B2409" s="28" t="s">
        <v>21</v>
      </c>
      <c r="C2409" s="95" t="s">
        <v>7115</v>
      </c>
      <c r="D2409" s="27" t="s">
        <v>10493</v>
      </c>
      <c r="E2409" s="27" t="s">
        <v>10494</v>
      </c>
      <c r="F2409" s="95" t="s">
        <v>7072</v>
      </c>
      <c r="G2409" s="101" t="s">
        <v>7117</v>
      </c>
      <c r="H2409" s="75">
        <v>42501</v>
      </c>
      <c r="I2409" s="73">
        <v>34352</v>
      </c>
      <c r="J2409" s="73">
        <v>34352</v>
      </c>
      <c r="K2409" s="73">
        <v>26811</v>
      </c>
      <c r="L2409" s="11" t="s">
        <v>7118</v>
      </c>
      <c r="M2409" s="1" t="s">
        <v>33</v>
      </c>
      <c r="N2409" s="111" t="s">
        <v>14</v>
      </c>
      <c r="O2409" s="104" t="s">
        <v>52</v>
      </c>
      <c r="P2409" s="104" t="s">
        <v>52</v>
      </c>
      <c r="Q2409" s="105"/>
      <c r="R2409" s="28" t="s">
        <v>110</v>
      </c>
      <c r="S2409" s="225">
        <f t="shared" si="38"/>
        <v>48853</v>
      </c>
      <c r="T2409" s="162" t="s">
        <v>7671</v>
      </c>
      <c r="U2409" s="162" t="s">
        <v>144</v>
      </c>
      <c r="V2409" s="162" t="str" cm="1">
        <f t="array" ref="V2409">_xlfn.IFS(C2409="","",COUNTIF(C2409,"ตำแหน่งว่าง*"),"ว่าง",COUNTIF(C2409,"&lt;&gt;ตำแหน่งว่าง*"),"คนครอง")</f>
        <v>คนครอง</v>
      </c>
      <c r="W2409" s="6" cm="1">
        <f t="array" ref="W2409">_xlfn.IFS(COUNTIF(F2409,"ผบ.หมู่*"),51,COUNTIF(F2409,"รอง สว.*"),43)</f>
        <v>51</v>
      </c>
      <c r="X2409" s="5" t="s">
        <v>7116</v>
      </c>
      <c r="Y2409" s="5" t="s">
        <v>52</v>
      </c>
    </row>
    <row r="2410" spans="1:25" s="12" customFormat="1" ht="21.3" customHeight="1">
      <c r="A2410" s="27" t="s">
        <v>157</v>
      </c>
      <c r="B2410" s="28" t="s">
        <v>21</v>
      </c>
      <c r="C2410" s="27" t="s">
        <v>6713</v>
      </c>
      <c r="D2410" s="27" t="s">
        <v>10315</v>
      </c>
      <c r="E2410" s="27" t="s">
        <v>10316</v>
      </c>
      <c r="F2410" s="27" t="s">
        <v>7123</v>
      </c>
      <c r="G2410" s="101" t="s">
        <v>7121</v>
      </c>
      <c r="H2410" s="75">
        <v>45768</v>
      </c>
      <c r="I2410" s="73">
        <v>40339</v>
      </c>
      <c r="J2410" s="73">
        <v>40339</v>
      </c>
      <c r="K2410" s="73">
        <v>29090</v>
      </c>
      <c r="L2410" s="11" t="s">
        <v>6716</v>
      </c>
      <c r="M2410" s="1" t="s">
        <v>93</v>
      </c>
      <c r="N2410" s="112" t="s">
        <v>14</v>
      </c>
      <c r="O2410" s="104" t="s">
        <v>52</v>
      </c>
      <c r="P2410" s="104" t="s">
        <v>52</v>
      </c>
      <c r="Q2410" s="105"/>
      <c r="R2410" s="28" t="s">
        <v>10804</v>
      </c>
      <c r="S2410" s="174">
        <f t="shared" si="38"/>
        <v>51044</v>
      </c>
      <c r="T2410" s="2" t="s">
        <v>7672</v>
      </c>
      <c r="U2410" s="2" t="s">
        <v>144</v>
      </c>
      <c r="V2410" s="2" t="str" cm="1">
        <f t="array" ref="V2410">_xlfn.IFS(C2410="","",COUNTIF(C2410,"ตำแหน่งว่าง*"),"ว่าง",COUNTIF(C2410,"&lt;&gt;ตำแหน่งว่าง*"),"คนครอง")</f>
        <v>คนครอง</v>
      </c>
      <c r="W2410" s="1" cm="1">
        <f t="array" ref="W2410">_xlfn.IFS(COUNTIF(F2410,"ผบ.หมู่*"),51,COUNTIF(F2410,"รอง สว.*"),43)</f>
        <v>51</v>
      </c>
      <c r="X2410" s="1" t="s">
        <v>7120</v>
      </c>
      <c r="Y2410" s="1" t="s">
        <v>52</v>
      </c>
    </row>
    <row r="2411" spans="1:25" s="12" customFormat="1" ht="21.3" customHeight="1">
      <c r="A2411" s="27" t="s">
        <v>157</v>
      </c>
      <c r="B2411" s="28" t="s">
        <v>12</v>
      </c>
      <c r="C2411" s="95" t="s">
        <v>7122</v>
      </c>
      <c r="D2411" s="27" t="s">
        <v>10495</v>
      </c>
      <c r="E2411" s="27" t="s">
        <v>10496</v>
      </c>
      <c r="F2411" s="95" t="s">
        <v>7123</v>
      </c>
      <c r="G2411" s="101" t="s">
        <v>7125</v>
      </c>
      <c r="H2411" s="75">
        <v>42501</v>
      </c>
      <c r="I2411" s="73">
        <v>37316</v>
      </c>
      <c r="J2411" s="73">
        <v>37316</v>
      </c>
      <c r="K2411" s="73">
        <v>26972</v>
      </c>
      <c r="L2411" s="11" t="s">
        <v>7126</v>
      </c>
      <c r="M2411" s="1" t="s">
        <v>93</v>
      </c>
      <c r="N2411" s="111" t="s">
        <v>14</v>
      </c>
      <c r="O2411" s="104" t="s">
        <v>52</v>
      </c>
      <c r="P2411" s="104" t="s">
        <v>52</v>
      </c>
      <c r="Q2411" s="105"/>
      <c r="R2411" s="28" t="s">
        <v>110</v>
      </c>
      <c r="S2411" s="225">
        <f t="shared" si="38"/>
        <v>49218</v>
      </c>
      <c r="T2411" s="162" t="s">
        <v>7672</v>
      </c>
      <c r="U2411" s="162" t="s">
        <v>144</v>
      </c>
      <c r="V2411" s="162" t="str" cm="1">
        <f t="array" ref="V2411">_xlfn.IFS(C2411="","",COUNTIF(C2411,"ตำแหน่งว่าง*"),"ว่าง",COUNTIF(C2411,"&lt;&gt;ตำแหน่งว่าง*"),"คนครอง")</f>
        <v>คนครอง</v>
      </c>
      <c r="W2411" s="6" cm="1">
        <f t="array" ref="W2411">_xlfn.IFS(COUNTIF(F2411,"ผบ.หมู่*"),51,COUNTIF(F2411,"รอง สว.*"),43)</f>
        <v>51</v>
      </c>
      <c r="X2411" s="5" t="s">
        <v>7124</v>
      </c>
      <c r="Y2411" s="5" t="s">
        <v>52</v>
      </c>
    </row>
    <row r="2412" spans="1:25" s="12" customFormat="1" ht="21.3" customHeight="1">
      <c r="A2412" s="27" t="s">
        <v>157</v>
      </c>
      <c r="B2412" s="28" t="s">
        <v>21</v>
      </c>
      <c r="C2412" s="95" t="s">
        <v>7127</v>
      </c>
      <c r="D2412" s="27" t="s">
        <v>8136</v>
      </c>
      <c r="E2412" s="27" t="s">
        <v>10497</v>
      </c>
      <c r="F2412" s="95" t="s">
        <v>7123</v>
      </c>
      <c r="G2412" s="101" t="s">
        <v>7129</v>
      </c>
      <c r="H2412" s="75">
        <v>42501</v>
      </c>
      <c r="I2412" s="73">
        <v>35095</v>
      </c>
      <c r="J2412" s="73">
        <v>35095</v>
      </c>
      <c r="K2412" s="73">
        <v>26715</v>
      </c>
      <c r="L2412" s="11" t="s">
        <v>7130</v>
      </c>
      <c r="M2412" s="1" t="s">
        <v>93</v>
      </c>
      <c r="N2412" s="111" t="s">
        <v>14</v>
      </c>
      <c r="O2412" s="104" t="s">
        <v>52</v>
      </c>
      <c r="P2412" s="104" t="s">
        <v>52</v>
      </c>
      <c r="Q2412" s="105"/>
      <c r="R2412" s="28" t="s">
        <v>110</v>
      </c>
      <c r="S2412" s="225">
        <f t="shared" si="38"/>
        <v>48853</v>
      </c>
      <c r="T2412" s="162" t="s">
        <v>7672</v>
      </c>
      <c r="U2412" s="162" t="s">
        <v>144</v>
      </c>
      <c r="V2412" s="162" t="str" cm="1">
        <f t="array" ref="V2412">_xlfn.IFS(C2412="","",COUNTIF(C2412,"ตำแหน่งว่าง*"),"ว่าง",COUNTIF(C2412,"&lt;&gt;ตำแหน่งว่าง*"),"คนครอง")</f>
        <v>คนครอง</v>
      </c>
      <c r="W2412" s="6" cm="1">
        <f t="array" ref="W2412">_xlfn.IFS(COUNTIF(F2412,"ผบ.หมู่*"),51,COUNTIF(F2412,"รอง สว.*"),43)</f>
        <v>51</v>
      </c>
      <c r="X2412" s="5" t="s">
        <v>7128</v>
      </c>
      <c r="Y2412" s="5" t="s">
        <v>52</v>
      </c>
    </row>
    <row r="2413" spans="1:25" s="12" customFormat="1" ht="21.3" customHeight="1">
      <c r="A2413" s="27" t="s">
        <v>157</v>
      </c>
      <c r="B2413" s="28" t="s">
        <v>21</v>
      </c>
      <c r="C2413" s="95" t="s">
        <v>7131</v>
      </c>
      <c r="D2413" s="27" t="s">
        <v>10498</v>
      </c>
      <c r="E2413" s="27" t="s">
        <v>10499</v>
      </c>
      <c r="F2413" s="95" t="s">
        <v>7123</v>
      </c>
      <c r="G2413" s="101" t="s">
        <v>7133</v>
      </c>
      <c r="H2413" s="75">
        <v>42501</v>
      </c>
      <c r="I2413" s="73">
        <v>39717</v>
      </c>
      <c r="J2413" s="73">
        <v>39717</v>
      </c>
      <c r="K2413" s="73">
        <v>31217</v>
      </c>
      <c r="L2413" s="11" t="s">
        <v>5012</v>
      </c>
      <c r="M2413" s="1" t="s">
        <v>93</v>
      </c>
      <c r="N2413" s="111" t="s">
        <v>14</v>
      </c>
      <c r="O2413" s="104" t="s">
        <v>52</v>
      </c>
      <c r="P2413" s="104" t="s">
        <v>52</v>
      </c>
      <c r="Q2413" s="105"/>
      <c r="R2413" s="28" t="s">
        <v>110</v>
      </c>
      <c r="S2413" s="225">
        <f t="shared" si="38"/>
        <v>53236</v>
      </c>
      <c r="T2413" s="162" t="s">
        <v>7672</v>
      </c>
      <c r="U2413" s="162" t="s">
        <v>144</v>
      </c>
      <c r="V2413" s="162" t="str" cm="1">
        <f t="array" ref="V2413">_xlfn.IFS(C2413="","",COUNTIF(C2413,"ตำแหน่งว่าง*"),"ว่าง",COUNTIF(C2413,"&lt;&gt;ตำแหน่งว่าง*"),"คนครอง")</f>
        <v>คนครอง</v>
      </c>
      <c r="W2413" s="6" cm="1">
        <f t="array" ref="W2413">_xlfn.IFS(COUNTIF(F2413,"ผบ.หมู่*"),51,COUNTIF(F2413,"รอง สว.*"),43)</f>
        <v>51</v>
      </c>
      <c r="X2413" s="5" t="s">
        <v>7132</v>
      </c>
      <c r="Y2413" s="5" t="s">
        <v>52</v>
      </c>
    </row>
    <row r="2414" spans="1:25" s="12" customFormat="1" ht="21.3" customHeight="1">
      <c r="A2414" s="27" t="s">
        <v>157</v>
      </c>
      <c r="B2414" s="28" t="s">
        <v>21</v>
      </c>
      <c r="C2414" s="95" t="s">
        <v>7134</v>
      </c>
      <c r="D2414" s="27" t="s">
        <v>8267</v>
      </c>
      <c r="E2414" s="27" t="s">
        <v>8113</v>
      </c>
      <c r="F2414" s="95" t="s">
        <v>7123</v>
      </c>
      <c r="G2414" s="101" t="s">
        <v>7136</v>
      </c>
      <c r="H2414" s="75">
        <v>42604</v>
      </c>
      <c r="I2414" s="73">
        <v>40814</v>
      </c>
      <c r="J2414" s="73">
        <v>40814</v>
      </c>
      <c r="K2414" s="73">
        <v>30693</v>
      </c>
      <c r="L2414" s="11" t="s">
        <v>6219</v>
      </c>
      <c r="M2414" s="1" t="s">
        <v>93</v>
      </c>
      <c r="N2414" s="111" t="s">
        <v>14</v>
      </c>
      <c r="O2414" s="104" t="s">
        <v>52</v>
      </c>
      <c r="P2414" s="104" t="s">
        <v>52</v>
      </c>
      <c r="Q2414" s="105"/>
      <c r="R2414" s="28" t="s">
        <v>76</v>
      </c>
      <c r="S2414" s="225">
        <f t="shared" si="38"/>
        <v>52871</v>
      </c>
      <c r="T2414" s="162" t="s">
        <v>7672</v>
      </c>
      <c r="U2414" s="162" t="s">
        <v>144</v>
      </c>
      <c r="V2414" s="162" t="str" cm="1">
        <f t="array" ref="V2414">_xlfn.IFS(C2414="","",COUNTIF(C2414,"ตำแหน่งว่าง*"),"ว่าง",COUNTIF(C2414,"&lt;&gt;ตำแหน่งว่าง*"),"คนครอง")</f>
        <v>คนครอง</v>
      </c>
      <c r="W2414" s="6" cm="1">
        <f t="array" ref="W2414">_xlfn.IFS(COUNTIF(F2414,"ผบ.หมู่*"),51,COUNTIF(F2414,"รอง สว.*"),43)</f>
        <v>51</v>
      </c>
      <c r="X2414" s="5" t="s">
        <v>7135</v>
      </c>
      <c r="Y2414" s="5" t="s">
        <v>52</v>
      </c>
    </row>
    <row r="2415" spans="1:25" s="12" customFormat="1" ht="21.3" customHeight="1">
      <c r="A2415" s="27" t="s">
        <v>157</v>
      </c>
      <c r="B2415" s="28" t="s">
        <v>21</v>
      </c>
      <c r="C2415" s="95" t="s">
        <v>7137</v>
      </c>
      <c r="D2415" s="27" t="s">
        <v>8156</v>
      </c>
      <c r="E2415" s="27" t="s">
        <v>10500</v>
      </c>
      <c r="F2415" s="95" t="s">
        <v>7123</v>
      </c>
      <c r="G2415" s="101" t="s">
        <v>7139</v>
      </c>
      <c r="H2415" s="75">
        <v>42937</v>
      </c>
      <c r="I2415" s="73">
        <v>39717</v>
      </c>
      <c r="J2415" s="73">
        <v>39717</v>
      </c>
      <c r="K2415" s="73">
        <v>31001</v>
      </c>
      <c r="L2415" s="11" t="s">
        <v>5064</v>
      </c>
      <c r="M2415" s="1" t="s">
        <v>93</v>
      </c>
      <c r="N2415" s="111" t="s">
        <v>14</v>
      </c>
      <c r="O2415" s="104" t="s">
        <v>52</v>
      </c>
      <c r="P2415" s="104" t="s">
        <v>52</v>
      </c>
      <c r="Q2415" s="105"/>
      <c r="R2415" s="28" t="s">
        <v>1125</v>
      </c>
      <c r="S2415" s="225">
        <f t="shared" si="38"/>
        <v>53236</v>
      </c>
      <c r="T2415" s="162" t="s">
        <v>7672</v>
      </c>
      <c r="U2415" s="162" t="s">
        <v>144</v>
      </c>
      <c r="V2415" s="162" t="str" cm="1">
        <f t="array" ref="V2415">_xlfn.IFS(C2415="","",COUNTIF(C2415,"ตำแหน่งว่าง*"),"ว่าง",COUNTIF(C2415,"&lt;&gt;ตำแหน่งว่าง*"),"คนครอง")</f>
        <v>คนครอง</v>
      </c>
      <c r="W2415" s="6" cm="1">
        <f t="array" ref="W2415">_xlfn.IFS(COUNTIF(F2415,"ผบ.หมู่*"),51,COUNTIF(F2415,"รอง สว.*"),43)</f>
        <v>51</v>
      </c>
      <c r="X2415" s="5" t="s">
        <v>7138</v>
      </c>
      <c r="Y2415" s="5" t="s">
        <v>52</v>
      </c>
    </row>
    <row r="2416" spans="1:25" s="9" customFormat="1" ht="21.3" customHeight="1">
      <c r="A2416" s="27" t="s">
        <v>157</v>
      </c>
      <c r="B2416" s="28" t="s">
        <v>21</v>
      </c>
      <c r="C2416" s="27" t="s">
        <v>7140</v>
      </c>
      <c r="D2416" s="27" t="s">
        <v>7980</v>
      </c>
      <c r="E2416" s="27" t="s">
        <v>10191</v>
      </c>
      <c r="F2416" s="27" t="s">
        <v>7123</v>
      </c>
      <c r="G2416" s="101" t="s">
        <v>7142</v>
      </c>
      <c r="H2416" s="75">
        <v>43871</v>
      </c>
      <c r="I2416" s="73">
        <v>39717</v>
      </c>
      <c r="J2416" s="73">
        <v>39717</v>
      </c>
      <c r="K2416" s="73">
        <v>29810</v>
      </c>
      <c r="L2416" s="11" t="s">
        <v>7143</v>
      </c>
      <c r="M2416" s="1" t="s">
        <v>93</v>
      </c>
      <c r="N2416" s="112" t="s">
        <v>14</v>
      </c>
      <c r="O2416" s="104" t="s">
        <v>52</v>
      </c>
      <c r="P2416" s="104" t="s">
        <v>52</v>
      </c>
      <c r="Q2416" s="105"/>
      <c r="R2416" s="28" t="s">
        <v>688</v>
      </c>
      <c r="S2416" s="225">
        <f t="shared" si="38"/>
        <v>51775</v>
      </c>
      <c r="T2416" s="2" t="s">
        <v>7672</v>
      </c>
      <c r="U2416" s="162" t="s">
        <v>144</v>
      </c>
      <c r="V2416" s="162" t="str" cm="1">
        <f t="array" ref="V2416">_xlfn.IFS(C2416="","",COUNTIF(C2416,"ตำแหน่งว่าง*"),"ว่าง",COUNTIF(C2416,"&lt;&gt;ตำแหน่งว่าง*"),"คนครอง")</f>
        <v>คนครอง</v>
      </c>
      <c r="W2416" s="6" cm="1">
        <f t="array" ref="W2416">_xlfn.IFS(COUNTIF(F2416,"ผบ.หมู่*"),51,COUNTIF(F2416,"รอง สว.*"),43)</f>
        <v>51</v>
      </c>
      <c r="X2416" s="1" t="s">
        <v>7141</v>
      </c>
      <c r="Y2416" s="1" t="s">
        <v>52</v>
      </c>
    </row>
    <row r="2417" spans="1:25" s="9" customFormat="1" ht="21.3" customHeight="1">
      <c r="A2417" s="27" t="s">
        <v>157</v>
      </c>
      <c r="B2417" s="28" t="s">
        <v>21</v>
      </c>
      <c r="C2417" s="27" t="s">
        <v>7717</v>
      </c>
      <c r="D2417" s="27" t="s">
        <v>10501</v>
      </c>
      <c r="E2417" s="27" t="s">
        <v>10502</v>
      </c>
      <c r="F2417" s="27" t="s">
        <v>7123</v>
      </c>
      <c r="G2417" s="101" t="s">
        <v>7145</v>
      </c>
      <c r="H2417" s="75">
        <v>45322</v>
      </c>
      <c r="I2417" s="73">
        <v>40339</v>
      </c>
      <c r="J2417" s="73">
        <v>40339</v>
      </c>
      <c r="K2417" s="73">
        <v>28799</v>
      </c>
      <c r="L2417" s="11" t="s">
        <v>6725</v>
      </c>
      <c r="M2417" s="1" t="s">
        <v>33</v>
      </c>
      <c r="N2417" s="112" t="s">
        <v>14</v>
      </c>
      <c r="O2417" s="104" t="s">
        <v>52</v>
      </c>
      <c r="P2417" s="104" t="s">
        <v>52</v>
      </c>
      <c r="Q2417" s="105"/>
      <c r="R2417" s="30" t="s">
        <v>7708</v>
      </c>
      <c r="S2417" s="225">
        <f t="shared" si="38"/>
        <v>51044</v>
      </c>
      <c r="T2417" s="2" t="s">
        <v>7672</v>
      </c>
      <c r="U2417" s="162" t="s">
        <v>144</v>
      </c>
      <c r="V2417" s="162" t="str" cm="1">
        <f t="array" ref="V2417">_xlfn.IFS(C2417="","",COUNTIF(C2417,"ตำแหน่งว่าง*"),"ว่าง",COUNTIF(C2417,"&lt;&gt;ตำแหน่งว่าง*"),"คนครอง")</f>
        <v>คนครอง</v>
      </c>
      <c r="W2417" s="6" cm="1">
        <f t="array" ref="W2417">_xlfn.IFS(COUNTIF(F2417,"ผบ.หมู่*"),51,COUNTIF(F2417,"รอง สว.*"),43)</f>
        <v>51</v>
      </c>
      <c r="X2417" s="1" t="s">
        <v>7144</v>
      </c>
      <c r="Y2417" s="1" t="s">
        <v>52</v>
      </c>
    </row>
    <row r="2418" spans="1:25" s="12" customFormat="1" ht="21.3" customHeight="1">
      <c r="A2418" s="27" t="s">
        <v>157</v>
      </c>
      <c r="B2418" s="28" t="s">
        <v>21</v>
      </c>
      <c r="C2418" s="95" t="s">
        <v>7146</v>
      </c>
      <c r="D2418" s="27" t="s">
        <v>10503</v>
      </c>
      <c r="E2418" s="27" t="s">
        <v>10504</v>
      </c>
      <c r="F2418" s="95" t="s">
        <v>7123</v>
      </c>
      <c r="G2418" s="101" t="s">
        <v>7148</v>
      </c>
      <c r="H2418" s="75">
        <v>42501</v>
      </c>
      <c r="I2418" s="73">
        <v>34352</v>
      </c>
      <c r="J2418" s="73">
        <v>34352</v>
      </c>
      <c r="K2418" s="73">
        <v>27041</v>
      </c>
      <c r="L2418" s="11" t="s">
        <v>7149</v>
      </c>
      <c r="M2418" s="1" t="s">
        <v>93</v>
      </c>
      <c r="N2418" s="111" t="s">
        <v>14</v>
      </c>
      <c r="O2418" s="104" t="s">
        <v>52</v>
      </c>
      <c r="P2418" s="104" t="s">
        <v>52</v>
      </c>
      <c r="Q2418" s="105"/>
      <c r="R2418" s="28" t="s">
        <v>110</v>
      </c>
      <c r="S2418" s="225">
        <f t="shared" si="38"/>
        <v>49218</v>
      </c>
      <c r="T2418" s="162" t="s">
        <v>7672</v>
      </c>
      <c r="U2418" s="162" t="s">
        <v>144</v>
      </c>
      <c r="V2418" s="162" t="str" cm="1">
        <f t="array" ref="V2418">_xlfn.IFS(C2418="","",COUNTIF(C2418,"ตำแหน่งว่าง*"),"ว่าง",COUNTIF(C2418,"&lt;&gt;ตำแหน่งว่าง*"),"คนครอง")</f>
        <v>คนครอง</v>
      </c>
      <c r="W2418" s="6" cm="1">
        <f t="array" ref="W2418">_xlfn.IFS(COUNTIF(F2418,"ผบ.หมู่*"),51,COUNTIF(F2418,"รอง สว.*"),43)</f>
        <v>51</v>
      </c>
      <c r="X2418" s="5" t="s">
        <v>7147</v>
      </c>
      <c r="Y2418" s="5" t="s">
        <v>52</v>
      </c>
    </row>
    <row r="2419" spans="1:25" s="9" customFormat="1" ht="21.3" customHeight="1">
      <c r="A2419" s="27" t="s">
        <v>157</v>
      </c>
      <c r="B2419" s="28" t="s">
        <v>21</v>
      </c>
      <c r="C2419" s="27" t="s">
        <v>7150</v>
      </c>
      <c r="D2419" s="27" t="s">
        <v>8306</v>
      </c>
      <c r="E2419" s="27" t="s">
        <v>10505</v>
      </c>
      <c r="F2419" s="27" t="s">
        <v>7123</v>
      </c>
      <c r="G2419" s="101" t="s">
        <v>7152</v>
      </c>
      <c r="H2419" s="75">
        <v>43871</v>
      </c>
      <c r="I2419" s="73">
        <v>40339</v>
      </c>
      <c r="J2419" s="73">
        <v>40339</v>
      </c>
      <c r="K2419" s="73">
        <v>30589</v>
      </c>
      <c r="L2419" s="11" t="s">
        <v>7153</v>
      </c>
      <c r="M2419" s="1" t="s">
        <v>93</v>
      </c>
      <c r="N2419" s="112" t="s">
        <v>14</v>
      </c>
      <c r="O2419" s="104" t="s">
        <v>52</v>
      </c>
      <c r="P2419" s="104" t="s">
        <v>52</v>
      </c>
      <c r="Q2419" s="105"/>
      <c r="R2419" s="28" t="s">
        <v>688</v>
      </c>
      <c r="S2419" s="225">
        <f t="shared" si="38"/>
        <v>52505</v>
      </c>
      <c r="T2419" s="2" t="s">
        <v>7672</v>
      </c>
      <c r="U2419" s="162" t="s">
        <v>144</v>
      </c>
      <c r="V2419" s="162" t="str" cm="1">
        <f t="array" ref="V2419">_xlfn.IFS(C2419="","",COUNTIF(C2419,"ตำแหน่งว่าง*"),"ว่าง",COUNTIF(C2419,"&lt;&gt;ตำแหน่งว่าง*"),"คนครอง")</f>
        <v>คนครอง</v>
      </c>
      <c r="W2419" s="6" cm="1">
        <f t="array" ref="W2419">_xlfn.IFS(COUNTIF(F2419,"ผบ.หมู่*"),51,COUNTIF(F2419,"รอง สว.*"),43)</f>
        <v>51</v>
      </c>
      <c r="X2419" s="1" t="s">
        <v>7151</v>
      </c>
      <c r="Y2419" s="1" t="s">
        <v>52</v>
      </c>
    </row>
    <row r="2420" spans="1:25" s="12" customFormat="1" ht="21.3" customHeight="1">
      <c r="A2420" s="27" t="s">
        <v>60</v>
      </c>
      <c r="B2420" s="28" t="s">
        <v>12</v>
      </c>
      <c r="C2420" s="95" t="s">
        <v>7154</v>
      </c>
      <c r="D2420" s="27" t="s">
        <v>8124</v>
      </c>
      <c r="E2420" s="27" t="s">
        <v>10506</v>
      </c>
      <c r="F2420" s="95" t="s">
        <v>7119</v>
      </c>
      <c r="G2420" s="101" t="s">
        <v>7156</v>
      </c>
      <c r="H2420" s="75">
        <v>42501</v>
      </c>
      <c r="I2420" s="73">
        <v>34352</v>
      </c>
      <c r="J2420" s="73">
        <v>34352</v>
      </c>
      <c r="K2420" s="73">
        <v>26350</v>
      </c>
      <c r="L2420" s="11" t="s">
        <v>7157</v>
      </c>
      <c r="M2420" s="1" t="s">
        <v>93</v>
      </c>
      <c r="N2420" s="111" t="s">
        <v>14</v>
      </c>
      <c r="O2420" s="104" t="s">
        <v>52</v>
      </c>
      <c r="P2420" s="104" t="s">
        <v>52</v>
      </c>
      <c r="Q2420" s="105"/>
      <c r="R2420" s="28" t="s">
        <v>110</v>
      </c>
      <c r="S2420" s="225">
        <f t="shared" si="38"/>
        <v>48488</v>
      </c>
      <c r="T2420" s="162" t="s">
        <v>7672</v>
      </c>
      <c r="U2420" s="162" t="s">
        <v>144</v>
      </c>
      <c r="V2420" s="162" t="str" cm="1">
        <f t="array" ref="V2420">_xlfn.IFS(C2420="","",COUNTIF(C2420,"ตำแหน่งว่าง*"),"ว่าง",COUNTIF(C2420,"&lt;&gt;ตำแหน่งว่าง*"),"คนครอง")</f>
        <v>คนครอง</v>
      </c>
      <c r="W2420" s="6" cm="1">
        <f t="array" ref="W2420">_xlfn.IFS(COUNTIF(F2420,"ผบ.หมู่*"),51,COUNTIF(F2420,"รอง สว.*"),43)</f>
        <v>43</v>
      </c>
      <c r="X2420" s="5" t="s">
        <v>7155</v>
      </c>
      <c r="Y2420" s="5" t="s">
        <v>52</v>
      </c>
    </row>
    <row r="2421" spans="1:25" s="12" customFormat="1" ht="21.3" customHeight="1">
      <c r="A2421" s="27" t="s">
        <v>157</v>
      </c>
      <c r="B2421" s="28" t="s">
        <v>21</v>
      </c>
      <c r="C2421" s="95" t="s">
        <v>7158</v>
      </c>
      <c r="D2421" s="27" t="s">
        <v>10507</v>
      </c>
      <c r="E2421" s="27" t="s">
        <v>10508</v>
      </c>
      <c r="F2421" s="95" t="s">
        <v>7123</v>
      </c>
      <c r="G2421" s="101" t="s">
        <v>7160</v>
      </c>
      <c r="H2421" s="75">
        <v>42501</v>
      </c>
      <c r="I2421" s="73">
        <v>39717</v>
      </c>
      <c r="J2421" s="73">
        <v>39717</v>
      </c>
      <c r="K2421" s="73">
        <v>30565</v>
      </c>
      <c r="L2421" s="11" t="s">
        <v>7161</v>
      </c>
      <c r="M2421" s="1" t="s">
        <v>93</v>
      </c>
      <c r="N2421" s="111" t="s">
        <v>14</v>
      </c>
      <c r="O2421" s="104" t="s">
        <v>52</v>
      </c>
      <c r="P2421" s="104" t="s">
        <v>52</v>
      </c>
      <c r="Q2421" s="105"/>
      <c r="R2421" s="28" t="s">
        <v>110</v>
      </c>
      <c r="S2421" s="225">
        <f t="shared" si="38"/>
        <v>52505</v>
      </c>
      <c r="T2421" s="162" t="s">
        <v>7672</v>
      </c>
      <c r="U2421" s="162" t="s">
        <v>144</v>
      </c>
      <c r="V2421" s="162" t="str" cm="1">
        <f t="array" ref="V2421">_xlfn.IFS(C2421="","",COUNTIF(C2421,"ตำแหน่งว่าง*"),"ว่าง",COUNTIF(C2421,"&lt;&gt;ตำแหน่งว่าง*"),"คนครอง")</f>
        <v>คนครอง</v>
      </c>
      <c r="W2421" s="6" cm="1">
        <f t="array" ref="W2421">_xlfn.IFS(COUNTIF(F2421,"ผบ.หมู่*"),51,COUNTIF(F2421,"รอง สว.*"),43)</f>
        <v>51</v>
      </c>
      <c r="X2421" s="5" t="s">
        <v>7159</v>
      </c>
      <c r="Y2421" s="5" t="s">
        <v>52</v>
      </c>
    </row>
    <row r="2422" spans="1:25" s="12" customFormat="1" ht="21.3" customHeight="1">
      <c r="A2422" s="27" t="s">
        <v>157</v>
      </c>
      <c r="B2422" s="28" t="s">
        <v>21</v>
      </c>
      <c r="C2422" s="68" t="s">
        <v>6857</v>
      </c>
      <c r="D2422" s="27" t="s">
        <v>8600</v>
      </c>
      <c r="E2422" s="27" t="s">
        <v>10397</v>
      </c>
      <c r="F2422" s="95" t="s">
        <v>7123</v>
      </c>
      <c r="G2422" s="101" t="s">
        <v>7163</v>
      </c>
      <c r="H2422" s="75">
        <v>45768</v>
      </c>
      <c r="I2422" s="73">
        <v>40339</v>
      </c>
      <c r="J2422" s="73">
        <v>40339</v>
      </c>
      <c r="K2422" s="73">
        <v>29556</v>
      </c>
      <c r="L2422" s="11" t="s">
        <v>68</v>
      </c>
      <c r="M2422" s="1" t="s">
        <v>93</v>
      </c>
      <c r="N2422" s="111" t="s">
        <v>14</v>
      </c>
      <c r="O2422" s="104" t="s">
        <v>52</v>
      </c>
      <c r="P2422" s="104" t="s">
        <v>52</v>
      </c>
      <c r="Q2422" s="105"/>
      <c r="R2422" s="28" t="s">
        <v>10714</v>
      </c>
      <c r="S2422" s="225">
        <f t="shared" si="38"/>
        <v>51775</v>
      </c>
      <c r="T2422" s="162" t="s">
        <v>7672</v>
      </c>
      <c r="U2422" s="162" t="s">
        <v>144</v>
      </c>
      <c r="V2422" s="162" t="str" cm="1">
        <f t="array" ref="V2422">_xlfn.IFS(C2422="","",COUNTIF(C2422,"ตำแหน่งว่าง*"),"ว่าง",COUNTIF(C2422,"&lt;&gt;ตำแหน่งว่าง*"),"คนครอง")</f>
        <v>คนครอง</v>
      </c>
      <c r="W2422" s="5" cm="1">
        <f t="array" ref="W2422">_xlfn.IFS(COUNTIF(F2422,"ผบ.หมู่*"),51,COUNTIF(F2422,"รอง สว.*"),43)</f>
        <v>51</v>
      </c>
      <c r="X2422" s="5" t="s">
        <v>7162</v>
      </c>
      <c r="Y2422" s="5" t="s">
        <v>52</v>
      </c>
    </row>
    <row r="2423" spans="1:25" s="12" customFormat="1" ht="21.3" customHeight="1">
      <c r="A2423" s="27" t="s">
        <v>60</v>
      </c>
      <c r="B2423" s="28" t="s">
        <v>21</v>
      </c>
      <c r="C2423" s="95" t="s">
        <v>7164</v>
      </c>
      <c r="D2423" s="27" t="s">
        <v>10509</v>
      </c>
      <c r="E2423" s="27" t="s">
        <v>10510</v>
      </c>
      <c r="F2423" s="95" t="s">
        <v>7119</v>
      </c>
      <c r="G2423" s="101" t="s">
        <v>7166</v>
      </c>
      <c r="H2423" s="75">
        <v>42501</v>
      </c>
      <c r="I2423" s="73">
        <v>34352</v>
      </c>
      <c r="J2423" s="73">
        <v>34352</v>
      </c>
      <c r="K2423" s="73">
        <v>26300</v>
      </c>
      <c r="L2423" s="11" t="s">
        <v>7167</v>
      </c>
      <c r="M2423" s="1" t="s">
        <v>93</v>
      </c>
      <c r="N2423" s="111" t="s">
        <v>14</v>
      </c>
      <c r="O2423" s="104" t="s">
        <v>52</v>
      </c>
      <c r="P2423" s="104" t="s">
        <v>52</v>
      </c>
      <c r="Q2423" s="105"/>
      <c r="R2423" s="28" t="s">
        <v>110</v>
      </c>
      <c r="S2423" s="225">
        <f t="shared" si="38"/>
        <v>48488</v>
      </c>
      <c r="T2423" s="162" t="s">
        <v>7672</v>
      </c>
      <c r="U2423" s="162" t="s">
        <v>144</v>
      </c>
      <c r="V2423" s="162" t="str" cm="1">
        <f t="array" ref="V2423">_xlfn.IFS(C2423="","",COUNTIF(C2423,"ตำแหน่งว่าง*"),"ว่าง",COUNTIF(C2423,"&lt;&gt;ตำแหน่งว่าง*"),"คนครอง")</f>
        <v>คนครอง</v>
      </c>
      <c r="W2423" s="6" cm="1">
        <f t="array" ref="W2423">_xlfn.IFS(COUNTIF(F2423,"ผบ.หมู่*"),51,COUNTIF(F2423,"รอง สว.*"),43)</f>
        <v>43</v>
      </c>
      <c r="X2423" s="5" t="s">
        <v>7165</v>
      </c>
      <c r="Y2423" s="5" t="s">
        <v>52</v>
      </c>
    </row>
    <row r="2424" spans="1:25" s="12" customFormat="1" ht="21.3" customHeight="1">
      <c r="A2424" s="27" t="s">
        <v>157</v>
      </c>
      <c r="B2424" s="28" t="s">
        <v>12</v>
      </c>
      <c r="C2424" s="95" t="s">
        <v>7168</v>
      </c>
      <c r="D2424" s="27" t="s">
        <v>8187</v>
      </c>
      <c r="E2424" s="27" t="s">
        <v>10511</v>
      </c>
      <c r="F2424" s="95" t="s">
        <v>7123</v>
      </c>
      <c r="G2424" s="101" t="s">
        <v>7170</v>
      </c>
      <c r="H2424" s="75">
        <v>42501</v>
      </c>
      <c r="I2424" s="73">
        <v>34366</v>
      </c>
      <c r="J2424" s="73">
        <v>34366</v>
      </c>
      <c r="K2424" s="73">
        <v>26669</v>
      </c>
      <c r="L2424" s="11" t="s">
        <v>4826</v>
      </c>
      <c r="M2424" s="1" t="s">
        <v>93</v>
      </c>
      <c r="N2424" s="111" t="s">
        <v>14</v>
      </c>
      <c r="O2424" s="104" t="s">
        <v>52</v>
      </c>
      <c r="P2424" s="104" t="s">
        <v>52</v>
      </c>
      <c r="Q2424" s="105"/>
      <c r="R2424" s="28" t="s">
        <v>110</v>
      </c>
      <c r="S2424" s="225">
        <f t="shared" ref="S2424:S2455" si="39">IF(K2424&lt;&gt;"",DATE(YEAR(K2424)+60+(K2424&gt;=DATE(YEAR(K2424),10,2)),10,1),"")</f>
        <v>48853</v>
      </c>
      <c r="T2424" s="162" t="s">
        <v>7672</v>
      </c>
      <c r="U2424" s="162" t="s">
        <v>144</v>
      </c>
      <c r="V2424" s="162" t="str" cm="1">
        <f t="array" ref="V2424">_xlfn.IFS(C2424="","",COUNTIF(C2424,"ตำแหน่งว่าง*"),"ว่าง",COUNTIF(C2424,"&lt;&gt;ตำแหน่งว่าง*"),"คนครอง")</f>
        <v>คนครอง</v>
      </c>
      <c r="W2424" s="6" cm="1">
        <f t="array" ref="W2424">_xlfn.IFS(COUNTIF(F2424,"ผบ.หมู่*"),51,COUNTIF(F2424,"รอง สว.*"),43)</f>
        <v>51</v>
      </c>
      <c r="X2424" s="5" t="s">
        <v>7169</v>
      </c>
      <c r="Y2424" s="5" t="s">
        <v>52</v>
      </c>
    </row>
    <row r="2425" spans="1:25" s="12" customFormat="1" ht="21.3" customHeight="1">
      <c r="A2425" s="27" t="s">
        <v>612</v>
      </c>
      <c r="B2425" s="28" t="s">
        <v>12</v>
      </c>
      <c r="C2425" s="27" t="s">
        <v>6729</v>
      </c>
      <c r="D2425" s="27" t="s">
        <v>10512</v>
      </c>
      <c r="E2425" s="27" t="s">
        <v>10513</v>
      </c>
      <c r="F2425" s="27" t="s">
        <v>7123</v>
      </c>
      <c r="G2425" s="101" t="s">
        <v>7172</v>
      </c>
      <c r="H2425" s="75">
        <v>45322</v>
      </c>
      <c r="I2425" s="73">
        <v>42416</v>
      </c>
      <c r="J2425" s="73">
        <v>42416</v>
      </c>
      <c r="K2425" s="73">
        <v>33124</v>
      </c>
      <c r="L2425" s="11" t="s">
        <v>6732</v>
      </c>
      <c r="M2425" s="1" t="s">
        <v>93</v>
      </c>
      <c r="N2425" s="112" t="s">
        <v>14</v>
      </c>
      <c r="O2425" s="104" t="s">
        <v>52</v>
      </c>
      <c r="P2425" s="104" t="s">
        <v>52</v>
      </c>
      <c r="Q2425" s="105"/>
      <c r="R2425" s="30" t="s">
        <v>7708</v>
      </c>
      <c r="S2425" s="225">
        <f t="shared" si="39"/>
        <v>55062</v>
      </c>
      <c r="T2425" s="162" t="s">
        <v>7672</v>
      </c>
      <c r="U2425" s="162" t="s">
        <v>144</v>
      </c>
      <c r="V2425" s="162" t="str" cm="1">
        <f t="array" ref="V2425">_xlfn.IFS(C2425="","",COUNTIF(C2425,"ตำแหน่งว่าง*"),"ว่าง",COUNTIF(C2425,"&lt;&gt;ตำแหน่งว่าง*"),"คนครอง")</f>
        <v>คนครอง</v>
      </c>
      <c r="W2425" s="6" cm="1">
        <f t="array" ref="W2425">_xlfn.IFS(COUNTIF(F2425,"ผบ.หมู่*"),51,COUNTIF(F2425,"รอง สว.*"),43)</f>
        <v>51</v>
      </c>
      <c r="X2425" s="1" t="s">
        <v>7171</v>
      </c>
      <c r="Y2425" s="1" t="s">
        <v>52</v>
      </c>
    </row>
    <row r="2426" spans="1:25" s="9" customFormat="1" ht="21.3" customHeight="1">
      <c r="A2426" s="27" t="s">
        <v>30</v>
      </c>
      <c r="B2426" s="28" t="s">
        <v>12</v>
      </c>
      <c r="C2426" s="27" t="s">
        <v>7173</v>
      </c>
      <c r="D2426" s="27" t="s">
        <v>10514</v>
      </c>
      <c r="E2426" s="27" t="s">
        <v>10515</v>
      </c>
      <c r="F2426" s="27" t="s">
        <v>7119</v>
      </c>
      <c r="G2426" s="101" t="s">
        <v>7175</v>
      </c>
      <c r="H2426" s="75">
        <v>43554</v>
      </c>
      <c r="I2426" s="73">
        <v>43554</v>
      </c>
      <c r="J2426" s="73">
        <v>34001</v>
      </c>
      <c r="K2426" s="73">
        <v>24143</v>
      </c>
      <c r="L2426" s="11" t="s">
        <v>4826</v>
      </c>
      <c r="M2426" s="1" t="s">
        <v>93</v>
      </c>
      <c r="N2426" s="112" t="s">
        <v>14</v>
      </c>
      <c r="O2426" s="104" t="s">
        <v>52</v>
      </c>
      <c r="P2426" s="104" t="s">
        <v>52</v>
      </c>
      <c r="Q2426" s="105"/>
      <c r="R2426" s="28" t="s">
        <v>2892</v>
      </c>
      <c r="S2426" s="225">
        <f t="shared" si="39"/>
        <v>46296</v>
      </c>
      <c r="T2426" s="2" t="s">
        <v>7672</v>
      </c>
      <c r="U2426" s="162" t="s">
        <v>144</v>
      </c>
      <c r="V2426" s="162" t="str" cm="1">
        <f t="array" ref="V2426">_xlfn.IFS(C2426="","",COUNTIF(C2426,"ตำแหน่งว่าง*"),"ว่าง",COUNTIF(C2426,"&lt;&gt;ตำแหน่งว่าง*"),"คนครอง")</f>
        <v>คนครอง</v>
      </c>
      <c r="W2426" s="5" cm="1">
        <f t="array" ref="W2426">_xlfn.IFS(COUNTIF(F2426,"ผบ.หมู่*"),51,COUNTIF(F2426,"รอง สว.*"),43)</f>
        <v>43</v>
      </c>
      <c r="X2426" s="1" t="s">
        <v>7174</v>
      </c>
      <c r="Y2426" s="1" t="s">
        <v>52</v>
      </c>
    </row>
    <row r="2427" spans="1:25" s="12" customFormat="1" ht="21.3" customHeight="1">
      <c r="A2427" s="27" t="s">
        <v>157</v>
      </c>
      <c r="B2427" s="28" t="s">
        <v>12</v>
      </c>
      <c r="C2427" s="95" t="s">
        <v>7176</v>
      </c>
      <c r="D2427" s="27" t="s">
        <v>10516</v>
      </c>
      <c r="E2427" s="27" t="s">
        <v>10517</v>
      </c>
      <c r="F2427" s="95" t="s">
        <v>7177</v>
      </c>
      <c r="G2427" s="101" t="s">
        <v>7179</v>
      </c>
      <c r="H2427" s="75">
        <v>42501</v>
      </c>
      <c r="I2427" s="73">
        <v>33635</v>
      </c>
      <c r="J2427" s="73">
        <v>33635</v>
      </c>
      <c r="K2427" s="73">
        <v>25538</v>
      </c>
      <c r="L2427" s="11" t="s">
        <v>7180</v>
      </c>
      <c r="M2427" s="1" t="s">
        <v>145</v>
      </c>
      <c r="N2427" s="111" t="s">
        <v>14</v>
      </c>
      <c r="O2427" s="104" t="s">
        <v>52</v>
      </c>
      <c r="P2427" s="104" t="s">
        <v>52</v>
      </c>
      <c r="Q2427" s="105"/>
      <c r="R2427" s="28" t="s">
        <v>110</v>
      </c>
      <c r="S2427" s="225">
        <f t="shared" si="39"/>
        <v>47757</v>
      </c>
      <c r="T2427" s="162" t="s">
        <v>7673</v>
      </c>
      <c r="U2427" s="162" t="s">
        <v>144</v>
      </c>
      <c r="V2427" s="162" t="str" cm="1">
        <f t="array" ref="V2427">_xlfn.IFS(C2427="","",COUNTIF(C2427,"ตำแหน่งว่าง*"),"ว่าง",COUNTIF(C2427,"&lt;&gt;ตำแหน่งว่าง*"),"คนครอง")</f>
        <v>คนครอง</v>
      </c>
      <c r="W2427" s="6" cm="1">
        <f t="array" ref="W2427">_xlfn.IFS(COUNTIF(F2427,"ผบ.หมู่*"),51,COUNTIF(F2427,"รอง สว.*"),43)</f>
        <v>51</v>
      </c>
      <c r="X2427" s="5" t="s">
        <v>7178</v>
      </c>
      <c r="Y2427" s="5" t="s">
        <v>52</v>
      </c>
    </row>
    <row r="2428" spans="1:25" s="12" customFormat="1" ht="21.3" customHeight="1">
      <c r="A2428" s="27" t="s">
        <v>26</v>
      </c>
      <c r="B2428" s="28" t="s">
        <v>12</v>
      </c>
      <c r="C2428" s="95" t="s">
        <v>7181</v>
      </c>
      <c r="D2428" s="27" t="s">
        <v>9046</v>
      </c>
      <c r="E2428" s="27" t="s">
        <v>10518</v>
      </c>
      <c r="F2428" s="95" t="s">
        <v>7182</v>
      </c>
      <c r="G2428" s="101" t="s">
        <v>7184</v>
      </c>
      <c r="H2428" s="75">
        <v>43921</v>
      </c>
      <c r="I2428" s="73">
        <v>43921</v>
      </c>
      <c r="J2428" s="73">
        <v>31444</v>
      </c>
      <c r="K2428" s="73">
        <v>24611</v>
      </c>
      <c r="L2428" s="11" t="s">
        <v>4826</v>
      </c>
      <c r="M2428" s="1" t="s">
        <v>145</v>
      </c>
      <c r="N2428" s="111" t="s">
        <v>14</v>
      </c>
      <c r="O2428" s="104" t="s">
        <v>52</v>
      </c>
      <c r="P2428" s="104" t="s">
        <v>52</v>
      </c>
      <c r="Q2428" s="105"/>
      <c r="R2428" s="28" t="s">
        <v>2700</v>
      </c>
      <c r="S2428" s="225">
        <f t="shared" si="39"/>
        <v>46661</v>
      </c>
      <c r="T2428" s="162" t="s">
        <v>7673</v>
      </c>
      <c r="U2428" s="162" t="s">
        <v>144</v>
      </c>
      <c r="V2428" s="162" t="str" cm="1">
        <f t="array" ref="V2428">_xlfn.IFS(C2428="","",COUNTIF(C2428,"ตำแหน่งว่าง*"),"ว่าง",COUNTIF(C2428,"&lt;&gt;ตำแหน่งว่าง*"),"คนครอง")</f>
        <v>คนครอง</v>
      </c>
      <c r="W2428" s="5" cm="1">
        <f t="array" ref="W2428">_xlfn.IFS(COUNTIF(F2428,"ผบ.หมู่*"),51,COUNTIF(F2428,"รอง สว.*"),43)</f>
        <v>43</v>
      </c>
      <c r="X2428" s="5" t="s">
        <v>7183</v>
      </c>
      <c r="Y2428" s="5" t="s">
        <v>52</v>
      </c>
    </row>
    <row r="2429" spans="1:25" s="12" customFormat="1" ht="21.3" customHeight="1">
      <c r="A2429" s="27" t="s">
        <v>157</v>
      </c>
      <c r="B2429" s="28" t="s">
        <v>21</v>
      </c>
      <c r="C2429" s="95" t="s">
        <v>7185</v>
      </c>
      <c r="D2429" s="27" t="s">
        <v>8320</v>
      </c>
      <c r="E2429" s="27" t="s">
        <v>8033</v>
      </c>
      <c r="F2429" s="95" t="s">
        <v>7177</v>
      </c>
      <c r="G2429" s="101" t="s">
        <v>7187</v>
      </c>
      <c r="H2429" s="75">
        <v>42501</v>
      </c>
      <c r="I2429" s="73">
        <v>39717</v>
      </c>
      <c r="J2429" s="73">
        <v>39717</v>
      </c>
      <c r="K2429" s="73">
        <v>27487</v>
      </c>
      <c r="L2429" s="11" t="s">
        <v>7188</v>
      </c>
      <c r="M2429" s="1" t="s">
        <v>145</v>
      </c>
      <c r="N2429" s="111" t="s">
        <v>14</v>
      </c>
      <c r="O2429" s="104" t="s">
        <v>52</v>
      </c>
      <c r="P2429" s="104" t="s">
        <v>52</v>
      </c>
      <c r="Q2429" s="105"/>
      <c r="R2429" s="28" t="s">
        <v>6746</v>
      </c>
      <c r="S2429" s="225">
        <f t="shared" si="39"/>
        <v>49583</v>
      </c>
      <c r="T2429" s="162" t="s">
        <v>7673</v>
      </c>
      <c r="U2429" s="162" t="s">
        <v>144</v>
      </c>
      <c r="V2429" s="162" t="str" cm="1">
        <f t="array" ref="V2429">_xlfn.IFS(C2429="","",COUNTIF(C2429,"ตำแหน่งว่าง*"),"ว่าง",COUNTIF(C2429,"&lt;&gt;ตำแหน่งว่าง*"),"คนครอง")</f>
        <v>คนครอง</v>
      </c>
      <c r="W2429" s="6" cm="1">
        <f t="array" ref="W2429">_xlfn.IFS(COUNTIF(F2429,"ผบ.หมู่*"),51,COUNTIF(F2429,"รอง สว.*"),43)</f>
        <v>51</v>
      </c>
      <c r="X2429" s="5" t="s">
        <v>7186</v>
      </c>
      <c r="Y2429" s="5" t="s">
        <v>52</v>
      </c>
    </row>
    <row r="2430" spans="1:25" s="10" customFormat="1" ht="21.3" customHeight="1">
      <c r="A2430" s="27" t="s">
        <v>157</v>
      </c>
      <c r="B2430" s="28" t="s">
        <v>12</v>
      </c>
      <c r="C2430" s="27" t="s">
        <v>7189</v>
      </c>
      <c r="D2430" s="27" t="s">
        <v>10519</v>
      </c>
      <c r="E2430" s="27" t="s">
        <v>10520</v>
      </c>
      <c r="F2430" s="27" t="s">
        <v>7190</v>
      </c>
      <c r="G2430" s="101" t="s">
        <v>7192</v>
      </c>
      <c r="H2430" s="75">
        <v>44999</v>
      </c>
      <c r="I2430" s="73">
        <v>38018</v>
      </c>
      <c r="J2430" s="73">
        <v>38018</v>
      </c>
      <c r="K2430" s="73">
        <v>30109</v>
      </c>
      <c r="L2430" s="11" t="s">
        <v>5190</v>
      </c>
      <c r="M2430" s="1" t="s">
        <v>145</v>
      </c>
      <c r="N2430" s="112" t="s">
        <v>14</v>
      </c>
      <c r="O2430" s="104" t="s">
        <v>52</v>
      </c>
      <c r="P2430" s="104" t="s">
        <v>52</v>
      </c>
      <c r="Q2430" s="105"/>
      <c r="R2430" s="28" t="s">
        <v>74</v>
      </c>
      <c r="S2430" s="225">
        <f t="shared" si="39"/>
        <v>52140</v>
      </c>
      <c r="T2430" s="7" t="s">
        <v>7673</v>
      </c>
      <c r="U2430" s="162" t="s">
        <v>144</v>
      </c>
      <c r="V2430" s="162" t="str" cm="1">
        <f t="array" ref="V2430">_xlfn.IFS(C2430="","",COUNTIF(C2430,"ตำแหน่งว่าง*"),"ว่าง",COUNTIF(C2430,"&lt;&gt;ตำแหน่งว่าง*"),"คนครอง")</f>
        <v>คนครอง</v>
      </c>
      <c r="W2430" s="6" cm="1">
        <f t="array" ref="W2430">_xlfn.IFS(COUNTIF(F2430,"ผบ.หมู่*"),51,COUNTIF(F2430,"รอง สว.*"),43)</f>
        <v>51</v>
      </c>
      <c r="X2430" s="1" t="s">
        <v>7191</v>
      </c>
      <c r="Y2430" s="1" t="s">
        <v>52</v>
      </c>
    </row>
    <row r="2431" spans="1:25" s="12" customFormat="1" ht="21.3" customHeight="1">
      <c r="A2431" s="27" t="s">
        <v>10753</v>
      </c>
      <c r="B2431" s="28" t="s">
        <v>12</v>
      </c>
      <c r="C2431" s="95" t="s">
        <v>7193</v>
      </c>
      <c r="D2431" s="27" t="s">
        <v>10521</v>
      </c>
      <c r="E2431" s="27" t="s">
        <v>10522</v>
      </c>
      <c r="F2431" s="95" t="s">
        <v>7182</v>
      </c>
      <c r="G2431" s="104" t="s">
        <v>7195</v>
      </c>
      <c r="H2431" s="91">
        <v>45382</v>
      </c>
      <c r="I2431" s="73">
        <v>45382</v>
      </c>
      <c r="J2431" s="73">
        <v>34001</v>
      </c>
      <c r="K2431" s="73">
        <v>25947</v>
      </c>
      <c r="L2431" s="11" t="s">
        <v>7196</v>
      </c>
      <c r="M2431" s="1" t="s">
        <v>145</v>
      </c>
      <c r="N2431" s="111" t="s">
        <v>14</v>
      </c>
      <c r="O2431" s="104" t="s">
        <v>52</v>
      </c>
      <c r="P2431" s="104" t="s">
        <v>52</v>
      </c>
      <c r="Q2431" s="105"/>
      <c r="R2431" s="33" t="s">
        <v>7801</v>
      </c>
      <c r="S2431" s="225">
        <f t="shared" si="39"/>
        <v>48122</v>
      </c>
      <c r="T2431" s="162" t="s">
        <v>7673</v>
      </c>
      <c r="U2431" s="162" t="s">
        <v>144</v>
      </c>
      <c r="V2431" s="162" t="str" cm="1">
        <f t="array" ref="V2431">_xlfn.IFS(C2431="","",COUNTIF(C2431,"ตำแหน่งว่าง*"),"ว่าง",COUNTIF(C2431,"&lt;&gt;ตำแหน่งว่าง*"),"คนครอง")</f>
        <v>คนครอง</v>
      </c>
      <c r="W2431" s="6" cm="1">
        <f t="array" ref="W2431">_xlfn.IFS(COUNTIF(F2431,"ผบ.หมู่*"),51,COUNTIF(F2431,"รอง สว.*"),43)</f>
        <v>43</v>
      </c>
      <c r="X2431" s="5" t="s">
        <v>7194</v>
      </c>
      <c r="Y2431" s="5" t="s">
        <v>52</v>
      </c>
    </row>
    <row r="2432" spans="1:25" s="9" customFormat="1" ht="21.3" customHeight="1">
      <c r="A2432" s="175" t="s">
        <v>157</v>
      </c>
      <c r="B2432" s="151" t="s">
        <v>21</v>
      </c>
      <c r="C2432" s="175" t="s">
        <v>7197</v>
      </c>
      <c r="D2432" s="27" t="s">
        <v>10523</v>
      </c>
      <c r="E2432" s="27" t="s">
        <v>10524</v>
      </c>
      <c r="F2432" s="175" t="s">
        <v>7177</v>
      </c>
      <c r="G2432" s="103" t="s">
        <v>7199</v>
      </c>
      <c r="H2432" s="75">
        <v>43656</v>
      </c>
      <c r="I2432" s="73">
        <v>39717</v>
      </c>
      <c r="J2432" s="73">
        <v>39717</v>
      </c>
      <c r="K2432" s="73">
        <v>29535</v>
      </c>
      <c r="L2432" s="11" t="s">
        <v>7200</v>
      </c>
      <c r="M2432" s="1" t="s">
        <v>145</v>
      </c>
      <c r="N2432" s="112" t="s">
        <v>14</v>
      </c>
      <c r="O2432" s="104" t="s">
        <v>52</v>
      </c>
      <c r="P2432" s="104" t="s">
        <v>52</v>
      </c>
      <c r="Q2432" s="105"/>
      <c r="R2432" s="28" t="s">
        <v>713</v>
      </c>
      <c r="S2432" s="225">
        <f t="shared" si="39"/>
        <v>51775</v>
      </c>
      <c r="T2432" s="2" t="s">
        <v>7673</v>
      </c>
      <c r="U2432" s="162" t="s">
        <v>144</v>
      </c>
      <c r="V2432" s="162" t="str" cm="1">
        <f t="array" ref="V2432">_xlfn.IFS(C2432="","",COUNTIF(C2432,"ตำแหน่งว่าง*"),"ว่าง",COUNTIF(C2432,"&lt;&gt;ตำแหน่งว่าง*"),"คนครอง")</f>
        <v>คนครอง</v>
      </c>
      <c r="W2432" s="6" cm="1">
        <f t="array" ref="W2432">_xlfn.IFS(COUNTIF(F2432,"ผบ.หมู่*"),51,COUNTIF(F2432,"รอง สว.*"),43)</f>
        <v>51</v>
      </c>
      <c r="X2432" s="1" t="s">
        <v>7198</v>
      </c>
      <c r="Y2432" s="1" t="s">
        <v>52</v>
      </c>
    </row>
    <row r="2433" spans="1:25" s="12" customFormat="1" ht="21.3" customHeight="1">
      <c r="A2433" s="27" t="s">
        <v>157</v>
      </c>
      <c r="B2433" s="28" t="s">
        <v>12</v>
      </c>
      <c r="C2433" s="95" t="s">
        <v>7201</v>
      </c>
      <c r="D2433" s="27" t="s">
        <v>8190</v>
      </c>
      <c r="E2433" s="27" t="s">
        <v>10525</v>
      </c>
      <c r="F2433" s="95" t="s">
        <v>7177</v>
      </c>
      <c r="G2433" s="101" t="s">
        <v>7203</v>
      </c>
      <c r="H2433" s="75">
        <v>43220</v>
      </c>
      <c r="I2433" s="73">
        <v>39717</v>
      </c>
      <c r="J2433" s="73">
        <v>39717</v>
      </c>
      <c r="K2433" s="73">
        <v>29816</v>
      </c>
      <c r="L2433" s="11" t="s">
        <v>7204</v>
      </c>
      <c r="M2433" s="1" t="s">
        <v>93</v>
      </c>
      <c r="N2433" s="111" t="s">
        <v>14</v>
      </c>
      <c r="O2433" s="104" t="s">
        <v>52</v>
      </c>
      <c r="P2433" s="104" t="s">
        <v>52</v>
      </c>
      <c r="Q2433" s="105"/>
      <c r="R2433" s="28" t="s">
        <v>7205</v>
      </c>
      <c r="S2433" s="225">
        <f t="shared" si="39"/>
        <v>51775</v>
      </c>
      <c r="T2433" s="162" t="s">
        <v>7673</v>
      </c>
      <c r="U2433" s="162" t="s">
        <v>144</v>
      </c>
      <c r="V2433" s="162" t="str" cm="1">
        <f t="array" ref="V2433">_xlfn.IFS(C2433="","",COUNTIF(C2433,"ตำแหน่งว่าง*"),"ว่าง",COUNTIF(C2433,"&lt;&gt;ตำแหน่งว่าง*"),"คนครอง")</f>
        <v>คนครอง</v>
      </c>
      <c r="W2433" s="6" cm="1">
        <f t="array" ref="W2433">_xlfn.IFS(COUNTIF(F2433,"ผบ.หมู่*"),51,COUNTIF(F2433,"รอง สว.*"),43)</f>
        <v>51</v>
      </c>
      <c r="X2433" s="5" t="s">
        <v>7202</v>
      </c>
      <c r="Y2433" s="5" t="s">
        <v>52</v>
      </c>
    </row>
    <row r="2434" spans="1:25" s="12" customFormat="1" ht="21.3" customHeight="1">
      <c r="A2434" s="27" t="s">
        <v>157</v>
      </c>
      <c r="B2434" s="28" t="s">
        <v>21</v>
      </c>
      <c r="C2434" s="95" t="s">
        <v>7206</v>
      </c>
      <c r="D2434" s="27" t="s">
        <v>10526</v>
      </c>
      <c r="E2434" s="27" t="s">
        <v>10527</v>
      </c>
      <c r="F2434" s="95" t="s">
        <v>7177</v>
      </c>
      <c r="G2434" s="101" t="s">
        <v>7208</v>
      </c>
      <c r="H2434" s="75">
        <v>42501</v>
      </c>
      <c r="I2434" s="73">
        <v>34352</v>
      </c>
      <c r="J2434" s="73">
        <v>34352</v>
      </c>
      <c r="K2434" s="73">
        <v>26606</v>
      </c>
      <c r="L2434" s="11" t="s">
        <v>2314</v>
      </c>
      <c r="M2434" s="1" t="s">
        <v>145</v>
      </c>
      <c r="N2434" s="111" t="s">
        <v>14</v>
      </c>
      <c r="O2434" s="104" t="s">
        <v>52</v>
      </c>
      <c r="P2434" s="104" t="s">
        <v>52</v>
      </c>
      <c r="Q2434" s="105"/>
      <c r="R2434" s="28" t="s">
        <v>110</v>
      </c>
      <c r="S2434" s="225">
        <f t="shared" si="39"/>
        <v>48853</v>
      </c>
      <c r="T2434" s="162" t="s">
        <v>7673</v>
      </c>
      <c r="U2434" s="162" t="s">
        <v>144</v>
      </c>
      <c r="V2434" s="162" t="str" cm="1">
        <f t="array" ref="V2434">_xlfn.IFS(C2434="","",COUNTIF(C2434,"ตำแหน่งว่าง*"),"ว่าง",COUNTIF(C2434,"&lt;&gt;ตำแหน่งว่าง*"),"คนครอง")</f>
        <v>คนครอง</v>
      </c>
      <c r="W2434" s="6" cm="1">
        <f t="array" ref="W2434">_xlfn.IFS(COUNTIF(F2434,"ผบ.หมู่*"),51,COUNTIF(F2434,"รอง สว.*"),43)</f>
        <v>51</v>
      </c>
      <c r="X2434" s="5" t="s">
        <v>7207</v>
      </c>
      <c r="Y2434" s="5" t="s">
        <v>52</v>
      </c>
    </row>
    <row r="2435" spans="1:25" s="12" customFormat="1" ht="21.3" customHeight="1">
      <c r="A2435" s="27" t="s">
        <v>60</v>
      </c>
      <c r="B2435" s="28" t="s">
        <v>12</v>
      </c>
      <c r="C2435" s="95" t="s">
        <v>7209</v>
      </c>
      <c r="D2435" s="27" t="s">
        <v>10528</v>
      </c>
      <c r="E2435" s="27" t="s">
        <v>10529</v>
      </c>
      <c r="F2435" s="95" t="s">
        <v>7182</v>
      </c>
      <c r="G2435" s="101" t="s">
        <v>7211</v>
      </c>
      <c r="H2435" s="75">
        <v>42501</v>
      </c>
      <c r="I2435" s="73">
        <v>35096</v>
      </c>
      <c r="J2435" s="73">
        <v>35096</v>
      </c>
      <c r="K2435" s="73">
        <v>26308</v>
      </c>
      <c r="L2435" s="11" t="s">
        <v>5052</v>
      </c>
      <c r="M2435" s="1" t="s">
        <v>145</v>
      </c>
      <c r="N2435" s="111" t="s">
        <v>14</v>
      </c>
      <c r="O2435" s="104" t="s">
        <v>52</v>
      </c>
      <c r="P2435" s="104" t="s">
        <v>52</v>
      </c>
      <c r="Q2435" s="105"/>
      <c r="R2435" s="28" t="s">
        <v>110</v>
      </c>
      <c r="S2435" s="225">
        <f t="shared" si="39"/>
        <v>48488</v>
      </c>
      <c r="T2435" s="162" t="s">
        <v>7673</v>
      </c>
      <c r="U2435" s="162" t="s">
        <v>144</v>
      </c>
      <c r="V2435" s="162" t="str" cm="1">
        <f t="array" ref="V2435">_xlfn.IFS(C2435="","",COUNTIF(C2435,"ตำแหน่งว่าง*"),"ว่าง",COUNTIF(C2435,"&lt;&gt;ตำแหน่งว่าง*"),"คนครอง")</f>
        <v>คนครอง</v>
      </c>
      <c r="W2435" s="6" cm="1">
        <f t="array" ref="W2435">_xlfn.IFS(COUNTIF(F2435,"ผบ.หมู่*"),51,COUNTIF(F2435,"รอง สว.*"),43)</f>
        <v>43</v>
      </c>
      <c r="X2435" s="5" t="s">
        <v>7210</v>
      </c>
      <c r="Y2435" s="5" t="s">
        <v>52</v>
      </c>
    </row>
    <row r="2436" spans="1:25" s="12" customFormat="1" ht="21.3" customHeight="1">
      <c r="A2436" s="27" t="s">
        <v>10753</v>
      </c>
      <c r="B2436" s="28" t="s">
        <v>12</v>
      </c>
      <c r="C2436" s="95" t="s">
        <v>7212</v>
      </c>
      <c r="D2436" s="27" t="s">
        <v>9813</v>
      </c>
      <c r="E2436" s="27" t="s">
        <v>10530</v>
      </c>
      <c r="F2436" s="95" t="s">
        <v>7182</v>
      </c>
      <c r="G2436" s="101" t="s">
        <v>7214</v>
      </c>
      <c r="H2436" s="75">
        <v>45016</v>
      </c>
      <c r="I2436" s="73">
        <v>45016</v>
      </c>
      <c r="J2436" s="73">
        <v>34352</v>
      </c>
      <c r="K2436" s="73">
        <v>25916</v>
      </c>
      <c r="L2436" s="11" t="s">
        <v>6147</v>
      </c>
      <c r="M2436" s="1" t="s">
        <v>145</v>
      </c>
      <c r="N2436" s="111" t="s">
        <v>14</v>
      </c>
      <c r="O2436" s="104" t="s">
        <v>52</v>
      </c>
      <c r="P2436" s="104" t="s">
        <v>52</v>
      </c>
      <c r="Q2436" s="105"/>
      <c r="R2436" s="28" t="s">
        <v>483</v>
      </c>
      <c r="S2436" s="225">
        <f t="shared" si="39"/>
        <v>48122</v>
      </c>
      <c r="T2436" s="162" t="s">
        <v>7673</v>
      </c>
      <c r="U2436" s="162" t="s">
        <v>144</v>
      </c>
      <c r="V2436" s="162" t="str" cm="1">
        <f t="array" ref="V2436">_xlfn.IFS(C2436="","",COUNTIF(C2436,"ตำแหน่งว่าง*"),"ว่าง",COUNTIF(C2436,"&lt;&gt;ตำแหน่งว่าง*"),"คนครอง")</f>
        <v>คนครอง</v>
      </c>
      <c r="W2436" s="5" cm="1">
        <f t="array" ref="W2436">_xlfn.IFS(COUNTIF(F2436,"ผบ.หมู่*"),51,COUNTIF(F2436,"รอง สว.*"),43)</f>
        <v>43</v>
      </c>
      <c r="X2436" s="5" t="s">
        <v>7213</v>
      </c>
      <c r="Y2436" s="5" t="s">
        <v>52</v>
      </c>
    </row>
    <row r="2437" spans="1:25" s="12" customFormat="1" ht="21.3" customHeight="1">
      <c r="A2437" s="27" t="s">
        <v>44</v>
      </c>
      <c r="B2437" s="31" t="s">
        <v>12</v>
      </c>
      <c r="C2437" s="95" t="s">
        <v>7215</v>
      </c>
      <c r="D2437" s="27" t="s">
        <v>10531</v>
      </c>
      <c r="E2437" s="27" t="s">
        <v>10532</v>
      </c>
      <c r="F2437" s="95" t="s">
        <v>7182</v>
      </c>
      <c r="G2437" s="101" t="s">
        <v>7217</v>
      </c>
      <c r="H2437" s="88">
        <v>42501</v>
      </c>
      <c r="I2437" s="76">
        <v>33635</v>
      </c>
      <c r="J2437" s="76">
        <v>33635</v>
      </c>
      <c r="K2437" s="76">
        <v>24960</v>
      </c>
      <c r="L2437" s="17" t="s">
        <v>5190</v>
      </c>
      <c r="M2437" s="5" t="s">
        <v>145</v>
      </c>
      <c r="N2437" s="111" t="s">
        <v>14</v>
      </c>
      <c r="O2437" s="104" t="s">
        <v>52</v>
      </c>
      <c r="P2437" s="104" t="s">
        <v>52</v>
      </c>
      <c r="Q2437" s="108"/>
      <c r="R2437" s="31" t="s">
        <v>110</v>
      </c>
      <c r="S2437" s="225">
        <f t="shared" si="39"/>
        <v>47027</v>
      </c>
      <c r="T2437" s="162" t="s">
        <v>7673</v>
      </c>
      <c r="U2437" s="162" t="s">
        <v>144</v>
      </c>
      <c r="V2437" s="162" t="str" cm="1">
        <f t="array" ref="V2437">_xlfn.IFS(C2437="","",COUNTIF(C2437,"ตำแหน่งว่าง*"),"ว่าง",COUNTIF(C2437,"&lt;&gt;ตำแหน่งว่าง*"),"คนครอง")</f>
        <v>คนครอง</v>
      </c>
      <c r="W2437" s="5" cm="1">
        <f t="array" ref="W2437">_xlfn.IFS(COUNTIF(F2437,"ผบ.หมู่*"),51,COUNTIF(F2437,"รอง สว.*"),43)</f>
        <v>43</v>
      </c>
      <c r="X2437" s="5" t="s">
        <v>7216</v>
      </c>
      <c r="Y2437" s="5" t="s">
        <v>52</v>
      </c>
    </row>
    <row r="2438" spans="1:25" s="12" customFormat="1" ht="21.3" customHeight="1">
      <c r="A2438" s="27" t="s">
        <v>157</v>
      </c>
      <c r="B2438" s="28" t="s">
        <v>21</v>
      </c>
      <c r="C2438" s="95" t="s">
        <v>7218</v>
      </c>
      <c r="D2438" s="27" t="s">
        <v>8058</v>
      </c>
      <c r="E2438" s="27" t="s">
        <v>10533</v>
      </c>
      <c r="F2438" s="95" t="s">
        <v>7177</v>
      </c>
      <c r="G2438" s="101" t="s">
        <v>7220</v>
      </c>
      <c r="H2438" s="75">
        <v>42501</v>
      </c>
      <c r="I2438" s="73">
        <v>34729</v>
      </c>
      <c r="J2438" s="73">
        <v>34729</v>
      </c>
      <c r="K2438" s="73">
        <v>27350</v>
      </c>
      <c r="L2438" s="11" t="s">
        <v>2314</v>
      </c>
      <c r="M2438" s="1" t="s">
        <v>145</v>
      </c>
      <c r="N2438" s="111" t="s">
        <v>14</v>
      </c>
      <c r="O2438" s="104" t="s">
        <v>52</v>
      </c>
      <c r="P2438" s="104" t="s">
        <v>52</v>
      </c>
      <c r="Q2438" s="105"/>
      <c r="R2438" s="28" t="s">
        <v>110</v>
      </c>
      <c r="S2438" s="225">
        <f t="shared" si="39"/>
        <v>49583</v>
      </c>
      <c r="T2438" s="162" t="s">
        <v>7673</v>
      </c>
      <c r="U2438" s="162" t="s">
        <v>144</v>
      </c>
      <c r="V2438" s="162" t="str" cm="1">
        <f t="array" ref="V2438">_xlfn.IFS(C2438="","",COUNTIF(C2438,"ตำแหน่งว่าง*"),"ว่าง",COUNTIF(C2438,"&lt;&gt;ตำแหน่งว่าง*"),"คนครอง")</f>
        <v>คนครอง</v>
      </c>
      <c r="W2438" s="6" cm="1">
        <f t="array" ref="W2438">_xlfn.IFS(COUNTIF(F2438,"ผบ.หมู่*"),51,COUNTIF(F2438,"รอง สว.*"),43)</f>
        <v>51</v>
      </c>
      <c r="X2438" s="5" t="s">
        <v>7219</v>
      </c>
      <c r="Y2438" s="5" t="s">
        <v>52</v>
      </c>
    </row>
    <row r="2439" spans="1:25" s="12" customFormat="1" ht="21.3" customHeight="1">
      <c r="A2439" s="27" t="s">
        <v>157</v>
      </c>
      <c r="B2439" s="28" t="s">
        <v>12</v>
      </c>
      <c r="C2439" s="95" t="s">
        <v>7221</v>
      </c>
      <c r="D2439" s="27" t="s">
        <v>10534</v>
      </c>
      <c r="E2439" s="27" t="s">
        <v>10535</v>
      </c>
      <c r="F2439" s="95" t="s">
        <v>7177</v>
      </c>
      <c r="G2439" s="101" t="s">
        <v>7223</v>
      </c>
      <c r="H2439" s="75">
        <v>42501</v>
      </c>
      <c r="I2439" s="73">
        <v>35462</v>
      </c>
      <c r="J2439" s="73">
        <v>35462</v>
      </c>
      <c r="K2439" s="73">
        <v>27388</v>
      </c>
      <c r="L2439" s="11" t="s">
        <v>4826</v>
      </c>
      <c r="M2439" s="1" t="s">
        <v>145</v>
      </c>
      <c r="N2439" s="111" t="s">
        <v>14</v>
      </c>
      <c r="O2439" s="104" t="s">
        <v>52</v>
      </c>
      <c r="P2439" s="104" t="s">
        <v>52</v>
      </c>
      <c r="Q2439" s="105"/>
      <c r="R2439" s="28" t="s">
        <v>110</v>
      </c>
      <c r="S2439" s="225">
        <f t="shared" si="39"/>
        <v>49583</v>
      </c>
      <c r="T2439" s="162" t="s">
        <v>7673</v>
      </c>
      <c r="U2439" s="162" t="s">
        <v>144</v>
      </c>
      <c r="V2439" s="162" t="str" cm="1">
        <f t="array" ref="V2439">_xlfn.IFS(C2439="","",COUNTIF(C2439,"ตำแหน่งว่าง*"),"ว่าง",COUNTIF(C2439,"&lt;&gt;ตำแหน่งว่าง*"),"คนครอง")</f>
        <v>คนครอง</v>
      </c>
      <c r="W2439" s="6" cm="1">
        <f t="array" ref="W2439">_xlfn.IFS(COUNTIF(F2439,"ผบ.หมู่*"),51,COUNTIF(F2439,"รอง สว.*"),43)</f>
        <v>51</v>
      </c>
      <c r="X2439" s="5" t="s">
        <v>7222</v>
      </c>
      <c r="Y2439" s="5" t="s">
        <v>52</v>
      </c>
    </row>
    <row r="2440" spans="1:25" s="12" customFormat="1" ht="21.3" customHeight="1">
      <c r="A2440" s="27" t="s">
        <v>60</v>
      </c>
      <c r="B2440" s="28" t="s">
        <v>12</v>
      </c>
      <c r="C2440" s="95" t="s">
        <v>7224</v>
      </c>
      <c r="D2440" s="27" t="s">
        <v>8065</v>
      </c>
      <c r="E2440" s="27" t="s">
        <v>10536</v>
      </c>
      <c r="F2440" s="95" t="s">
        <v>7182</v>
      </c>
      <c r="G2440" s="101" t="s">
        <v>7226</v>
      </c>
      <c r="H2440" s="75">
        <v>42501</v>
      </c>
      <c r="I2440" s="73">
        <v>35462</v>
      </c>
      <c r="J2440" s="73">
        <v>35462</v>
      </c>
      <c r="K2440" s="73">
        <v>26263</v>
      </c>
      <c r="L2440" s="11" t="s">
        <v>5055</v>
      </c>
      <c r="M2440" s="1" t="s">
        <v>145</v>
      </c>
      <c r="N2440" s="111" t="s">
        <v>14</v>
      </c>
      <c r="O2440" s="104" t="s">
        <v>52</v>
      </c>
      <c r="P2440" s="104" t="s">
        <v>52</v>
      </c>
      <c r="Q2440" s="105"/>
      <c r="R2440" s="28" t="s">
        <v>110</v>
      </c>
      <c r="S2440" s="225">
        <f t="shared" si="39"/>
        <v>48488</v>
      </c>
      <c r="T2440" s="162" t="s">
        <v>7673</v>
      </c>
      <c r="U2440" s="162" t="s">
        <v>144</v>
      </c>
      <c r="V2440" s="162" t="str" cm="1">
        <f t="array" ref="V2440">_xlfn.IFS(C2440="","",COUNTIF(C2440,"ตำแหน่งว่าง*"),"ว่าง",COUNTIF(C2440,"&lt;&gt;ตำแหน่งว่าง*"),"คนครอง")</f>
        <v>คนครอง</v>
      </c>
      <c r="W2440" s="6" cm="1">
        <f t="array" ref="W2440">_xlfn.IFS(COUNTIF(F2440,"ผบ.หมู่*"),51,COUNTIF(F2440,"รอง สว.*"),43)</f>
        <v>43</v>
      </c>
      <c r="X2440" s="5" t="s">
        <v>7225</v>
      </c>
      <c r="Y2440" s="5" t="s">
        <v>52</v>
      </c>
    </row>
    <row r="2441" spans="1:25" s="12" customFormat="1" ht="21.3" customHeight="1">
      <c r="A2441" s="156" t="s">
        <v>146</v>
      </c>
      <c r="B2441" s="157"/>
      <c r="C2441" s="171"/>
      <c r="D2441" s="27"/>
      <c r="E2441" s="158"/>
      <c r="F2441" s="171"/>
      <c r="G2441" s="125"/>
      <c r="H2441" s="154" t="s">
        <v>19</v>
      </c>
      <c r="I2441" s="126" t="s">
        <v>19</v>
      </c>
      <c r="J2441" s="126" t="s">
        <v>19</v>
      </c>
      <c r="K2441" s="126" t="s">
        <v>19</v>
      </c>
      <c r="L2441" s="127"/>
      <c r="M2441" s="128"/>
      <c r="N2441" s="129"/>
      <c r="O2441" s="125"/>
      <c r="P2441" s="129"/>
      <c r="Q2441" s="160"/>
      <c r="R2441" s="128"/>
      <c r="S2441" s="226" t="str">
        <f t="shared" si="39"/>
        <v/>
      </c>
      <c r="T2441" s="171"/>
      <c r="U2441" s="171"/>
      <c r="V2441" s="171" t="str" cm="1">
        <f t="array" ref="V2441">_xlfn.IFS(C2441="","",COUNTIF(C2441,"ตำแหน่งว่าง*"),"ว่าง",COUNTIF(C2441,"&lt;&gt;ตำแหน่งว่าง*"),"คนครอง")</f>
        <v/>
      </c>
      <c r="W2441" s="129"/>
      <c r="X2441" s="129"/>
      <c r="Y2441" s="129"/>
    </row>
    <row r="2442" spans="1:25" s="9" customFormat="1" ht="21.3" customHeight="1">
      <c r="A2442" s="27" t="s">
        <v>612</v>
      </c>
      <c r="B2442" s="28" t="s">
        <v>12</v>
      </c>
      <c r="C2442" s="27" t="s">
        <v>7227</v>
      </c>
      <c r="D2442" s="27" t="s">
        <v>10537</v>
      </c>
      <c r="E2442" s="27" t="s">
        <v>10538</v>
      </c>
      <c r="F2442" s="27" t="s">
        <v>7228</v>
      </c>
      <c r="G2442" s="101" t="s">
        <v>7230</v>
      </c>
      <c r="H2442" s="91">
        <v>44243</v>
      </c>
      <c r="I2442" s="73">
        <v>41944</v>
      </c>
      <c r="J2442" s="73">
        <v>41944</v>
      </c>
      <c r="K2442" s="73">
        <v>32444</v>
      </c>
      <c r="L2442" s="11" t="s">
        <v>7231</v>
      </c>
      <c r="M2442" s="1" t="s">
        <v>100</v>
      </c>
      <c r="N2442" s="112" t="s">
        <v>14</v>
      </c>
      <c r="O2442" s="104" t="s">
        <v>27</v>
      </c>
      <c r="P2442" s="104"/>
      <c r="Q2442" s="105"/>
      <c r="R2442" s="28" t="s">
        <v>617</v>
      </c>
      <c r="S2442" s="225">
        <f t="shared" si="39"/>
        <v>54697</v>
      </c>
      <c r="T2442" s="2" t="s">
        <v>146</v>
      </c>
      <c r="U2442" s="2" t="s">
        <v>146</v>
      </c>
      <c r="V2442" s="161" t="str" cm="1">
        <f t="array" ref="V2442">_xlfn.IFS(C2442="","",COUNTIF(C2442,"ตำแหน่งว่าง*"),"ว่าง",COUNTIF(C2442,"&lt;&gt;ตำแหน่งว่าง*"),"คนครอง")</f>
        <v>คนครอง</v>
      </c>
      <c r="W2442" s="6" cm="1">
        <f t="array" ref="W2442">_xlfn.IFS(COUNTIF(F2442,"ผบ.หมู่*"),51,COUNTIF(F2442,"รอง สว.*"),43)</f>
        <v>51</v>
      </c>
      <c r="X2442" s="1" t="s">
        <v>7229</v>
      </c>
      <c r="Y2442" s="1" t="s">
        <v>27</v>
      </c>
    </row>
    <row r="2443" spans="1:25" s="9" customFormat="1" ht="21.3" customHeight="1">
      <c r="A2443" s="27" t="s">
        <v>612</v>
      </c>
      <c r="B2443" s="28" t="s">
        <v>12</v>
      </c>
      <c r="C2443" s="27" t="s">
        <v>10794</v>
      </c>
      <c r="D2443" s="27" t="s">
        <v>10795</v>
      </c>
      <c r="E2443" s="27" t="s">
        <v>10796</v>
      </c>
      <c r="F2443" s="27" t="s">
        <v>7228</v>
      </c>
      <c r="G2443" s="101" t="s">
        <v>7234</v>
      </c>
      <c r="H2443" s="91">
        <v>45768</v>
      </c>
      <c r="I2443" s="73">
        <v>42675</v>
      </c>
      <c r="J2443" s="73">
        <v>42675</v>
      </c>
      <c r="K2443" s="73">
        <v>35075</v>
      </c>
      <c r="L2443" s="11" t="s">
        <v>82</v>
      </c>
      <c r="M2443" s="1" t="s">
        <v>7609</v>
      </c>
      <c r="N2443" s="112" t="s">
        <v>14</v>
      </c>
      <c r="O2443" s="104" t="s">
        <v>27</v>
      </c>
      <c r="P2443" s="104"/>
      <c r="Q2443" s="105"/>
      <c r="R2443" s="28" t="s">
        <v>10804</v>
      </c>
      <c r="S2443" s="174">
        <f t="shared" si="39"/>
        <v>57254</v>
      </c>
      <c r="T2443" s="2" t="s">
        <v>146</v>
      </c>
      <c r="U2443" s="2" t="s">
        <v>146</v>
      </c>
      <c r="V2443" s="212" t="str" cm="1">
        <f t="array" ref="V2443">_xlfn.IFS(C2443="","",COUNTIF(C2443,"ตำแหน่งว่าง*"),"ว่าง",COUNTIF(C2443,"&lt;&gt;ตำแหน่งว่าง*"),"คนครอง")</f>
        <v>คนครอง</v>
      </c>
      <c r="W2443" s="1" cm="1">
        <f t="array" ref="W2443">_xlfn.IFS(COUNTIF(F2443,"ผบ.หมู่*"),51,COUNTIF(F2443,"รอง สว.*"),43)</f>
        <v>51</v>
      </c>
      <c r="X2443" s="1" t="s">
        <v>7233</v>
      </c>
      <c r="Y2443" s="1" t="s">
        <v>27</v>
      </c>
    </row>
    <row r="2444" spans="1:25" s="10" customFormat="1" ht="21.3" customHeight="1">
      <c r="A2444" s="27" t="s">
        <v>612</v>
      </c>
      <c r="B2444" s="28" t="s">
        <v>12</v>
      </c>
      <c r="C2444" s="27" t="s">
        <v>7235</v>
      </c>
      <c r="D2444" s="27" t="s">
        <v>8197</v>
      </c>
      <c r="E2444" s="27" t="s">
        <v>10541</v>
      </c>
      <c r="F2444" s="27" t="s">
        <v>7228</v>
      </c>
      <c r="G2444" s="101" t="s">
        <v>7237</v>
      </c>
      <c r="H2444" s="91">
        <v>44999</v>
      </c>
      <c r="I2444" s="73">
        <v>41944</v>
      </c>
      <c r="J2444" s="73">
        <v>41944</v>
      </c>
      <c r="K2444" s="73">
        <v>33257</v>
      </c>
      <c r="L2444" s="11" t="s">
        <v>82</v>
      </c>
      <c r="M2444" s="1" t="s">
        <v>16</v>
      </c>
      <c r="N2444" s="112" t="s">
        <v>14</v>
      </c>
      <c r="O2444" s="104" t="s">
        <v>27</v>
      </c>
      <c r="P2444" s="104"/>
      <c r="Q2444" s="105"/>
      <c r="R2444" s="28" t="s">
        <v>74</v>
      </c>
      <c r="S2444" s="225">
        <f t="shared" si="39"/>
        <v>55427</v>
      </c>
      <c r="T2444" s="7" t="s">
        <v>146</v>
      </c>
      <c r="U2444" s="2" t="s">
        <v>146</v>
      </c>
      <c r="V2444" s="161" t="str" cm="1">
        <f t="array" ref="V2444">_xlfn.IFS(C2444="","",COUNTIF(C2444,"ตำแหน่งว่าง*"),"ว่าง",COUNTIF(C2444,"&lt;&gt;ตำแหน่งว่าง*"),"คนครอง")</f>
        <v>คนครอง</v>
      </c>
      <c r="W2444" s="6" cm="1">
        <f t="array" ref="W2444">_xlfn.IFS(COUNTIF(F2444,"ผบ.หมู่*"),51,COUNTIF(F2444,"รอง สว.*"),43)</f>
        <v>51</v>
      </c>
      <c r="X2444" s="1" t="s">
        <v>7236</v>
      </c>
      <c r="Y2444" s="1" t="s">
        <v>27</v>
      </c>
    </row>
    <row r="2445" spans="1:25" s="9" customFormat="1" ht="21.3" customHeight="1">
      <c r="A2445" s="27" t="s">
        <v>612</v>
      </c>
      <c r="B2445" s="28" t="s">
        <v>12</v>
      </c>
      <c r="C2445" s="27" t="s">
        <v>7798</v>
      </c>
      <c r="D2445" s="27" t="s">
        <v>10542</v>
      </c>
      <c r="E2445" s="27" t="s">
        <v>10543</v>
      </c>
      <c r="F2445" s="27" t="s">
        <v>7239</v>
      </c>
      <c r="G2445" s="101" t="s">
        <v>7241</v>
      </c>
      <c r="H2445" s="91">
        <v>45322</v>
      </c>
      <c r="I2445" s="73">
        <v>42156</v>
      </c>
      <c r="J2445" s="73">
        <v>42156</v>
      </c>
      <c r="K2445" s="73">
        <v>32676</v>
      </c>
      <c r="L2445" s="11" t="s">
        <v>82</v>
      </c>
      <c r="M2445" s="1" t="s">
        <v>145</v>
      </c>
      <c r="N2445" s="112" t="s">
        <v>14</v>
      </c>
      <c r="O2445" s="104" t="s">
        <v>27</v>
      </c>
      <c r="P2445" s="104"/>
      <c r="Q2445" s="105"/>
      <c r="R2445" s="28" t="s">
        <v>7708</v>
      </c>
      <c r="S2445" s="225">
        <f t="shared" si="39"/>
        <v>54697</v>
      </c>
      <c r="T2445" s="2" t="s">
        <v>7698</v>
      </c>
      <c r="U2445" s="2" t="s">
        <v>146</v>
      </c>
      <c r="V2445" s="161" t="str" cm="1">
        <f t="array" ref="V2445">_xlfn.IFS(C2445="","",COUNTIF(C2445,"ตำแหน่งว่าง*"),"ว่าง",COUNTIF(C2445,"&lt;&gt;ตำแหน่งว่าง*"),"คนครอง")</f>
        <v>คนครอง</v>
      </c>
      <c r="W2445" s="6" cm="1">
        <f t="array" ref="W2445">_xlfn.IFS(COUNTIF(F2445,"ผบ.หมู่*"),51,COUNTIF(F2445,"รอง สว.*"),43)</f>
        <v>51</v>
      </c>
      <c r="X2445" s="1" t="s">
        <v>7240</v>
      </c>
      <c r="Y2445" s="1" t="s">
        <v>27</v>
      </c>
    </row>
    <row r="2446" spans="1:25" s="9" customFormat="1" ht="21.3" customHeight="1">
      <c r="A2446" s="27" t="s">
        <v>612</v>
      </c>
      <c r="B2446" s="28" t="s">
        <v>12</v>
      </c>
      <c r="C2446" s="27" t="s">
        <v>7242</v>
      </c>
      <c r="D2446" s="27" t="s">
        <v>10544</v>
      </c>
      <c r="E2446" s="27" t="s">
        <v>10545</v>
      </c>
      <c r="F2446" s="27" t="s">
        <v>7239</v>
      </c>
      <c r="G2446" s="101" t="s">
        <v>7244</v>
      </c>
      <c r="H2446" s="91">
        <v>44243</v>
      </c>
      <c r="I2446" s="73">
        <v>41944</v>
      </c>
      <c r="J2446" s="73">
        <v>41944</v>
      </c>
      <c r="K2446" s="73">
        <v>33679</v>
      </c>
      <c r="L2446" s="11" t="s">
        <v>7245</v>
      </c>
      <c r="M2446" s="1" t="s">
        <v>16</v>
      </c>
      <c r="N2446" s="112" t="s">
        <v>14</v>
      </c>
      <c r="O2446" s="104" t="s">
        <v>27</v>
      </c>
      <c r="P2446" s="104"/>
      <c r="Q2446" s="105"/>
      <c r="R2446" s="28" t="s">
        <v>617</v>
      </c>
      <c r="S2446" s="225">
        <f t="shared" si="39"/>
        <v>55793</v>
      </c>
      <c r="T2446" s="2" t="s">
        <v>7698</v>
      </c>
      <c r="U2446" s="2" t="s">
        <v>146</v>
      </c>
      <c r="V2446" s="161" t="str" cm="1">
        <f t="array" ref="V2446">_xlfn.IFS(C2446="","",COUNTIF(C2446,"ตำแหน่งว่าง*"),"ว่าง",COUNTIF(C2446,"&lt;&gt;ตำแหน่งว่าง*"),"คนครอง")</f>
        <v>คนครอง</v>
      </c>
      <c r="W2446" s="6" cm="1">
        <f t="array" ref="W2446">_xlfn.IFS(COUNTIF(F2446,"ผบ.หมู่*"),51,COUNTIF(F2446,"รอง สว.*"),43)</f>
        <v>51</v>
      </c>
      <c r="X2446" s="1" t="s">
        <v>7243</v>
      </c>
      <c r="Y2446" s="1" t="s">
        <v>27</v>
      </c>
    </row>
    <row r="2447" spans="1:25" s="9" customFormat="1" ht="21.3" customHeight="1">
      <c r="A2447" s="27" t="s">
        <v>612</v>
      </c>
      <c r="B2447" s="28" t="s">
        <v>12</v>
      </c>
      <c r="C2447" s="27" t="s">
        <v>7246</v>
      </c>
      <c r="D2447" s="27" t="s">
        <v>10546</v>
      </c>
      <c r="E2447" s="27" t="s">
        <v>10547</v>
      </c>
      <c r="F2447" s="27" t="s">
        <v>7239</v>
      </c>
      <c r="G2447" s="101" t="s">
        <v>7248</v>
      </c>
      <c r="H2447" s="91">
        <v>44243</v>
      </c>
      <c r="I2447" s="73">
        <v>41944</v>
      </c>
      <c r="J2447" s="73">
        <v>41944</v>
      </c>
      <c r="K2447" s="73">
        <v>34183</v>
      </c>
      <c r="L2447" s="11" t="s">
        <v>82</v>
      </c>
      <c r="M2447" s="1" t="s">
        <v>100</v>
      </c>
      <c r="N2447" s="112" t="s">
        <v>14</v>
      </c>
      <c r="O2447" s="104" t="s">
        <v>27</v>
      </c>
      <c r="P2447" s="104"/>
      <c r="Q2447" s="105"/>
      <c r="R2447" s="28" t="s">
        <v>617</v>
      </c>
      <c r="S2447" s="225">
        <f t="shared" si="39"/>
        <v>56158</v>
      </c>
      <c r="T2447" s="2" t="s">
        <v>7698</v>
      </c>
      <c r="U2447" s="2" t="s">
        <v>146</v>
      </c>
      <c r="V2447" s="161" t="str" cm="1">
        <f t="array" ref="V2447">_xlfn.IFS(C2447="","",COUNTIF(C2447,"ตำแหน่งว่าง*"),"ว่าง",COUNTIF(C2447,"&lt;&gt;ตำแหน่งว่าง*"),"คนครอง")</f>
        <v>คนครอง</v>
      </c>
      <c r="W2447" s="6" cm="1">
        <f t="array" ref="W2447">_xlfn.IFS(COUNTIF(F2447,"ผบ.หมู่*"),51,COUNTIF(F2447,"รอง สว.*"),43)</f>
        <v>51</v>
      </c>
      <c r="X2447" s="1" t="s">
        <v>7247</v>
      </c>
      <c r="Y2447" s="1" t="s">
        <v>27</v>
      </c>
    </row>
    <row r="2448" spans="1:25" s="10" customFormat="1" ht="21.3" customHeight="1">
      <c r="A2448" s="27" t="s">
        <v>182</v>
      </c>
      <c r="B2448" s="28" t="s">
        <v>12</v>
      </c>
      <c r="C2448" s="27" t="s">
        <v>5952</v>
      </c>
      <c r="D2448" s="27" t="s">
        <v>10106</v>
      </c>
      <c r="E2448" s="27" t="s">
        <v>10107</v>
      </c>
      <c r="F2448" s="27" t="s">
        <v>7239</v>
      </c>
      <c r="G2448" s="101" t="s">
        <v>7250</v>
      </c>
      <c r="H2448" s="91">
        <v>45768</v>
      </c>
      <c r="I2448" s="82">
        <v>44043</v>
      </c>
      <c r="J2448" s="82">
        <v>44043</v>
      </c>
      <c r="K2448" s="82">
        <v>34251</v>
      </c>
      <c r="L2448" s="58" t="s">
        <v>82</v>
      </c>
      <c r="M2448" s="56" t="s">
        <v>16</v>
      </c>
      <c r="N2448" s="112" t="s">
        <v>14</v>
      </c>
      <c r="O2448" s="104" t="s">
        <v>27</v>
      </c>
      <c r="P2448" s="104"/>
      <c r="Q2448" s="105"/>
      <c r="R2448" s="28" t="s">
        <v>10804</v>
      </c>
      <c r="S2448" s="174">
        <f t="shared" si="39"/>
        <v>56523</v>
      </c>
      <c r="T2448" s="2" t="s">
        <v>7698</v>
      </c>
      <c r="U2448" s="2" t="s">
        <v>146</v>
      </c>
      <c r="V2448" s="212" t="str" cm="1">
        <f t="array" ref="V2448">_xlfn.IFS(C2448="","",COUNTIF(C2448,"ตำแหน่งว่าง*"),"ว่าง",COUNTIF(C2448,"&lt;&gt;ตำแหน่งว่าง*"),"คนครอง")</f>
        <v>คนครอง</v>
      </c>
      <c r="W2448" s="1" cm="1">
        <f t="array" ref="W2448">_xlfn.IFS(COUNTIF(F2448,"ผบ.หมู่*"),51,COUNTIF(F2448,"รอง สว.*"),43)</f>
        <v>51</v>
      </c>
      <c r="X2448" s="28" t="s">
        <v>7249</v>
      </c>
      <c r="Y2448" s="28" t="s">
        <v>27</v>
      </c>
    </row>
    <row r="2449" spans="1:25" s="10" customFormat="1" ht="21.3" customHeight="1">
      <c r="A2449" s="27" t="s">
        <v>157</v>
      </c>
      <c r="B2449" s="28" t="s">
        <v>12</v>
      </c>
      <c r="C2449" s="27" t="s">
        <v>7251</v>
      </c>
      <c r="D2449" s="27" t="s">
        <v>8011</v>
      </c>
      <c r="E2449" s="27" t="s">
        <v>10550</v>
      </c>
      <c r="F2449" s="27" t="s">
        <v>7239</v>
      </c>
      <c r="G2449" s="101" t="s">
        <v>7253</v>
      </c>
      <c r="H2449" s="91">
        <v>44599</v>
      </c>
      <c r="I2449" s="73">
        <v>40339</v>
      </c>
      <c r="J2449" s="73">
        <v>40339</v>
      </c>
      <c r="K2449" s="73">
        <v>31342</v>
      </c>
      <c r="L2449" s="11" t="s">
        <v>7254</v>
      </c>
      <c r="M2449" s="1" t="s">
        <v>16</v>
      </c>
      <c r="N2449" s="112" t="s">
        <v>14</v>
      </c>
      <c r="O2449" s="104" t="s">
        <v>27</v>
      </c>
      <c r="P2449" s="104"/>
      <c r="Q2449" s="105"/>
      <c r="R2449" s="28" t="s">
        <v>132</v>
      </c>
      <c r="S2449" s="225">
        <f t="shared" si="39"/>
        <v>53601</v>
      </c>
      <c r="T2449" s="7" t="s">
        <v>7698</v>
      </c>
      <c r="U2449" s="2" t="s">
        <v>146</v>
      </c>
      <c r="V2449" s="161" t="str" cm="1">
        <f t="array" ref="V2449">_xlfn.IFS(C2449="","",COUNTIF(C2449,"ตำแหน่งว่าง*"),"ว่าง",COUNTIF(C2449,"&lt;&gt;ตำแหน่งว่าง*"),"คนครอง")</f>
        <v>คนครอง</v>
      </c>
      <c r="W2449" s="6" cm="1">
        <f t="array" ref="W2449">_xlfn.IFS(COUNTIF(F2449,"ผบ.หมู่*"),51,COUNTIF(F2449,"รอง สว.*"),43)</f>
        <v>51</v>
      </c>
      <c r="X2449" s="1" t="s">
        <v>7252</v>
      </c>
      <c r="Y2449" s="1" t="s">
        <v>27</v>
      </c>
    </row>
    <row r="2450" spans="1:25" s="10" customFormat="1" ht="21.3" customHeight="1">
      <c r="A2450" s="27" t="s">
        <v>60</v>
      </c>
      <c r="B2450" s="28" t="s">
        <v>12</v>
      </c>
      <c r="C2450" s="27" t="s">
        <v>7255</v>
      </c>
      <c r="D2450" s="27" t="s">
        <v>8340</v>
      </c>
      <c r="E2450" s="27" t="s">
        <v>10551</v>
      </c>
      <c r="F2450" s="27" t="s">
        <v>7270</v>
      </c>
      <c r="G2450" s="101" t="s">
        <v>7257</v>
      </c>
      <c r="H2450" s="91">
        <v>44999</v>
      </c>
      <c r="I2450" s="82">
        <v>34731</v>
      </c>
      <c r="J2450" s="82">
        <v>34731</v>
      </c>
      <c r="K2450" s="82">
        <v>26534</v>
      </c>
      <c r="L2450" s="58" t="s">
        <v>45</v>
      </c>
      <c r="M2450" s="56" t="s">
        <v>98</v>
      </c>
      <c r="N2450" s="112" t="s">
        <v>14</v>
      </c>
      <c r="O2450" s="104" t="s">
        <v>27</v>
      </c>
      <c r="P2450" s="104"/>
      <c r="Q2450" s="105"/>
      <c r="R2450" s="28" t="s">
        <v>29</v>
      </c>
      <c r="S2450" s="225">
        <f t="shared" si="39"/>
        <v>48488</v>
      </c>
      <c r="T2450" s="7" t="s">
        <v>7698</v>
      </c>
      <c r="U2450" s="2" t="s">
        <v>146</v>
      </c>
      <c r="V2450" s="161" t="str" cm="1">
        <f t="array" ref="V2450">_xlfn.IFS(C2450="","",COUNTIF(C2450,"ตำแหน่งว่าง*"),"ว่าง",COUNTIF(C2450,"&lt;&gt;ตำแหน่งว่าง*"),"คนครอง")</f>
        <v>คนครอง</v>
      </c>
      <c r="W2450" s="6" cm="1">
        <f t="array" ref="W2450">_xlfn.IFS(COUNTIF(F2450,"ผบ.หมู่*"),51,COUNTIF(F2450,"รอง สว.*"),43)</f>
        <v>43</v>
      </c>
      <c r="X2450" s="28" t="s">
        <v>7256</v>
      </c>
      <c r="Y2450" s="28" t="s">
        <v>27</v>
      </c>
    </row>
    <row r="2451" spans="1:25" s="10" customFormat="1" ht="21.3" customHeight="1">
      <c r="A2451" s="27" t="s">
        <v>612</v>
      </c>
      <c r="B2451" s="28" t="s">
        <v>12</v>
      </c>
      <c r="C2451" s="27" t="s">
        <v>10715</v>
      </c>
      <c r="D2451" s="27" t="s">
        <v>10716</v>
      </c>
      <c r="E2451" s="27" t="s">
        <v>10717</v>
      </c>
      <c r="F2451" s="27" t="s">
        <v>7239</v>
      </c>
      <c r="G2451" s="101" t="s">
        <v>7260</v>
      </c>
      <c r="H2451" s="91">
        <v>45768</v>
      </c>
      <c r="I2451" s="73">
        <v>42309</v>
      </c>
      <c r="J2451" s="73">
        <v>42309</v>
      </c>
      <c r="K2451" s="73">
        <v>34153</v>
      </c>
      <c r="L2451" s="11" t="s">
        <v>7609</v>
      </c>
      <c r="M2451" s="1" t="s">
        <v>7609</v>
      </c>
      <c r="N2451" s="112" t="s">
        <v>14</v>
      </c>
      <c r="O2451" s="104" t="s">
        <v>27</v>
      </c>
      <c r="P2451" s="104"/>
      <c r="Q2451" s="105"/>
      <c r="R2451" s="28" t="s">
        <v>10804</v>
      </c>
      <c r="S2451" s="174">
        <f t="shared" si="39"/>
        <v>56158</v>
      </c>
      <c r="T2451" s="2" t="s">
        <v>7698</v>
      </c>
      <c r="U2451" s="2" t="s">
        <v>146</v>
      </c>
      <c r="V2451" s="212" t="str" cm="1">
        <f t="array" ref="V2451">_xlfn.IFS(C2451="","",COUNTIF(C2451,"ตำแหน่งว่าง*"),"ว่าง",COUNTIF(C2451,"&lt;&gt;ตำแหน่งว่าง*"),"คนครอง")</f>
        <v>คนครอง</v>
      </c>
      <c r="W2451" s="1" cm="1">
        <f t="array" ref="W2451">_xlfn.IFS(COUNTIF(F2451,"ผบ.หมู่*"),51,COUNTIF(F2451,"รอง สว.*"),43)</f>
        <v>51</v>
      </c>
      <c r="X2451" s="1" t="s">
        <v>7259</v>
      </c>
      <c r="Y2451" s="1" t="s">
        <v>27</v>
      </c>
    </row>
    <row r="2452" spans="1:25" s="10" customFormat="1" ht="21.3" customHeight="1">
      <c r="A2452" s="27" t="s">
        <v>612</v>
      </c>
      <c r="B2452" s="28" t="s">
        <v>12</v>
      </c>
      <c r="C2452" s="27" t="s">
        <v>7262</v>
      </c>
      <c r="D2452" s="27" t="s">
        <v>10554</v>
      </c>
      <c r="E2452" s="27" t="s">
        <v>10555</v>
      </c>
      <c r="F2452" s="27" t="s">
        <v>7239</v>
      </c>
      <c r="G2452" s="101" t="s">
        <v>7264</v>
      </c>
      <c r="H2452" s="75">
        <v>44999</v>
      </c>
      <c r="I2452" s="73">
        <v>41944</v>
      </c>
      <c r="J2452" s="73">
        <v>41944</v>
      </c>
      <c r="K2452" s="73">
        <v>33162</v>
      </c>
      <c r="L2452" s="11" t="s">
        <v>7265</v>
      </c>
      <c r="M2452" s="1" t="s">
        <v>58</v>
      </c>
      <c r="N2452" s="112" t="s">
        <v>14</v>
      </c>
      <c r="O2452" s="104" t="s">
        <v>27</v>
      </c>
      <c r="P2452" s="104"/>
      <c r="Q2452" s="105"/>
      <c r="R2452" s="28" t="s">
        <v>74</v>
      </c>
      <c r="S2452" s="225">
        <f t="shared" si="39"/>
        <v>55427</v>
      </c>
      <c r="T2452" s="7" t="s">
        <v>7698</v>
      </c>
      <c r="U2452" s="2" t="s">
        <v>146</v>
      </c>
      <c r="V2452" s="161" t="str" cm="1">
        <f t="array" ref="V2452">_xlfn.IFS(C2452="","",COUNTIF(C2452,"ตำแหน่งว่าง*"),"ว่าง",COUNTIF(C2452,"&lt;&gt;ตำแหน่งว่าง*"),"คนครอง")</f>
        <v>คนครอง</v>
      </c>
      <c r="W2452" s="6" cm="1">
        <f t="array" ref="W2452">_xlfn.IFS(COUNTIF(F2452,"ผบ.หมู่*"),51,COUNTIF(F2452,"รอง สว.*"),43)</f>
        <v>51</v>
      </c>
      <c r="X2452" s="1" t="s">
        <v>7263</v>
      </c>
      <c r="Y2452" s="1" t="s">
        <v>27</v>
      </c>
    </row>
    <row r="2453" spans="1:25" s="9" customFormat="1" ht="21.3" customHeight="1">
      <c r="A2453" s="27" t="s">
        <v>612</v>
      </c>
      <c r="B2453" s="28" t="s">
        <v>12</v>
      </c>
      <c r="C2453" s="27" t="s">
        <v>7266</v>
      </c>
      <c r="D2453" s="27" t="s">
        <v>8729</v>
      </c>
      <c r="E2453" s="27" t="s">
        <v>10556</v>
      </c>
      <c r="F2453" s="27" t="s">
        <v>7239</v>
      </c>
      <c r="G2453" s="101" t="s">
        <v>7268</v>
      </c>
      <c r="H2453" s="91">
        <v>44999</v>
      </c>
      <c r="I2453" s="73">
        <v>41944</v>
      </c>
      <c r="J2453" s="73">
        <v>41944</v>
      </c>
      <c r="K2453" s="73">
        <v>34596</v>
      </c>
      <c r="L2453" s="11" t="s">
        <v>82</v>
      </c>
      <c r="M2453" s="1" t="s">
        <v>100</v>
      </c>
      <c r="N2453" s="112" t="s">
        <v>14</v>
      </c>
      <c r="O2453" s="104" t="s">
        <v>27</v>
      </c>
      <c r="P2453" s="104"/>
      <c r="Q2453" s="105"/>
      <c r="R2453" s="28" t="s">
        <v>74</v>
      </c>
      <c r="S2453" s="225">
        <f t="shared" si="39"/>
        <v>56523</v>
      </c>
      <c r="T2453" s="2" t="s">
        <v>7698</v>
      </c>
      <c r="U2453" s="2" t="s">
        <v>146</v>
      </c>
      <c r="V2453" s="161" t="str" cm="1">
        <f t="array" ref="V2453">_xlfn.IFS(C2453="","",COUNTIF(C2453,"ตำแหน่งว่าง*"),"ว่าง",COUNTIF(C2453,"&lt;&gt;ตำแหน่งว่าง*"),"คนครอง")</f>
        <v>คนครอง</v>
      </c>
      <c r="W2453" s="6" cm="1">
        <f t="array" ref="W2453">_xlfn.IFS(COUNTIF(F2453,"ผบ.หมู่*"),51,COUNTIF(F2453,"รอง สว.*"),43)</f>
        <v>51</v>
      </c>
      <c r="X2453" s="1" t="s">
        <v>7267</v>
      </c>
      <c r="Y2453" s="1" t="s">
        <v>27</v>
      </c>
    </row>
    <row r="2454" spans="1:25" s="9" customFormat="1" ht="21.3" customHeight="1">
      <c r="A2454" s="95" t="s">
        <v>208</v>
      </c>
      <c r="B2454" s="28" t="s">
        <v>21</v>
      </c>
      <c r="C2454" s="27" t="s">
        <v>7303</v>
      </c>
      <c r="D2454" s="27" t="s">
        <v>10557</v>
      </c>
      <c r="E2454" s="27" t="s">
        <v>10558</v>
      </c>
      <c r="F2454" s="27" t="s">
        <v>7239</v>
      </c>
      <c r="G2454" s="101" t="s">
        <v>7305</v>
      </c>
      <c r="H2454" s="91">
        <v>43693</v>
      </c>
      <c r="I2454" s="73">
        <v>43693</v>
      </c>
      <c r="J2454" s="73">
        <v>43693</v>
      </c>
      <c r="K2454" s="73">
        <v>32716</v>
      </c>
      <c r="L2454" s="11" t="s">
        <v>112</v>
      </c>
      <c r="M2454" s="1" t="s">
        <v>93</v>
      </c>
      <c r="N2454" s="112" t="s">
        <v>14</v>
      </c>
      <c r="O2454" s="104" t="s">
        <v>43</v>
      </c>
      <c r="P2454" s="104"/>
      <c r="Q2454" s="105"/>
      <c r="R2454" s="26" t="s">
        <v>326</v>
      </c>
      <c r="S2454" s="225">
        <f t="shared" si="39"/>
        <v>54697</v>
      </c>
      <c r="T2454" s="2" t="s">
        <v>7698</v>
      </c>
      <c r="U2454" s="2" t="s">
        <v>146</v>
      </c>
      <c r="V2454" s="161" t="str" cm="1">
        <f t="array" ref="V2454">_xlfn.IFS(C2454="","",COUNTIF(C2454,"ตำแหน่งว่าง*"),"ว่าง",COUNTIF(C2454,"&lt;&gt;ตำแหน่งว่าง*"),"คนครอง")</f>
        <v>คนครอง</v>
      </c>
      <c r="W2454" s="6" cm="1">
        <f t="array" ref="W2454">_xlfn.IFS(COUNTIF(F2454,"ผบ.หมู่*"),51,COUNTIF(F2454,"รอง สว.*"),43)</f>
        <v>51</v>
      </c>
      <c r="X2454" s="1" t="s">
        <v>7304</v>
      </c>
      <c r="Y2454" s="1" t="s">
        <v>48</v>
      </c>
    </row>
    <row r="2455" spans="1:25" s="12" customFormat="1" ht="21.3" customHeight="1">
      <c r="A2455" s="27" t="s">
        <v>44</v>
      </c>
      <c r="B2455" s="31" t="s">
        <v>12</v>
      </c>
      <c r="C2455" s="95" t="s">
        <v>7269</v>
      </c>
      <c r="D2455" s="27" t="s">
        <v>8303</v>
      </c>
      <c r="E2455" s="27" t="s">
        <v>10559</v>
      </c>
      <c r="F2455" s="95" t="s">
        <v>7270</v>
      </c>
      <c r="G2455" s="101" t="s">
        <v>7272</v>
      </c>
      <c r="H2455" s="92">
        <v>43656</v>
      </c>
      <c r="I2455" s="76">
        <v>34352</v>
      </c>
      <c r="J2455" s="76">
        <v>34352</v>
      </c>
      <c r="K2455" s="76">
        <v>24857</v>
      </c>
      <c r="L2455" s="17" t="s">
        <v>2855</v>
      </c>
      <c r="M2455" s="5" t="s">
        <v>16</v>
      </c>
      <c r="N2455" s="111" t="s">
        <v>14</v>
      </c>
      <c r="O2455" s="104" t="s">
        <v>52</v>
      </c>
      <c r="P2455" s="104" t="s">
        <v>52</v>
      </c>
      <c r="Q2455" s="108"/>
      <c r="R2455" s="31" t="s">
        <v>713</v>
      </c>
      <c r="S2455" s="225">
        <f t="shared" si="39"/>
        <v>47027</v>
      </c>
      <c r="T2455" s="162" t="s">
        <v>7698</v>
      </c>
      <c r="U2455" s="2" t="s">
        <v>146</v>
      </c>
      <c r="V2455" s="161" t="str" cm="1">
        <f t="array" ref="V2455">_xlfn.IFS(C2455="","",COUNTIF(C2455,"ตำแหน่งว่าง*"),"ว่าง",COUNTIF(C2455,"&lt;&gt;ตำแหน่งว่าง*"),"คนครอง")</f>
        <v>คนครอง</v>
      </c>
      <c r="W2455" s="5" cm="1">
        <f t="array" ref="W2455">_xlfn.IFS(COUNTIF(F2455,"ผบ.หมู่*"),51,COUNTIF(F2455,"รอง สว.*"),43)</f>
        <v>43</v>
      </c>
      <c r="X2455" s="5" t="s">
        <v>7271</v>
      </c>
      <c r="Y2455" s="5" t="s">
        <v>52</v>
      </c>
    </row>
    <row r="2456" spans="1:25" s="9" customFormat="1" ht="21.3" customHeight="1">
      <c r="A2456" s="27" t="s">
        <v>10753</v>
      </c>
      <c r="B2456" s="28" t="s">
        <v>12</v>
      </c>
      <c r="C2456" s="27" t="s">
        <v>7273</v>
      </c>
      <c r="D2456" s="27" t="s">
        <v>10560</v>
      </c>
      <c r="E2456" s="27" t="s">
        <v>10561</v>
      </c>
      <c r="F2456" s="27" t="s">
        <v>7270</v>
      </c>
      <c r="G2456" s="101" t="s">
        <v>7275</v>
      </c>
      <c r="H2456" s="91">
        <v>45016</v>
      </c>
      <c r="I2456" s="73">
        <v>45016</v>
      </c>
      <c r="J2456" s="73">
        <v>35825</v>
      </c>
      <c r="K2456" s="73">
        <v>25811</v>
      </c>
      <c r="L2456" s="11" t="s">
        <v>7276</v>
      </c>
      <c r="M2456" s="1" t="s">
        <v>100</v>
      </c>
      <c r="N2456" s="112" t="s">
        <v>14</v>
      </c>
      <c r="O2456" s="104" t="s">
        <v>52</v>
      </c>
      <c r="P2456" s="104" t="s">
        <v>52</v>
      </c>
      <c r="Q2456" s="105"/>
      <c r="R2456" s="28" t="s">
        <v>483</v>
      </c>
      <c r="S2456" s="225">
        <f t="shared" ref="S2456:S2487" si="40">IF(K2456&lt;&gt;"",DATE(YEAR(K2456)+60+(K2456&gt;=DATE(YEAR(K2456),10,2)),10,1),"")</f>
        <v>47757</v>
      </c>
      <c r="T2456" s="2" t="s">
        <v>7698</v>
      </c>
      <c r="U2456" s="2" t="s">
        <v>146</v>
      </c>
      <c r="V2456" s="161" t="str" cm="1">
        <f t="array" ref="V2456">_xlfn.IFS(C2456="","",COUNTIF(C2456,"ตำแหน่งว่าง*"),"ว่าง",COUNTIF(C2456,"&lt;&gt;ตำแหน่งว่าง*"),"คนครอง")</f>
        <v>คนครอง</v>
      </c>
      <c r="W2456" s="5" cm="1">
        <f t="array" ref="W2456">_xlfn.IFS(COUNTIF(F2456,"ผบ.หมู่*"),51,COUNTIF(F2456,"รอง สว.*"),43)</f>
        <v>43</v>
      </c>
      <c r="X2456" s="1" t="s">
        <v>7274</v>
      </c>
      <c r="Y2456" s="1" t="s">
        <v>52</v>
      </c>
    </row>
    <row r="2457" spans="1:25" s="10" customFormat="1" ht="21.3" customHeight="1">
      <c r="A2457" s="27" t="s">
        <v>157</v>
      </c>
      <c r="B2457" s="28" t="s">
        <v>21</v>
      </c>
      <c r="C2457" s="27" t="s">
        <v>7277</v>
      </c>
      <c r="D2457" s="27" t="s">
        <v>8266</v>
      </c>
      <c r="E2457" s="27" t="s">
        <v>10562</v>
      </c>
      <c r="F2457" s="27" t="s">
        <v>7239</v>
      </c>
      <c r="G2457" s="101" t="s">
        <v>7279</v>
      </c>
      <c r="H2457" s="91">
        <v>42604</v>
      </c>
      <c r="I2457" s="73">
        <v>44999</v>
      </c>
      <c r="J2457" s="73">
        <v>40339</v>
      </c>
      <c r="K2457" s="73">
        <v>31209</v>
      </c>
      <c r="L2457" s="11" t="s">
        <v>68</v>
      </c>
      <c r="M2457" s="1" t="s">
        <v>145</v>
      </c>
      <c r="N2457" s="112" t="s">
        <v>14</v>
      </c>
      <c r="O2457" s="104" t="s">
        <v>52</v>
      </c>
      <c r="P2457" s="104" t="s">
        <v>52</v>
      </c>
      <c r="Q2457" s="105"/>
      <c r="R2457" s="28" t="s">
        <v>74</v>
      </c>
      <c r="S2457" s="225">
        <f t="shared" si="40"/>
        <v>53236</v>
      </c>
      <c r="T2457" s="7" t="s">
        <v>7698</v>
      </c>
      <c r="U2457" s="2" t="s">
        <v>146</v>
      </c>
      <c r="V2457" s="161" t="str" cm="1">
        <f t="array" ref="V2457">_xlfn.IFS(C2457="","",COUNTIF(C2457,"ตำแหน่งว่าง*"),"ว่าง",COUNTIF(C2457,"&lt;&gt;ตำแหน่งว่าง*"),"คนครอง")</f>
        <v>คนครอง</v>
      </c>
      <c r="W2457" s="6" cm="1">
        <f t="array" ref="W2457">_xlfn.IFS(COUNTIF(F2457,"ผบ.หมู่*"),51,COUNTIF(F2457,"รอง สว.*"),43)</f>
        <v>51</v>
      </c>
      <c r="X2457" s="1" t="s">
        <v>7278</v>
      </c>
      <c r="Y2457" s="1" t="s">
        <v>52</v>
      </c>
    </row>
    <row r="2458" spans="1:25" s="12" customFormat="1" ht="21.3" customHeight="1">
      <c r="A2458" s="27" t="s">
        <v>208</v>
      </c>
      <c r="B2458" s="28" t="s">
        <v>12</v>
      </c>
      <c r="C2458" s="27" t="s">
        <v>7764</v>
      </c>
      <c r="D2458" s="27" t="s">
        <v>10563</v>
      </c>
      <c r="E2458" s="27" t="s">
        <v>10564</v>
      </c>
      <c r="F2458" s="27" t="s">
        <v>7239</v>
      </c>
      <c r="G2458" s="101" t="s">
        <v>7281</v>
      </c>
      <c r="H2458" s="91">
        <v>45322</v>
      </c>
      <c r="I2458" s="73">
        <v>43693</v>
      </c>
      <c r="J2458" s="73">
        <v>43693</v>
      </c>
      <c r="K2458" s="73">
        <v>34285</v>
      </c>
      <c r="L2458" s="11" t="s">
        <v>644</v>
      </c>
      <c r="M2458" s="1" t="s">
        <v>16</v>
      </c>
      <c r="N2458" s="112" t="s">
        <v>14</v>
      </c>
      <c r="O2458" s="104" t="s">
        <v>52</v>
      </c>
      <c r="P2458" s="104" t="s">
        <v>52</v>
      </c>
      <c r="Q2458" s="105"/>
      <c r="R2458" s="28" t="s">
        <v>7708</v>
      </c>
      <c r="S2458" s="225">
        <f t="shared" si="40"/>
        <v>56523</v>
      </c>
      <c r="T2458" s="162" t="s">
        <v>7698</v>
      </c>
      <c r="U2458" s="2" t="s">
        <v>146</v>
      </c>
      <c r="V2458" s="161" t="str" cm="1">
        <f t="array" ref="V2458">_xlfn.IFS(C2458="","",COUNTIF(C2458,"ตำแหน่งว่าง*"),"ว่าง",COUNTIF(C2458,"&lt;&gt;ตำแหน่งว่าง*"),"คนครอง")</f>
        <v>คนครอง</v>
      </c>
      <c r="W2458" s="6" cm="1">
        <f t="array" ref="W2458">_xlfn.IFS(COUNTIF(F2458,"ผบ.หมู่*"),51,COUNTIF(F2458,"รอง สว.*"),43)</f>
        <v>51</v>
      </c>
      <c r="X2458" s="1" t="s">
        <v>7280</v>
      </c>
      <c r="Y2458" s="1" t="s">
        <v>52</v>
      </c>
    </row>
    <row r="2459" spans="1:25" s="12" customFormat="1" ht="21.3" customHeight="1">
      <c r="A2459" s="27" t="s">
        <v>157</v>
      </c>
      <c r="B2459" s="28" t="s">
        <v>12</v>
      </c>
      <c r="C2459" s="27" t="s">
        <v>7238</v>
      </c>
      <c r="D2459" s="27" t="s">
        <v>10565</v>
      </c>
      <c r="E2459" s="27" t="s">
        <v>10566</v>
      </c>
      <c r="F2459" s="27" t="s">
        <v>7239</v>
      </c>
      <c r="G2459" s="101" t="s">
        <v>7284</v>
      </c>
      <c r="H2459" s="75">
        <v>45322</v>
      </c>
      <c r="I2459" s="73">
        <v>41244</v>
      </c>
      <c r="J2459" s="73">
        <v>41244</v>
      </c>
      <c r="K2459" s="73">
        <v>32548</v>
      </c>
      <c r="L2459" s="11" t="s">
        <v>112</v>
      </c>
      <c r="M2459" s="1" t="s">
        <v>16</v>
      </c>
      <c r="N2459" s="112" t="s">
        <v>14</v>
      </c>
      <c r="O2459" s="104" t="s">
        <v>52</v>
      </c>
      <c r="P2459" s="104" t="s">
        <v>52</v>
      </c>
      <c r="Q2459" s="105"/>
      <c r="R2459" s="30" t="s">
        <v>7792</v>
      </c>
      <c r="S2459" s="225">
        <f t="shared" si="40"/>
        <v>54697</v>
      </c>
      <c r="T2459" s="162" t="s">
        <v>7698</v>
      </c>
      <c r="U2459" s="2" t="s">
        <v>146</v>
      </c>
      <c r="V2459" s="161" t="str" cm="1">
        <f t="array" ref="V2459">_xlfn.IFS(C2459="","",COUNTIF(C2459,"ตำแหน่งว่าง*"),"ว่าง",COUNTIF(C2459,"&lt;&gt;ตำแหน่งว่าง*"),"คนครอง")</f>
        <v>คนครอง</v>
      </c>
      <c r="W2459" s="6" cm="1">
        <f t="array" ref="W2459">_xlfn.IFS(COUNTIF(F2459,"ผบ.หมู่*"),51,COUNTIF(F2459,"รอง สว.*"),43)</f>
        <v>51</v>
      </c>
      <c r="X2459" s="1" t="s">
        <v>7283</v>
      </c>
      <c r="Y2459" s="1" t="s">
        <v>52</v>
      </c>
    </row>
    <row r="2460" spans="1:25" s="9" customFormat="1" ht="21.3" customHeight="1">
      <c r="A2460" s="27" t="s">
        <v>157</v>
      </c>
      <c r="B2460" s="28" t="s">
        <v>12</v>
      </c>
      <c r="C2460" s="27" t="s">
        <v>7285</v>
      </c>
      <c r="D2460" s="27" t="s">
        <v>10567</v>
      </c>
      <c r="E2460" s="27" t="s">
        <v>10568</v>
      </c>
      <c r="F2460" s="27" t="s">
        <v>7239</v>
      </c>
      <c r="G2460" s="101" t="s">
        <v>7287</v>
      </c>
      <c r="H2460" s="75">
        <v>43871</v>
      </c>
      <c r="I2460" s="73">
        <v>39479</v>
      </c>
      <c r="J2460" s="73">
        <v>39479</v>
      </c>
      <c r="K2460" s="73">
        <v>29624</v>
      </c>
      <c r="L2460" s="11" t="s">
        <v>7288</v>
      </c>
      <c r="M2460" s="1" t="s">
        <v>33</v>
      </c>
      <c r="N2460" s="112" t="s">
        <v>14</v>
      </c>
      <c r="O2460" s="104" t="s">
        <v>52</v>
      </c>
      <c r="P2460" s="104" t="s">
        <v>52</v>
      </c>
      <c r="Q2460" s="105"/>
      <c r="R2460" s="28" t="s">
        <v>688</v>
      </c>
      <c r="S2460" s="225">
        <f t="shared" si="40"/>
        <v>51775</v>
      </c>
      <c r="T2460" s="2" t="s">
        <v>7698</v>
      </c>
      <c r="U2460" s="2" t="s">
        <v>146</v>
      </c>
      <c r="V2460" s="161" t="str" cm="1">
        <f t="array" ref="V2460">_xlfn.IFS(C2460="","",COUNTIF(C2460,"ตำแหน่งว่าง*"),"ว่าง",COUNTIF(C2460,"&lt;&gt;ตำแหน่งว่าง*"),"คนครอง")</f>
        <v>คนครอง</v>
      </c>
      <c r="W2460" s="6" cm="1">
        <f t="array" ref="W2460">_xlfn.IFS(COUNTIF(F2460,"ผบ.หมู่*"),51,COUNTIF(F2460,"รอง สว.*"),43)</f>
        <v>51</v>
      </c>
      <c r="X2460" s="1" t="s">
        <v>7286</v>
      </c>
      <c r="Y2460" s="1" t="s">
        <v>52</v>
      </c>
    </row>
    <row r="2461" spans="1:25" s="12" customFormat="1" ht="21.3" customHeight="1">
      <c r="A2461" s="27" t="s">
        <v>612</v>
      </c>
      <c r="B2461" s="28" t="s">
        <v>12</v>
      </c>
      <c r="C2461" s="95" t="s">
        <v>7289</v>
      </c>
      <c r="D2461" s="27" t="s">
        <v>8204</v>
      </c>
      <c r="E2461" s="27" t="s">
        <v>10569</v>
      </c>
      <c r="F2461" s="95" t="s">
        <v>7239</v>
      </c>
      <c r="G2461" s="101" t="s">
        <v>7291</v>
      </c>
      <c r="H2461" s="75">
        <v>44243</v>
      </c>
      <c r="I2461" s="73">
        <v>42156</v>
      </c>
      <c r="J2461" s="73">
        <v>42156</v>
      </c>
      <c r="K2461" s="73">
        <v>32430</v>
      </c>
      <c r="L2461" s="11" t="s">
        <v>7292</v>
      </c>
      <c r="M2461" s="1" t="s">
        <v>16</v>
      </c>
      <c r="N2461" s="111" t="s">
        <v>14</v>
      </c>
      <c r="O2461" s="104" t="s">
        <v>52</v>
      </c>
      <c r="P2461" s="104" t="s">
        <v>52</v>
      </c>
      <c r="Q2461" s="105"/>
      <c r="R2461" s="28" t="s">
        <v>617</v>
      </c>
      <c r="S2461" s="225">
        <f t="shared" si="40"/>
        <v>54697</v>
      </c>
      <c r="T2461" s="162" t="s">
        <v>7698</v>
      </c>
      <c r="U2461" s="2" t="s">
        <v>146</v>
      </c>
      <c r="V2461" s="161" t="str" cm="1">
        <f t="array" ref="V2461">_xlfn.IFS(C2461="","",COUNTIF(C2461,"ตำแหน่งว่าง*"),"ว่าง",COUNTIF(C2461,"&lt;&gt;ตำแหน่งว่าง*"),"คนครอง")</f>
        <v>คนครอง</v>
      </c>
      <c r="W2461" s="6" cm="1">
        <f t="array" ref="W2461">_xlfn.IFS(COUNTIF(F2461,"ผบ.หมู่*"),51,COUNTIF(F2461,"รอง สว.*"),43)</f>
        <v>51</v>
      </c>
      <c r="X2461" s="5" t="s">
        <v>7290</v>
      </c>
      <c r="Y2461" s="5" t="s">
        <v>52</v>
      </c>
    </row>
    <row r="2462" spans="1:25" s="9" customFormat="1" ht="21.3" customHeight="1">
      <c r="A2462" s="94" t="s">
        <v>157</v>
      </c>
      <c r="B2462" s="29" t="s">
        <v>12</v>
      </c>
      <c r="C2462" s="94" t="s">
        <v>7232</v>
      </c>
      <c r="D2462" s="27" t="s">
        <v>10539</v>
      </c>
      <c r="E2462" s="27" t="s">
        <v>10540</v>
      </c>
      <c r="F2462" s="68" t="s">
        <v>7239</v>
      </c>
      <c r="G2462" s="121" t="s">
        <v>7294</v>
      </c>
      <c r="H2462" s="80">
        <v>45768</v>
      </c>
      <c r="I2462" s="74">
        <v>41244</v>
      </c>
      <c r="J2462" s="74">
        <v>41244</v>
      </c>
      <c r="K2462" s="74">
        <v>31505</v>
      </c>
      <c r="L2462" s="44" t="s">
        <v>112</v>
      </c>
      <c r="M2462" s="8" t="s">
        <v>57</v>
      </c>
      <c r="N2462" s="113" t="s">
        <v>14</v>
      </c>
      <c r="O2462" s="122" t="s">
        <v>52</v>
      </c>
      <c r="P2462" s="122" t="s">
        <v>52</v>
      </c>
      <c r="Q2462" s="106"/>
      <c r="R2462" s="29" t="s">
        <v>10805</v>
      </c>
      <c r="S2462" s="225">
        <f t="shared" si="40"/>
        <v>53601</v>
      </c>
      <c r="T2462" s="2" t="s">
        <v>7698</v>
      </c>
      <c r="U2462" s="2" t="s">
        <v>146</v>
      </c>
      <c r="V2462" s="161" t="str" cm="1">
        <f t="array" ref="V2462">_xlfn.IFS(C2462="","",COUNTIF(C2462,"ตำแหน่งว่าง*"),"ว่าง",COUNTIF(C2462,"&lt;&gt;ตำแหน่งว่าง*"),"คนครอง")</f>
        <v>คนครอง</v>
      </c>
      <c r="W2462" s="6" cm="1">
        <f t="array" ref="W2462">_xlfn.IFS(COUNTIF(F2462,"ผบ.หมู่*"),51,COUNTIF(F2462,"รอง สว.*"),43)</f>
        <v>51</v>
      </c>
      <c r="X2462" s="1" t="s">
        <v>7293</v>
      </c>
      <c r="Y2462" s="1" t="s">
        <v>52</v>
      </c>
    </row>
    <row r="2463" spans="1:25" s="9" customFormat="1" ht="21.3" customHeight="1">
      <c r="A2463" s="27" t="s">
        <v>157</v>
      </c>
      <c r="B2463" s="28" t="s">
        <v>12</v>
      </c>
      <c r="C2463" s="27" t="s">
        <v>7295</v>
      </c>
      <c r="D2463" s="27" t="s">
        <v>10570</v>
      </c>
      <c r="E2463" s="27" t="s">
        <v>10571</v>
      </c>
      <c r="F2463" s="27" t="s">
        <v>7239</v>
      </c>
      <c r="G2463" s="101" t="s">
        <v>7297</v>
      </c>
      <c r="H2463" s="91">
        <v>44243</v>
      </c>
      <c r="I2463" s="73">
        <v>41214</v>
      </c>
      <c r="J2463" s="73">
        <v>41214</v>
      </c>
      <c r="K2463" s="73">
        <v>31507</v>
      </c>
      <c r="L2463" s="11" t="s">
        <v>7298</v>
      </c>
      <c r="M2463" s="1" t="s">
        <v>100</v>
      </c>
      <c r="N2463" s="112" t="s">
        <v>14</v>
      </c>
      <c r="O2463" s="104" t="s">
        <v>52</v>
      </c>
      <c r="P2463" s="104" t="s">
        <v>52</v>
      </c>
      <c r="Q2463" s="105"/>
      <c r="R2463" s="28" t="s">
        <v>617</v>
      </c>
      <c r="S2463" s="225">
        <f t="shared" si="40"/>
        <v>53601</v>
      </c>
      <c r="T2463" s="2" t="s">
        <v>7698</v>
      </c>
      <c r="U2463" s="2" t="s">
        <v>146</v>
      </c>
      <c r="V2463" s="161" t="str" cm="1">
        <f t="array" ref="V2463">_xlfn.IFS(C2463="","",COUNTIF(C2463,"ตำแหน่งว่าง*"),"ว่าง",COUNTIF(C2463,"&lt;&gt;ตำแหน่งว่าง*"),"คนครอง")</f>
        <v>คนครอง</v>
      </c>
      <c r="W2463" s="6" cm="1">
        <f t="array" ref="W2463">_xlfn.IFS(COUNTIF(F2463,"ผบ.หมู่*"),51,COUNTIF(F2463,"รอง สว.*"),43)</f>
        <v>51</v>
      </c>
      <c r="X2463" s="1" t="s">
        <v>7296</v>
      </c>
      <c r="Y2463" s="1" t="s">
        <v>52</v>
      </c>
    </row>
    <row r="2464" spans="1:25" s="9" customFormat="1" ht="21.3" customHeight="1">
      <c r="A2464" s="27" t="s">
        <v>157</v>
      </c>
      <c r="B2464" s="28" t="s">
        <v>12</v>
      </c>
      <c r="C2464" s="27" t="s">
        <v>7299</v>
      </c>
      <c r="D2464" s="27" t="s">
        <v>8470</v>
      </c>
      <c r="E2464" s="27" t="s">
        <v>10572</v>
      </c>
      <c r="F2464" s="27" t="s">
        <v>7239</v>
      </c>
      <c r="G2464" s="101" t="s">
        <v>7301</v>
      </c>
      <c r="H2464" s="91">
        <v>44243</v>
      </c>
      <c r="I2464" s="73">
        <v>41214</v>
      </c>
      <c r="J2464" s="73">
        <v>41214</v>
      </c>
      <c r="K2464" s="73">
        <v>32190</v>
      </c>
      <c r="L2464" s="11" t="s">
        <v>7302</v>
      </c>
      <c r="M2464" s="1" t="s">
        <v>143</v>
      </c>
      <c r="N2464" s="112" t="s">
        <v>14</v>
      </c>
      <c r="O2464" s="104" t="s">
        <v>52</v>
      </c>
      <c r="P2464" s="104" t="s">
        <v>52</v>
      </c>
      <c r="Q2464" s="105"/>
      <c r="R2464" s="28" t="s">
        <v>617</v>
      </c>
      <c r="S2464" s="225">
        <f t="shared" si="40"/>
        <v>54332</v>
      </c>
      <c r="T2464" s="2" t="s">
        <v>7698</v>
      </c>
      <c r="U2464" s="2" t="s">
        <v>146</v>
      </c>
      <c r="V2464" s="161" t="str" cm="1">
        <f t="array" ref="V2464">_xlfn.IFS(C2464="","",COUNTIF(C2464,"ตำแหน่งว่าง*"),"ว่าง",COUNTIF(C2464,"&lt;&gt;ตำแหน่งว่าง*"),"คนครอง")</f>
        <v>คนครอง</v>
      </c>
      <c r="W2464" s="6" cm="1">
        <f t="array" ref="W2464">_xlfn.IFS(COUNTIF(F2464,"ผบ.หมู่*"),51,COUNTIF(F2464,"รอง สว.*"),43)</f>
        <v>51</v>
      </c>
      <c r="X2464" s="1" t="s">
        <v>7300</v>
      </c>
      <c r="Y2464" s="1" t="s">
        <v>52</v>
      </c>
    </row>
    <row r="2465" spans="1:25" s="9" customFormat="1" ht="21.3" customHeight="1">
      <c r="A2465" s="27" t="s">
        <v>157</v>
      </c>
      <c r="B2465" s="28" t="s">
        <v>12</v>
      </c>
      <c r="C2465" s="27" t="s">
        <v>7306</v>
      </c>
      <c r="D2465" s="27" t="s">
        <v>10573</v>
      </c>
      <c r="E2465" s="27" t="s">
        <v>10574</v>
      </c>
      <c r="F2465" s="27" t="s">
        <v>7307</v>
      </c>
      <c r="G2465" s="101" t="s">
        <v>7309</v>
      </c>
      <c r="H2465" s="75">
        <v>42501</v>
      </c>
      <c r="I2465" s="73">
        <v>35827</v>
      </c>
      <c r="J2465" s="73">
        <v>35827</v>
      </c>
      <c r="K2465" s="73">
        <v>27800</v>
      </c>
      <c r="L2465" s="11" t="s">
        <v>7310</v>
      </c>
      <c r="M2465" s="1" t="s">
        <v>100</v>
      </c>
      <c r="N2465" s="112" t="s">
        <v>14</v>
      </c>
      <c r="O2465" s="104" t="s">
        <v>52</v>
      </c>
      <c r="P2465" s="104" t="s">
        <v>52</v>
      </c>
      <c r="Q2465" s="105"/>
      <c r="R2465" s="28" t="s">
        <v>110</v>
      </c>
      <c r="S2465" s="225">
        <f t="shared" si="40"/>
        <v>49949</v>
      </c>
      <c r="T2465" s="2" t="s">
        <v>7690</v>
      </c>
      <c r="U2465" s="2" t="s">
        <v>146</v>
      </c>
      <c r="V2465" s="161" t="str" cm="1">
        <f t="array" ref="V2465">_xlfn.IFS(C2465="","",COUNTIF(C2465,"ตำแหน่งว่าง*"),"ว่าง",COUNTIF(C2465,"&lt;&gt;ตำแหน่งว่าง*"),"คนครอง")</f>
        <v>คนครอง</v>
      </c>
      <c r="W2465" s="6" cm="1">
        <f t="array" ref="W2465">_xlfn.IFS(COUNTIF(F2465,"ผบ.หมู่*"),51,COUNTIF(F2465,"รอง สว.*"),43)</f>
        <v>51</v>
      </c>
      <c r="X2465" s="1" t="s">
        <v>7308</v>
      </c>
      <c r="Y2465" s="1" t="s">
        <v>52</v>
      </c>
    </row>
    <row r="2466" spans="1:25" s="9" customFormat="1" ht="21.3" customHeight="1">
      <c r="A2466" s="27" t="s">
        <v>60</v>
      </c>
      <c r="B2466" s="28" t="s">
        <v>21</v>
      </c>
      <c r="C2466" s="27" t="s">
        <v>7311</v>
      </c>
      <c r="D2466" s="27" t="s">
        <v>8160</v>
      </c>
      <c r="E2466" s="27" t="s">
        <v>10575</v>
      </c>
      <c r="F2466" s="27" t="s">
        <v>7326</v>
      </c>
      <c r="G2466" s="101" t="s">
        <v>7313</v>
      </c>
      <c r="H2466" s="75">
        <v>43656</v>
      </c>
      <c r="I2466" s="73">
        <v>34352</v>
      </c>
      <c r="J2466" s="73">
        <v>34352</v>
      </c>
      <c r="K2466" s="73">
        <v>26224</v>
      </c>
      <c r="L2466" s="11" t="s">
        <v>2314</v>
      </c>
      <c r="M2466" s="1" t="s">
        <v>16</v>
      </c>
      <c r="N2466" s="112" t="s">
        <v>14</v>
      </c>
      <c r="O2466" s="104" t="s">
        <v>52</v>
      </c>
      <c r="P2466" s="104" t="s">
        <v>52</v>
      </c>
      <c r="Q2466" s="105"/>
      <c r="R2466" s="28" t="s">
        <v>713</v>
      </c>
      <c r="S2466" s="225">
        <f t="shared" si="40"/>
        <v>48488</v>
      </c>
      <c r="T2466" s="2" t="s">
        <v>7690</v>
      </c>
      <c r="U2466" s="2" t="s">
        <v>146</v>
      </c>
      <c r="V2466" s="161" t="str" cm="1">
        <f t="array" ref="V2466">_xlfn.IFS(C2466="","",COUNTIF(C2466,"ตำแหน่งว่าง*"),"ว่าง",COUNTIF(C2466,"&lt;&gt;ตำแหน่งว่าง*"),"คนครอง")</f>
        <v>คนครอง</v>
      </c>
      <c r="W2466" s="6" cm="1">
        <f t="array" ref="W2466">_xlfn.IFS(COUNTIF(F2466,"ผบ.หมู่*"),51,COUNTIF(F2466,"รอง สว.*"),43)</f>
        <v>43</v>
      </c>
      <c r="X2466" s="1" t="s">
        <v>7312</v>
      </c>
      <c r="Y2466" s="1" t="s">
        <v>52</v>
      </c>
    </row>
    <row r="2467" spans="1:25" s="12" customFormat="1" ht="21.3" customHeight="1">
      <c r="A2467" s="95" t="s">
        <v>612</v>
      </c>
      <c r="B2467" s="31" t="s">
        <v>12</v>
      </c>
      <c r="C2467" s="51" t="s">
        <v>7314</v>
      </c>
      <c r="D2467" s="27" t="s">
        <v>10576</v>
      </c>
      <c r="E2467" s="27" t="s">
        <v>10577</v>
      </c>
      <c r="F2467" s="95" t="s">
        <v>7307</v>
      </c>
      <c r="G2467" s="101" t="s">
        <v>7316</v>
      </c>
      <c r="H2467" s="88">
        <v>44599</v>
      </c>
      <c r="I2467" s="234">
        <v>42675</v>
      </c>
      <c r="J2467" s="234">
        <v>42675</v>
      </c>
      <c r="K2467" s="234">
        <v>32518</v>
      </c>
      <c r="L2467" s="17" t="s">
        <v>2661</v>
      </c>
      <c r="M2467" s="17" t="s">
        <v>16</v>
      </c>
      <c r="N2467" s="111" t="s">
        <v>14</v>
      </c>
      <c r="O2467" s="104" t="s">
        <v>52</v>
      </c>
      <c r="P2467" s="104" t="s">
        <v>52</v>
      </c>
      <c r="Q2467" s="108"/>
      <c r="R2467" s="31" t="s">
        <v>607</v>
      </c>
      <c r="S2467" s="225">
        <f t="shared" si="40"/>
        <v>54697</v>
      </c>
      <c r="T2467" s="162" t="s">
        <v>7690</v>
      </c>
      <c r="U2467" s="2" t="s">
        <v>146</v>
      </c>
      <c r="V2467" s="161" t="str" cm="1">
        <f t="array" ref="V2467">_xlfn.IFS(C2467="","",COUNTIF(C2467,"ตำแหน่งว่าง*"),"ว่าง",COUNTIF(C2467,"&lt;&gt;ตำแหน่งว่าง*"),"คนครอง")</f>
        <v>คนครอง</v>
      </c>
      <c r="W2467" s="6" cm="1">
        <f t="array" ref="W2467">_xlfn.IFS(COUNTIF(F2467,"ผบ.หมู่*"),51,COUNTIF(F2467,"รอง สว.*"),43)</f>
        <v>51</v>
      </c>
      <c r="X2467" s="5" t="s">
        <v>7315</v>
      </c>
      <c r="Y2467" s="5" t="s">
        <v>52</v>
      </c>
    </row>
    <row r="2468" spans="1:25" s="9" customFormat="1" ht="21.3" customHeight="1">
      <c r="A2468" s="27" t="s">
        <v>157</v>
      </c>
      <c r="B2468" s="28" t="s">
        <v>21</v>
      </c>
      <c r="C2468" s="27" t="s">
        <v>7317</v>
      </c>
      <c r="D2468" s="27" t="s">
        <v>10578</v>
      </c>
      <c r="E2468" s="27" t="s">
        <v>10579</v>
      </c>
      <c r="F2468" s="27" t="s">
        <v>7307</v>
      </c>
      <c r="G2468" s="101" t="s">
        <v>7319</v>
      </c>
      <c r="H2468" s="75">
        <v>43871</v>
      </c>
      <c r="I2468" s="73">
        <v>34352</v>
      </c>
      <c r="J2468" s="73">
        <v>34352</v>
      </c>
      <c r="K2468" s="73">
        <v>27248</v>
      </c>
      <c r="L2468" s="11" t="s">
        <v>5125</v>
      </c>
      <c r="M2468" s="1" t="s">
        <v>16</v>
      </c>
      <c r="N2468" s="112" t="s">
        <v>14</v>
      </c>
      <c r="O2468" s="104" t="s">
        <v>52</v>
      </c>
      <c r="P2468" s="104" t="s">
        <v>52</v>
      </c>
      <c r="Q2468" s="105"/>
      <c r="R2468" s="28" t="s">
        <v>688</v>
      </c>
      <c r="S2468" s="225">
        <f t="shared" si="40"/>
        <v>49218</v>
      </c>
      <c r="T2468" s="2" t="s">
        <v>7690</v>
      </c>
      <c r="U2468" s="2" t="s">
        <v>146</v>
      </c>
      <c r="V2468" s="161" t="str" cm="1">
        <f t="array" ref="V2468">_xlfn.IFS(C2468="","",COUNTIF(C2468,"ตำแหน่งว่าง*"),"ว่าง",COUNTIF(C2468,"&lt;&gt;ตำแหน่งว่าง*"),"คนครอง")</f>
        <v>คนครอง</v>
      </c>
      <c r="W2468" s="6" cm="1">
        <f t="array" ref="W2468">_xlfn.IFS(COUNTIF(F2468,"ผบ.หมู่*"),51,COUNTIF(F2468,"รอง สว.*"),43)</f>
        <v>51</v>
      </c>
      <c r="X2468" s="1" t="s">
        <v>7318</v>
      </c>
      <c r="Y2468" s="1" t="s">
        <v>52</v>
      </c>
    </row>
    <row r="2469" spans="1:25" s="9" customFormat="1" ht="21.3" customHeight="1">
      <c r="A2469" s="27" t="s">
        <v>612</v>
      </c>
      <c r="B2469" s="28" t="s">
        <v>12</v>
      </c>
      <c r="C2469" s="27" t="s">
        <v>7320</v>
      </c>
      <c r="D2469" s="27" t="s">
        <v>10580</v>
      </c>
      <c r="E2469" s="27" t="s">
        <v>10581</v>
      </c>
      <c r="F2469" s="27" t="s">
        <v>7307</v>
      </c>
      <c r="G2469" s="101" t="s">
        <v>7322</v>
      </c>
      <c r="H2469" s="75">
        <v>42501</v>
      </c>
      <c r="I2469" s="73">
        <v>42416</v>
      </c>
      <c r="J2469" s="73">
        <v>42416</v>
      </c>
      <c r="K2469" s="73">
        <v>33728</v>
      </c>
      <c r="L2469" s="11" t="s">
        <v>10830</v>
      </c>
      <c r="M2469" s="1" t="s">
        <v>163</v>
      </c>
      <c r="N2469" s="112" t="s">
        <v>14</v>
      </c>
      <c r="O2469" s="104" t="s">
        <v>52</v>
      </c>
      <c r="P2469" s="104" t="s">
        <v>52</v>
      </c>
      <c r="Q2469" s="105"/>
      <c r="R2469" s="28" t="s">
        <v>110</v>
      </c>
      <c r="S2469" s="225">
        <f t="shared" si="40"/>
        <v>55793</v>
      </c>
      <c r="T2469" s="2" t="s">
        <v>7690</v>
      </c>
      <c r="U2469" s="2" t="s">
        <v>146</v>
      </c>
      <c r="V2469" s="161" t="str" cm="1">
        <f t="array" ref="V2469">_xlfn.IFS(C2469="","",COUNTIF(C2469,"ตำแหน่งว่าง*"),"ว่าง",COUNTIF(C2469,"&lt;&gt;ตำแหน่งว่าง*"),"คนครอง")</f>
        <v>คนครอง</v>
      </c>
      <c r="W2469" s="6" cm="1">
        <f t="array" ref="W2469">_xlfn.IFS(COUNTIF(F2469,"ผบ.หมู่*"),51,COUNTIF(F2469,"รอง สว.*"),43)</f>
        <v>51</v>
      </c>
      <c r="X2469" s="1" t="s">
        <v>7321</v>
      </c>
      <c r="Y2469" s="1" t="s">
        <v>52</v>
      </c>
    </row>
    <row r="2470" spans="1:25" s="9" customFormat="1" ht="21.3" customHeight="1">
      <c r="A2470" s="27" t="s">
        <v>182</v>
      </c>
      <c r="B2470" s="28" t="s">
        <v>12</v>
      </c>
      <c r="C2470" s="27" t="s">
        <v>7323</v>
      </c>
      <c r="D2470" s="27" t="s">
        <v>10582</v>
      </c>
      <c r="E2470" s="27" t="s">
        <v>8658</v>
      </c>
      <c r="F2470" s="27" t="s">
        <v>7307</v>
      </c>
      <c r="G2470" s="101" t="s">
        <v>7325</v>
      </c>
      <c r="H2470" s="75">
        <v>44634</v>
      </c>
      <c r="I2470" s="73">
        <v>44634</v>
      </c>
      <c r="J2470" s="73">
        <v>44636</v>
      </c>
      <c r="K2470" s="73">
        <v>33412</v>
      </c>
      <c r="L2470" s="11" t="s">
        <v>800</v>
      </c>
      <c r="M2470" s="1" t="s">
        <v>145</v>
      </c>
      <c r="N2470" s="112" t="s">
        <v>14</v>
      </c>
      <c r="O2470" s="104" t="s">
        <v>52</v>
      </c>
      <c r="P2470" s="104" t="s">
        <v>52</v>
      </c>
      <c r="Q2470" s="105"/>
      <c r="R2470" s="28" t="s">
        <v>611</v>
      </c>
      <c r="S2470" s="225">
        <f t="shared" si="40"/>
        <v>55427</v>
      </c>
      <c r="T2470" s="2" t="s">
        <v>7690</v>
      </c>
      <c r="U2470" s="2" t="s">
        <v>146</v>
      </c>
      <c r="V2470" s="161" t="str" cm="1">
        <f t="array" ref="V2470">_xlfn.IFS(C2470="","",COUNTIF(C2470,"ตำแหน่งว่าง*"),"ว่าง",COUNTIF(C2470,"&lt;&gt;ตำแหน่งว่าง*"),"คนครอง")</f>
        <v>คนครอง</v>
      </c>
      <c r="W2470" s="6" cm="1">
        <f t="array" ref="W2470">_xlfn.IFS(COUNTIF(F2470,"ผบ.หมู่*"),51,COUNTIF(F2470,"รอง สว.*"),43)</f>
        <v>51</v>
      </c>
      <c r="X2470" s="1" t="s">
        <v>7324</v>
      </c>
      <c r="Y2470" s="1" t="s">
        <v>52</v>
      </c>
    </row>
    <row r="2471" spans="1:25" s="9" customFormat="1" ht="21.3" customHeight="1">
      <c r="A2471" s="27"/>
      <c r="B2471" s="28"/>
      <c r="C2471" s="95" t="s">
        <v>18</v>
      </c>
      <c r="D2471" s="27"/>
      <c r="E2471" s="27"/>
      <c r="F2471" s="27" t="s">
        <v>7307</v>
      </c>
      <c r="G2471" s="101" t="s">
        <v>7328</v>
      </c>
      <c r="H2471" s="75"/>
      <c r="I2471" s="73"/>
      <c r="J2471" s="73"/>
      <c r="K2471" s="73"/>
      <c r="L2471" s="11"/>
      <c r="M2471" s="1"/>
      <c r="N2471" s="112" t="s">
        <v>14</v>
      </c>
      <c r="O2471" s="104" t="s">
        <v>52</v>
      </c>
      <c r="P2471" s="104" t="s">
        <v>52</v>
      </c>
      <c r="Q2471" s="105"/>
      <c r="R2471" s="28"/>
      <c r="S2471" s="225" t="str">
        <f t="shared" si="40"/>
        <v/>
      </c>
      <c r="T2471" s="2" t="s">
        <v>7690</v>
      </c>
      <c r="U2471" s="2" t="s">
        <v>146</v>
      </c>
      <c r="V2471" s="161" t="str" cm="1">
        <f t="array" ref="V2471">_xlfn.IFS(C2471="","",COUNTIF(C2471,"ตำแหน่งว่าง*"),"ว่าง",COUNTIF(C2471,"&lt;&gt;ตำแหน่งว่าง*"),"คนครอง")</f>
        <v>ว่าง</v>
      </c>
      <c r="W2471" s="5" cm="1">
        <f t="array" ref="W2471">_xlfn.IFS(COUNTIF(F2471,"ผบ.หมู่*"),51,COUNTIF(F2471,"รอง สว.*"),43)</f>
        <v>51</v>
      </c>
      <c r="X2471" s="1" t="s">
        <v>7327</v>
      </c>
      <c r="Y2471" s="1" t="s">
        <v>52</v>
      </c>
    </row>
    <row r="2472" spans="1:25" s="9" customFormat="1" ht="21.3" customHeight="1">
      <c r="A2472" s="27" t="s">
        <v>157</v>
      </c>
      <c r="B2472" s="28" t="s">
        <v>21</v>
      </c>
      <c r="C2472" s="27" t="s">
        <v>7329</v>
      </c>
      <c r="D2472" s="27" t="s">
        <v>10583</v>
      </c>
      <c r="E2472" s="27" t="s">
        <v>10584</v>
      </c>
      <c r="F2472" s="27" t="s">
        <v>7307</v>
      </c>
      <c r="G2472" s="101" t="s">
        <v>7331</v>
      </c>
      <c r="H2472" s="75">
        <v>42501</v>
      </c>
      <c r="I2472" s="73">
        <v>39717</v>
      </c>
      <c r="J2472" s="73">
        <v>39717</v>
      </c>
      <c r="K2472" s="73">
        <v>28688</v>
      </c>
      <c r="L2472" s="11" t="s">
        <v>7332</v>
      </c>
      <c r="M2472" s="1" t="s">
        <v>33</v>
      </c>
      <c r="N2472" s="112" t="s">
        <v>14</v>
      </c>
      <c r="O2472" s="104" t="s">
        <v>52</v>
      </c>
      <c r="P2472" s="104" t="s">
        <v>52</v>
      </c>
      <c r="Q2472" s="105"/>
      <c r="R2472" s="28" t="s">
        <v>110</v>
      </c>
      <c r="S2472" s="225">
        <f t="shared" si="40"/>
        <v>50679</v>
      </c>
      <c r="T2472" s="2" t="s">
        <v>7690</v>
      </c>
      <c r="U2472" s="2" t="s">
        <v>146</v>
      </c>
      <c r="V2472" s="161" t="str" cm="1">
        <f t="array" ref="V2472">_xlfn.IFS(C2472="","",COUNTIF(C2472,"ตำแหน่งว่าง*"),"ว่าง",COUNTIF(C2472,"&lt;&gt;ตำแหน่งว่าง*"),"คนครอง")</f>
        <v>คนครอง</v>
      </c>
      <c r="W2472" s="6" cm="1">
        <f t="array" ref="W2472">_xlfn.IFS(COUNTIF(F2472,"ผบ.หมู่*"),51,COUNTIF(F2472,"รอง สว.*"),43)</f>
        <v>51</v>
      </c>
      <c r="X2472" s="1" t="s">
        <v>7330</v>
      </c>
      <c r="Y2472" s="1" t="s">
        <v>52</v>
      </c>
    </row>
    <row r="2473" spans="1:25" s="9" customFormat="1" ht="21.3" customHeight="1">
      <c r="A2473" s="27" t="s">
        <v>157</v>
      </c>
      <c r="B2473" s="28" t="s">
        <v>21</v>
      </c>
      <c r="C2473" s="27" t="s">
        <v>7333</v>
      </c>
      <c r="D2473" s="27" t="s">
        <v>10585</v>
      </c>
      <c r="E2473" s="27" t="s">
        <v>10586</v>
      </c>
      <c r="F2473" s="27" t="s">
        <v>7307</v>
      </c>
      <c r="G2473" s="101" t="s">
        <v>7335</v>
      </c>
      <c r="H2473" s="75">
        <v>42501</v>
      </c>
      <c r="I2473" s="73">
        <v>39717</v>
      </c>
      <c r="J2473" s="73">
        <v>39717</v>
      </c>
      <c r="K2473" s="73">
        <v>30108</v>
      </c>
      <c r="L2473" s="11" t="s">
        <v>7336</v>
      </c>
      <c r="M2473" s="1" t="s">
        <v>16</v>
      </c>
      <c r="N2473" s="112" t="s">
        <v>14</v>
      </c>
      <c r="O2473" s="104" t="s">
        <v>52</v>
      </c>
      <c r="P2473" s="104" t="s">
        <v>52</v>
      </c>
      <c r="Q2473" s="105"/>
      <c r="R2473" s="28" t="s">
        <v>110</v>
      </c>
      <c r="S2473" s="225">
        <f t="shared" si="40"/>
        <v>52140</v>
      </c>
      <c r="T2473" s="2" t="s">
        <v>7690</v>
      </c>
      <c r="U2473" s="2" t="s">
        <v>146</v>
      </c>
      <c r="V2473" s="161" t="str" cm="1">
        <f t="array" ref="V2473">_xlfn.IFS(C2473="","",COUNTIF(C2473,"ตำแหน่งว่าง*"),"ว่าง",COUNTIF(C2473,"&lt;&gt;ตำแหน่งว่าง*"),"คนครอง")</f>
        <v>คนครอง</v>
      </c>
      <c r="W2473" s="6" cm="1">
        <f t="array" ref="W2473">_xlfn.IFS(COUNTIF(F2473,"ผบ.หมู่*"),51,COUNTIF(F2473,"รอง สว.*"),43)</f>
        <v>51</v>
      </c>
      <c r="X2473" s="1" t="s">
        <v>7334</v>
      </c>
      <c r="Y2473" s="1" t="s">
        <v>52</v>
      </c>
    </row>
    <row r="2474" spans="1:25" s="9" customFormat="1" ht="21.3" customHeight="1">
      <c r="A2474" s="27" t="s">
        <v>612</v>
      </c>
      <c r="B2474" s="28" t="s">
        <v>12</v>
      </c>
      <c r="C2474" s="27" t="s">
        <v>10726</v>
      </c>
      <c r="D2474" s="27" t="s">
        <v>10727</v>
      </c>
      <c r="E2474" s="27" t="s">
        <v>10728</v>
      </c>
      <c r="F2474" s="27" t="s">
        <v>7307</v>
      </c>
      <c r="G2474" s="101" t="s">
        <v>7339</v>
      </c>
      <c r="H2474" s="75">
        <v>45768</v>
      </c>
      <c r="I2474" s="73">
        <v>42309</v>
      </c>
      <c r="J2474" s="73">
        <v>42309</v>
      </c>
      <c r="K2474" s="73">
        <v>32973</v>
      </c>
      <c r="L2474" s="11" t="s">
        <v>7609</v>
      </c>
      <c r="M2474" s="1" t="s">
        <v>7609</v>
      </c>
      <c r="N2474" s="112" t="s">
        <v>14</v>
      </c>
      <c r="O2474" s="104" t="s">
        <v>52</v>
      </c>
      <c r="P2474" s="104" t="s">
        <v>52</v>
      </c>
      <c r="Q2474" s="105"/>
      <c r="R2474" s="28" t="s">
        <v>10804</v>
      </c>
      <c r="S2474" s="174">
        <f t="shared" si="40"/>
        <v>55062</v>
      </c>
      <c r="T2474" s="2" t="s">
        <v>7690</v>
      </c>
      <c r="U2474" s="2" t="s">
        <v>146</v>
      </c>
      <c r="V2474" s="212" t="str" cm="1">
        <f t="array" ref="V2474">_xlfn.IFS(C2474="","",COUNTIF(C2474,"ตำแหน่งว่าง*"),"ว่าง",COUNTIF(C2474,"&lt;&gt;ตำแหน่งว่าง*"),"คนครอง")</f>
        <v>คนครอง</v>
      </c>
      <c r="W2474" s="1" cm="1">
        <f t="array" ref="W2474">_xlfn.IFS(COUNTIF(F2474,"ผบ.หมู่*"),51,COUNTIF(F2474,"รอง สว.*"),43)</f>
        <v>51</v>
      </c>
      <c r="X2474" s="1" t="s">
        <v>7338</v>
      </c>
      <c r="Y2474" s="1" t="s">
        <v>52</v>
      </c>
    </row>
    <row r="2475" spans="1:25" s="9" customFormat="1" ht="21.3" customHeight="1">
      <c r="A2475" s="27" t="s">
        <v>182</v>
      </c>
      <c r="B2475" s="28" t="s">
        <v>12</v>
      </c>
      <c r="C2475" s="27" t="s">
        <v>7340</v>
      </c>
      <c r="D2475" s="27" t="s">
        <v>10589</v>
      </c>
      <c r="E2475" s="27" t="s">
        <v>10590</v>
      </c>
      <c r="F2475" s="27" t="s">
        <v>7307</v>
      </c>
      <c r="G2475" s="101" t="s">
        <v>7342</v>
      </c>
      <c r="H2475" s="75">
        <v>44043</v>
      </c>
      <c r="I2475" s="73">
        <v>44043</v>
      </c>
      <c r="J2475" s="73">
        <v>44043</v>
      </c>
      <c r="K2475" s="73">
        <v>33836</v>
      </c>
      <c r="L2475" s="11" t="s">
        <v>1667</v>
      </c>
      <c r="M2475" s="1" t="s">
        <v>16</v>
      </c>
      <c r="N2475" s="112" t="s">
        <v>14</v>
      </c>
      <c r="O2475" s="104" t="s">
        <v>52</v>
      </c>
      <c r="P2475" s="104" t="s">
        <v>52</v>
      </c>
      <c r="Q2475" s="105"/>
      <c r="R2475" s="28" t="s">
        <v>2436</v>
      </c>
      <c r="S2475" s="225">
        <f t="shared" si="40"/>
        <v>55793</v>
      </c>
      <c r="T2475" s="2" t="s">
        <v>7690</v>
      </c>
      <c r="U2475" s="2" t="s">
        <v>146</v>
      </c>
      <c r="V2475" s="161" t="str" cm="1">
        <f t="array" ref="V2475">_xlfn.IFS(C2475="","",COUNTIF(C2475,"ตำแหน่งว่าง*"),"ว่าง",COUNTIF(C2475,"&lt;&gt;ตำแหน่งว่าง*"),"คนครอง")</f>
        <v>คนครอง</v>
      </c>
      <c r="W2475" s="6" cm="1">
        <f t="array" ref="W2475">_xlfn.IFS(COUNTIF(F2475,"ผบ.หมู่*"),51,COUNTIF(F2475,"รอง สว.*"),43)</f>
        <v>51</v>
      </c>
      <c r="X2475" s="1" t="s">
        <v>7341</v>
      </c>
      <c r="Y2475" s="1" t="s">
        <v>52</v>
      </c>
    </row>
    <row r="2476" spans="1:25" s="9" customFormat="1" ht="21.3" customHeight="1">
      <c r="A2476" s="27" t="s">
        <v>157</v>
      </c>
      <c r="B2476" s="28" t="s">
        <v>12</v>
      </c>
      <c r="C2476" s="27" t="s">
        <v>7343</v>
      </c>
      <c r="D2476" s="27" t="s">
        <v>10591</v>
      </c>
      <c r="E2476" s="27" t="s">
        <v>10592</v>
      </c>
      <c r="F2476" s="27" t="s">
        <v>7307</v>
      </c>
      <c r="G2476" s="101" t="s">
        <v>7345</v>
      </c>
      <c r="H2476" s="75">
        <v>42501</v>
      </c>
      <c r="I2476" s="73">
        <v>39479</v>
      </c>
      <c r="J2476" s="73">
        <v>39479</v>
      </c>
      <c r="K2476" s="73">
        <v>31336</v>
      </c>
      <c r="L2476" s="11" t="s">
        <v>4907</v>
      </c>
      <c r="M2476" s="1" t="s">
        <v>100</v>
      </c>
      <c r="N2476" s="112" t="s">
        <v>14</v>
      </c>
      <c r="O2476" s="104" t="s">
        <v>52</v>
      </c>
      <c r="P2476" s="104" t="s">
        <v>52</v>
      </c>
      <c r="Q2476" s="105"/>
      <c r="R2476" s="28" t="s">
        <v>110</v>
      </c>
      <c r="S2476" s="225">
        <f t="shared" si="40"/>
        <v>53601</v>
      </c>
      <c r="T2476" s="2" t="s">
        <v>7690</v>
      </c>
      <c r="U2476" s="2" t="s">
        <v>146</v>
      </c>
      <c r="V2476" s="161" t="str" cm="1">
        <f t="array" ref="V2476">_xlfn.IFS(C2476="","",COUNTIF(C2476,"ตำแหน่งว่าง*"),"ว่าง",COUNTIF(C2476,"&lt;&gt;ตำแหน่งว่าง*"),"คนครอง")</f>
        <v>คนครอง</v>
      </c>
      <c r="W2476" s="6" cm="1">
        <f t="array" ref="W2476">_xlfn.IFS(COUNTIF(F2476,"ผบ.หมู่*"),51,COUNTIF(F2476,"รอง สว.*"),43)</f>
        <v>51</v>
      </c>
      <c r="X2476" s="1" t="s">
        <v>7344</v>
      </c>
      <c r="Y2476" s="1" t="s">
        <v>52</v>
      </c>
    </row>
    <row r="2477" spans="1:25" s="9" customFormat="1" ht="21.3" customHeight="1">
      <c r="A2477" s="27" t="s">
        <v>157</v>
      </c>
      <c r="B2477" s="28" t="s">
        <v>12</v>
      </c>
      <c r="C2477" s="27" t="s">
        <v>7346</v>
      </c>
      <c r="D2477" s="27" t="s">
        <v>10593</v>
      </c>
      <c r="E2477" s="27" t="s">
        <v>10524</v>
      </c>
      <c r="F2477" s="27" t="s">
        <v>7307</v>
      </c>
      <c r="G2477" s="101" t="s">
        <v>7348</v>
      </c>
      <c r="H2477" s="91">
        <v>44599</v>
      </c>
      <c r="I2477" s="73">
        <v>41244</v>
      </c>
      <c r="J2477" s="73">
        <v>41244</v>
      </c>
      <c r="K2477" s="73">
        <v>32439</v>
      </c>
      <c r="L2477" s="11" t="s">
        <v>2661</v>
      </c>
      <c r="M2477" s="1" t="s">
        <v>145</v>
      </c>
      <c r="N2477" s="112" t="s">
        <v>14</v>
      </c>
      <c r="O2477" s="104" t="s">
        <v>52</v>
      </c>
      <c r="P2477" s="104" t="s">
        <v>52</v>
      </c>
      <c r="Q2477" s="105"/>
      <c r="R2477" s="28" t="s">
        <v>607</v>
      </c>
      <c r="S2477" s="225">
        <f t="shared" si="40"/>
        <v>54697</v>
      </c>
      <c r="T2477" s="2" t="s">
        <v>7690</v>
      </c>
      <c r="U2477" s="2" t="s">
        <v>146</v>
      </c>
      <c r="V2477" s="161" t="str" cm="1">
        <f t="array" ref="V2477">_xlfn.IFS(C2477="","",COUNTIF(C2477,"ตำแหน่งว่าง*"),"ว่าง",COUNTIF(C2477,"&lt;&gt;ตำแหน่งว่าง*"),"คนครอง")</f>
        <v>คนครอง</v>
      </c>
      <c r="W2477" s="6" cm="1">
        <f t="array" ref="W2477">_xlfn.IFS(COUNTIF(F2477,"ผบ.หมู่*"),51,COUNTIF(F2477,"รอง สว.*"),43)</f>
        <v>51</v>
      </c>
      <c r="X2477" s="1" t="s">
        <v>7347</v>
      </c>
      <c r="Y2477" s="1" t="s">
        <v>52</v>
      </c>
    </row>
    <row r="2478" spans="1:25" s="12" customFormat="1" ht="21.3" customHeight="1">
      <c r="A2478" s="27" t="s">
        <v>26</v>
      </c>
      <c r="B2478" s="28" t="s">
        <v>12</v>
      </c>
      <c r="C2478" s="95" t="s">
        <v>7349</v>
      </c>
      <c r="D2478" s="27" t="s">
        <v>7978</v>
      </c>
      <c r="E2478" s="27" t="s">
        <v>10594</v>
      </c>
      <c r="F2478" s="95" t="s">
        <v>7350</v>
      </c>
      <c r="G2478" s="101" t="s">
        <v>7352</v>
      </c>
      <c r="H2478" s="91">
        <v>44286</v>
      </c>
      <c r="I2478" s="73">
        <v>44286</v>
      </c>
      <c r="J2478" s="73">
        <v>34001</v>
      </c>
      <c r="K2478" s="73">
        <v>24959</v>
      </c>
      <c r="L2478" s="11" t="s">
        <v>7353</v>
      </c>
      <c r="M2478" s="1" t="s">
        <v>16</v>
      </c>
      <c r="N2478" s="111" t="s">
        <v>14</v>
      </c>
      <c r="O2478" s="104" t="s">
        <v>52</v>
      </c>
      <c r="P2478" s="104" t="s">
        <v>52</v>
      </c>
      <c r="Q2478" s="105"/>
      <c r="R2478" s="28" t="s">
        <v>1313</v>
      </c>
      <c r="S2478" s="225">
        <f t="shared" si="40"/>
        <v>47027</v>
      </c>
      <c r="T2478" s="162" t="s">
        <v>115</v>
      </c>
      <c r="U2478" s="2" t="s">
        <v>146</v>
      </c>
      <c r="V2478" s="161" t="str" cm="1">
        <f t="array" ref="V2478">_xlfn.IFS(C2478="","",COUNTIF(C2478,"ตำแหน่งว่าง*"),"ว่าง",COUNTIF(C2478,"&lt;&gt;ตำแหน่งว่าง*"),"คนครอง")</f>
        <v>คนครอง</v>
      </c>
      <c r="W2478" s="5" cm="1">
        <f t="array" ref="W2478">_xlfn.IFS(COUNTIF(F2478,"ผบ.หมู่*"),51,COUNTIF(F2478,"รอง สว.*"),43)</f>
        <v>43</v>
      </c>
      <c r="X2478" s="5" t="s">
        <v>7351</v>
      </c>
      <c r="Y2478" s="5" t="s">
        <v>52</v>
      </c>
    </row>
    <row r="2479" spans="1:25" s="9" customFormat="1" ht="21.3" customHeight="1">
      <c r="A2479" s="27" t="s">
        <v>157</v>
      </c>
      <c r="B2479" s="28" t="s">
        <v>21</v>
      </c>
      <c r="C2479" s="27" t="s">
        <v>7354</v>
      </c>
      <c r="D2479" s="27" t="s">
        <v>8348</v>
      </c>
      <c r="E2479" s="27" t="s">
        <v>10595</v>
      </c>
      <c r="F2479" s="27" t="s">
        <v>7355</v>
      </c>
      <c r="G2479" s="101" t="s">
        <v>7357</v>
      </c>
      <c r="H2479" s="91">
        <v>42501</v>
      </c>
      <c r="I2479" s="73">
        <v>39717</v>
      </c>
      <c r="J2479" s="73">
        <v>39717</v>
      </c>
      <c r="K2479" s="73">
        <v>30194</v>
      </c>
      <c r="L2479" s="11" t="s">
        <v>66</v>
      </c>
      <c r="M2479" s="1" t="s">
        <v>33</v>
      </c>
      <c r="N2479" s="112" t="s">
        <v>14</v>
      </c>
      <c r="O2479" s="104" t="s">
        <v>52</v>
      </c>
      <c r="P2479" s="104" t="s">
        <v>52</v>
      </c>
      <c r="Q2479" s="105"/>
      <c r="R2479" s="28" t="s">
        <v>110</v>
      </c>
      <c r="S2479" s="225">
        <f t="shared" si="40"/>
        <v>52140</v>
      </c>
      <c r="T2479" s="2" t="s">
        <v>115</v>
      </c>
      <c r="U2479" s="2" t="s">
        <v>146</v>
      </c>
      <c r="V2479" s="161" t="str" cm="1">
        <f t="array" ref="V2479">_xlfn.IFS(C2479="","",COUNTIF(C2479,"ตำแหน่งว่าง*"),"ว่าง",COUNTIF(C2479,"&lt;&gt;ตำแหน่งว่าง*"),"คนครอง")</f>
        <v>คนครอง</v>
      </c>
      <c r="W2479" s="6" cm="1">
        <f t="array" ref="W2479">_xlfn.IFS(COUNTIF(F2479,"ผบ.หมู่*"),51,COUNTIF(F2479,"รอง สว.*"),43)</f>
        <v>51</v>
      </c>
      <c r="X2479" s="1" t="s">
        <v>7356</v>
      </c>
      <c r="Y2479" s="1" t="s">
        <v>52</v>
      </c>
    </row>
    <row r="2480" spans="1:25" s="9" customFormat="1" ht="21.3" customHeight="1">
      <c r="A2480" s="27" t="s">
        <v>157</v>
      </c>
      <c r="B2480" s="28" t="s">
        <v>12</v>
      </c>
      <c r="C2480" s="27" t="s">
        <v>7358</v>
      </c>
      <c r="D2480" s="27" t="s">
        <v>8078</v>
      </c>
      <c r="E2480" s="27" t="s">
        <v>10596</v>
      </c>
      <c r="F2480" s="27" t="s">
        <v>7355</v>
      </c>
      <c r="G2480" s="101" t="s">
        <v>7360</v>
      </c>
      <c r="H2480" s="91">
        <v>44599</v>
      </c>
      <c r="I2480" s="73">
        <v>39479</v>
      </c>
      <c r="J2480" s="73">
        <v>39479</v>
      </c>
      <c r="K2480" s="73">
        <v>31160</v>
      </c>
      <c r="L2480" s="11" t="s">
        <v>82</v>
      </c>
      <c r="M2480" s="1" t="s">
        <v>100</v>
      </c>
      <c r="N2480" s="112" t="s">
        <v>14</v>
      </c>
      <c r="O2480" s="104" t="s">
        <v>52</v>
      </c>
      <c r="P2480" s="104" t="s">
        <v>52</v>
      </c>
      <c r="Q2480" s="105"/>
      <c r="R2480" s="28" t="s">
        <v>607</v>
      </c>
      <c r="S2480" s="225">
        <f t="shared" si="40"/>
        <v>53236</v>
      </c>
      <c r="T2480" s="2" t="s">
        <v>115</v>
      </c>
      <c r="U2480" s="2" t="s">
        <v>146</v>
      </c>
      <c r="V2480" s="161" t="str" cm="1">
        <f t="array" ref="V2480">_xlfn.IFS(C2480="","",COUNTIF(C2480,"ตำแหน่งว่าง*"),"ว่าง",COUNTIF(C2480,"&lt;&gt;ตำแหน่งว่าง*"),"คนครอง")</f>
        <v>คนครอง</v>
      </c>
      <c r="W2480" s="6" cm="1">
        <f t="array" ref="W2480">_xlfn.IFS(COUNTIF(F2480,"ผบ.หมู่*"),51,COUNTIF(F2480,"รอง สว.*"),43)</f>
        <v>51</v>
      </c>
      <c r="X2480" s="1" t="s">
        <v>7359</v>
      </c>
      <c r="Y2480" s="1" t="s">
        <v>52</v>
      </c>
    </row>
    <row r="2481" spans="1:25" s="9" customFormat="1" ht="21.3" customHeight="1">
      <c r="A2481" s="27" t="s">
        <v>612</v>
      </c>
      <c r="B2481" s="28" t="s">
        <v>12</v>
      </c>
      <c r="C2481" s="27" t="s">
        <v>7361</v>
      </c>
      <c r="D2481" s="27" t="s">
        <v>10597</v>
      </c>
      <c r="E2481" s="27" t="s">
        <v>10598</v>
      </c>
      <c r="F2481" s="27" t="s">
        <v>7355</v>
      </c>
      <c r="G2481" s="101" t="s">
        <v>7363</v>
      </c>
      <c r="H2481" s="91">
        <v>44243</v>
      </c>
      <c r="I2481" s="73">
        <v>41944</v>
      </c>
      <c r="J2481" s="73">
        <v>41944</v>
      </c>
      <c r="K2481" s="73">
        <v>33825</v>
      </c>
      <c r="L2481" s="11" t="s">
        <v>7364</v>
      </c>
      <c r="M2481" s="1" t="s">
        <v>100</v>
      </c>
      <c r="N2481" s="112" t="s">
        <v>14</v>
      </c>
      <c r="O2481" s="104" t="s">
        <v>52</v>
      </c>
      <c r="P2481" s="104" t="s">
        <v>52</v>
      </c>
      <c r="Q2481" s="105"/>
      <c r="R2481" s="28" t="s">
        <v>617</v>
      </c>
      <c r="S2481" s="225">
        <f t="shared" si="40"/>
        <v>55793</v>
      </c>
      <c r="T2481" s="2" t="s">
        <v>115</v>
      </c>
      <c r="U2481" s="2" t="s">
        <v>146</v>
      </c>
      <c r="V2481" s="161" t="str" cm="1">
        <f t="array" ref="V2481">_xlfn.IFS(C2481="","",COUNTIF(C2481,"ตำแหน่งว่าง*"),"ว่าง",COUNTIF(C2481,"&lt;&gt;ตำแหน่งว่าง*"),"คนครอง")</f>
        <v>คนครอง</v>
      </c>
      <c r="W2481" s="6" cm="1">
        <f t="array" ref="W2481">_xlfn.IFS(COUNTIF(F2481,"ผบ.หมู่*"),51,COUNTIF(F2481,"รอง สว.*"),43)</f>
        <v>51</v>
      </c>
      <c r="X2481" s="1" t="s">
        <v>7362</v>
      </c>
      <c r="Y2481" s="1" t="s">
        <v>52</v>
      </c>
    </row>
    <row r="2482" spans="1:25" s="9" customFormat="1" ht="21.3" customHeight="1">
      <c r="A2482" s="27" t="s">
        <v>157</v>
      </c>
      <c r="B2482" s="28" t="s">
        <v>21</v>
      </c>
      <c r="C2482" s="27" t="s">
        <v>7365</v>
      </c>
      <c r="D2482" s="27" t="s">
        <v>10599</v>
      </c>
      <c r="E2482" s="27" t="s">
        <v>10600</v>
      </c>
      <c r="F2482" s="27" t="s">
        <v>7366</v>
      </c>
      <c r="G2482" s="101" t="s">
        <v>7368</v>
      </c>
      <c r="H2482" s="91">
        <v>43656</v>
      </c>
      <c r="I2482" s="73">
        <v>34352</v>
      </c>
      <c r="J2482" s="73">
        <v>34352</v>
      </c>
      <c r="K2482" s="73">
        <v>26131</v>
      </c>
      <c r="L2482" s="11" t="s">
        <v>7369</v>
      </c>
      <c r="M2482" s="1" t="s">
        <v>100</v>
      </c>
      <c r="N2482" s="112" t="s">
        <v>14</v>
      </c>
      <c r="O2482" s="104" t="s">
        <v>52</v>
      </c>
      <c r="P2482" s="104" t="s">
        <v>52</v>
      </c>
      <c r="Q2482" s="105"/>
      <c r="R2482" s="28" t="s">
        <v>713</v>
      </c>
      <c r="S2482" s="225">
        <f t="shared" si="40"/>
        <v>48122</v>
      </c>
      <c r="T2482" s="2" t="s">
        <v>7691</v>
      </c>
      <c r="U2482" s="2" t="s">
        <v>146</v>
      </c>
      <c r="V2482" s="161" t="str" cm="1">
        <f t="array" ref="V2482">_xlfn.IFS(C2482="","",COUNTIF(C2482,"ตำแหน่งว่าง*"),"ว่าง",COUNTIF(C2482,"&lt;&gt;ตำแหน่งว่าง*"),"คนครอง")</f>
        <v>คนครอง</v>
      </c>
      <c r="W2482" s="6" cm="1">
        <f t="array" ref="W2482">_xlfn.IFS(COUNTIF(F2482,"ผบ.หมู่*"),51,COUNTIF(F2482,"รอง สว.*"),43)</f>
        <v>51</v>
      </c>
      <c r="X2482" s="1" t="s">
        <v>7367</v>
      </c>
      <c r="Y2482" s="1" t="s">
        <v>52</v>
      </c>
    </row>
    <row r="2483" spans="1:25" s="9" customFormat="1" ht="21.3" customHeight="1">
      <c r="A2483" s="27" t="s">
        <v>157</v>
      </c>
      <c r="B2483" s="28" t="s">
        <v>12</v>
      </c>
      <c r="C2483" s="27" t="s">
        <v>7370</v>
      </c>
      <c r="D2483" s="27" t="s">
        <v>8151</v>
      </c>
      <c r="E2483" s="27" t="s">
        <v>10601</v>
      </c>
      <c r="F2483" s="27" t="s">
        <v>7366</v>
      </c>
      <c r="G2483" s="101" t="s">
        <v>7372</v>
      </c>
      <c r="H2483" s="91">
        <v>43871</v>
      </c>
      <c r="I2483" s="73">
        <v>40814</v>
      </c>
      <c r="J2483" s="73">
        <v>40814</v>
      </c>
      <c r="K2483" s="73">
        <v>31846</v>
      </c>
      <c r="L2483" s="11" t="s">
        <v>6155</v>
      </c>
      <c r="M2483" s="1" t="s">
        <v>96</v>
      </c>
      <c r="N2483" s="112" t="s">
        <v>14</v>
      </c>
      <c r="O2483" s="104" t="s">
        <v>52</v>
      </c>
      <c r="P2483" s="104" t="s">
        <v>52</v>
      </c>
      <c r="Q2483" s="105"/>
      <c r="R2483" s="28" t="s">
        <v>688</v>
      </c>
      <c r="S2483" s="225">
        <f t="shared" si="40"/>
        <v>53966</v>
      </c>
      <c r="T2483" s="2" t="s">
        <v>7691</v>
      </c>
      <c r="U2483" s="2" t="s">
        <v>146</v>
      </c>
      <c r="V2483" s="161" t="str" cm="1">
        <f t="array" ref="V2483">_xlfn.IFS(C2483="","",COUNTIF(C2483,"ตำแหน่งว่าง*"),"ว่าง",COUNTIF(C2483,"&lt;&gt;ตำแหน่งว่าง*"),"คนครอง")</f>
        <v>คนครอง</v>
      </c>
      <c r="W2483" s="6" cm="1">
        <f t="array" ref="W2483">_xlfn.IFS(COUNTIF(F2483,"ผบ.หมู่*"),51,COUNTIF(F2483,"รอง สว.*"),43)</f>
        <v>51</v>
      </c>
      <c r="X2483" s="1" t="s">
        <v>7371</v>
      </c>
      <c r="Y2483" s="1" t="s">
        <v>52</v>
      </c>
    </row>
    <row r="2484" spans="1:25" s="12" customFormat="1" ht="21.3" customHeight="1">
      <c r="A2484" s="95" t="s">
        <v>157</v>
      </c>
      <c r="B2484" s="31" t="s">
        <v>12</v>
      </c>
      <c r="C2484" s="95" t="s">
        <v>7373</v>
      </c>
      <c r="D2484" s="27" t="s">
        <v>10602</v>
      </c>
      <c r="E2484" s="27" t="s">
        <v>10603</v>
      </c>
      <c r="F2484" s="95" t="s">
        <v>7366</v>
      </c>
      <c r="G2484" s="101" t="s">
        <v>7375</v>
      </c>
      <c r="H2484" s="88">
        <v>44599</v>
      </c>
      <c r="I2484" s="76">
        <v>40814</v>
      </c>
      <c r="J2484" s="76">
        <v>40814</v>
      </c>
      <c r="K2484" s="76">
        <v>31742</v>
      </c>
      <c r="L2484" s="17" t="s">
        <v>31</v>
      </c>
      <c r="M2484" s="5" t="s">
        <v>100</v>
      </c>
      <c r="N2484" s="111" t="s">
        <v>14</v>
      </c>
      <c r="O2484" s="104" t="s">
        <v>52</v>
      </c>
      <c r="P2484" s="104" t="s">
        <v>52</v>
      </c>
      <c r="Q2484" s="108"/>
      <c r="R2484" s="31" t="s">
        <v>607</v>
      </c>
      <c r="S2484" s="225">
        <f t="shared" si="40"/>
        <v>53966</v>
      </c>
      <c r="T2484" s="162" t="s">
        <v>7691</v>
      </c>
      <c r="U2484" s="2" t="s">
        <v>146</v>
      </c>
      <c r="V2484" s="161" t="str" cm="1">
        <f t="array" ref="V2484">_xlfn.IFS(C2484="","",COUNTIF(C2484,"ตำแหน่งว่าง*"),"ว่าง",COUNTIF(C2484,"&lt;&gt;ตำแหน่งว่าง*"),"คนครอง")</f>
        <v>คนครอง</v>
      </c>
      <c r="W2484" s="6" cm="1">
        <f t="array" ref="W2484">_xlfn.IFS(COUNTIF(F2484,"ผบ.หมู่*"),51,COUNTIF(F2484,"รอง สว.*"),43)</f>
        <v>51</v>
      </c>
      <c r="X2484" s="5" t="s">
        <v>7374</v>
      </c>
      <c r="Y2484" s="5" t="s">
        <v>52</v>
      </c>
    </row>
    <row r="2485" spans="1:25" s="9" customFormat="1" ht="21.3" customHeight="1">
      <c r="A2485" s="27" t="s">
        <v>157</v>
      </c>
      <c r="B2485" s="28" t="s">
        <v>12</v>
      </c>
      <c r="C2485" s="27" t="s">
        <v>7376</v>
      </c>
      <c r="D2485" s="27" t="s">
        <v>9872</v>
      </c>
      <c r="E2485" s="27" t="s">
        <v>10604</v>
      </c>
      <c r="F2485" s="27" t="s">
        <v>7366</v>
      </c>
      <c r="G2485" s="101" t="s">
        <v>7378</v>
      </c>
      <c r="H2485" s="75">
        <v>42501</v>
      </c>
      <c r="I2485" s="73">
        <v>35462</v>
      </c>
      <c r="J2485" s="73">
        <v>35462</v>
      </c>
      <c r="K2485" s="73">
        <v>27065</v>
      </c>
      <c r="L2485" s="11" t="s">
        <v>82</v>
      </c>
      <c r="M2485" s="1" t="s">
        <v>58</v>
      </c>
      <c r="N2485" s="112" t="s">
        <v>14</v>
      </c>
      <c r="O2485" s="104" t="s">
        <v>52</v>
      </c>
      <c r="P2485" s="104" t="s">
        <v>52</v>
      </c>
      <c r="Q2485" s="105"/>
      <c r="R2485" s="28" t="s">
        <v>110</v>
      </c>
      <c r="S2485" s="225">
        <f t="shared" si="40"/>
        <v>49218</v>
      </c>
      <c r="T2485" s="2" t="s">
        <v>7691</v>
      </c>
      <c r="U2485" s="2" t="s">
        <v>146</v>
      </c>
      <c r="V2485" s="161" t="str" cm="1">
        <f t="array" ref="V2485">_xlfn.IFS(C2485="","",COUNTIF(C2485,"ตำแหน่งว่าง*"),"ว่าง",COUNTIF(C2485,"&lt;&gt;ตำแหน่งว่าง*"),"คนครอง")</f>
        <v>คนครอง</v>
      </c>
      <c r="W2485" s="6" cm="1">
        <f t="array" ref="W2485">_xlfn.IFS(COUNTIF(F2485,"ผบ.หมู่*"),51,COUNTIF(F2485,"รอง สว.*"),43)</f>
        <v>51</v>
      </c>
      <c r="X2485" s="1" t="s">
        <v>7377</v>
      </c>
      <c r="Y2485" s="1" t="s">
        <v>52</v>
      </c>
    </row>
    <row r="2486" spans="1:25" s="9" customFormat="1" ht="21.3" customHeight="1">
      <c r="A2486" s="27" t="s">
        <v>157</v>
      </c>
      <c r="B2486" s="28" t="s">
        <v>12</v>
      </c>
      <c r="C2486" s="27" t="s">
        <v>7379</v>
      </c>
      <c r="D2486" s="27" t="s">
        <v>10605</v>
      </c>
      <c r="E2486" s="27" t="s">
        <v>10606</v>
      </c>
      <c r="F2486" s="27" t="s">
        <v>7366</v>
      </c>
      <c r="G2486" s="101" t="s">
        <v>7381</v>
      </c>
      <c r="H2486" s="75">
        <v>42501</v>
      </c>
      <c r="I2486" s="73">
        <v>34352</v>
      </c>
      <c r="J2486" s="73">
        <v>34352</v>
      </c>
      <c r="K2486" s="73">
        <v>25293</v>
      </c>
      <c r="L2486" s="11" t="s">
        <v>112</v>
      </c>
      <c r="M2486" s="1" t="s">
        <v>100</v>
      </c>
      <c r="N2486" s="112" t="s">
        <v>14</v>
      </c>
      <c r="O2486" s="104" t="s">
        <v>52</v>
      </c>
      <c r="P2486" s="104" t="s">
        <v>52</v>
      </c>
      <c r="Q2486" s="105"/>
      <c r="R2486" s="28" t="s">
        <v>110</v>
      </c>
      <c r="S2486" s="225">
        <f t="shared" si="40"/>
        <v>47392</v>
      </c>
      <c r="T2486" s="2" t="s">
        <v>7691</v>
      </c>
      <c r="U2486" s="2" t="s">
        <v>146</v>
      </c>
      <c r="V2486" s="161" t="str" cm="1">
        <f t="array" ref="V2486">_xlfn.IFS(C2486="","",COUNTIF(C2486,"ตำแหน่งว่าง*"),"ว่าง",COUNTIF(C2486,"&lt;&gt;ตำแหน่งว่าง*"),"คนครอง")</f>
        <v>คนครอง</v>
      </c>
      <c r="W2486" s="6" cm="1">
        <f t="array" ref="W2486">_xlfn.IFS(COUNTIF(F2486,"ผบ.หมู่*"),51,COUNTIF(F2486,"รอง สว.*"),43)</f>
        <v>51</v>
      </c>
      <c r="X2486" s="1" t="s">
        <v>7380</v>
      </c>
      <c r="Y2486" s="1" t="s">
        <v>52</v>
      </c>
    </row>
    <row r="2487" spans="1:25" s="9" customFormat="1" ht="21.3" customHeight="1">
      <c r="A2487" s="27" t="s">
        <v>157</v>
      </c>
      <c r="B2487" s="28" t="s">
        <v>12</v>
      </c>
      <c r="C2487" s="27" t="s">
        <v>7382</v>
      </c>
      <c r="D2487" s="27" t="s">
        <v>10607</v>
      </c>
      <c r="E2487" s="27" t="s">
        <v>10608</v>
      </c>
      <c r="F2487" s="27" t="s">
        <v>7366</v>
      </c>
      <c r="G2487" s="101" t="s">
        <v>7384</v>
      </c>
      <c r="H2487" s="75">
        <v>42501</v>
      </c>
      <c r="I2487" s="73">
        <v>35462</v>
      </c>
      <c r="J2487" s="73">
        <v>35462</v>
      </c>
      <c r="K2487" s="73">
        <v>26448</v>
      </c>
      <c r="L2487" s="11" t="s">
        <v>82</v>
      </c>
      <c r="M2487" s="1" t="s">
        <v>100</v>
      </c>
      <c r="N2487" s="112" t="s">
        <v>14</v>
      </c>
      <c r="O2487" s="104" t="s">
        <v>52</v>
      </c>
      <c r="P2487" s="104" t="s">
        <v>52</v>
      </c>
      <c r="Q2487" s="105"/>
      <c r="R2487" s="28" t="s">
        <v>110</v>
      </c>
      <c r="S2487" s="225">
        <f t="shared" si="40"/>
        <v>48488</v>
      </c>
      <c r="T2487" s="2" t="s">
        <v>7691</v>
      </c>
      <c r="U2487" s="2" t="s">
        <v>146</v>
      </c>
      <c r="V2487" s="161" t="str" cm="1">
        <f t="array" ref="V2487">_xlfn.IFS(C2487="","",COUNTIF(C2487,"ตำแหน่งว่าง*"),"ว่าง",COUNTIF(C2487,"&lt;&gt;ตำแหน่งว่าง*"),"คนครอง")</f>
        <v>คนครอง</v>
      </c>
      <c r="W2487" s="6" cm="1">
        <f t="array" ref="W2487">_xlfn.IFS(COUNTIF(F2487,"ผบ.หมู่*"),51,COUNTIF(F2487,"รอง สว.*"),43)</f>
        <v>51</v>
      </c>
      <c r="X2487" s="1" t="s">
        <v>7383</v>
      </c>
      <c r="Y2487" s="1" t="s">
        <v>52</v>
      </c>
    </row>
    <row r="2488" spans="1:25" s="9" customFormat="1" ht="21.3" customHeight="1">
      <c r="A2488" s="27" t="s">
        <v>157</v>
      </c>
      <c r="B2488" s="28" t="s">
        <v>21</v>
      </c>
      <c r="C2488" s="27" t="s">
        <v>7385</v>
      </c>
      <c r="D2488" s="27" t="s">
        <v>10609</v>
      </c>
      <c r="E2488" s="27" t="s">
        <v>10610</v>
      </c>
      <c r="F2488" s="27" t="s">
        <v>7366</v>
      </c>
      <c r="G2488" s="101" t="s">
        <v>7387</v>
      </c>
      <c r="H2488" s="75">
        <v>43656</v>
      </c>
      <c r="I2488" s="73">
        <v>39717</v>
      </c>
      <c r="J2488" s="73">
        <v>39717</v>
      </c>
      <c r="K2488" s="73">
        <v>26914</v>
      </c>
      <c r="L2488" s="11" t="s">
        <v>7388</v>
      </c>
      <c r="M2488" s="1" t="s">
        <v>96</v>
      </c>
      <c r="N2488" s="112" t="s">
        <v>14</v>
      </c>
      <c r="O2488" s="104" t="s">
        <v>52</v>
      </c>
      <c r="P2488" s="104" t="s">
        <v>52</v>
      </c>
      <c r="Q2488" s="105"/>
      <c r="R2488" s="28" t="s">
        <v>713</v>
      </c>
      <c r="S2488" s="225">
        <f t="shared" ref="S2488:S2519" si="41">IF(K2488&lt;&gt;"",DATE(YEAR(K2488)+60+(K2488&gt;=DATE(YEAR(K2488),10,2)),10,1),"")</f>
        <v>48853</v>
      </c>
      <c r="T2488" s="2" t="s">
        <v>7691</v>
      </c>
      <c r="U2488" s="2" t="s">
        <v>146</v>
      </c>
      <c r="V2488" s="161" t="str" cm="1">
        <f t="array" ref="V2488">_xlfn.IFS(C2488="","",COUNTIF(C2488,"ตำแหน่งว่าง*"),"ว่าง",COUNTIF(C2488,"&lt;&gt;ตำแหน่งว่าง*"),"คนครอง")</f>
        <v>คนครอง</v>
      </c>
      <c r="W2488" s="6" cm="1">
        <f t="array" ref="W2488">_xlfn.IFS(COUNTIF(F2488,"ผบ.หมู่*"),51,COUNTIF(F2488,"รอง สว.*"),43)</f>
        <v>51</v>
      </c>
      <c r="X2488" s="1" t="s">
        <v>7386</v>
      </c>
      <c r="Y2488" s="1" t="s">
        <v>52</v>
      </c>
    </row>
    <row r="2489" spans="1:25" s="9" customFormat="1" ht="21.3" customHeight="1">
      <c r="A2489" s="27" t="s">
        <v>157</v>
      </c>
      <c r="B2489" s="28" t="s">
        <v>21</v>
      </c>
      <c r="C2489" s="27" t="s">
        <v>7389</v>
      </c>
      <c r="D2489" s="27" t="s">
        <v>8042</v>
      </c>
      <c r="E2489" s="27" t="s">
        <v>10611</v>
      </c>
      <c r="F2489" s="27" t="s">
        <v>7390</v>
      </c>
      <c r="G2489" s="101" t="s">
        <v>7392</v>
      </c>
      <c r="H2489" s="75">
        <v>42501</v>
      </c>
      <c r="I2489" s="73">
        <v>39717</v>
      </c>
      <c r="J2489" s="73">
        <v>39717</v>
      </c>
      <c r="K2489" s="73">
        <v>29957</v>
      </c>
      <c r="L2489" s="11" t="s">
        <v>7393</v>
      </c>
      <c r="M2489" s="1" t="s">
        <v>33</v>
      </c>
      <c r="N2489" s="112" t="s">
        <v>14</v>
      </c>
      <c r="O2489" s="104" t="s">
        <v>52</v>
      </c>
      <c r="P2489" s="104" t="s">
        <v>52</v>
      </c>
      <c r="Q2489" s="105"/>
      <c r="R2489" s="28" t="s">
        <v>110</v>
      </c>
      <c r="S2489" s="225">
        <f t="shared" si="41"/>
        <v>52140</v>
      </c>
      <c r="T2489" s="2" t="s">
        <v>7692</v>
      </c>
      <c r="U2489" s="2" t="s">
        <v>146</v>
      </c>
      <c r="V2489" s="161" t="str" cm="1">
        <f t="array" ref="V2489">_xlfn.IFS(C2489="","",COUNTIF(C2489,"ตำแหน่งว่าง*"),"ว่าง",COUNTIF(C2489,"&lt;&gt;ตำแหน่งว่าง*"),"คนครอง")</f>
        <v>คนครอง</v>
      </c>
      <c r="W2489" s="6" cm="1">
        <f t="array" ref="W2489">_xlfn.IFS(COUNTIF(F2489,"ผบ.หมู่*"),51,COUNTIF(F2489,"รอง สว.*"),43)</f>
        <v>51</v>
      </c>
      <c r="X2489" s="1" t="s">
        <v>7391</v>
      </c>
      <c r="Y2489" s="1" t="s">
        <v>52</v>
      </c>
    </row>
    <row r="2490" spans="1:25" s="9" customFormat="1" ht="21.3" customHeight="1">
      <c r="A2490" s="27" t="s">
        <v>157</v>
      </c>
      <c r="B2490" s="28" t="s">
        <v>21</v>
      </c>
      <c r="C2490" s="95" t="s">
        <v>7394</v>
      </c>
      <c r="D2490" s="27" t="s">
        <v>10612</v>
      </c>
      <c r="E2490" s="27" t="s">
        <v>10613</v>
      </c>
      <c r="F2490" s="27" t="s">
        <v>7390</v>
      </c>
      <c r="G2490" s="101" t="s">
        <v>7396</v>
      </c>
      <c r="H2490" s="75">
        <v>43656</v>
      </c>
      <c r="I2490" s="73">
        <v>39717</v>
      </c>
      <c r="J2490" s="73">
        <v>39717</v>
      </c>
      <c r="K2490" s="73">
        <v>30022</v>
      </c>
      <c r="L2490" s="11" t="s">
        <v>7397</v>
      </c>
      <c r="M2490" s="1" t="s">
        <v>145</v>
      </c>
      <c r="N2490" s="112" t="s">
        <v>14</v>
      </c>
      <c r="O2490" s="104" t="s">
        <v>52</v>
      </c>
      <c r="P2490" s="104" t="s">
        <v>52</v>
      </c>
      <c r="Q2490" s="105"/>
      <c r="R2490" s="28" t="s">
        <v>713</v>
      </c>
      <c r="S2490" s="225">
        <f t="shared" si="41"/>
        <v>52140</v>
      </c>
      <c r="T2490" s="2" t="s">
        <v>7692</v>
      </c>
      <c r="U2490" s="2" t="s">
        <v>146</v>
      </c>
      <c r="V2490" s="161" t="str" cm="1">
        <f t="array" ref="V2490">_xlfn.IFS(C2490="","",COUNTIF(C2490,"ตำแหน่งว่าง*"),"ว่าง",COUNTIF(C2490,"&lt;&gt;ตำแหน่งว่าง*"),"คนครอง")</f>
        <v>คนครอง</v>
      </c>
      <c r="W2490" s="6" cm="1">
        <f t="array" ref="W2490">_xlfn.IFS(COUNTIF(F2490,"ผบ.หมู่*"),51,COUNTIF(F2490,"รอง สว.*"),43)</f>
        <v>51</v>
      </c>
      <c r="X2490" s="1" t="s">
        <v>7395</v>
      </c>
      <c r="Y2490" s="1" t="s">
        <v>52</v>
      </c>
    </row>
    <row r="2491" spans="1:25" s="10" customFormat="1" ht="21.3" customHeight="1">
      <c r="A2491" s="27" t="s">
        <v>157</v>
      </c>
      <c r="B2491" s="28" t="s">
        <v>21</v>
      </c>
      <c r="C2491" s="27" t="s">
        <v>7398</v>
      </c>
      <c r="D2491" s="27" t="s">
        <v>10614</v>
      </c>
      <c r="E2491" s="27" t="s">
        <v>10615</v>
      </c>
      <c r="F2491" s="27" t="s">
        <v>7390</v>
      </c>
      <c r="G2491" s="101" t="s">
        <v>7400</v>
      </c>
      <c r="H2491" s="75">
        <v>44999</v>
      </c>
      <c r="I2491" s="73">
        <v>34352</v>
      </c>
      <c r="J2491" s="73">
        <v>34352</v>
      </c>
      <c r="K2491" s="73">
        <v>27137</v>
      </c>
      <c r="L2491" s="11" t="s">
        <v>7401</v>
      </c>
      <c r="M2491" s="1" t="s">
        <v>16</v>
      </c>
      <c r="N2491" s="112" t="s">
        <v>14</v>
      </c>
      <c r="O2491" s="104" t="s">
        <v>52</v>
      </c>
      <c r="P2491" s="104" t="s">
        <v>52</v>
      </c>
      <c r="Q2491" s="105"/>
      <c r="R2491" s="28" t="s">
        <v>74</v>
      </c>
      <c r="S2491" s="225">
        <f t="shared" si="41"/>
        <v>49218</v>
      </c>
      <c r="T2491" s="7" t="s">
        <v>7692</v>
      </c>
      <c r="U2491" s="2" t="s">
        <v>146</v>
      </c>
      <c r="V2491" s="161" t="str" cm="1">
        <f t="array" ref="V2491">_xlfn.IFS(C2491="","",COUNTIF(C2491,"ตำแหน่งว่าง*"),"ว่าง",COUNTIF(C2491,"&lt;&gt;ตำแหน่งว่าง*"),"คนครอง")</f>
        <v>คนครอง</v>
      </c>
      <c r="W2491" s="6" cm="1">
        <f t="array" ref="W2491">_xlfn.IFS(COUNTIF(F2491,"ผบ.หมู่*"),51,COUNTIF(F2491,"รอง สว.*"),43)</f>
        <v>51</v>
      </c>
      <c r="X2491" s="1" t="s">
        <v>7399</v>
      </c>
      <c r="Y2491" s="1" t="s">
        <v>52</v>
      </c>
    </row>
    <row r="2492" spans="1:25" s="9" customFormat="1" ht="21.3" customHeight="1">
      <c r="A2492" s="27" t="s">
        <v>26</v>
      </c>
      <c r="B2492" s="28" t="s">
        <v>12</v>
      </c>
      <c r="C2492" s="27" t="s">
        <v>7402</v>
      </c>
      <c r="D2492" s="27" t="s">
        <v>8172</v>
      </c>
      <c r="E2492" s="27" t="s">
        <v>10616</v>
      </c>
      <c r="F2492" s="27" t="s">
        <v>7403</v>
      </c>
      <c r="G2492" s="101" t="s">
        <v>7405</v>
      </c>
      <c r="H2492" s="75">
        <v>43921</v>
      </c>
      <c r="I2492" s="73">
        <v>43921</v>
      </c>
      <c r="J2492" s="73">
        <v>34366</v>
      </c>
      <c r="K2492" s="73">
        <v>24645</v>
      </c>
      <c r="L2492" s="11" t="s">
        <v>7406</v>
      </c>
      <c r="M2492" s="1" t="s">
        <v>100</v>
      </c>
      <c r="N2492" s="112" t="s">
        <v>14</v>
      </c>
      <c r="O2492" s="104" t="s">
        <v>52</v>
      </c>
      <c r="P2492" s="104" t="s">
        <v>52</v>
      </c>
      <c r="Q2492" s="105"/>
      <c r="R2492" s="28" t="s">
        <v>7407</v>
      </c>
      <c r="S2492" s="225">
        <f t="shared" si="41"/>
        <v>46661</v>
      </c>
      <c r="T2492" s="2" t="s">
        <v>7692</v>
      </c>
      <c r="U2492" s="2" t="s">
        <v>146</v>
      </c>
      <c r="V2492" s="161" t="str" cm="1">
        <f t="array" ref="V2492">_xlfn.IFS(C2492="","",COUNTIF(C2492,"ตำแหน่งว่าง*"),"ว่าง",COUNTIF(C2492,"&lt;&gt;ตำแหน่งว่าง*"),"คนครอง")</f>
        <v>คนครอง</v>
      </c>
      <c r="W2492" s="5" cm="1">
        <f t="array" ref="W2492">_xlfn.IFS(COUNTIF(F2492,"ผบ.หมู่*"),51,COUNTIF(F2492,"รอง สว.*"),43)</f>
        <v>43</v>
      </c>
      <c r="X2492" s="1" t="s">
        <v>7404</v>
      </c>
      <c r="Y2492" s="1" t="s">
        <v>52</v>
      </c>
    </row>
    <row r="2493" spans="1:25" s="9" customFormat="1" ht="21.3" customHeight="1">
      <c r="A2493" s="27" t="s">
        <v>157</v>
      </c>
      <c r="B2493" s="28" t="s">
        <v>12</v>
      </c>
      <c r="C2493" s="27" t="s">
        <v>7408</v>
      </c>
      <c r="D2493" s="27" t="s">
        <v>10617</v>
      </c>
      <c r="E2493" s="27" t="s">
        <v>10618</v>
      </c>
      <c r="F2493" s="27" t="s">
        <v>7390</v>
      </c>
      <c r="G2493" s="101" t="s">
        <v>7410</v>
      </c>
      <c r="H2493" s="75">
        <v>43656</v>
      </c>
      <c r="I2493" s="73">
        <v>39479</v>
      </c>
      <c r="J2493" s="73">
        <v>39479</v>
      </c>
      <c r="K2493" s="73">
        <v>29097</v>
      </c>
      <c r="L2493" s="11" t="s">
        <v>7411</v>
      </c>
      <c r="M2493" s="1" t="s">
        <v>100</v>
      </c>
      <c r="N2493" s="112" t="s">
        <v>14</v>
      </c>
      <c r="O2493" s="104" t="s">
        <v>52</v>
      </c>
      <c r="P2493" s="104" t="s">
        <v>52</v>
      </c>
      <c r="Q2493" s="105"/>
      <c r="R2493" s="28" t="s">
        <v>713</v>
      </c>
      <c r="S2493" s="225">
        <f t="shared" si="41"/>
        <v>51044</v>
      </c>
      <c r="T2493" s="2" t="s">
        <v>7692</v>
      </c>
      <c r="U2493" s="2" t="s">
        <v>146</v>
      </c>
      <c r="V2493" s="161" t="str" cm="1">
        <f t="array" ref="V2493">_xlfn.IFS(C2493="","",COUNTIF(C2493,"ตำแหน่งว่าง*"),"ว่าง",COUNTIF(C2493,"&lt;&gt;ตำแหน่งว่าง*"),"คนครอง")</f>
        <v>คนครอง</v>
      </c>
      <c r="W2493" s="6" cm="1">
        <f t="array" ref="W2493">_xlfn.IFS(COUNTIF(F2493,"ผบ.หมู่*"),51,COUNTIF(F2493,"รอง สว.*"),43)</f>
        <v>51</v>
      </c>
      <c r="X2493" s="1" t="s">
        <v>7409</v>
      </c>
      <c r="Y2493" s="1" t="s">
        <v>52</v>
      </c>
    </row>
    <row r="2494" spans="1:25" s="12" customFormat="1" ht="21.3" customHeight="1">
      <c r="A2494" s="27" t="s">
        <v>157</v>
      </c>
      <c r="B2494" s="28" t="s">
        <v>21</v>
      </c>
      <c r="C2494" s="95" t="s">
        <v>7412</v>
      </c>
      <c r="D2494" s="27" t="s">
        <v>10619</v>
      </c>
      <c r="E2494" s="27" t="s">
        <v>10620</v>
      </c>
      <c r="F2494" s="95" t="s">
        <v>7390</v>
      </c>
      <c r="G2494" s="101" t="s">
        <v>7414</v>
      </c>
      <c r="H2494" s="75">
        <v>42501</v>
      </c>
      <c r="I2494" s="73">
        <v>39717</v>
      </c>
      <c r="J2494" s="73">
        <v>39717</v>
      </c>
      <c r="K2494" s="73">
        <v>29397</v>
      </c>
      <c r="L2494" s="11" t="s">
        <v>7415</v>
      </c>
      <c r="M2494" s="1" t="s">
        <v>145</v>
      </c>
      <c r="N2494" s="111" t="s">
        <v>14</v>
      </c>
      <c r="O2494" s="104" t="s">
        <v>52</v>
      </c>
      <c r="P2494" s="104" t="s">
        <v>52</v>
      </c>
      <c r="Q2494" s="105"/>
      <c r="R2494" s="28" t="s">
        <v>110</v>
      </c>
      <c r="S2494" s="225">
        <f t="shared" si="41"/>
        <v>51410</v>
      </c>
      <c r="T2494" s="162" t="s">
        <v>7692</v>
      </c>
      <c r="U2494" s="2" t="s">
        <v>146</v>
      </c>
      <c r="V2494" s="161" t="str" cm="1">
        <f t="array" ref="V2494">_xlfn.IFS(C2494="","",COUNTIF(C2494,"ตำแหน่งว่าง*"),"ว่าง",COUNTIF(C2494,"&lt;&gt;ตำแหน่งว่าง*"),"คนครอง")</f>
        <v>คนครอง</v>
      </c>
      <c r="W2494" s="6" cm="1">
        <f t="array" ref="W2494">_xlfn.IFS(COUNTIF(F2494,"ผบ.หมู่*"),51,COUNTIF(F2494,"รอง สว.*"),43)</f>
        <v>51</v>
      </c>
      <c r="X2494" s="5" t="s">
        <v>7413</v>
      </c>
      <c r="Y2494" s="5" t="s">
        <v>52</v>
      </c>
    </row>
    <row r="2495" spans="1:25" s="12" customFormat="1" ht="21.3" customHeight="1">
      <c r="A2495" s="27" t="s">
        <v>157</v>
      </c>
      <c r="B2495" s="28" t="s">
        <v>12</v>
      </c>
      <c r="C2495" s="27" t="s">
        <v>7728</v>
      </c>
      <c r="D2495" s="27" t="s">
        <v>9114</v>
      </c>
      <c r="E2495" s="27" t="s">
        <v>10621</v>
      </c>
      <c r="F2495" s="27" t="s">
        <v>7416</v>
      </c>
      <c r="G2495" s="101" t="s">
        <v>7418</v>
      </c>
      <c r="H2495" s="75">
        <v>45322</v>
      </c>
      <c r="I2495" s="73">
        <v>37653</v>
      </c>
      <c r="J2495" s="73">
        <v>37653</v>
      </c>
      <c r="K2495" s="73">
        <v>29568</v>
      </c>
      <c r="L2495" s="11" t="s">
        <v>6386</v>
      </c>
      <c r="M2495" s="1" t="s">
        <v>100</v>
      </c>
      <c r="N2495" s="112" t="s">
        <v>14</v>
      </c>
      <c r="O2495" s="104" t="s">
        <v>52</v>
      </c>
      <c r="P2495" s="104" t="s">
        <v>52</v>
      </c>
      <c r="Q2495" s="105"/>
      <c r="R2495" s="30" t="s">
        <v>7708</v>
      </c>
      <c r="S2495" s="225">
        <f t="shared" si="41"/>
        <v>51775</v>
      </c>
      <c r="T2495" s="162" t="s">
        <v>7693</v>
      </c>
      <c r="U2495" s="2" t="s">
        <v>146</v>
      </c>
      <c r="V2495" s="161" t="str" cm="1">
        <f t="array" ref="V2495">_xlfn.IFS(C2495="","",COUNTIF(C2495,"ตำแหน่งว่าง*"),"ว่าง",COUNTIF(C2495,"&lt;&gt;ตำแหน่งว่าง*"),"คนครอง")</f>
        <v>คนครอง</v>
      </c>
      <c r="W2495" s="6" cm="1">
        <f t="array" ref="W2495">_xlfn.IFS(COUNTIF(F2495,"ผบ.หมู่*"),51,COUNTIF(F2495,"รอง สว.*"),43)</f>
        <v>51</v>
      </c>
      <c r="X2495" s="1" t="s">
        <v>7417</v>
      </c>
      <c r="Y2495" s="1" t="s">
        <v>52</v>
      </c>
    </row>
    <row r="2496" spans="1:25" s="12" customFormat="1" ht="21.3" customHeight="1">
      <c r="A2496" s="27" t="s">
        <v>612</v>
      </c>
      <c r="B2496" s="28" t="s">
        <v>12</v>
      </c>
      <c r="C2496" s="95" t="s">
        <v>7419</v>
      </c>
      <c r="D2496" s="27" t="s">
        <v>10622</v>
      </c>
      <c r="E2496" s="27" t="s">
        <v>10623</v>
      </c>
      <c r="F2496" s="95" t="s">
        <v>7416</v>
      </c>
      <c r="G2496" s="101" t="s">
        <v>7421</v>
      </c>
      <c r="H2496" s="75">
        <v>42501</v>
      </c>
      <c r="I2496" s="73">
        <v>42416</v>
      </c>
      <c r="J2496" s="73">
        <v>42416</v>
      </c>
      <c r="K2496" s="73">
        <v>32979</v>
      </c>
      <c r="L2496" s="11" t="s">
        <v>7422</v>
      </c>
      <c r="M2496" s="1" t="s">
        <v>100</v>
      </c>
      <c r="N2496" s="111" t="s">
        <v>14</v>
      </c>
      <c r="O2496" s="104" t="s">
        <v>52</v>
      </c>
      <c r="P2496" s="104" t="s">
        <v>52</v>
      </c>
      <c r="Q2496" s="105"/>
      <c r="R2496" s="28" t="s">
        <v>110</v>
      </c>
      <c r="S2496" s="225">
        <f t="shared" si="41"/>
        <v>55062</v>
      </c>
      <c r="T2496" s="162" t="s">
        <v>7693</v>
      </c>
      <c r="U2496" s="2" t="s">
        <v>146</v>
      </c>
      <c r="V2496" s="161" t="str" cm="1">
        <f t="array" ref="V2496">_xlfn.IFS(C2496="","",COUNTIF(C2496,"ตำแหน่งว่าง*"),"ว่าง",COUNTIF(C2496,"&lt;&gt;ตำแหน่งว่าง*"),"คนครอง")</f>
        <v>คนครอง</v>
      </c>
      <c r="W2496" s="6" cm="1">
        <f t="array" ref="W2496">_xlfn.IFS(COUNTIF(F2496,"ผบ.หมู่*"),51,COUNTIF(F2496,"รอง สว.*"),43)</f>
        <v>51</v>
      </c>
      <c r="X2496" s="5" t="s">
        <v>7420</v>
      </c>
      <c r="Y2496" s="5" t="s">
        <v>52</v>
      </c>
    </row>
    <row r="2497" spans="1:25" s="12" customFormat="1" ht="21.3" customHeight="1">
      <c r="A2497" s="27" t="s">
        <v>10753</v>
      </c>
      <c r="B2497" s="28" t="s">
        <v>21</v>
      </c>
      <c r="C2497" s="95" t="s">
        <v>7423</v>
      </c>
      <c r="D2497" s="27" t="s">
        <v>8152</v>
      </c>
      <c r="E2497" s="27" t="s">
        <v>10624</v>
      </c>
      <c r="F2497" s="95" t="s">
        <v>7805</v>
      </c>
      <c r="G2497" s="104" t="s">
        <v>7425</v>
      </c>
      <c r="H2497" s="91">
        <v>45382</v>
      </c>
      <c r="I2497" s="73">
        <v>45382</v>
      </c>
      <c r="J2497" s="73">
        <v>35095</v>
      </c>
      <c r="K2497" s="73">
        <v>26130</v>
      </c>
      <c r="L2497" s="11" t="s">
        <v>7426</v>
      </c>
      <c r="M2497" s="1" t="s">
        <v>16</v>
      </c>
      <c r="N2497" s="111" t="s">
        <v>14</v>
      </c>
      <c r="O2497" s="104" t="s">
        <v>52</v>
      </c>
      <c r="P2497" s="104" t="s">
        <v>52</v>
      </c>
      <c r="Q2497" s="105"/>
      <c r="R2497" s="33" t="s">
        <v>7801</v>
      </c>
      <c r="S2497" s="225">
        <f t="shared" si="41"/>
        <v>48122</v>
      </c>
      <c r="T2497" s="162" t="s">
        <v>7693</v>
      </c>
      <c r="U2497" s="2" t="s">
        <v>146</v>
      </c>
      <c r="V2497" s="161" t="str" cm="1">
        <f t="array" ref="V2497">_xlfn.IFS(C2497="","",COUNTIF(C2497,"ตำแหน่งว่าง*"),"ว่าง",COUNTIF(C2497,"&lt;&gt;ตำแหน่งว่าง*"),"คนครอง")</f>
        <v>คนครอง</v>
      </c>
      <c r="W2497" s="6" cm="1">
        <f t="array" ref="W2497">_xlfn.IFS(COUNTIF(F2497,"ผบ.หมู่*"),51,COUNTIF(F2497,"รอง สว.*"),43)</f>
        <v>43</v>
      </c>
      <c r="X2497" s="5" t="s">
        <v>7424</v>
      </c>
      <c r="Y2497" s="5" t="s">
        <v>52</v>
      </c>
    </row>
    <row r="2498" spans="1:25" s="12" customFormat="1" ht="21.3" customHeight="1">
      <c r="A2498" s="175" t="s">
        <v>157</v>
      </c>
      <c r="B2498" s="151" t="s">
        <v>21</v>
      </c>
      <c r="C2498" s="235" t="s">
        <v>7427</v>
      </c>
      <c r="D2498" s="27" t="s">
        <v>7970</v>
      </c>
      <c r="E2498" s="27" t="s">
        <v>10625</v>
      </c>
      <c r="F2498" s="235" t="s">
        <v>7416</v>
      </c>
      <c r="G2498" s="103" t="s">
        <v>7429</v>
      </c>
      <c r="H2498" s="75">
        <v>42501</v>
      </c>
      <c r="I2498" s="73">
        <v>39717</v>
      </c>
      <c r="J2498" s="73">
        <v>39717</v>
      </c>
      <c r="K2498" s="73">
        <v>30519</v>
      </c>
      <c r="L2498" s="11" t="s">
        <v>7430</v>
      </c>
      <c r="M2498" s="1" t="s">
        <v>16</v>
      </c>
      <c r="N2498" s="111" t="s">
        <v>14</v>
      </c>
      <c r="O2498" s="104" t="s">
        <v>52</v>
      </c>
      <c r="P2498" s="104" t="s">
        <v>52</v>
      </c>
      <c r="Q2498" s="105"/>
      <c r="R2498" s="28" t="s">
        <v>110</v>
      </c>
      <c r="S2498" s="225">
        <f t="shared" si="41"/>
        <v>52505</v>
      </c>
      <c r="T2498" s="162" t="s">
        <v>7693</v>
      </c>
      <c r="U2498" s="2" t="s">
        <v>146</v>
      </c>
      <c r="V2498" s="161" t="str" cm="1">
        <f t="array" ref="V2498">_xlfn.IFS(C2498="","",COUNTIF(C2498,"ตำแหน่งว่าง*"),"ว่าง",COUNTIF(C2498,"&lt;&gt;ตำแหน่งว่าง*"),"คนครอง")</f>
        <v>คนครอง</v>
      </c>
      <c r="W2498" s="6" cm="1">
        <f t="array" ref="W2498">_xlfn.IFS(COUNTIF(F2498,"ผบ.หมู่*"),51,COUNTIF(F2498,"รอง สว.*"),43)</f>
        <v>51</v>
      </c>
      <c r="X2498" s="5" t="s">
        <v>7428</v>
      </c>
      <c r="Y2498" s="5" t="s">
        <v>52</v>
      </c>
    </row>
    <row r="2499" spans="1:25" s="9" customFormat="1" ht="21.3" customHeight="1">
      <c r="A2499" s="27" t="s">
        <v>612</v>
      </c>
      <c r="B2499" s="28" t="s">
        <v>21</v>
      </c>
      <c r="C2499" s="27" t="s">
        <v>7431</v>
      </c>
      <c r="D2499" s="27" t="s">
        <v>9518</v>
      </c>
      <c r="E2499" s="27" t="s">
        <v>10626</v>
      </c>
      <c r="F2499" s="27" t="s">
        <v>7432</v>
      </c>
      <c r="G2499" s="101" t="s">
        <v>7434</v>
      </c>
      <c r="H2499" s="75">
        <v>42501</v>
      </c>
      <c r="I2499" s="73">
        <v>41944</v>
      </c>
      <c r="J2499" s="73">
        <v>41944</v>
      </c>
      <c r="K2499" s="73">
        <v>31853</v>
      </c>
      <c r="L2499" s="11" t="s">
        <v>7435</v>
      </c>
      <c r="M2499" s="1" t="s">
        <v>84</v>
      </c>
      <c r="N2499" s="112" t="s">
        <v>14</v>
      </c>
      <c r="O2499" s="104" t="s">
        <v>52</v>
      </c>
      <c r="P2499" s="104" t="s">
        <v>52</v>
      </c>
      <c r="Q2499" s="105"/>
      <c r="R2499" s="28" t="s">
        <v>110</v>
      </c>
      <c r="S2499" s="225">
        <f t="shared" si="41"/>
        <v>53966</v>
      </c>
      <c r="T2499" s="2" t="s">
        <v>7694</v>
      </c>
      <c r="U2499" s="2" t="s">
        <v>146</v>
      </c>
      <c r="V2499" s="161" t="str" cm="1">
        <f t="array" ref="V2499">_xlfn.IFS(C2499="","",COUNTIF(C2499,"ตำแหน่งว่าง*"),"ว่าง",COUNTIF(C2499,"&lt;&gt;ตำแหน่งว่าง*"),"คนครอง")</f>
        <v>คนครอง</v>
      </c>
      <c r="W2499" s="6" cm="1">
        <f t="array" ref="W2499">_xlfn.IFS(COUNTIF(F2499,"ผบ.หมู่*"),51,COUNTIF(F2499,"รอง สว.*"),43)</f>
        <v>51</v>
      </c>
      <c r="X2499" s="1" t="s">
        <v>7433</v>
      </c>
      <c r="Y2499" s="1" t="s">
        <v>52</v>
      </c>
    </row>
    <row r="2500" spans="1:25" s="9" customFormat="1" ht="21.3" customHeight="1">
      <c r="A2500" s="27" t="s">
        <v>157</v>
      </c>
      <c r="B2500" s="28" t="s">
        <v>21</v>
      </c>
      <c r="C2500" s="27" t="s">
        <v>7436</v>
      </c>
      <c r="D2500" s="27" t="s">
        <v>8058</v>
      </c>
      <c r="E2500" s="27" t="s">
        <v>10627</v>
      </c>
      <c r="F2500" s="27" t="s">
        <v>7432</v>
      </c>
      <c r="G2500" s="101" t="s">
        <v>7438</v>
      </c>
      <c r="H2500" s="75">
        <v>42501</v>
      </c>
      <c r="I2500" s="73">
        <v>34729</v>
      </c>
      <c r="J2500" s="73">
        <v>34729</v>
      </c>
      <c r="K2500" s="73">
        <v>25910</v>
      </c>
      <c r="L2500" s="11" t="s">
        <v>4042</v>
      </c>
      <c r="M2500" s="1" t="s">
        <v>100</v>
      </c>
      <c r="N2500" s="112" t="s">
        <v>14</v>
      </c>
      <c r="O2500" s="104" t="s">
        <v>52</v>
      </c>
      <c r="P2500" s="104" t="s">
        <v>52</v>
      </c>
      <c r="Q2500" s="105"/>
      <c r="R2500" s="28" t="s">
        <v>110</v>
      </c>
      <c r="S2500" s="225">
        <f t="shared" si="41"/>
        <v>48122</v>
      </c>
      <c r="T2500" s="2" t="s">
        <v>7694</v>
      </c>
      <c r="U2500" s="2" t="s">
        <v>146</v>
      </c>
      <c r="V2500" s="161" t="str" cm="1">
        <f t="array" ref="V2500">_xlfn.IFS(C2500="","",COUNTIF(C2500,"ตำแหน่งว่าง*"),"ว่าง",COUNTIF(C2500,"&lt;&gt;ตำแหน่งว่าง*"),"คนครอง")</f>
        <v>คนครอง</v>
      </c>
      <c r="W2500" s="6" cm="1">
        <f t="array" ref="W2500">_xlfn.IFS(COUNTIF(F2500,"ผบ.หมู่*"),51,COUNTIF(F2500,"รอง สว.*"),43)</f>
        <v>51</v>
      </c>
      <c r="X2500" s="1" t="s">
        <v>7437</v>
      </c>
      <c r="Y2500" s="1" t="s">
        <v>52</v>
      </c>
    </row>
    <row r="2501" spans="1:25" s="9" customFormat="1" ht="21.3" customHeight="1">
      <c r="A2501" s="27" t="s">
        <v>157</v>
      </c>
      <c r="B2501" s="28" t="s">
        <v>12</v>
      </c>
      <c r="C2501" s="27" t="s">
        <v>7439</v>
      </c>
      <c r="D2501" s="27" t="s">
        <v>10628</v>
      </c>
      <c r="E2501" s="27" t="s">
        <v>8090</v>
      </c>
      <c r="F2501" s="27" t="s">
        <v>7432</v>
      </c>
      <c r="G2501" s="101" t="s">
        <v>7441</v>
      </c>
      <c r="H2501" s="75">
        <v>44599</v>
      </c>
      <c r="I2501" s="73">
        <v>44599</v>
      </c>
      <c r="J2501" s="73">
        <v>41244</v>
      </c>
      <c r="K2501" s="73">
        <v>32561</v>
      </c>
      <c r="L2501" s="11" t="s">
        <v>2661</v>
      </c>
      <c r="M2501" s="1" t="s">
        <v>16</v>
      </c>
      <c r="N2501" s="112" t="s">
        <v>14</v>
      </c>
      <c r="O2501" s="104" t="s">
        <v>52</v>
      </c>
      <c r="P2501" s="104" t="s">
        <v>52</v>
      </c>
      <c r="Q2501" s="105"/>
      <c r="R2501" s="28" t="s">
        <v>607</v>
      </c>
      <c r="S2501" s="225">
        <f t="shared" si="41"/>
        <v>54697</v>
      </c>
      <c r="T2501" s="2" t="s">
        <v>7694</v>
      </c>
      <c r="U2501" s="2" t="s">
        <v>146</v>
      </c>
      <c r="V2501" s="161" t="str" cm="1">
        <f t="array" ref="V2501">_xlfn.IFS(C2501="","",COUNTIF(C2501,"ตำแหน่งว่าง*"),"ว่าง",COUNTIF(C2501,"&lt;&gt;ตำแหน่งว่าง*"),"คนครอง")</f>
        <v>คนครอง</v>
      </c>
      <c r="W2501" s="6" cm="1">
        <f t="array" ref="W2501">_xlfn.IFS(COUNTIF(F2501,"ผบ.หมู่*"),51,COUNTIF(F2501,"รอง สว.*"),43)</f>
        <v>51</v>
      </c>
      <c r="X2501" s="1" t="s">
        <v>7440</v>
      </c>
      <c r="Y2501" s="1" t="s">
        <v>52</v>
      </c>
    </row>
    <row r="2502" spans="1:25" s="9" customFormat="1" ht="21.3" customHeight="1">
      <c r="A2502" s="27" t="s">
        <v>157</v>
      </c>
      <c r="B2502" s="28" t="s">
        <v>21</v>
      </c>
      <c r="C2502" s="27" t="s">
        <v>7442</v>
      </c>
      <c r="D2502" s="27" t="s">
        <v>9406</v>
      </c>
      <c r="E2502" s="27" t="s">
        <v>10572</v>
      </c>
      <c r="F2502" s="27" t="s">
        <v>7432</v>
      </c>
      <c r="G2502" s="101" t="s">
        <v>7444</v>
      </c>
      <c r="H2502" s="75">
        <v>42940</v>
      </c>
      <c r="I2502" s="73">
        <v>40814</v>
      </c>
      <c r="J2502" s="73">
        <v>40814</v>
      </c>
      <c r="K2502" s="73">
        <v>31292</v>
      </c>
      <c r="L2502" s="11" t="s">
        <v>7445</v>
      </c>
      <c r="M2502" s="1" t="s">
        <v>32</v>
      </c>
      <c r="N2502" s="112" t="s">
        <v>14</v>
      </c>
      <c r="O2502" s="104" t="s">
        <v>52</v>
      </c>
      <c r="P2502" s="104" t="s">
        <v>52</v>
      </c>
      <c r="Q2502" s="105"/>
      <c r="R2502" s="28" t="s">
        <v>4058</v>
      </c>
      <c r="S2502" s="225">
        <f t="shared" si="41"/>
        <v>53236</v>
      </c>
      <c r="T2502" s="2" t="s">
        <v>7694</v>
      </c>
      <c r="U2502" s="2" t="s">
        <v>146</v>
      </c>
      <c r="V2502" s="161" t="str" cm="1">
        <f t="array" ref="V2502">_xlfn.IFS(C2502="","",COUNTIF(C2502,"ตำแหน่งว่าง*"),"ว่าง",COUNTIF(C2502,"&lt;&gt;ตำแหน่งว่าง*"),"คนครอง")</f>
        <v>คนครอง</v>
      </c>
      <c r="W2502" s="6" cm="1">
        <f t="array" ref="W2502">_xlfn.IFS(COUNTIF(F2502,"ผบ.หมู่*"),51,COUNTIF(F2502,"รอง สว.*"),43)</f>
        <v>51</v>
      </c>
      <c r="X2502" s="1" t="s">
        <v>7443</v>
      </c>
      <c r="Y2502" s="1" t="s">
        <v>52</v>
      </c>
    </row>
    <row r="2503" spans="1:25" s="12" customFormat="1" ht="21.3" customHeight="1">
      <c r="A2503" s="27" t="s">
        <v>612</v>
      </c>
      <c r="B2503" s="28" t="s">
        <v>12</v>
      </c>
      <c r="C2503" s="95" t="s">
        <v>7446</v>
      </c>
      <c r="D2503" s="27" t="s">
        <v>10629</v>
      </c>
      <c r="E2503" s="27" t="s">
        <v>10630</v>
      </c>
      <c r="F2503" s="95" t="s">
        <v>7432</v>
      </c>
      <c r="G2503" s="101" t="s">
        <v>7448</v>
      </c>
      <c r="H2503" s="91">
        <v>44243</v>
      </c>
      <c r="I2503" s="73">
        <v>42156</v>
      </c>
      <c r="J2503" s="73">
        <v>42156</v>
      </c>
      <c r="K2503" s="73">
        <v>32920</v>
      </c>
      <c r="L2503" s="11" t="s">
        <v>7449</v>
      </c>
      <c r="M2503" s="1" t="s">
        <v>33</v>
      </c>
      <c r="N2503" s="111" t="s">
        <v>14</v>
      </c>
      <c r="O2503" s="104" t="s">
        <v>52</v>
      </c>
      <c r="P2503" s="104" t="s">
        <v>52</v>
      </c>
      <c r="Q2503" s="108"/>
      <c r="R2503" s="31" t="s">
        <v>617</v>
      </c>
      <c r="S2503" s="225">
        <f t="shared" si="41"/>
        <v>55062</v>
      </c>
      <c r="T2503" s="162" t="s">
        <v>7694</v>
      </c>
      <c r="U2503" s="2" t="s">
        <v>146</v>
      </c>
      <c r="V2503" s="161" t="str" cm="1">
        <f t="array" ref="V2503">_xlfn.IFS(C2503="","",COUNTIF(C2503,"ตำแหน่งว่าง*"),"ว่าง",COUNTIF(C2503,"&lt;&gt;ตำแหน่งว่าง*"),"คนครอง")</f>
        <v>คนครอง</v>
      </c>
      <c r="W2503" s="6" cm="1">
        <f t="array" ref="W2503">_xlfn.IFS(COUNTIF(F2503,"ผบ.หมู่*"),51,COUNTIF(F2503,"รอง สว.*"),43)</f>
        <v>51</v>
      </c>
      <c r="X2503" s="5" t="s">
        <v>7447</v>
      </c>
      <c r="Y2503" s="5" t="s">
        <v>52</v>
      </c>
    </row>
    <row r="2504" spans="1:25" s="9" customFormat="1" ht="21.3" customHeight="1">
      <c r="A2504" s="134" t="s">
        <v>612</v>
      </c>
      <c r="B2504" s="26" t="s">
        <v>21</v>
      </c>
      <c r="C2504" s="134" t="s">
        <v>7450</v>
      </c>
      <c r="D2504" s="27" t="s">
        <v>10631</v>
      </c>
      <c r="E2504" s="27" t="s">
        <v>10632</v>
      </c>
      <c r="F2504" s="27" t="s">
        <v>7451</v>
      </c>
      <c r="G2504" s="101" t="s">
        <v>7453</v>
      </c>
      <c r="H2504" s="91">
        <v>44599</v>
      </c>
      <c r="I2504" s="73">
        <v>41944</v>
      </c>
      <c r="J2504" s="73">
        <v>41944</v>
      </c>
      <c r="K2504" s="73">
        <v>32068</v>
      </c>
      <c r="L2504" s="19" t="s">
        <v>7454</v>
      </c>
      <c r="M2504" s="3" t="s">
        <v>16</v>
      </c>
      <c r="N2504" s="112" t="s">
        <v>14</v>
      </c>
      <c r="O2504" s="104" t="s">
        <v>52</v>
      </c>
      <c r="P2504" s="104" t="s">
        <v>52</v>
      </c>
      <c r="Q2504" s="105"/>
      <c r="R2504" s="28" t="s">
        <v>607</v>
      </c>
      <c r="S2504" s="225">
        <f t="shared" si="41"/>
        <v>54332</v>
      </c>
      <c r="T2504" s="2" t="s">
        <v>7695</v>
      </c>
      <c r="U2504" s="2" t="s">
        <v>146</v>
      </c>
      <c r="V2504" s="161" t="str" cm="1">
        <f t="array" ref="V2504">_xlfn.IFS(C2504="","",COUNTIF(C2504,"ตำแหน่งว่าง*"),"ว่าง",COUNTIF(C2504,"&lt;&gt;ตำแหน่งว่าง*"),"คนครอง")</f>
        <v>คนครอง</v>
      </c>
      <c r="W2504" s="6" cm="1">
        <f t="array" ref="W2504">_xlfn.IFS(COUNTIF(F2504,"ผบ.หมู่*"),51,COUNTIF(F2504,"รอง สว.*"),43)</f>
        <v>51</v>
      </c>
      <c r="X2504" s="1" t="s">
        <v>7452</v>
      </c>
      <c r="Y2504" s="1" t="s">
        <v>52</v>
      </c>
    </row>
    <row r="2505" spans="1:25" s="9" customFormat="1" ht="21.3" customHeight="1">
      <c r="A2505" s="27" t="s">
        <v>26</v>
      </c>
      <c r="B2505" s="28" t="s">
        <v>12</v>
      </c>
      <c r="C2505" s="27" t="s">
        <v>7455</v>
      </c>
      <c r="D2505" s="27" t="s">
        <v>10633</v>
      </c>
      <c r="E2505" s="27" t="s">
        <v>10634</v>
      </c>
      <c r="F2505" s="27" t="s">
        <v>7456</v>
      </c>
      <c r="G2505" s="101" t="s">
        <v>7458</v>
      </c>
      <c r="H2505" s="91">
        <v>44999</v>
      </c>
      <c r="I2505" s="75">
        <v>43921</v>
      </c>
      <c r="J2505" s="75">
        <v>34366</v>
      </c>
      <c r="K2505" s="75">
        <v>24532</v>
      </c>
      <c r="L2505" s="34" t="s">
        <v>7459</v>
      </c>
      <c r="M2505" s="28" t="s">
        <v>16</v>
      </c>
      <c r="N2505" s="112" t="s">
        <v>14</v>
      </c>
      <c r="O2505" s="104" t="s">
        <v>52</v>
      </c>
      <c r="P2505" s="104" t="s">
        <v>52</v>
      </c>
      <c r="Q2505" s="105"/>
      <c r="R2505" s="28" t="s">
        <v>440</v>
      </c>
      <c r="S2505" s="225">
        <f t="shared" si="41"/>
        <v>46661</v>
      </c>
      <c r="T2505" s="2" t="s">
        <v>7695</v>
      </c>
      <c r="U2505" s="2" t="s">
        <v>146</v>
      </c>
      <c r="V2505" s="161" t="str" cm="1">
        <f t="array" ref="V2505">_xlfn.IFS(C2505="","",COUNTIF(C2505,"ตำแหน่งว่าง*"),"ว่าง",COUNTIF(C2505,"&lt;&gt;ตำแหน่งว่าง*"),"คนครอง")</f>
        <v>คนครอง</v>
      </c>
      <c r="W2505" s="5" cm="1">
        <f t="array" ref="W2505">_xlfn.IFS(COUNTIF(F2505,"ผบ.หมู่*"),51,COUNTIF(F2505,"รอง สว.*"),43)</f>
        <v>43</v>
      </c>
      <c r="X2505" s="1" t="s">
        <v>7457</v>
      </c>
      <c r="Y2505" s="28" t="s">
        <v>52</v>
      </c>
    </row>
    <row r="2506" spans="1:25" s="9" customFormat="1" ht="21.3" customHeight="1">
      <c r="A2506" s="95" t="s">
        <v>208</v>
      </c>
      <c r="B2506" s="28" t="s">
        <v>21</v>
      </c>
      <c r="C2506" s="27" t="s">
        <v>7460</v>
      </c>
      <c r="D2506" s="27" t="s">
        <v>8450</v>
      </c>
      <c r="E2506" s="27" t="s">
        <v>10635</v>
      </c>
      <c r="F2506" s="27" t="s">
        <v>7451</v>
      </c>
      <c r="G2506" s="101" t="s">
        <v>7462</v>
      </c>
      <c r="H2506" s="91">
        <v>43693</v>
      </c>
      <c r="I2506" s="73">
        <v>43693</v>
      </c>
      <c r="J2506" s="85">
        <v>43693</v>
      </c>
      <c r="K2506" s="73">
        <v>34325</v>
      </c>
      <c r="L2506" s="11" t="s">
        <v>1667</v>
      </c>
      <c r="M2506" s="1" t="s">
        <v>16</v>
      </c>
      <c r="N2506" s="112" t="s">
        <v>14</v>
      </c>
      <c r="O2506" s="104" t="s">
        <v>52</v>
      </c>
      <c r="P2506" s="104" t="s">
        <v>52</v>
      </c>
      <c r="Q2506" s="105"/>
      <c r="R2506" s="28" t="s">
        <v>645</v>
      </c>
      <c r="S2506" s="225">
        <f t="shared" si="41"/>
        <v>56523</v>
      </c>
      <c r="T2506" s="2" t="s">
        <v>7695</v>
      </c>
      <c r="U2506" s="2" t="s">
        <v>146</v>
      </c>
      <c r="V2506" s="161" t="str" cm="1">
        <f t="array" ref="V2506">_xlfn.IFS(C2506="","",COUNTIF(C2506,"ตำแหน่งว่าง*"),"ว่าง",COUNTIF(C2506,"&lt;&gt;ตำแหน่งว่าง*"),"คนครอง")</f>
        <v>คนครอง</v>
      </c>
      <c r="W2506" s="6" cm="1">
        <f t="array" ref="W2506">_xlfn.IFS(COUNTIF(F2506,"ผบ.หมู่*"),51,COUNTIF(F2506,"รอง สว.*"),43)</f>
        <v>51</v>
      </c>
      <c r="X2506" s="1" t="s">
        <v>7461</v>
      </c>
      <c r="Y2506" s="1" t="s">
        <v>52</v>
      </c>
    </row>
    <row r="2507" spans="1:25" s="9" customFormat="1" ht="21.3" customHeight="1">
      <c r="A2507" s="27" t="s">
        <v>612</v>
      </c>
      <c r="B2507" s="28" t="s">
        <v>12</v>
      </c>
      <c r="C2507" s="27" t="s">
        <v>7463</v>
      </c>
      <c r="D2507" s="27" t="s">
        <v>10636</v>
      </c>
      <c r="E2507" s="27" t="s">
        <v>7975</v>
      </c>
      <c r="F2507" s="27" t="s">
        <v>7451</v>
      </c>
      <c r="G2507" s="101" t="s">
        <v>7465</v>
      </c>
      <c r="H2507" s="91">
        <v>44243</v>
      </c>
      <c r="I2507" s="73">
        <v>41944</v>
      </c>
      <c r="J2507" s="73">
        <v>41944</v>
      </c>
      <c r="K2507" s="73">
        <v>33511</v>
      </c>
      <c r="L2507" s="11" t="s">
        <v>7466</v>
      </c>
      <c r="M2507" s="1" t="s">
        <v>100</v>
      </c>
      <c r="N2507" s="112" t="s">
        <v>14</v>
      </c>
      <c r="O2507" s="104" t="s">
        <v>52</v>
      </c>
      <c r="P2507" s="104" t="s">
        <v>52</v>
      </c>
      <c r="Q2507" s="105"/>
      <c r="R2507" s="26" t="s">
        <v>617</v>
      </c>
      <c r="S2507" s="225">
        <f t="shared" si="41"/>
        <v>55427</v>
      </c>
      <c r="T2507" s="2" t="s">
        <v>7695</v>
      </c>
      <c r="U2507" s="2" t="s">
        <v>146</v>
      </c>
      <c r="V2507" s="161" t="str" cm="1">
        <f t="array" ref="V2507">_xlfn.IFS(C2507="","",COUNTIF(C2507,"ตำแหน่งว่าง*"),"ว่าง",COUNTIF(C2507,"&lt;&gt;ตำแหน่งว่าง*"),"คนครอง")</f>
        <v>คนครอง</v>
      </c>
      <c r="W2507" s="6" cm="1">
        <f t="array" ref="W2507">_xlfn.IFS(COUNTIF(F2507,"ผบ.หมู่*"),51,COUNTIF(F2507,"รอง สว.*"),43)</f>
        <v>51</v>
      </c>
      <c r="X2507" s="1" t="s">
        <v>7464</v>
      </c>
      <c r="Y2507" s="1" t="s">
        <v>52</v>
      </c>
    </row>
    <row r="2508" spans="1:25" s="9" customFormat="1" ht="21.3" customHeight="1">
      <c r="A2508" s="27" t="s">
        <v>157</v>
      </c>
      <c r="B2508" s="28" t="s">
        <v>12</v>
      </c>
      <c r="C2508" s="27" t="s">
        <v>7467</v>
      </c>
      <c r="D2508" s="27" t="s">
        <v>10637</v>
      </c>
      <c r="E2508" s="27" t="s">
        <v>10638</v>
      </c>
      <c r="F2508" s="27" t="s">
        <v>7451</v>
      </c>
      <c r="G2508" s="101" t="s">
        <v>7469</v>
      </c>
      <c r="H2508" s="91">
        <v>44599</v>
      </c>
      <c r="I2508" s="73">
        <v>41244</v>
      </c>
      <c r="J2508" s="73">
        <v>41244</v>
      </c>
      <c r="K2508" s="73">
        <v>32180</v>
      </c>
      <c r="L2508" s="11" t="s">
        <v>7470</v>
      </c>
      <c r="M2508" s="1" t="s">
        <v>100</v>
      </c>
      <c r="N2508" s="112" t="s">
        <v>14</v>
      </c>
      <c r="O2508" s="104" t="s">
        <v>52</v>
      </c>
      <c r="P2508" s="104" t="s">
        <v>52</v>
      </c>
      <c r="Q2508" s="105"/>
      <c r="R2508" s="28" t="s">
        <v>607</v>
      </c>
      <c r="S2508" s="225">
        <f t="shared" si="41"/>
        <v>54332</v>
      </c>
      <c r="T2508" s="2" t="s">
        <v>7695</v>
      </c>
      <c r="U2508" s="2" t="s">
        <v>146</v>
      </c>
      <c r="V2508" s="161" t="str" cm="1">
        <f t="array" ref="V2508">_xlfn.IFS(C2508="","",COUNTIF(C2508,"ตำแหน่งว่าง*"),"ว่าง",COUNTIF(C2508,"&lt;&gt;ตำแหน่งว่าง*"),"คนครอง")</f>
        <v>คนครอง</v>
      </c>
      <c r="W2508" s="6" cm="1">
        <f t="array" ref="W2508">_xlfn.IFS(COUNTIF(F2508,"ผบ.หมู่*"),51,COUNTIF(F2508,"รอง สว.*"),43)</f>
        <v>51</v>
      </c>
      <c r="X2508" s="1" t="s">
        <v>7468</v>
      </c>
      <c r="Y2508" s="1" t="s">
        <v>52</v>
      </c>
    </row>
    <row r="2509" spans="1:25" s="9" customFormat="1" ht="21.3" customHeight="1">
      <c r="A2509" s="134" t="s">
        <v>612</v>
      </c>
      <c r="B2509" s="26" t="s">
        <v>12</v>
      </c>
      <c r="C2509" s="134" t="s">
        <v>7471</v>
      </c>
      <c r="D2509" s="27" t="s">
        <v>10639</v>
      </c>
      <c r="E2509" s="27" t="s">
        <v>10640</v>
      </c>
      <c r="F2509" s="27" t="s">
        <v>7451</v>
      </c>
      <c r="G2509" s="101" t="s">
        <v>7473</v>
      </c>
      <c r="H2509" s="91">
        <v>44243</v>
      </c>
      <c r="I2509" s="73">
        <v>41944</v>
      </c>
      <c r="J2509" s="73">
        <v>41944</v>
      </c>
      <c r="K2509" s="73">
        <v>31250</v>
      </c>
      <c r="L2509" s="19" t="s">
        <v>7474</v>
      </c>
      <c r="M2509" s="3" t="s">
        <v>58</v>
      </c>
      <c r="N2509" s="112" t="s">
        <v>14</v>
      </c>
      <c r="O2509" s="104" t="s">
        <v>52</v>
      </c>
      <c r="P2509" s="104" t="s">
        <v>52</v>
      </c>
      <c r="Q2509" s="105"/>
      <c r="R2509" s="26" t="s">
        <v>617</v>
      </c>
      <c r="S2509" s="225">
        <f t="shared" si="41"/>
        <v>53236</v>
      </c>
      <c r="T2509" s="2" t="s">
        <v>7695</v>
      </c>
      <c r="U2509" s="2" t="s">
        <v>146</v>
      </c>
      <c r="V2509" s="161" t="str" cm="1">
        <f t="array" ref="V2509">_xlfn.IFS(C2509="","",COUNTIF(C2509,"ตำแหน่งว่าง*"),"ว่าง",COUNTIF(C2509,"&lt;&gt;ตำแหน่งว่าง*"),"คนครอง")</f>
        <v>คนครอง</v>
      </c>
      <c r="W2509" s="6" cm="1">
        <f t="array" ref="W2509">_xlfn.IFS(COUNTIF(F2509,"ผบ.หมู่*"),51,COUNTIF(F2509,"รอง สว.*"),43)</f>
        <v>51</v>
      </c>
      <c r="X2509" s="1" t="s">
        <v>7472</v>
      </c>
      <c r="Y2509" s="1" t="s">
        <v>52</v>
      </c>
    </row>
    <row r="2510" spans="1:25" s="9" customFormat="1" ht="21.3" customHeight="1">
      <c r="A2510" s="27" t="s">
        <v>157</v>
      </c>
      <c r="B2510" s="28" t="s">
        <v>12</v>
      </c>
      <c r="C2510" s="27" t="s">
        <v>7475</v>
      </c>
      <c r="D2510" s="27" t="s">
        <v>8095</v>
      </c>
      <c r="E2510" s="27" t="s">
        <v>10641</v>
      </c>
      <c r="F2510" s="27" t="s">
        <v>7451</v>
      </c>
      <c r="G2510" s="101" t="s">
        <v>7477</v>
      </c>
      <c r="H2510" s="91">
        <v>44243</v>
      </c>
      <c r="I2510" s="73">
        <v>41365</v>
      </c>
      <c r="J2510" s="73">
        <v>41365</v>
      </c>
      <c r="K2510" s="73">
        <v>31528</v>
      </c>
      <c r="L2510" s="11" t="s">
        <v>112</v>
      </c>
      <c r="M2510" s="1" t="s">
        <v>100</v>
      </c>
      <c r="N2510" s="112" t="s">
        <v>14</v>
      </c>
      <c r="O2510" s="104" t="s">
        <v>52</v>
      </c>
      <c r="P2510" s="104" t="s">
        <v>52</v>
      </c>
      <c r="Q2510" s="105"/>
      <c r="R2510" s="26" t="s">
        <v>617</v>
      </c>
      <c r="S2510" s="225">
        <f t="shared" si="41"/>
        <v>53601</v>
      </c>
      <c r="T2510" s="2" t="s">
        <v>7695</v>
      </c>
      <c r="U2510" s="2" t="s">
        <v>146</v>
      </c>
      <c r="V2510" s="161" t="str" cm="1">
        <f t="array" ref="V2510">_xlfn.IFS(C2510="","",COUNTIF(C2510,"ตำแหน่งว่าง*"),"ว่าง",COUNTIF(C2510,"&lt;&gt;ตำแหน่งว่าง*"),"คนครอง")</f>
        <v>คนครอง</v>
      </c>
      <c r="W2510" s="6" cm="1">
        <f t="array" ref="W2510">_xlfn.IFS(COUNTIF(F2510,"ผบ.หมู่*"),51,COUNTIF(F2510,"รอง สว.*"),43)</f>
        <v>51</v>
      </c>
      <c r="X2510" s="1" t="s">
        <v>7476</v>
      </c>
      <c r="Y2510" s="1" t="s">
        <v>52</v>
      </c>
    </row>
    <row r="2511" spans="1:25" s="9" customFormat="1" ht="21.3" customHeight="1">
      <c r="A2511" s="27" t="s">
        <v>157</v>
      </c>
      <c r="B2511" s="28" t="s">
        <v>21</v>
      </c>
      <c r="C2511" s="27" t="s">
        <v>7478</v>
      </c>
      <c r="D2511" s="27" t="s">
        <v>10642</v>
      </c>
      <c r="E2511" s="27" t="s">
        <v>10643</v>
      </c>
      <c r="F2511" s="27" t="s">
        <v>7479</v>
      </c>
      <c r="G2511" s="101" t="s">
        <v>7481</v>
      </c>
      <c r="H2511" s="75">
        <v>42940</v>
      </c>
      <c r="I2511" s="73">
        <v>39717</v>
      </c>
      <c r="J2511" s="73">
        <v>39717</v>
      </c>
      <c r="K2511" s="73">
        <v>29355</v>
      </c>
      <c r="L2511" s="11" t="s">
        <v>7482</v>
      </c>
      <c r="M2511" s="1" t="s">
        <v>16</v>
      </c>
      <c r="N2511" s="112" t="s">
        <v>14</v>
      </c>
      <c r="O2511" s="104" t="s">
        <v>52</v>
      </c>
      <c r="P2511" s="104" t="s">
        <v>52</v>
      </c>
      <c r="Q2511" s="105"/>
      <c r="R2511" s="28" t="s">
        <v>726</v>
      </c>
      <c r="S2511" s="225">
        <f t="shared" si="41"/>
        <v>51410</v>
      </c>
      <c r="T2511" s="2" t="s">
        <v>7696</v>
      </c>
      <c r="U2511" s="2" t="s">
        <v>146</v>
      </c>
      <c r="V2511" s="161" t="str" cm="1">
        <f t="array" ref="V2511">_xlfn.IFS(C2511="","",COUNTIF(C2511,"ตำแหน่งว่าง*"),"ว่าง",COUNTIF(C2511,"&lt;&gt;ตำแหน่งว่าง*"),"คนครอง")</f>
        <v>คนครอง</v>
      </c>
      <c r="W2511" s="6" cm="1">
        <f t="array" ref="W2511">_xlfn.IFS(COUNTIF(F2511,"ผบ.หมู่*"),51,COUNTIF(F2511,"รอง สว.*"),43)</f>
        <v>51</v>
      </c>
      <c r="X2511" s="1" t="s">
        <v>7480</v>
      </c>
      <c r="Y2511" s="1" t="s">
        <v>52</v>
      </c>
    </row>
    <row r="2512" spans="1:25" s="9" customFormat="1" ht="21.3" customHeight="1">
      <c r="A2512" s="27" t="s">
        <v>157</v>
      </c>
      <c r="B2512" s="28" t="s">
        <v>21</v>
      </c>
      <c r="C2512" s="27" t="s">
        <v>7483</v>
      </c>
      <c r="D2512" s="27" t="s">
        <v>8606</v>
      </c>
      <c r="E2512" s="27" t="s">
        <v>10644</v>
      </c>
      <c r="F2512" s="27" t="s">
        <v>7479</v>
      </c>
      <c r="G2512" s="101" t="s">
        <v>7485</v>
      </c>
      <c r="H2512" s="75">
        <v>42940</v>
      </c>
      <c r="I2512" s="73">
        <v>40339</v>
      </c>
      <c r="J2512" s="73">
        <v>40339</v>
      </c>
      <c r="K2512" s="73">
        <v>31021</v>
      </c>
      <c r="L2512" s="11" t="s">
        <v>7486</v>
      </c>
      <c r="M2512" s="1" t="s">
        <v>33</v>
      </c>
      <c r="N2512" s="112" t="s">
        <v>14</v>
      </c>
      <c r="O2512" s="104" t="s">
        <v>52</v>
      </c>
      <c r="P2512" s="104" t="s">
        <v>52</v>
      </c>
      <c r="Q2512" s="105"/>
      <c r="R2512" s="28" t="s">
        <v>4298</v>
      </c>
      <c r="S2512" s="225">
        <f t="shared" si="41"/>
        <v>53236</v>
      </c>
      <c r="T2512" s="2" t="s">
        <v>7696</v>
      </c>
      <c r="U2512" s="2" t="s">
        <v>146</v>
      </c>
      <c r="V2512" s="161" t="str" cm="1">
        <f t="array" ref="V2512">_xlfn.IFS(C2512="","",COUNTIF(C2512,"ตำแหน่งว่าง*"),"ว่าง",COUNTIF(C2512,"&lt;&gt;ตำแหน่งว่าง*"),"คนครอง")</f>
        <v>คนครอง</v>
      </c>
      <c r="W2512" s="6" cm="1">
        <f t="array" ref="W2512">_xlfn.IFS(COUNTIF(F2512,"ผบ.หมู่*"),51,COUNTIF(F2512,"รอง สว.*"),43)</f>
        <v>51</v>
      </c>
      <c r="X2512" s="1" t="s">
        <v>7484</v>
      </c>
      <c r="Y2512" s="1" t="s">
        <v>52</v>
      </c>
    </row>
    <row r="2513" spans="1:25" s="9" customFormat="1" ht="21.3" customHeight="1">
      <c r="A2513" s="27" t="s">
        <v>157</v>
      </c>
      <c r="B2513" s="28" t="s">
        <v>12</v>
      </c>
      <c r="C2513" s="27" t="s">
        <v>7487</v>
      </c>
      <c r="D2513" s="27" t="s">
        <v>10276</v>
      </c>
      <c r="E2513" s="27" t="s">
        <v>8155</v>
      </c>
      <c r="F2513" s="27" t="s">
        <v>7479</v>
      </c>
      <c r="G2513" s="101" t="s">
        <v>7489</v>
      </c>
      <c r="H2513" s="75">
        <v>42501</v>
      </c>
      <c r="I2513" s="73">
        <v>39479</v>
      </c>
      <c r="J2513" s="73">
        <v>39479</v>
      </c>
      <c r="K2513" s="73">
        <v>28921</v>
      </c>
      <c r="L2513" s="11" t="s">
        <v>7490</v>
      </c>
      <c r="M2513" s="1" t="s">
        <v>100</v>
      </c>
      <c r="N2513" s="112" t="s">
        <v>14</v>
      </c>
      <c r="O2513" s="104" t="s">
        <v>52</v>
      </c>
      <c r="P2513" s="104" t="s">
        <v>52</v>
      </c>
      <c r="Q2513" s="105"/>
      <c r="R2513" s="28" t="s">
        <v>110</v>
      </c>
      <c r="S2513" s="225">
        <f t="shared" si="41"/>
        <v>51044</v>
      </c>
      <c r="T2513" s="2" t="s">
        <v>7696</v>
      </c>
      <c r="U2513" s="2" t="s">
        <v>146</v>
      </c>
      <c r="V2513" s="161" t="str" cm="1">
        <f t="array" ref="V2513">_xlfn.IFS(C2513="","",COUNTIF(C2513,"ตำแหน่งว่าง*"),"ว่าง",COUNTIF(C2513,"&lt;&gt;ตำแหน่งว่าง*"),"คนครอง")</f>
        <v>คนครอง</v>
      </c>
      <c r="W2513" s="6" cm="1">
        <f t="array" ref="W2513">_xlfn.IFS(COUNTIF(F2513,"ผบ.หมู่*"),51,COUNTIF(F2513,"รอง สว.*"),43)</f>
        <v>51</v>
      </c>
      <c r="X2513" s="1" t="s">
        <v>7488</v>
      </c>
      <c r="Y2513" s="1" t="s">
        <v>52</v>
      </c>
    </row>
    <row r="2514" spans="1:25" s="9" customFormat="1" ht="21.3" customHeight="1">
      <c r="A2514" s="27" t="s">
        <v>157</v>
      </c>
      <c r="B2514" s="28" t="s">
        <v>12</v>
      </c>
      <c r="C2514" s="27" t="s">
        <v>7491</v>
      </c>
      <c r="D2514" s="27" t="s">
        <v>10645</v>
      </c>
      <c r="E2514" s="27" t="s">
        <v>10646</v>
      </c>
      <c r="F2514" s="27" t="s">
        <v>7479</v>
      </c>
      <c r="G2514" s="101" t="s">
        <v>7493</v>
      </c>
      <c r="H2514" s="91">
        <v>43656</v>
      </c>
      <c r="I2514" s="73">
        <v>39717</v>
      </c>
      <c r="J2514" s="73">
        <v>39717</v>
      </c>
      <c r="K2514" s="73">
        <v>28496</v>
      </c>
      <c r="L2514" s="11" t="s">
        <v>6939</v>
      </c>
      <c r="M2514" s="1" t="s">
        <v>96</v>
      </c>
      <c r="N2514" s="112" t="s">
        <v>14</v>
      </c>
      <c r="O2514" s="104" t="s">
        <v>52</v>
      </c>
      <c r="P2514" s="104" t="s">
        <v>52</v>
      </c>
      <c r="Q2514" s="105"/>
      <c r="R2514" s="28" t="s">
        <v>713</v>
      </c>
      <c r="S2514" s="225">
        <f t="shared" si="41"/>
        <v>50679</v>
      </c>
      <c r="T2514" s="2" t="s">
        <v>7696</v>
      </c>
      <c r="U2514" s="2" t="s">
        <v>146</v>
      </c>
      <c r="V2514" s="161" t="str" cm="1">
        <f t="array" ref="V2514">_xlfn.IFS(C2514="","",COUNTIF(C2514,"ตำแหน่งว่าง*"),"ว่าง",COUNTIF(C2514,"&lt;&gt;ตำแหน่งว่าง*"),"คนครอง")</f>
        <v>คนครอง</v>
      </c>
      <c r="W2514" s="6" cm="1">
        <f t="array" ref="W2514">_xlfn.IFS(COUNTIF(F2514,"ผบ.หมู่*"),51,COUNTIF(F2514,"รอง สว.*"),43)</f>
        <v>51</v>
      </c>
      <c r="X2514" s="1" t="s">
        <v>7492</v>
      </c>
      <c r="Y2514" s="1" t="s">
        <v>52</v>
      </c>
    </row>
    <row r="2515" spans="1:25" s="12" customFormat="1" ht="21.3" customHeight="1">
      <c r="A2515" s="27" t="s">
        <v>26</v>
      </c>
      <c r="B2515" s="28" t="s">
        <v>12</v>
      </c>
      <c r="C2515" s="95" t="s">
        <v>7494</v>
      </c>
      <c r="D2515" s="27" t="s">
        <v>10647</v>
      </c>
      <c r="E2515" s="27" t="s">
        <v>10648</v>
      </c>
      <c r="F2515" s="95" t="s">
        <v>7495</v>
      </c>
      <c r="G2515" s="101" t="s">
        <v>7497</v>
      </c>
      <c r="H2515" s="91">
        <v>44286</v>
      </c>
      <c r="I2515" s="73">
        <v>44286</v>
      </c>
      <c r="J2515" s="73">
        <v>34352</v>
      </c>
      <c r="K2515" s="73">
        <v>24826</v>
      </c>
      <c r="L2515" s="11" t="s">
        <v>7498</v>
      </c>
      <c r="M2515" s="1" t="s">
        <v>16</v>
      </c>
      <c r="N2515" s="111" t="s">
        <v>14</v>
      </c>
      <c r="O2515" s="104" t="s">
        <v>52</v>
      </c>
      <c r="P2515" s="104" t="s">
        <v>52</v>
      </c>
      <c r="Q2515" s="105"/>
      <c r="R2515" s="28" t="s">
        <v>1313</v>
      </c>
      <c r="S2515" s="225">
        <f t="shared" si="41"/>
        <v>47027</v>
      </c>
      <c r="T2515" s="162" t="s">
        <v>7697</v>
      </c>
      <c r="U2515" s="2" t="s">
        <v>146</v>
      </c>
      <c r="V2515" s="161" t="str" cm="1">
        <f t="array" ref="V2515">_xlfn.IFS(C2515="","",COUNTIF(C2515,"ตำแหน่งว่าง*"),"ว่าง",COUNTIF(C2515,"&lt;&gt;ตำแหน่งว่าง*"),"คนครอง")</f>
        <v>คนครอง</v>
      </c>
      <c r="W2515" s="5" cm="1">
        <f t="array" ref="W2515">_xlfn.IFS(COUNTIF(F2515,"ผบ.หมู่*"),51,COUNTIF(F2515,"รอง สว.*"),43)</f>
        <v>43</v>
      </c>
      <c r="X2515" s="5" t="s">
        <v>7496</v>
      </c>
      <c r="Y2515" s="5" t="s">
        <v>52</v>
      </c>
    </row>
    <row r="2516" spans="1:25" s="9" customFormat="1" ht="21.3" customHeight="1">
      <c r="A2516" s="27" t="s">
        <v>157</v>
      </c>
      <c r="B2516" s="28" t="s">
        <v>12</v>
      </c>
      <c r="C2516" s="27" t="s">
        <v>7499</v>
      </c>
      <c r="D2516" s="27" t="s">
        <v>8239</v>
      </c>
      <c r="E2516" s="27" t="s">
        <v>10649</v>
      </c>
      <c r="F2516" s="27" t="s">
        <v>7500</v>
      </c>
      <c r="G2516" s="101" t="s">
        <v>7502</v>
      </c>
      <c r="H2516" s="91">
        <v>43235</v>
      </c>
      <c r="I2516" s="73">
        <v>38018</v>
      </c>
      <c r="J2516" s="73">
        <v>38018</v>
      </c>
      <c r="K2516" s="73">
        <v>30111</v>
      </c>
      <c r="L2516" s="11" t="s">
        <v>7503</v>
      </c>
      <c r="M2516" s="1" t="s">
        <v>93</v>
      </c>
      <c r="N2516" s="112" t="s">
        <v>14</v>
      </c>
      <c r="O2516" s="104" t="s">
        <v>52</v>
      </c>
      <c r="P2516" s="104" t="s">
        <v>52</v>
      </c>
      <c r="Q2516" s="105"/>
      <c r="R2516" s="28" t="s">
        <v>2567</v>
      </c>
      <c r="S2516" s="225">
        <f t="shared" si="41"/>
        <v>52140</v>
      </c>
      <c r="T2516" s="2" t="s">
        <v>7674</v>
      </c>
      <c r="U2516" s="2" t="s">
        <v>146</v>
      </c>
      <c r="V2516" s="161" t="str" cm="1">
        <f t="array" ref="V2516">_xlfn.IFS(C2516="","",COUNTIF(C2516,"ตำแหน่งว่าง*"),"ว่าง",COUNTIF(C2516,"&lt;&gt;ตำแหน่งว่าง*"),"คนครอง")</f>
        <v>คนครอง</v>
      </c>
      <c r="W2516" s="6" cm="1">
        <f t="array" ref="W2516">_xlfn.IFS(COUNTIF(F2516,"ผบ.หมู่*"),51,COUNTIF(F2516,"รอง สว.*"),43)</f>
        <v>51</v>
      </c>
      <c r="X2516" s="1" t="s">
        <v>7501</v>
      </c>
      <c r="Y2516" s="1" t="s">
        <v>52</v>
      </c>
    </row>
    <row r="2517" spans="1:25" s="10" customFormat="1" ht="21.3" customHeight="1">
      <c r="A2517" s="27" t="s">
        <v>612</v>
      </c>
      <c r="B2517" s="28" t="s">
        <v>12</v>
      </c>
      <c r="C2517" s="27" t="s">
        <v>7258</v>
      </c>
      <c r="D2517" s="27" t="s">
        <v>10552</v>
      </c>
      <c r="E2517" s="27" t="s">
        <v>10553</v>
      </c>
      <c r="F2517" s="27" t="s">
        <v>7500</v>
      </c>
      <c r="G2517" s="101" t="s">
        <v>7506</v>
      </c>
      <c r="H2517" s="75">
        <v>45768</v>
      </c>
      <c r="I2517" s="82">
        <v>41944</v>
      </c>
      <c r="J2517" s="82">
        <v>41944</v>
      </c>
      <c r="K2517" s="82">
        <v>33053</v>
      </c>
      <c r="L2517" s="58" t="s">
        <v>7261</v>
      </c>
      <c r="M2517" s="56" t="s">
        <v>145</v>
      </c>
      <c r="N2517" s="112" t="s">
        <v>14</v>
      </c>
      <c r="O2517" s="104" t="s">
        <v>52</v>
      </c>
      <c r="P2517" s="104" t="s">
        <v>52</v>
      </c>
      <c r="Q2517" s="105"/>
      <c r="R2517" s="28" t="s">
        <v>10805</v>
      </c>
      <c r="S2517" s="225">
        <f t="shared" si="41"/>
        <v>55062</v>
      </c>
      <c r="T2517" s="7" t="s">
        <v>7674</v>
      </c>
      <c r="U2517" s="2" t="s">
        <v>146</v>
      </c>
      <c r="V2517" s="161" t="str" cm="1">
        <f t="array" ref="V2517">_xlfn.IFS(C2517="","",COUNTIF(C2517,"ตำแหน่งว่าง*"),"ว่าง",COUNTIF(C2517,"&lt;&gt;ตำแหน่งว่าง*"),"คนครอง")</f>
        <v>คนครอง</v>
      </c>
      <c r="W2517" s="6" cm="1">
        <f t="array" ref="W2517">_xlfn.IFS(COUNTIF(F2517,"ผบ.หมู่*"),51,COUNTIF(F2517,"รอง สว.*"),43)</f>
        <v>51</v>
      </c>
      <c r="X2517" s="28" t="s">
        <v>7505</v>
      </c>
      <c r="Y2517" s="28" t="s">
        <v>52</v>
      </c>
    </row>
    <row r="2518" spans="1:25" s="9" customFormat="1" ht="21.3" customHeight="1">
      <c r="A2518" s="27" t="s">
        <v>157</v>
      </c>
      <c r="B2518" s="28" t="s">
        <v>12</v>
      </c>
      <c r="C2518" s="27" t="s">
        <v>7507</v>
      </c>
      <c r="D2518" s="27" t="s">
        <v>10652</v>
      </c>
      <c r="E2518" s="27" t="s">
        <v>10653</v>
      </c>
      <c r="F2518" s="27" t="s">
        <v>7500</v>
      </c>
      <c r="G2518" s="101" t="s">
        <v>7509</v>
      </c>
      <c r="H2518" s="91">
        <v>42501</v>
      </c>
      <c r="I2518" s="73">
        <v>39479</v>
      </c>
      <c r="J2518" s="73">
        <v>39479</v>
      </c>
      <c r="K2518" s="73">
        <v>30826</v>
      </c>
      <c r="L2518" s="11" t="s">
        <v>82</v>
      </c>
      <c r="M2518" s="1" t="s">
        <v>58</v>
      </c>
      <c r="N2518" s="112" t="s">
        <v>14</v>
      </c>
      <c r="O2518" s="104" t="s">
        <v>52</v>
      </c>
      <c r="P2518" s="104" t="s">
        <v>52</v>
      </c>
      <c r="Q2518" s="105"/>
      <c r="R2518" s="28" t="s">
        <v>110</v>
      </c>
      <c r="S2518" s="225">
        <f t="shared" si="41"/>
        <v>52871</v>
      </c>
      <c r="T2518" s="2" t="s">
        <v>7674</v>
      </c>
      <c r="U2518" s="2" t="s">
        <v>146</v>
      </c>
      <c r="V2518" s="161" t="str" cm="1">
        <f t="array" ref="V2518">_xlfn.IFS(C2518="","",COUNTIF(C2518,"ตำแหน่งว่าง*"),"ว่าง",COUNTIF(C2518,"&lt;&gt;ตำแหน่งว่าง*"),"คนครอง")</f>
        <v>คนครอง</v>
      </c>
      <c r="W2518" s="6" cm="1">
        <f t="array" ref="W2518">_xlfn.IFS(COUNTIF(F2518,"ผบ.หมู่*"),51,COUNTIF(F2518,"รอง สว.*"),43)</f>
        <v>51</v>
      </c>
      <c r="X2518" s="1" t="s">
        <v>7508</v>
      </c>
      <c r="Y2518" s="1" t="s">
        <v>52</v>
      </c>
    </row>
    <row r="2519" spans="1:25" s="9" customFormat="1" ht="21.3" customHeight="1">
      <c r="A2519" s="27"/>
      <c r="B2519" s="28"/>
      <c r="C2519" s="95" t="s">
        <v>18</v>
      </c>
      <c r="D2519" s="27"/>
      <c r="E2519" s="27"/>
      <c r="F2519" s="27" t="s">
        <v>7500</v>
      </c>
      <c r="G2519" s="101" t="s">
        <v>7511</v>
      </c>
      <c r="H2519" s="75"/>
      <c r="I2519" s="73"/>
      <c r="J2519" s="73"/>
      <c r="K2519" s="73"/>
      <c r="L2519" s="11"/>
      <c r="M2519" s="1"/>
      <c r="N2519" s="112" t="s">
        <v>14</v>
      </c>
      <c r="O2519" s="104" t="s">
        <v>52</v>
      </c>
      <c r="P2519" s="104" t="s">
        <v>52</v>
      </c>
      <c r="Q2519" s="105"/>
      <c r="R2519" s="28"/>
      <c r="S2519" s="225" t="str">
        <f t="shared" si="41"/>
        <v/>
      </c>
      <c r="T2519" s="2" t="s">
        <v>7674</v>
      </c>
      <c r="U2519" s="2" t="s">
        <v>146</v>
      </c>
      <c r="V2519" s="161" t="str" cm="1">
        <f t="array" ref="V2519">_xlfn.IFS(C2519="","",COUNTIF(C2519,"ตำแหน่งว่าง*"),"ว่าง",COUNTIF(C2519,"&lt;&gt;ตำแหน่งว่าง*"),"คนครอง")</f>
        <v>ว่าง</v>
      </c>
      <c r="W2519" s="5" cm="1">
        <f t="array" ref="W2519">_xlfn.IFS(COUNTIF(F2519,"ผบ.หมู่*"),51,COUNTIF(F2519,"รอง สว.*"),43)</f>
        <v>51</v>
      </c>
      <c r="X2519" s="1" t="s">
        <v>7510</v>
      </c>
      <c r="Y2519" s="1" t="s">
        <v>52</v>
      </c>
    </row>
    <row r="2520" spans="1:25" s="9" customFormat="1" ht="21.3" customHeight="1">
      <c r="A2520" s="27" t="s">
        <v>157</v>
      </c>
      <c r="B2520" s="28" t="s">
        <v>12</v>
      </c>
      <c r="C2520" s="27" t="s">
        <v>7512</v>
      </c>
      <c r="D2520" s="27" t="s">
        <v>10654</v>
      </c>
      <c r="E2520" s="27" t="s">
        <v>10655</v>
      </c>
      <c r="F2520" s="27" t="s">
        <v>7500</v>
      </c>
      <c r="G2520" s="101" t="s">
        <v>7514</v>
      </c>
      <c r="H2520" s="91">
        <v>44999</v>
      </c>
      <c r="I2520" s="73">
        <v>39479</v>
      </c>
      <c r="J2520" s="73">
        <v>39479</v>
      </c>
      <c r="K2520" s="73">
        <v>28967</v>
      </c>
      <c r="L2520" s="11" t="s">
        <v>112</v>
      </c>
      <c r="M2520" s="1" t="s">
        <v>58</v>
      </c>
      <c r="N2520" s="112" t="s">
        <v>14</v>
      </c>
      <c r="O2520" s="104" t="s">
        <v>52</v>
      </c>
      <c r="P2520" s="104" t="s">
        <v>52</v>
      </c>
      <c r="Q2520" s="105"/>
      <c r="R2520" s="28" t="s">
        <v>74</v>
      </c>
      <c r="S2520" s="225">
        <f t="shared" ref="S2520:S2549" si="42">IF(K2520&lt;&gt;"",DATE(YEAR(K2520)+60+(K2520&gt;=DATE(YEAR(K2520),10,2)),10,1),"")</f>
        <v>51044</v>
      </c>
      <c r="T2520" s="2" t="s">
        <v>7674</v>
      </c>
      <c r="U2520" s="2" t="s">
        <v>146</v>
      </c>
      <c r="V2520" s="161" t="str" cm="1">
        <f t="array" ref="V2520">_xlfn.IFS(C2520="","",COUNTIF(C2520,"ตำแหน่งว่าง*"),"ว่าง",COUNTIF(C2520,"&lt;&gt;ตำแหน่งว่าง*"),"คนครอง")</f>
        <v>คนครอง</v>
      </c>
      <c r="W2520" s="6" cm="1">
        <f t="array" ref="W2520">_xlfn.IFS(COUNTIF(F2520,"ผบ.หมู่*"),51,COUNTIF(F2520,"รอง สว.*"),43)</f>
        <v>51</v>
      </c>
      <c r="X2520" s="1" t="s">
        <v>7513</v>
      </c>
      <c r="Y2520" s="1" t="s">
        <v>52</v>
      </c>
    </row>
    <row r="2521" spans="1:25" s="9" customFormat="1" ht="21.3" customHeight="1">
      <c r="A2521" s="27" t="s">
        <v>157</v>
      </c>
      <c r="B2521" s="28" t="s">
        <v>12</v>
      </c>
      <c r="C2521" s="27" t="s">
        <v>7515</v>
      </c>
      <c r="D2521" s="27" t="s">
        <v>10656</v>
      </c>
      <c r="E2521" s="27" t="s">
        <v>10657</v>
      </c>
      <c r="F2521" s="27" t="s">
        <v>7500</v>
      </c>
      <c r="G2521" s="101" t="s">
        <v>7517</v>
      </c>
      <c r="H2521" s="91">
        <v>43656</v>
      </c>
      <c r="I2521" s="73">
        <v>39479</v>
      </c>
      <c r="J2521" s="73">
        <v>39479</v>
      </c>
      <c r="K2521" s="73">
        <v>29997</v>
      </c>
      <c r="L2521" s="11" t="s">
        <v>82</v>
      </c>
      <c r="M2521" s="1" t="s">
        <v>93</v>
      </c>
      <c r="N2521" s="112" t="s">
        <v>14</v>
      </c>
      <c r="O2521" s="104" t="s">
        <v>52</v>
      </c>
      <c r="P2521" s="104" t="s">
        <v>52</v>
      </c>
      <c r="Q2521" s="105"/>
      <c r="R2521" s="28" t="s">
        <v>2794</v>
      </c>
      <c r="S2521" s="225">
        <f t="shared" si="42"/>
        <v>52140</v>
      </c>
      <c r="T2521" s="2" t="s">
        <v>7674</v>
      </c>
      <c r="U2521" s="2" t="s">
        <v>146</v>
      </c>
      <c r="V2521" s="161" t="str" cm="1">
        <f t="array" ref="V2521">_xlfn.IFS(C2521="","",COUNTIF(C2521,"ตำแหน่งว่าง*"),"ว่าง",COUNTIF(C2521,"&lt;&gt;ตำแหน่งว่าง*"),"คนครอง")</f>
        <v>คนครอง</v>
      </c>
      <c r="W2521" s="6" cm="1">
        <f t="array" ref="W2521">_xlfn.IFS(COUNTIF(F2521,"ผบ.หมู่*"),51,COUNTIF(F2521,"รอง สว.*"),43)</f>
        <v>51</v>
      </c>
      <c r="X2521" s="1" t="s">
        <v>7516</v>
      </c>
      <c r="Y2521" s="1" t="s">
        <v>52</v>
      </c>
    </row>
    <row r="2522" spans="1:25" s="12" customFormat="1" ht="21.3" customHeight="1">
      <c r="A2522" s="27" t="s">
        <v>157</v>
      </c>
      <c r="B2522" s="28" t="s">
        <v>21</v>
      </c>
      <c r="C2522" s="95" t="s">
        <v>7518</v>
      </c>
      <c r="D2522" s="27" t="s">
        <v>10658</v>
      </c>
      <c r="E2522" s="27" t="s">
        <v>10659</v>
      </c>
      <c r="F2522" s="95" t="s">
        <v>7500</v>
      </c>
      <c r="G2522" s="101" t="s">
        <v>7520</v>
      </c>
      <c r="H2522" s="75">
        <v>42501</v>
      </c>
      <c r="I2522" s="73">
        <v>39717</v>
      </c>
      <c r="J2522" s="73">
        <v>39717</v>
      </c>
      <c r="K2522" s="73">
        <v>29958</v>
      </c>
      <c r="L2522" s="11" t="s">
        <v>7521</v>
      </c>
      <c r="M2522" s="1" t="s">
        <v>58</v>
      </c>
      <c r="N2522" s="111" t="s">
        <v>14</v>
      </c>
      <c r="O2522" s="104" t="s">
        <v>52</v>
      </c>
      <c r="P2522" s="104" t="s">
        <v>52</v>
      </c>
      <c r="Q2522" s="105"/>
      <c r="R2522" s="28" t="s">
        <v>110</v>
      </c>
      <c r="S2522" s="225">
        <f t="shared" si="42"/>
        <v>52140</v>
      </c>
      <c r="T2522" s="162" t="s">
        <v>7674</v>
      </c>
      <c r="U2522" s="2" t="s">
        <v>146</v>
      </c>
      <c r="V2522" s="161" t="str" cm="1">
        <f t="array" ref="V2522">_xlfn.IFS(C2522="","",COUNTIF(C2522,"ตำแหน่งว่าง*"),"ว่าง",COUNTIF(C2522,"&lt;&gt;ตำแหน่งว่าง*"),"คนครอง")</f>
        <v>คนครอง</v>
      </c>
      <c r="W2522" s="6" cm="1">
        <f t="array" ref="W2522">_xlfn.IFS(COUNTIF(F2522,"ผบ.หมู่*"),51,COUNTIF(F2522,"รอง สว.*"),43)</f>
        <v>51</v>
      </c>
      <c r="X2522" s="5" t="s">
        <v>7519</v>
      </c>
      <c r="Y2522" s="5" t="s">
        <v>52</v>
      </c>
    </row>
    <row r="2523" spans="1:25" s="12" customFormat="1" ht="21.3" customHeight="1">
      <c r="A2523" s="27"/>
      <c r="B2523" s="28"/>
      <c r="C2523" s="28" t="s">
        <v>18</v>
      </c>
      <c r="D2523" s="27"/>
      <c r="E2523" s="27"/>
      <c r="F2523" s="27" t="s">
        <v>7500</v>
      </c>
      <c r="G2523" s="101" t="s">
        <v>7523</v>
      </c>
      <c r="H2523" s="75"/>
      <c r="I2523" s="73"/>
      <c r="J2523" s="73"/>
      <c r="K2523" s="73"/>
      <c r="L2523" s="11"/>
      <c r="M2523" s="1"/>
      <c r="N2523" s="112" t="s">
        <v>14</v>
      </c>
      <c r="O2523" s="104" t="s">
        <v>52</v>
      </c>
      <c r="P2523" s="104" t="s">
        <v>52</v>
      </c>
      <c r="Q2523" s="105"/>
      <c r="R2523" s="28"/>
      <c r="S2523" s="174" t="str">
        <f t="shared" si="42"/>
        <v/>
      </c>
      <c r="T2523" s="2" t="s">
        <v>7674</v>
      </c>
      <c r="U2523" s="2" t="s">
        <v>146</v>
      </c>
      <c r="V2523" s="212" t="str" cm="1">
        <f t="array" ref="V2523">_xlfn.IFS(C2523="","",COUNTIF(C2523,"ตำแหน่งว่าง*"),"ว่าง",COUNTIF(C2523,"&lt;&gt;ตำแหน่งว่าง*"),"คนครอง")</f>
        <v>ว่าง</v>
      </c>
      <c r="W2523" s="1" cm="1">
        <f t="array" ref="W2523">_xlfn.IFS(COUNTIF(F2523,"ผบ.หมู่*"),51,COUNTIF(F2523,"รอง สว.*"),43)</f>
        <v>51</v>
      </c>
      <c r="X2523" s="1" t="s">
        <v>7522</v>
      </c>
      <c r="Y2523" s="1" t="s">
        <v>52</v>
      </c>
    </row>
    <row r="2524" spans="1:25" s="12" customFormat="1" ht="21.3" customHeight="1">
      <c r="A2524" s="27" t="s">
        <v>157</v>
      </c>
      <c r="B2524" s="28" t="s">
        <v>12</v>
      </c>
      <c r="C2524" s="95" t="s">
        <v>7524</v>
      </c>
      <c r="D2524" s="27" t="s">
        <v>10660</v>
      </c>
      <c r="E2524" s="27" t="s">
        <v>10661</v>
      </c>
      <c r="F2524" s="95" t="s">
        <v>7500</v>
      </c>
      <c r="G2524" s="101" t="s">
        <v>7526</v>
      </c>
      <c r="H2524" s="75">
        <v>42604</v>
      </c>
      <c r="I2524" s="73">
        <v>41214</v>
      </c>
      <c r="J2524" s="73">
        <v>41214</v>
      </c>
      <c r="K2524" s="73">
        <v>34404</v>
      </c>
      <c r="L2524" s="11" t="s">
        <v>82</v>
      </c>
      <c r="M2524" s="1" t="s">
        <v>33</v>
      </c>
      <c r="N2524" s="111" t="s">
        <v>14</v>
      </c>
      <c r="O2524" s="104" t="s">
        <v>52</v>
      </c>
      <c r="P2524" s="104" t="s">
        <v>52</v>
      </c>
      <c r="Q2524" s="105"/>
      <c r="R2524" s="28" t="s">
        <v>6746</v>
      </c>
      <c r="S2524" s="225">
        <f t="shared" si="42"/>
        <v>56523</v>
      </c>
      <c r="T2524" s="162" t="s">
        <v>7674</v>
      </c>
      <c r="U2524" s="2" t="s">
        <v>146</v>
      </c>
      <c r="V2524" s="161" t="str" cm="1">
        <f t="array" ref="V2524">_xlfn.IFS(C2524="","",COUNTIF(C2524,"ตำแหน่งว่าง*"),"ว่าง",COUNTIF(C2524,"&lt;&gt;ตำแหน่งว่าง*"),"คนครอง")</f>
        <v>คนครอง</v>
      </c>
      <c r="W2524" s="6" cm="1">
        <f t="array" ref="W2524">_xlfn.IFS(COUNTIF(F2524,"ผบ.หมู่*"),51,COUNTIF(F2524,"รอง สว.*"),43)</f>
        <v>51</v>
      </c>
      <c r="X2524" s="5" t="s">
        <v>7525</v>
      </c>
      <c r="Y2524" s="5" t="s">
        <v>52</v>
      </c>
    </row>
    <row r="2525" spans="1:25" s="12" customFormat="1" ht="21.3" customHeight="1">
      <c r="A2525" s="27" t="s">
        <v>157</v>
      </c>
      <c r="B2525" s="28" t="s">
        <v>21</v>
      </c>
      <c r="C2525" s="95" t="s">
        <v>7527</v>
      </c>
      <c r="D2525" s="27" t="s">
        <v>8064</v>
      </c>
      <c r="E2525" s="27" t="s">
        <v>8036</v>
      </c>
      <c r="F2525" s="95" t="s">
        <v>7500</v>
      </c>
      <c r="G2525" s="101" t="s">
        <v>7529</v>
      </c>
      <c r="H2525" s="75">
        <v>44243</v>
      </c>
      <c r="I2525" s="73">
        <v>40084</v>
      </c>
      <c r="J2525" s="73">
        <v>40084</v>
      </c>
      <c r="K2525" s="73">
        <v>28480</v>
      </c>
      <c r="L2525" s="11" t="s">
        <v>7530</v>
      </c>
      <c r="M2525" s="1" t="s">
        <v>16</v>
      </c>
      <c r="N2525" s="111" t="s">
        <v>14</v>
      </c>
      <c r="O2525" s="104" t="s">
        <v>52</v>
      </c>
      <c r="P2525" s="104" t="s">
        <v>52</v>
      </c>
      <c r="Q2525" s="108"/>
      <c r="R2525" s="31" t="s">
        <v>617</v>
      </c>
      <c r="S2525" s="225">
        <f t="shared" si="42"/>
        <v>50679</v>
      </c>
      <c r="T2525" s="162" t="s">
        <v>7674</v>
      </c>
      <c r="U2525" s="2" t="s">
        <v>146</v>
      </c>
      <c r="V2525" s="161" t="str" cm="1">
        <f t="array" ref="V2525">_xlfn.IFS(C2525="","",COUNTIF(C2525,"ตำแหน่งว่าง*"),"ว่าง",COUNTIF(C2525,"&lt;&gt;ตำแหน่งว่าง*"),"คนครอง")</f>
        <v>คนครอง</v>
      </c>
      <c r="W2525" s="6" cm="1">
        <f t="array" ref="W2525">_xlfn.IFS(COUNTIF(F2525,"ผบ.หมู่*"),51,COUNTIF(F2525,"รอง สว.*"),43)</f>
        <v>51</v>
      </c>
      <c r="X2525" s="5" t="s">
        <v>7528</v>
      </c>
      <c r="Y2525" s="5" t="s">
        <v>52</v>
      </c>
    </row>
    <row r="2526" spans="1:25" s="12" customFormat="1" ht="21.3" customHeight="1">
      <c r="A2526" s="27" t="s">
        <v>157</v>
      </c>
      <c r="B2526" s="28" t="s">
        <v>12</v>
      </c>
      <c r="C2526" s="95" t="s">
        <v>7531</v>
      </c>
      <c r="D2526" s="27" t="s">
        <v>10662</v>
      </c>
      <c r="E2526" s="27" t="s">
        <v>10663</v>
      </c>
      <c r="F2526" s="95" t="s">
        <v>7500</v>
      </c>
      <c r="G2526" s="101" t="s">
        <v>7533</v>
      </c>
      <c r="H2526" s="75">
        <v>44599</v>
      </c>
      <c r="I2526" s="73">
        <v>39479</v>
      </c>
      <c r="J2526" s="73">
        <v>39479</v>
      </c>
      <c r="K2526" s="73">
        <v>32101</v>
      </c>
      <c r="L2526" s="11" t="s">
        <v>7470</v>
      </c>
      <c r="M2526" s="1" t="s">
        <v>33</v>
      </c>
      <c r="N2526" s="111" t="s">
        <v>14</v>
      </c>
      <c r="O2526" s="104" t="s">
        <v>52</v>
      </c>
      <c r="P2526" s="104" t="s">
        <v>52</v>
      </c>
      <c r="Q2526" s="105"/>
      <c r="R2526" s="28" t="s">
        <v>607</v>
      </c>
      <c r="S2526" s="225">
        <f t="shared" si="42"/>
        <v>54332</v>
      </c>
      <c r="T2526" s="162" t="s">
        <v>7674</v>
      </c>
      <c r="U2526" s="2" t="s">
        <v>146</v>
      </c>
      <c r="V2526" s="161" t="str" cm="1">
        <f t="array" ref="V2526">_xlfn.IFS(C2526="","",COUNTIF(C2526,"ตำแหน่งว่าง*"),"ว่าง",COUNTIF(C2526,"&lt;&gt;ตำแหน่งว่าง*"),"คนครอง")</f>
        <v>คนครอง</v>
      </c>
      <c r="W2526" s="6" cm="1">
        <f t="array" ref="W2526">_xlfn.IFS(COUNTIF(F2526,"ผบ.หมู่*"),51,COUNTIF(F2526,"รอง สว.*"),43)</f>
        <v>51</v>
      </c>
      <c r="X2526" s="5" t="s">
        <v>7532</v>
      </c>
      <c r="Y2526" s="5" t="s">
        <v>52</v>
      </c>
    </row>
    <row r="2527" spans="1:25" s="9" customFormat="1" ht="21.3" customHeight="1">
      <c r="A2527" s="27" t="s">
        <v>157</v>
      </c>
      <c r="B2527" s="28" t="s">
        <v>12</v>
      </c>
      <c r="C2527" s="27" t="s">
        <v>7534</v>
      </c>
      <c r="D2527" s="27" t="s">
        <v>8264</v>
      </c>
      <c r="E2527" s="27" t="s">
        <v>10664</v>
      </c>
      <c r="F2527" s="27" t="s">
        <v>7500</v>
      </c>
      <c r="G2527" s="101" t="s">
        <v>7536</v>
      </c>
      <c r="H2527" s="91">
        <v>43656</v>
      </c>
      <c r="I2527" s="73">
        <v>41214</v>
      </c>
      <c r="J2527" s="73">
        <v>41214</v>
      </c>
      <c r="K2527" s="73">
        <v>32687</v>
      </c>
      <c r="L2527" s="11" t="s">
        <v>82</v>
      </c>
      <c r="M2527" s="1" t="s">
        <v>33</v>
      </c>
      <c r="N2527" s="112" t="s">
        <v>14</v>
      </c>
      <c r="O2527" s="104" t="s">
        <v>52</v>
      </c>
      <c r="P2527" s="104" t="s">
        <v>52</v>
      </c>
      <c r="Q2527" s="105"/>
      <c r="R2527" s="28" t="s">
        <v>2794</v>
      </c>
      <c r="S2527" s="225">
        <f t="shared" si="42"/>
        <v>54697</v>
      </c>
      <c r="T2527" s="2" t="s">
        <v>7674</v>
      </c>
      <c r="U2527" s="2" t="s">
        <v>146</v>
      </c>
      <c r="V2527" s="161" t="str" cm="1">
        <f t="array" ref="V2527">_xlfn.IFS(C2527="","",COUNTIF(C2527,"ตำแหน่งว่าง*"),"ว่าง",COUNTIF(C2527,"&lt;&gt;ตำแหน่งว่าง*"),"คนครอง")</f>
        <v>คนครอง</v>
      </c>
      <c r="W2527" s="6" cm="1">
        <f t="array" ref="W2527">_xlfn.IFS(COUNTIF(F2527,"ผบ.หมู่*"),51,COUNTIF(F2527,"รอง สว.*"),43)</f>
        <v>51</v>
      </c>
      <c r="X2527" s="1" t="s">
        <v>7535</v>
      </c>
      <c r="Y2527" s="1" t="s">
        <v>52</v>
      </c>
    </row>
    <row r="2528" spans="1:25" s="9" customFormat="1" ht="21.3" customHeight="1">
      <c r="A2528" s="27" t="s">
        <v>157</v>
      </c>
      <c r="B2528" s="28" t="s">
        <v>12</v>
      </c>
      <c r="C2528" s="27" t="s">
        <v>7537</v>
      </c>
      <c r="D2528" s="27" t="s">
        <v>10665</v>
      </c>
      <c r="E2528" s="27" t="s">
        <v>10666</v>
      </c>
      <c r="F2528" s="27" t="s">
        <v>7500</v>
      </c>
      <c r="G2528" s="101" t="s">
        <v>7539</v>
      </c>
      <c r="H2528" s="91">
        <v>43871</v>
      </c>
      <c r="I2528" s="73">
        <v>41244</v>
      </c>
      <c r="J2528" s="73">
        <v>41244</v>
      </c>
      <c r="K2528" s="73">
        <v>31434</v>
      </c>
      <c r="L2528" s="11" t="s">
        <v>82</v>
      </c>
      <c r="M2528" s="1" t="s">
        <v>57</v>
      </c>
      <c r="N2528" s="112" t="s">
        <v>14</v>
      </c>
      <c r="O2528" s="104" t="s">
        <v>52</v>
      </c>
      <c r="P2528" s="104" t="s">
        <v>52</v>
      </c>
      <c r="Q2528" s="105"/>
      <c r="R2528" s="28" t="s">
        <v>688</v>
      </c>
      <c r="S2528" s="225">
        <f t="shared" si="42"/>
        <v>53601</v>
      </c>
      <c r="T2528" s="2" t="s">
        <v>7674</v>
      </c>
      <c r="U2528" s="2" t="s">
        <v>146</v>
      </c>
      <c r="V2528" s="161" t="str" cm="1">
        <f t="array" ref="V2528">_xlfn.IFS(C2528="","",COUNTIF(C2528,"ตำแหน่งว่าง*"),"ว่าง",COUNTIF(C2528,"&lt;&gt;ตำแหน่งว่าง*"),"คนครอง")</f>
        <v>คนครอง</v>
      </c>
      <c r="W2528" s="6" cm="1">
        <f t="array" ref="W2528">_xlfn.IFS(COUNTIF(F2528,"ผบ.หมู่*"),51,COUNTIF(F2528,"รอง สว.*"),43)</f>
        <v>51</v>
      </c>
      <c r="X2528" s="1" t="s">
        <v>7538</v>
      </c>
      <c r="Y2528" s="1" t="s">
        <v>52</v>
      </c>
    </row>
    <row r="2529" spans="1:25" s="9" customFormat="1" ht="21.3" customHeight="1">
      <c r="A2529" s="27" t="s">
        <v>157</v>
      </c>
      <c r="B2529" s="28" t="s">
        <v>12</v>
      </c>
      <c r="C2529" s="27" t="s">
        <v>7540</v>
      </c>
      <c r="D2529" s="27" t="s">
        <v>8178</v>
      </c>
      <c r="E2529" s="27" t="s">
        <v>10667</v>
      </c>
      <c r="F2529" s="27" t="s">
        <v>7500</v>
      </c>
      <c r="G2529" s="101" t="s">
        <v>7542</v>
      </c>
      <c r="H2529" s="91">
        <v>43235</v>
      </c>
      <c r="I2529" s="73">
        <v>39479</v>
      </c>
      <c r="J2529" s="73">
        <v>39479</v>
      </c>
      <c r="K2529" s="73">
        <v>31825</v>
      </c>
      <c r="L2529" s="11" t="s">
        <v>82</v>
      </c>
      <c r="M2529" s="1" t="s">
        <v>47</v>
      </c>
      <c r="N2529" s="112" t="s">
        <v>14</v>
      </c>
      <c r="O2529" s="104" t="s">
        <v>52</v>
      </c>
      <c r="P2529" s="104" t="s">
        <v>52</v>
      </c>
      <c r="Q2529" s="105"/>
      <c r="R2529" s="28" t="s">
        <v>4204</v>
      </c>
      <c r="S2529" s="225">
        <f t="shared" si="42"/>
        <v>53966</v>
      </c>
      <c r="T2529" s="2" t="s">
        <v>7674</v>
      </c>
      <c r="U2529" s="2" t="s">
        <v>146</v>
      </c>
      <c r="V2529" s="161" t="str" cm="1">
        <f t="array" ref="V2529">_xlfn.IFS(C2529="","",COUNTIF(C2529,"ตำแหน่งว่าง*"),"ว่าง",COUNTIF(C2529,"&lt;&gt;ตำแหน่งว่าง*"),"คนครอง")</f>
        <v>คนครอง</v>
      </c>
      <c r="W2529" s="6" cm="1">
        <f t="array" ref="W2529">_xlfn.IFS(COUNTIF(F2529,"ผบ.หมู่*"),51,COUNTIF(F2529,"รอง สว.*"),43)</f>
        <v>51</v>
      </c>
      <c r="X2529" s="1" t="s">
        <v>7541</v>
      </c>
      <c r="Y2529" s="1" t="s">
        <v>52</v>
      </c>
    </row>
    <row r="2530" spans="1:25" s="12" customFormat="1" ht="21.3" customHeight="1">
      <c r="A2530" s="27" t="s">
        <v>157</v>
      </c>
      <c r="B2530" s="28" t="s">
        <v>21</v>
      </c>
      <c r="C2530" s="95" t="s">
        <v>7543</v>
      </c>
      <c r="D2530" s="27" t="s">
        <v>8031</v>
      </c>
      <c r="E2530" s="27" t="s">
        <v>10668</v>
      </c>
      <c r="F2530" s="95" t="s">
        <v>7500</v>
      </c>
      <c r="G2530" s="101" t="s">
        <v>7545</v>
      </c>
      <c r="H2530" s="75">
        <v>42501</v>
      </c>
      <c r="I2530" s="73">
        <v>39717</v>
      </c>
      <c r="J2530" s="73">
        <v>39717</v>
      </c>
      <c r="K2530" s="73">
        <v>30390</v>
      </c>
      <c r="L2530" s="11" t="s">
        <v>7546</v>
      </c>
      <c r="M2530" s="1" t="s">
        <v>58</v>
      </c>
      <c r="N2530" s="111" t="s">
        <v>14</v>
      </c>
      <c r="O2530" s="104" t="s">
        <v>52</v>
      </c>
      <c r="P2530" s="104" t="s">
        <v>52</v>
      </c>
      <c r="Q2530" s="105"/>
      <c r="R2530" s="28" t="s">
        <v>110</v>
      </c>
      <c r="S2530" s="225">
        <f t="shared" si="42"/>
        <v>52505</v>
      </c>
      <c r="T2530" s="162" t="s">
        <v>7674</v>
      </c>
      <c r="U2530" s="2" t="s">
        <v>146</v>
      </c>
      <c r="V2530" s="161" t="str" cm="1">
        <f t="array" ref="V2530">_xlfn.IFS(C2530="","",COUNTIF(C2530,"ตำแหน่งว่าง*"),"ว่าง",COUNTIF(C2530,"&lt;&gt;ตำแหน่งว่าง*"),"คนครอง")</f>
        <v>คนครอง</v>
      </c>
      <c r="W2530" s="6" cm="1">
        <f t="array" ref="W2530">_xlfn.IFS(COUNTIF(F2530,"ผบ.หมู่*"),51,COUNTIF(F2530,"รอง สว.*"),43)</f>
        <v>51</v>
      </c>
      <c r="X2530" s="5" t="s">
        <v>7544</v>
      </c>
      <c r="Y2530" s="5" t="s">
        <v>52</v>
      </c>
    </row>
    <row r="2531" spans="1:25" s="12" customFormat="1" ht="21.3" customHeight="1">
      <c r="A2531" s="27" t="s">
        <v>157</v>
      </c>
      <c r="B2531" s="28" t="s">
        <v>12</v>
      </c>
      <c r="C2531" s="95" t="s">
        <v>7547</v>
      </c>
      <c r="D2531" s="27" t="s">
        <v>9907</v>
      </c>
      <c r="E2531" s="27" t="s">
        <v>10669</v>
      </c>
      <c r="F2531" s="95" t="s">
        <v>7500</v>
      </c>
      <c r="G2531" s="101" t="s">
        <v>7549</v>
      </c>
      <c r="H2531" s="75">
        <v>42501</v>
      </c>
      <c r="I2531" s="73">
        <v>39479</v>
      </c>
      <c r="J2531" s="73">
        <v>39479</v>
      </c>
      <c r="K2531" s="73">
        <v>29259</v>
      </c>
      <c r="L2531" s="11" t="s">
        <v>7550</v>
      </c>
      <c r="M2531" s="1" t="s">
        <v>58</v>
      </c>
      <c r="N2531" s="111" t="s">
        <v>14</v>
      </c>
      <c r="O2531" s="104" t="s">
        <v>52</v>
      </c>
      <c r="P2531" s="104" t="s">
        <v>52</v>
      </c>
      <c r="Q2531" s="105"/>
      <c r="R2531" s="28" t="s">
        <v>110</v>
      </c>
      <c r="S2531" s="225">
        <f t="shared" si="42"/>
        <v>51410</v>
      </c>
      <c r="T2531" s="162" t="s">
        <v>7674</v>
      </c>
      <c r="U2531" s="2" t="s">
        <v>146</v>
      </c>
      <c r="V2531" s="161" t="str" cm="1">
        <f t="array" ref="V2531">_xlfn.IFS(C2531="","",COUNTIF(C2531,"ตำแหน่งว่าง*"),"ว่าง",COUNTIF(C2531,"&lt;&gt;ตำแหน่งว่าง*"),"คนครอง")</f>
        <v>คนครอง</v>
      </c>
      <c r="W2531" s="6" cm="1">
        <f t="array" ref="W2531">_xlfn.IFS(COUNTIF(F2531,"ผบ.หมู่*"),51,COUNTIF(F2531,"รอง สว.*"),43)</f>
        <v>51</v>
      </c>
      <c r="X2531" s="5" t="s">
        <v>7548</v>
      </c>
      <c r="Y2531" s="5" t="s">
        <v>52</v>
      </c>
    </row>
    <row r="2532" spans="1:25" s="9" customFormat="1" ht="21.3" customHeight="1">
      <c r="A2532" s="27" t="s">
        <v>157</v>
      </c>
      <c r="B2532" s="28" t="s">
        <v>12</v>
      </c>
      <c r="C2532" s="27" t="s">
        <v>7551</v>
      </c>
      <c r="D2532" s="27" t="s">
        <v>10670</v>
      </c>
      <c r="E2532" s="27" t="s">
        <v>10671</v>
      </c>
      <c r="F2532" s="27" t="s">
        <v>7500</v>
      </c>
      <c r="G2532" s="101" t="s">
        <v>7553</v>
      </c>
      <c r="H2532" s="91">
        <v>43871</v>
      </c>
      <c r="I2532" s="73">
        <v>41214</v>
      </c>
      <c r="J2532" s="73">
        <v>41214</v>
      </c>
      <c r="K2532" s="73">
        <v>31935</v>
      </c>
      <c r="L2532" s="11" t="s">
        <v>7470</v>
      </c>
      <c r="M2532" s="1" t="s">
        <v>16</v>
      </c>
      <c r="N2532" s="112" t="s">
        <v>14</v>
      </c>
      <c r="O2532" s="104" t="s">
        <v>52</v>
      </c>
      <c r="P2532" s="104" t="s">
        <v>52</v>
      </c>
      <c r="Q2532" s="105"/>
      <c r="R2532" s="28" t="s">
        <v>688</v>
      </c>
      <c r="S2532" s="225">
        <f t="shared" si="42"/>
        <v>53966</v>
      </c>
      <c r="T2532" s="2" t="s">
        <v>7674</v>
      </c>
      <c r="U2532" s="2" t="s">
        <v>146</v>
      </c>
      <c r="V2532" s="161" t="str" cm="1">
        <f t="array" ref="V2532">_xlfn.IFS(C2532="","",COUNTIF(C2532,"ตำแหน่งว่าง*"),"ว่าง",COUNTIF(C2532,"&lt;&gt;ตำแหน่งว่าง*"),"คนครอง")</f>
        <v>คนครอง</v>
      </c>
      <c r="W2532" s="6" cm="1">
        <f t="array" ref="W2532">_xlfn.IFS(COUNTIF(F2532,"ผบ.หมู่*"),51,COUNTIF(F2532,"รอง สว.*"),43)</f>
        <v>51</v>
      </c>
      <c r="X2532" s="1" t="s">
        <v>7552</v>
      </c>
      <c r="Y2532" s="1" t="s">
        <v>52</v>
      </c>
    </row>
    <row r="2533" spans="1:25" s="12" customFormat="1" ht="21.3" customHeight="1">
      <c r="A2533" s="27" t="s">
        <v>157</v>
      </c>
      <c r="B2533" s="28" t="s">
        <v>21</v>
      </c>
      <c r="C2533" s="95" t="s">
        <v>7554</v>
      </c>
      <c r="D2533" s="27" t="s">
        <v>10672</v>
      </c>
      <c r="E2533" s="27" t="s">
        <v>10673</v>
      </c>
      <c r="F2533" s="95" t="s">
        <v>7555</v>
      </c>
      <c r="G2533" s="101" t="s">
        <v>7557</v>
      </c>
      <c r="H2533" s="75">
        <v>42501</v>
      </c>
      <c r="I2533" s="73">
        <v>40084</v>
      </c>
      <c r="J2533" s="73">
        <v>40084</v>
      </c>
      <c r="K2533" s="73">
        <v>29741</v>
      </c>
      <c r="L2533" s="11" t="s">
        <v>6939</v>
      </c>
      <c r="M2533" s="1" t="s">
        <v>96</v>
      </c>
      <c r="N2533" s="111" t="s">
        <v>14</v>
      </c>
      <c r="O2533" s="104" t="s">
        <v>52</v>
      </c>
      <c r="P2533" s="104" t="s">
        <v>52</v>
      </c>
      <c r="Q2533" s="105"/>
      <c r="R2533" s="28" t="s">
        <v>110</v>
      </c>
      <c r="S2533" s="225">
        <f t="shared" si="42"/>
        <v>51775</v>
      </c>
      <c r="T2533" s="162" t="s">
        <v>7675</v>
      </c>
      <c r="U2533" s="2" t="s">
        <v>146</v>
      </c>
      <c r="V2533" s="161" t="str" cm="1">
        <f t="array" ref="V2533">_xlfn.IFS(C2533="","",COUNTIF(C2533,"ตำแหน่งว่าง*"),"ว่าง",COUNTIF(C2533,"&lt;&gt;ตำแหน่งว่าง*"),"คนครอง")</f>
        <v>คนครอง</v>
      </c>
      <c r="W2533" s="6" cm="1">
        <f t="array" ref="W2533">_xlfn.IFS(COUNTIF(F2533,"ผบ.หมู่*"),51,COUNTIF(F2533,"รอง สว.*"),43)</f>
        <v>51</v>
      </c>
      <c r="X2533" s="5" t="s">
        <v>7556</v>
      </c>
      <c r="Y2533" s="5" t="s">
        <v>52</v>
      </c>
    </row>
    <row r="2534" spans="1:25" s="9" customFormat="1" ht="21.3" customHeight="1">
      <c r="A2534" s="27" t="s">
        <v>157</v>
      </c>
      <c r="B2534" s="28" t="s">
        <v>21</v>
      </c>
      <c r="C2534" s="27" t="s">
        <v>7558</v>
      </c>
      <c r="D2534" s="27" t="s">
        <v>10674</v>
      </c>
      <c r="E2534" s="27" t="s">
        <v>10675</v>
      </c>
      <c r="F2534" s="95" t="s">
        <v>7555</v>
      </c>
      <c r="G2534" s="101" t="s">
        <v>7560</v>
      </c>
      <c r="H2534" s="88">
        <v>43656</v>
      </c>
      <c r="I2534" s="73">
        <v>40814</v>
      </c>
      <c r="J2534" s="73">
        <v>40814</v>
      </c>
      <c r="K2534" s="73">
        <v>31513</v>
      </c>
      <c r="L2534" s="11" t="s">
        <v>4997</v>
      </c>
      <c r="M2534" s="1" t="s">
        <v>96</v>
      </c>
      <c r="N2534" s="112" t="s">
        <v>14</v>
      </c>
      <c r="O2534" s="104" t="s">
        <v>52</v>
      </c>
      <c r="P2534" s="104" t="s">
        <v>52</v>
      </c>
      <c r="Q2534" s="105"/>
      <c r="R2534" s="28" t="s">
        <v>67</v>
      </c>
      <c r="S2534" s="225">
        <f t="shared" si="42"/>
        <v>53601</v>
      </c>
      <c r="T2534" s="2" t="s">
        <v>7675</v>
      </c>
      <c r="U2534" s="2" t="s">
        <v>146</v>
      </c>
      <c r="V2534" s="161" t="str" cm="1">
        <f t="array" ref="V2534">_xlfn.IFS(C2534="","",COUNTIF(C2534,"ตำแหน่งว่าง*"),"ว่าง",COUNTIF(C2534,"&lt;&gt;ตำแหน่งว่าง*"),"คนครอง")</f>
        <v>คนครอง</v>
      </c>
      <c r="W2534" s="6" cm="1">
        <f t="array" ref="W2534">_xlfn.IFS(COUNTIF(F2534,"ผบ.หมู่*"),51,COUNTIF(F2534,"รอง สว.*"),43)</f>
        <v>51</v>
      </c>
      <c r="X2534" s="5" t="s">
        <v>7559</v>
      </c>
      <c r="Y2534" s="1" t="s">
        <v>52</v>
      </c>
    </row>
    <row r="2535" spans="1:25" s="12" customFormat="1" ht="21.3" customHeight="1">
      <c r="A2535" s="95" t="s">
        <v>157</v>
      </c>
      <c r="B2535" s="31" t="s">
        <v>21</v>
      </c>
      <c r="C2535" s="95" t="s">
        <v>7561</v>
      </c>
      <c r="D2535" s="27" t="s">
        <v>10676</v>
      </c>
      <c r="E2535" s="27" t="s">
        <v>10677</v>
      </c>
      <c r="F2535" s="95" t="s">
        <v>7555</v>
      </c>
      <c r="G2535" s="101" t="s">
        <v>7563</v>
      </c>
      <c r="H2535" s="88">
        <v>44599</v>
      </c>
      <c r="I2535" s="76">
        <v>40084</v>
      </c>
      <c r="J2535" s="76">
        <v>40084</v>
      </c>
      <c r="K2535" s="76">
        <v>29926</v>
      </c>
      <c r="L2535" s="17" t="s">
        <v>6939</v>
      </c>
      <c r="M2535" s="5" t="s">
        <v>96</v>
      </c>
      <c r="N2535" s="111" t="s">
        <v>14</v>
      </c>
      <c r="O2535" s="104" t="s">
        <v>52</v>
      </c>
      <c r="P2535" s="104" t="s">
        <v>52</v>
      </c>
      <c r="Q2535" s="108"/>
      <c r="R2535" s="31" t="s">
        <v>607</v>
      </c>
      <c r="S2535" s="225">
        <f t="shared" si="42"/>
        <v>52140</v>
      </c>
      <c r="T2535" s="162" t="s">
        <v>7675</v>
      </c>
      <c r="U2535" s="2" t="s">
        <v>146</v>
      </c>
      <c r="V2535" s="161" t="str" cm="1">
        <f t="array" ref="V2535">_xlfn.IFS(C2535="","",COUNTIF(C2535,"ตำแหน่งว่าง*"),"ว่าง",COUNTIF(C2535,"&lt;&gt;ตำแหน่งว่าง*"),"คนครอง")</f>
        <v>คนครอง</v>
      </c>
      <c r="W2535" s="6" cm="1">
        <f t="array" ref="W2535">_xlfn.IFS(COUNTIF(F2535,"ผบ.หมู่*"),51,COUNTIF(F2535,"รอง สว.*"),43)</f>
        <v>51</v>
      </c>
      <c r="X2535" s="5" t="s">
        <v>7562</v>
      </c>
      <c r="Y2535" s="5" t="s">
        <v>52</v>
      </c>
    </row>
    <row r="2536" spans="1:25" s="12" customFormat="1" ht="21.3" customHeight="1">
      <c r="A2536" s="27" t="s">
        <v>157</v>
      </c>
      <c r="B2536" s="28" t="s">
        <v>12</v>
      </c>
      <c r="C2536" s="95" t="s">
        <v>7564</v>
      </c>
      <c r="D2536" s="27" t="s">
        <v>10678</v>
      </c>
      <c r="E2536" s="27" t="s">
        <v>10679</v>
      </c>
      <c r="F2536" s="95" t="s">
        <v>7555</v>
      </c>
      <c r="G2536" s="101" t="s">
        <v>7566</v>
      </c>
      <c r="H2536" s="75">
        <v>42501</v>
      </c>
      <c r="I2536" s="73">
        <v>39717</v>
      </c>
      <c r="J2536" s="73">
        <v>39717</v>
      </c>
      <c r="K2536" s="73">
        <v>27482</v>
      </c>
      <c r="L2536" s="11" t="s">
        <v>31</v>
      </c>
      <c r="M2536" s="1" t="s">
        <v>96</v>
      </c>
      <c r="N2536" s="111" t="s">
        <v>14</v>
      </c>
      <c r="O2536" s="104" t="s">
        <v>52</v>
      </c>
      <c r="P2536" s="104" t="s">
        <v>52</v>
      </c>
      <c r="Q2536" s="105"/>
      <c r="R2536" s="28" t="s">
        <v>110</v>
      </c>
      <c r="S2536" s="225">
        <f t="shared" si="42"/>
        <v>49583</v>
      </c>
      <c r="T2536" s="162" t="s">
        <v>7675</v>
      </c>
      <c r="U2536" s="2" t="s">
        <v>146</v>
      </c>
      <c r="V2536" s="161" t="str" cm="1">
        <f t="array" ref="V2536">_xlfn.IFS(C2536="","",COUNTIF(C2536,"ตำแหน่งว่าง*"),"ว่าง",COUNTIF(C2536,"&lt;&gt;ตำแหน่งว่าง*"),"คนครอง")</f>
        <v>คนครอง</v>
      </c>
      <c r="W2536" s="6" cm="1">
        <f t="array" ref="W2536">_xlfn.IFS(COUNTIF(F2536,"ผบ.หมู่*"),51,COUNTIF(F2536,"รอง สว.*"),43)</f>
        <v>51</v>
      </c>
      <c r="X2536" s="5" t="s">
        <v>7565</v>
      </c>
      <c r="Y2536" s="5" t="s">
        <v>52</v>
      </c>
    </row>
    <row r="2537" spans="1:25" s="12" customFormat="1" ht="21.3" customHeight="1">
      <c r="A2537" s="27"/>
      <c r="B2537" s="31"/>
      <c r="C2537" s="95" t="s">
        <v>18</v>
      </c>
      <c r="D2537" s="27"/>
      <c r="E2537" s="27"/>
      <c r="F2537" s="95" t="s">
        <v>7555</v>
      </c>
      <c r="G2537" s="101" t="s">
        <v>7569</v>
      </c>
      <c r="H2537" s="88"/>
      <c r="I2537" s="76"/>
      <c r="J2537" s="76"/>
      <c r="K2537" s="76"/>
      <c r="L2537" s="17"/>
      <c r="M2537" s="5"/>
      <c r="N2537" s="111" t="s">
        <v>14</v>
      </c>
      <c r="O2537" s="104" t="s">
        <v>52</v>
      </c>
      <c r="P2537" s="104" t="s">
        <v>52</v>
      </c>
      <c r="Q2537" s="108"/>
      <c r="R2537" s="31"/>
      <c r="S2537" s="225" t="str">
        <f t="shared" si="42"/>
        <v/>
      </c>
      <c r="T2537" s="162" t="s">
        <v>7675</v>
      </c>
      <c r="U2537" s="2" t="s">
        <v>146</v>
      </c>
      <c r="V2537" s="161" t="str" cm="1">
        <f t="array" ref="V2537">_xlfn.IFS(C2537="","",COUNTIF(C2537,"ตำแหน่งว่าง*"),"ว่าง",COUNTIF(C2537,"&lt;&gt;ตำแหน่งว่าง*"),"คนครอง")</f>
        <v>ว่าง</v>
      </c>
      <c r="W2537" s="5" cm="1">
        <f t="array" ref="W2537">_xlfn.IFS(COUNTIF(F2537,"ผบ.หมู่*"),51,COUNTIF(F2537,"รอง สว.*"),43)</f>
        <v>51</v>
      </c>
      <c r="X2537" s="5" t="s">
        <v>7568</v>
      </c>
      <c r="Y2537" s="5" t="s">
        <v>52</v>
      </c>
    </row>
    <row r="2538" spans="1:25" s="9" customFormat="1" ht="21.3" customHeight="1">
      <c r="A2538" s="27" t="s">
        <v>30</v>
      </c>
      <c r="B2538" s="28" t="s">
        <v>12</v>
      </c>
      <c r="C2538" s="27" t="s">
        <v>7570</v>
      </c>
      <c r="D2538" s="27" t="s">
        <v>10680</v>
      </c>
      <c r="E2538" s="27" t="s">
        <v>10681</v>
      </c>
      <c r="F2538" s="27" t="s">
        <v>10701</v>
      </c>
      <c r="G2538" s="101" t="s">
        <v>7572</v>
      </c>
      <c r="H2538" s="75">
        <v>43555</v>
      </c>
      <c r="I2538" s="73">
        <v>43555</v>
      </c>
      <c r="J2538" s="73">
        <v>33635</v>
      </c>
      <c r="K2538" s="73">
        <v>24116</v>
      </c>
      <c r="L2538" s="11" t="s">
        <v>7852</v>
      </c>
      <c r="M2538" s="1" t="s">
        <v>96</v>
      </c>
      <c r="N2538" s="112" t="s">
        <v>14</v>
      </c>
      <c r="O2538" s="104" t="s">
        <v>52</v>
      </c>
      <c r="P2538" s="104" t="s">
        <v>52</v>
      </c>
      <c r="Q2538" s="105"/>
      <c r="R2538" s="28" t="s">
        <v>2892</v>
      </c>
      <c r="S2538" s="225">
        <f t="shared" si="42"/>
        <v>46296</v>
      </c>
      <c r="T2538" s="2" t="s">
        <v>7675</v>
      </c>
      <c r="U2538" s="2" t="s">
        <v>146</v>
      </c>
      <c r="V2538" s="161" t="str" cm="1">
        <f t="array" ref="V2538">_xlfn.IFS(C2538="","",COUNTIF(C2538,"ตำแหน่งว่าง*"),"ว่าง",COUNTIF(C2538,"&lt;&gt;ตำแหน่งว่าง*"),"คนครอง")</f>
        <v>คนครอง</v>
      </c>
      <c r="W2538" s="5" cm="1">
        <f t="array" ref="W2538">_xlfn.IFS(COUNTIF(F2538,"ผบ.หมู่*"),51,COUNTIF(F2538,"รอง สว.*"),43)</f>
        <v>43</v>
      </c>
      <c r="X2538" s="1" t="s">
        <v>7571</v>
      </c>
      <c r="Y2538" s="1" t="s">
        <v>52</v>
      </c>
    </row>
    <row r="2539" spans="1:25" s="9" customFormat="1" ht="21.3" customHeight="1">
      <c r="A2539" s="27" t="s">
        <v>157</v>
      </c>
      <c r="B2539" s="28" t="s">
        <v>12</v>
      </c>
      <c r="C2539" s="27" t="s">
        <v>7573</v>
      </c>
      <c r="D2539" s="27" t="s">
        <v>10682</v>
      </c>
      <c r="E2539" s="27" t="s">
        <v>10683</v>
      </c>
      <c r="F2539" s="27" t="s">
        <v>7555</v>
      </c>
      <c r="G2539" s="101" t="s">
        <v>7575</v>
      </c>
      <c r="H2539" s="75">
        <v>42501</v>
      </c>
      <c r="I2539" s="73">
        <v>38443</v>
      </c>
      <c r="J2539" s="73">
        <v>38443</v>
      </c>
      <c r="K2539" s="73">
        <v>29429</v>
      </c>
      <c r="L2539" s="11" t="s">
        <v>4042</v>
      </c>
      <c r="M2539" s="1" t="s">
        <v>96</v>
      </c>
      <c r="N2539" s="112" t="s">
        <v>14</v>
      </c>
      <c r="O2539" s="104" t="s">
        <v>52</v>
      </c>
      <c r="P2539" s="104" t="s">
        <v>52</v>
      </c>
      <c r="Q2539" s="105"/>
      <c r="R2539" s="28" t="s">
        <v>110</v>
      </c>
      <c r="S2539" s="225">
        <f t="shared" si="42"/>
        <v>51410</v>
      </c>
      <c r="T2539" s="2" t="s">
        <v>7675</v>
      </c>
      <c r="U2539" s="2" t="s">
        <v>146</v>
      </c>
      <c r="V2539" s="161" t="str" cm="1">
        <f t="array" ref="V2539">_xlfn.IFS(C2539="","",COUNTIF(C2539,"ตำแหน่งว่าง*"),"ว่าง",COUNTIF(C2539,"&lt;&gt;ตำแหน่งว่าง*"),"คนครอง")</f>
        <v>คนครอง</v>
      </c>
      <c r="W2539" s="6" cm="1">
        <f t="array" ref="W2539">_xlfn.IFS(COUNTIF(F2539,"ผบ.หมู่*"),51,COUNTIF(F2539,"รอง สว.*"),43)</f>
        <v>51</v>
      </c>
      <c r="X2539" s="1" t="s">
        <v>7574</v>
      </c>
      <c r="Y2539" s="1" t="s">
        <v>52</v>
      </c>
    </row>
    <row r="2540" spans="1:25" s="9" customFormat="1" ht="21.3" customHeight="1">
      <c r="A2540" s="27" t="s">
        <v>157</v>
      </c>
      <c r="B2540" s="28" t="s">
        <v>12</v>
      </c>
      <c r="C2540" s="27" t="s">
        <v>7576</v>
      </c>
      <c r="D2540" s="27" t="s">
        <v>10684</v>
      </c>
      <c r="E2540" s="27" t="s">
        <v>10685</v>
      </c>
      <c r="F2540" s="27" t="s">
        <v>7555</v>
      </c>
      <c r="G2540" s="101" t="s">
        <v>7578</v>
      </c>
      <c r="H2540" s="75">
        <v>42501</v>
      </c>
      <c r="I2540" s="73">
        <v>39717</v>
      </c>
      <c r="J2540" s="73">
        <v>39717</v>
      </c>
      <c r="K2540" s="73">
        <v>27571</v>
      </c>
      <c r="L2540" s="11" t="s">
        <v>31</v>
      </c>
      <c r="M2540" s="1" t="s">
        <v>96</v>
      </c>
      <c r="N2540" s="112" t="s">
        <v>14</v>
      </c>
      <c r="O2540" s="104" t="s">
        <v>52</v>
      </c>
      <c r="P2540" s="104" t="s">
        <v>52</v>
      </c>
      <c r="Q2540" s="105"/>
      <c r="R2540" s="28" t="s">
        <v>110</v>
      </c>
      <c r="S2540" s="225">
        <f t="shared" si="42"/>
        <v>49583</v>
      </c>
      <c r="T2540" s="2" t="s">
        <v>7675</v>
      </c>
      <c r="U2540" s="2" t="s">
        <v>146</v>
      </c>
      <c r="V2540" s="161" t="str" cm="1">
        <f t="array" ref="V2540">_xlfn.IFS(C2540="","",COUNTIF(C2540,"ตำแหน่งว่าง*"),"ว่าง",COUNTIF(C2540,"&lt;&gt;ตำแหน่งว่าง*"),"คนครอง")</f>
        <v>คนครอง</v>
      </c>
      <c r="W2540" s="6" cm="1">
        <f t="array" ref="W2540">_xlfn.IFS(COUNTIF(F2540,"ผบ.หมู่*"),51,COUNTIF(F2540,"รอง สว.*"),43)</f>
        <v>51</v>
      </c>
      <c r="X2540" s="1" t="s">
        <v>7577</v>
      </c>
      <c r="Y2540" s="1" t="s">
        <v>52</v>
      </c>
    </row>
    <row r="2541" spans="1:25" s="12" customFormat="1" ht="21.3" customHeight="1">
      <c r="A2541" s="27" t="s">
        <v>157</v>
      </c>
      <c r="B2541" s="28" t="s">
        <v>21</v>
      </c>
      <c r="C2541" s="95" t="s">
        <v>7579</v>
      </c>
      <c r="D2541" s="27" t="s">
        <v>10686</v>
      </c>
      <c r="E2541" s="27" t="s">
        <v>10687</v>
      </c>
      <c r="F2541" s="95" t="s">
        <v>7555</v>
      </c>
      <c r="G2541" s="101" t="s">
        <v>7581</v>
      </c>
      <c r="H2541" s="75">
        <v>42501</v>
      </c>
      <c r="I2541" s="73">
        <v>39717</v>
      </c>
      <c r="J2541" s="73">
        <v>39717</v>
      </c>
      <c r="K2541" s="73">
        <v>29637</v>
      </c>
      <c r="L2541" s="11" t="s">
        <v>68</v>
      </c>
      <c r="M2541" s="1" t="s">
        <v>96</v>
      </c>
      <c r="N2541" s="111" t="s">
        <v>14</v>
      </c>
      <c r="O2541" s="104" t="s">
        <v>52</v>
      </c>
      <c r="P2541" s="104" t="s">
        <v>52</v>
      </c>
      <c r="Q2541" s="105"/>
      <c r="R2541" s="28" t="s">
        <v>110</v>
      </c>
      <c r="S2541" s="225">
        <f t="shared" si="42"/>
        <v>51775</v>
      </c>
      <c r="T2541" s="162" t="s">
        <v>7675</v>
      </c>
      <c r="U2541" s="2" t="s">
        <v>146</v>
      </c>
      <c r="V2541" s="161" t="str" cm="1">
        <f t="array" ref="V2541">_xlfn.IFS(C2541="","",COUNTIF(C2541,"ตำแหน่งว่าง*"),"ว่าง",COUNTIF(C2541,"&lt;&gt;ตำแหน่งว่าง*"),"คนครอง")</f>
        <v>คนครอง</v>
      </c>
      <c r="W2541" s="6" cm="1">
        <f t="array" ref="W2541">_xlfn.IFS(COUNTIF(F2541,"ผบ.หมู่*"),51,COUNTIF(F2541,"รอง สว.*"),43)</f>
        <v>51</v>
      </c>
      <c r="X2541" s="5" t="s">
        <v>7580</v>
      </c>
      <c r="Y2541" s="5" t="s">
        <v>52</v>
      </c>
    </row>
    <row r="2542" spans="1:25" s="12" customFormat="1" ht="21.3" customHeight="1">
      <c r="A2542" s="27" t="s">
        <v>44</v>
      </c>
      <c r="B2542" s="31" t="s">
        <v>12</v>
      </c>
      <c r="C2542" s="95" t="s">
        <v>7582</v>
      </c>
      <c r="D2542" s="27" t="s">
        <v>10688</v>
      </c>
      <c r="E2542" s="27" t="s">
        <v>10689</v>
      </c>
      <c r="F2542" s="95" t="s">
        <v>7567</v>
      </c>
      <c r="G2542" s="101" t="s">
        <v>7584</v>
      </c>
      <c r="H2542" s="88">
        <v>44651</v>
      </c>
      <c r="I2542" s="76">
        <v>44651</v>
      </c>
      <c r="J2542" s="76">
        <v>35309</v>
      </c>
      <c r="K2542" s="76">
        <v>25231</v>
      </c>
      <c r="L2542" s="17" t="s">
        <v>7585</v>
      </c>
      <c r="M2542" s="5" t="s">
        <v>96</v>
      </c>
      <c r="N2542" s="111" t="s">
        <v>14</v>
      </c>
      <c r="O2542" s="104" t="s">
        <v>52</v>
      </c>
      <c r="P2542" s="104" t="s">
        <v>52</v>
      </c>
      <c r="Q2542" s="108"/>
      <c r="R2542" s="31" t="s">
        <v>110</v>
      </c>
      <c r="S2542" s="225">
        <f t="shared" si="42"/>
        <v>47392</v>
      </c>
      <c r="T2542" s="162" t="s">
        <v>7675</v>
      </c>
      <c r="U2542" s="2" t="s">
        <v>146</v>
      </c>
      <c r="V2542" s="161" t="str" cm="1">
        <f t="array" ref="V2542">_xlfn.IFS(C2542="","",COUNTIF(C2542,"ตำแหน่งว่าง*"),"ว่าง",COUNTIF(C2542,"&lt;&gt;ตำแหน่งว่าง*"),"คนครอง")</f>
        <v>คนครอง</v>
      </c>
      <c r="W2542" s="5" cm="1">
        <f t="array" ref="W2542">_xlfn.IFS(COUNTIF(F2542,"ผบ.หมู่*"),51,COUNTIF(F2542,"รอง สว.*"),43)</f>
        <v>43</v>
      </c>
      <c r="X2542" s="5" t="s">
        <v>7583</v>
      </c>
      <c r="Y2542" s="5" t="s">
        <v>52</v>
      </c>
    </row>
    <row r="2543" spans="1:25" s="9" customFormat="1" ht="21.3" customHeight="1">
      <c r="A2543" s="27" t="s">
        <v>157</v>
      </c>
      <c r="B2543" s="28" t="s">
        <v>21</v>
      </c>
      <c r="C2543" s="27" t="s">
        <v>7586</v>
      </c>
      <c r="D2543" s="27" t="s">
        <v>8081</v>
      </c>
      <c r="E2543" s="27" t="s">
        <v>10690</v>
      </c>
      <c r="F2543" s="27" t="s">
        <v>7555</v>
      </c>
      <c r="G2543" s="101" t="s">
        <v>7588</v>
      </c>
      <c r="H2543" s="75">
        <v>42501</v>
      </c>
      <c r="I2543" s="73">
        <v>34352</v>
      </c>
      <c r="J2543" s="73">
        <v>34352</v>
      </c>
      <c r="K2543" s="73">
        <v>25055</v>
      </c>
      <c r="L2543" s="11" t="s">
        <v>4042</v>
      </c>
      <c r="M2543" s="1" t="s">
        <v>96</v>
      </c>
      <c r="N2543" s="112" t="s">
        <v>14</v>
      </c>
      <c r="O2543" s="104" t="s">
        <v>52</v>
      </c>
      <c r="P2543" s="104" t="s">
        <v>52</v>
      </c>
      <c r="Q2543" s="105"/>
      <c r="R2543" s="28" t="s">
        <v>110</v>
      </c>
      <c r="S2543" s="225">
        <f t="shared" si="42"/>
        <v>47027</v>
      </c>
      <c r="T2543" s="2" t="s">
        <v>7675</v>
      </c>
      <c r="U2543" s="2" t="s">
        <v>146</v>
      </c>
      <c r="V2543" s="161" t="str" cm="1">
        <f t="array" ref="V2543">_xlfn.IFS(C2543="","",COUNTIF(C2543,"ตำแหน่งว่าง*"),"ว่าง",COUNTIF(C2543,"&lt;&gt;ตำแหน่งว่าง*"),"คนครอง")</f>
        <v>คนครอง</v>
      </c>
      <c r="W2543" s="6" cm="1">
        <f t="array" ref="W2543">_xlfn.IFS(COUNTIF(F2543,"ผบ.หมู่*"),51,COUNTIF(F2543,"รอง สว.*"),43)</f>
        <v>51</v>
      </c>
      <c r="X2543" s="1" t="s">
        <v>7587</v>
      </c>
      <c r="Y2543" s="1" t="s">
        <v>52</v>
      </c>
    </row>
    <row r="2544" spans="1:25" s="9" customFormat="1" ht="21.3" customHeight="1">
      <c r="A2544" s="27" t="s">
        <v>157</v>
      </c>
      <c r="B2544" s="28" t="s">
        <v>21</v>
      </c>
      <c r="C2544" s="27" t="s">
        <v>7589</v>
      </c>
      <c r="D2544" s="27" t="s">
        <v>10691</v>
      </c>
      <c r="E2544" s="27" t="s">
        <v>10692</v>
      </c>
      <c r="F2544" s="27" t="s">
        <v>7555</v>
      </c>
      <c r="G2544" s="101" t="s">
        <v>7591</v>
      </c>
      <c r="H2544" s="75">
        <v>42501</v>
      </c>
      <c r="I2544" s="73">
        <v>39717</v>
      </c>
      <c r="J2544" s="73">
        <v>39717</v>
      </c>
      <c r="K2544" s="73">
        <v>29890</v>
      </c>
      <c r="L2544" s="11" t="s">
        <v>7592</v>
      </c>
      <c r="M2544" s="1" t="s">
        <v>96</v>
      </c>
      <c r="N2544" s="112" t="s">
        <v>14</v>
      </c>
      <c r="O2544" s="104" t="s">
        <v>52</v>
      </c>
      <c r="P2544" s="104" t="s">
        <v>52</v>
      </c>
      <c r="Q2544" s="105"/>
      <c r="R2544" s="28" t="s">
        <v>110</v>
      </c>
      <c r="S2544" s="225">
        <f t="shared" si="42"/>
        <v>52140</v>
      </c>
      <c r="T2544" s="2" t="s">
        <v>7675</v>
      </c>
      <c r="U2544" s="2" t="s">
        <v>146</v>
      </c>
      <c r="V2544" s="161" t="str" cm="1">
        <f t="array" ref="V2544">_xlfn.IFS(C2544="","",COUNTIF(C2544,"ตำแหน่งว่าง*"),"ว่าง",COUNTIF(C2544,"&lt;&gt;ตำแหน่งว่าง*"),"คนครอง")</f>
        <v>คนครอง</v>
      </c>
      <c r="W2544" s="6" cm="1">
        <f t="array" ref="W2544">_xlfn.IFS(COUNTIF(F2544,"ผบ.หมู่*"),51,COUNTIF(F2544,"รอง สว.*"),43)</f>
        <v>51</v>
      </c>
      <c r="X2544" s="1" t="s">
        <v>7590</v>
      </c>
      <c r="Y2544" s="1" t="s">
        <v>52</v>
      </c>
    </row>
    <row r="2545" spans="1:25" s="12" customFormat="1" ht="21.3" customHeight="1">
      <c r="A2545" s="27" t="s">
        <v>10753</v>
      </c>
      <c r="B2545" s="28" t="s">
        <v>21</v>
      </c>
      <c r="C2545" s="95" t="s">
        <v>7593</v>
      </c>
      <c r="D2545" s="27" t="s">
        <v>10693</v>
      </c>
      <c r="E2545" s="27" t="s">
        <v>10694</v>
      </c>
      <c r="F2545" s="95" t="s">
        <v>7567</v>
      </c>
      <c r="G2545" s="104" t="s">
        <v>7595</v>
      </c>
      <c r="H2545" s="91">
        <v>45382</v>
      </c>
      <c r="I2545" s="73">
        <v>45382</v>
      </c>
      <c r="J2545" s="73">
        <v>34729</v>
      </c>
      <c r="K2545" s="73">
        <v>25853</v>
      </c>
      <c r="L2545" s="11" t="s">
        <v>68</v>
      </c>
      <c r="M2545" s="1" t="s">
        <v>96</v>
      </c>
      <c r="N2545" s="111" t="s">
        <v>14</v>
      </c>
      <c r="O2545" s="104" t="s">
        <v>52</v>
      </c>
      <c r="P2545" s="104" t="s">
        <v>52</v>
      </c>
      <c r="Q2545" s="105"/>
      <c r="R2545" s="28" t="s">
        <v>7801</v>
      </c>
      <c r="S2545" s="225">
        <f t="shared" si="42"/>
        <v>48122</v>
      </c>
      <c r="T2545" s="162" t="s">
        <v>7675</v>
      </c>
      <c r="U2545" s="2" t="s">
        <v>146</v>
      </c>
      <c r="V2545" s="161" t="str" cm="1">
        <f t="array" ref="V2545">_xlfn.IFS(C2545="","",COUNTIF(C2545,"ตำแหน่งว่าง*"),"ว่าง",COUNTIF(C2545,"&lt;&gt;ตำแหน่งว่าง*"),"คนครอง")</f>
        <v>คนครอง</v>
      </c>
      <c r="W2545" s="6" cm="1">
        <f t="array" ref="W2545">_xlfn.IFS(COUNTIF(F2545,"ผบ.หมู่*"),51,COUNTIF(F2545,"รอง สว.*"),43)</f>
        <v>43</v>
      </c>
      <c r="X2545" s="5" t="s">
        <v>7594</v>
      </c>
      <c r="Y2545" s="5" t="s">
        <v>52</v>
      </c>
    </row>
    <row r="2546" spans="1:25" s="12" customFormat="1" ht="21.3" customHeight="1">
      <c r="A2546" s="175" t="s">
        <v>157</v>
      </c>
      <c r="B2546" s="151" t="s">
        <v>12</v>
      </c>
      <c r="C2546" s="235" t="s">
        <v>7596</v>
      </c>
      <c r="D2546" s="27" t="s">
        <v>8146</v>
      </c>
      <c r="E2546" s="27" t="s">
        <v>10695</v>
      </c>
      <c r="F2546" s="235" t="s">
        <v>7555</v>
      </c>
      <c r="G2546" s="103" t="s">
        <v>7598</v>
      </c>
      <c r="H2546" s="75">
        <v>42501</v>
      </c>
      <c r="I2546" s="73">
        <v>39717</v>
      </c>
      <c r="J2546" s="73">
        <v>39717</v>
      </c>
      <c r="K2546" s="73">
        <v>27795</v>
      </c>
      <c r="L2546" s="11" t="s">
        <v>31</v>
      </c>
      <c r="M2546" s="1" t="s">
        <v>96</v>
      </c>
      <c r="N2546" s="111" t="s">
        <v>14</v>
      </c>
      <c r="O2546" s="104" t="s">
        <v>52</v>
      </c>
      <c r="P2546" s="104" t="s">
        <v>52</v>
      </c>
      <c r="Q2546" s="105"/>
      <c r="R2546" s="28" t="s">
        <v>110</v>
      </c>
      <c r="S2546" s="225">
        <f t="shared" si="42"/>
        <v>49949</v>
      </c>
      <c r="T2546" s="162" t="s">
        <v>7675</v>
      </c>
      <c r="U2546" s="2" t="s">
        <v>146</v>
      </c>
      <c r="V2546" s="161" t="str" cm="1">
        <f t="array" ref="V2546">_xlfn.IFS(C2546="","",COUNTIF(C2546,"ตำแหน่งว่าง*"),"ว่าง",COUNTIF(C2546,"&lt;&gt;ตำแหน่งว่าง*"),"คนครอง")</f>
        <v>คนครอง</v>
      </c>
      <c r="W2546" s="6" cm="1">
        <f t="array" ref="W2546">_xlfn.IFS(COUNTIF(F2546,"ผบ.หมู่*"),51,COUNTIF(F2546,"รอง สว.*"),43)</f>
        <v>51</v>
      </c>
      <c r="X2546" s="5" t="s">
        <v>7597</v>
      </c>
      <c r="Y2546" s="5" t="s">
        <v>52</v>
      </c>
    </row>
    <row r="2547" spans="1:25" s="9" customFormat="1" ht="21.3" customHeight="1">
      <c r="A2547" s="27" t="s">
        <v>30</v>
      </c>
      <c r="B2547" s="28" t="s">
        <v>12</v>
      </c>
      <c r="C2547" s="27" t="s">
        <v>7599</v>
      </c>
      <c r="D2547" s="27" t="s">
        <v>10696</v>
      </c>
      <c r="E2547" s="27" t="s">
        <v>10697</v>
      </c>
      <c r="F2547" s="27" t="s">
        <v>10701</v>
      </c>
      <c r="G2547" s="101" t="s">
        <v>7601</v>
      </c>
      <c r="H2547" s="75">
        <v>43555</v>
      </c>
      <c r="I2547" s="73">
        <v>43555</v>
      </c>
      <c r="J2547" s="73">
        <v>31444</v>
      </c>
      <c r="K2547" s="73">
        <v>24340</v>
      </c>
      <c r="L2547" s="11" t="s">
        <v>7853</v>
      </c>
      <c r="M2547" s="1" t="s">
        <v>96</v>
      </c>
      <c r="N2547" s="112" t="s">
        <v>14</v>
      </c>
      <c r="O2547" s="104" t="s">
        <v>52</v>
      </c>
      <c r="P2547" s="104" t="s">
        <v>52</v>
      </c>
      <c r="Q2547" s="105"/>
      <c r="R2547" s="28" t="s">
        <v>2892</v>
      </c>
      <c r="S2547" s="225">
        <f t="shared" si="42"/>
        <v>46296</v>
      </c>
      <c r="T2547" s="2" t="s">
        <v>7675</v>
      </c>
      <c r="U2547" s="2" t="s">
        <v>146</v>
      </c>
      <c r="V2547" s="161" t="str" cm="1">
        <f t="array" ref="V2547">_xlfn.IFS(C2547="","",COUNTIF(C2547,"ตำแหน่งว่าง*"),"ว่าง",COUNTIF(C2547,"&lt;&gt;ตำแหน่งว่าง*"),"คนครอง")</f>
        <v>คนครอง</v>
      </c>
      <c r="W2547" s="5" cm="1">
        <f t="array" ref="W2547">_xlfn.IFS(COUNTIF(F2547,"ผบ.หมู่*"),51,COUNTIF(F2547,"รอง สว.*"),43)</f>
        <v>43</v>
      </c>
      <c r="X2547" s="1" t="s">
        <v>7600</v>
      </c>
      <c r="Y2547" s="1" t="s">
        <v>52</v>
      </c>
    </row>
    <row r="2548" spans="1:25" s="12" customFormat="1" ht="21.3" customHeight="1">
      <c r="A2548" s="27" t="s">
        <v>157</v>
      </c>
      <c r="B2548" s="28" t="s">
        <v>12</v>
      </c>
      <c r="C2548" s="95" t="s">
        <v>7602</v>
      </c>
      <c r="D2548" s="27" t="s">
        <v>10698</v>
      </c>
      <c r="E2548" s="27" t="s">
        <v>10699</v>
      </c>
      <c r="F2548" s="95" t="s">
        <v>7555</v>
      </c>
      <c r="G2548" s="101" t="s">
        <v>7604</v>
      </c>
      <c r="H2548" s="75">
        <v>42501</v>
      </c>
      <c r="I2548" s="73">
        <v>39717</v>
      </c>
      <c r="J2548" s="73">
        <v>39717</v>
      </c>
      <c r="K2548" s="73">
        <v>26912</v>
      </c>
      <c r="L2548" s="11" t="s">
        <v>31</v>
      </c>
      <c r="M2548" s="1" t="s">
        <v>96</v>
      </c>
      <c r="N2548" s="111" t="s">
        <v>14</v>
      </c>
      <c r="O2548" s="104" t="s">
        <v>52</v>
      </c>
      <c r="P2548" s="104" t="s">
        <v>52</v>
      </c>
      <c r="Q2548" s="105"/>
      <c r="R2548" s="28" t="s">
        <v>110</v>
      </c>
      <c r="S2548" s="225">
        <f t="shared" si="42"/>
        <v>48853</v>
      </c>
      <c r="T2548" s="162" t="s">
        <v>7675</v>
      </c>
      <c r="U2548" s="2" t="s">
        <v>146</v>
      </c>
      <c r="V2548" s="161" t="str" cm="1">
        <f t="array" ref="V2548">_xlfn.IFS(C2548="","",COUNTIF(C2548,"ตำแหน่งว่าง*"),"ว่าง",COUNTIF(C2548,"&lt;&gt;ตำแหน่งว่าง*"),"คนครอง")</f>
        <v>คนครอง</v>
      </c>
      <c r="W2548" s="6" cm="1">
        <f t="array" ref="W2548">_xlfn.IFS(COUNTIF(F2548,"ผบ.หมู่*"),51,COUNTIF(F2548,"รอง สว.*"),43)</f>
        <v>51</v>
      </c>
      <c r="X2548" s="5" t="s">
        <v>7603</v>
      </c>
      <c r="Y2548" s="5" t="s">
        <v>52</v>
      </c>
    </row>
    <row r="2549" spans="1:25" s="12" customFormat="1" ht="23.25">
      <c r="A2549" s="27" t="s">
        <v>157</v>
      </c>
      <c r="B2549" s="28" t="s">
        <v>12</v>
      </c>
      <c r="C2549" s="95" t="s">
        <v>7605</v>
      </c>
      <c r="D2549" s="27" t="s">
        <v>8121</v>
      </c>
      <c r="E2549" s="27" t="s">
        <v>10700</v>
      </c>
      <c r="F2549" s="95" t="s">
        <v>7555</v>
      </c>
      <c r="G2549" s="104" t="s">
        <v>7607</v>
      </c>
      <c r="H2549" s="75">
        <v>42501</v>
      </c>
      <c r="I2549" s="73">
        <v>39717</v>
      </c>
      <c r="J2549" s="73">
        <v>39717</v>
      </c>
      <c r="K2549" s="73">
        <v>27818</v>
      </c>
      <c r="L2549" s="11" t="s">
        <v>31</v>
      </c>
      <c r="M2549" s="1" t="s">
        <v>96</v>
      </c>
      <c r="N2549" s="111" t="s">
        <v>14</v>
      </c>
      <c r="O2549" s="104" t="s">
        <v>52</v>
      </c>
      <c r="P2549" s="104" t="s">
        <v>52</v>
      </c>
      <c r="Q2549" s="105"/>
      <c r="R2549" s="28" t="s">
        <v>110</v>
      </c>
      <c r="S2549" s="225">
        <f t="shared" si="42"/>
        <v>49949</v>
      </c>
      <c r="T2549" s="162" t="s">
        <v>7675</v>
      </c>
      <c r="U2549" s="2" t="s">
        <v>146</v>
      </c>
      <c r="V2549" s="161" t="str" cm="1">
        <f t="array" ref="V2549">_xlfn.IFS(C2549="","",COUNTIF(C2549,"ตำแหน่งว่าง*"),"ว่าง",COUNTIF(C2549,"&lt;&gt;ตำแหน่งว่าง*"),"คนครอง")</f>
        <v>คนครอง</v>
      </c>
      <c r="W2549" s="6" cm="1">
        <f t="array" ref="W2549">_xlfn.IFS(COUNTIF(F2549,"ผบ.หมู่*"),51,COUNTIF(F2549,"รอง สว.*"),43)</f>
        <v>51</v>
      </c>
      <c r="X2549" s="5" t="s">
        <v>7606</v>
      </c>
      <c r="Y2549" s="5" t="s">
        <v>52</v>
      </c>
    </row>
  </sheetData>
  <autoFilter ref="A1:Y2549" xr:uid="{00000000-0001-0000-0100-000000000000}"/>
  <sortState xmlns:xlrd2="http://schemas.microsoft.com/office/spreadsheetml/2017/richdata2" ref="A390:R2455">
    <sortCondition ref="B2:B2551"/>
    <sortCondition ref="C2:C2551"/>
  </sortState>
  <phoneticPr fontId="17" type="noConversion"/>
  <pageMargins left="0.23622047244094491" right="0.23622047244094491" top="0.74803149606299213" bottom="0.74803149606299213" header="0.31496062992125984" footer="0.31496062992125984"/>
  <pageSetup paperSize="5" scale="90" orientation="landscape" r:id="rId1"/>
  <rowBreaks count="1" manualBreakCount="1">
    <brk id="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ประทวน</vt:lpstr>
      <vt:lpstr>ประทวน!Print_Titles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Tp-01</dc:creator>
  <cp:keywords/>
  <dc:description/>
  <cp:lastModifiedBy>autthapol saiyat</cp:lastModifiedBy>
  <cp:revision/>
  <cp:lastPrinted>2025-09-09T09:37:43Z</cp:lastPrinted>
  <dcterms:created xsi:type="dcterms:W3CDTF">2018-03-29T03:07:18Z</dcterms:created>
  <dcterms:modified xsi:type="dcterms:W3CDTF">2025-11-03T10:31:57Z</dcterms:modified>
  <cp:category/>
  <cp:contentStatus/>
</cp:coreProperties>
</file>